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" sheetId="1" r:id="rId5"/>
    <sheet state="visible" name="DESTINOS" sheetId="2" r:id="rId6"/>
    <sheet state="visible" name="BASE" sheetId="3" r:id="rId7"/>
    <sheet state="visible" name="COMO USAR" sheetId="4" r:id="rId8"/>
    <sheet state="visible" name="DADOS" sheetId="5" r:id="rId9"/>
    <sheet state="visible" name="CALC" sheetId="6" r:id="rId10"/>
    <sheet state="visible" name="LISTAS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 de apoio dos gráficos (fórmulas). Não editar.</t>
      </text>
    </comment>
  </commentList>
</comments>
</file>

<file path=xl/sharedStrings.xml><?xml version="1.0" encoding="utf-8"?>
<sst xmlns="http://schemas.openxmlformats.org/spreadsheetml/2006/main" count="13906" uniqueCount="1163">
  <si>
    <t>Modal</t>
  </si>
  <si>
    <t>Prazo e volume por destino</t>
  </si>
  <si>
    <t>COMO USAR</t>
  </si>
  <si>
    <t>STATUS</t>
  </si>
  <si>
    <t>Respeita todos os filtros da aba DASH. Prazo em dias, conforme o sistema.</t>
  </si>
  <si>
    <t>Status Desc</t>
  </si>
  <si>
    <t>CT-e</t>
  </si>
  <si>
    <t>StatusCT-e</t>
  </si>
  <si>
    <t>PRAZO</t>
  </si>
  <si>
    <t>ORIG</t>
  </si>
  <si>
    <t>DEST</t>
  </si>
  <si>
    <t>AWB</t>
  </si>
  <si>
    <t>ID Conhec</t>
  </si>
  <si>
    <t>DATA</t>
  </si>
  <si>
    <t>DT. PREV. ENTREGA</t>
  </si>
  <si>
    <t>PRAZO CORRIGIDO</t>
  </si>
  <si>
    <t>RT.ENTREGA</t>
  </si>
  <si>
    <t>REVERSA</t>
  </si>
  <si>
    <t>DATA ULT. OCOR.</t>
  </si>
  <si>
    <t>CÉLULA</t>
  </si>
  <si>
    <t>TIPO FRETE</t>
  </si>
  <si>
    <t>Estrelado</t>
  </si>
  <si>
    <t>Pago</t>
  </si>
  <si>
    <t>VALOR DO FRETE</t>
  </si>
  <si>
    <t>VOL.</t>
  </si>
  <si>
    <t>REMETENTE</t>
  </si>
  <si>
    <t>DESTINATARIO</t>
  </si>
  <si>
    <t>CONSIGNATARIO</t>
  </si>
  <si>
    <t>Rotina diária</t>
  </si>
  <si>
    <t>NOTAS</t>
  </si>
  <si>
    <t>Filial - Agrupador</t>
  </si>
  <si>
    <t>Categoria de Embarque (EDI)</t>
  </si>
  <si>
    <t>1. Menu "📦 Emissões" &gt; "Limpar BASE (antes de colar a nova)".</t>
  </si>
  <si>
    <t>RODO</t>
  </si>
  <si>
    <t>2. Na aba BASE, clique na célula A1 e cole a planilha do sistema (com o cabeçalho). Alternativa: Arquivo &gt; Importar &gt; Fazer upload &gt; "Substituir dados a partir da célula selecionada" com a A1 selecionada.</t>
  </si>
  <si>
    <t>3. Volte para a DASH. Tudo recalcula sozinho.</t>
  </si>
  <si>
    <t>Importante</t>
  </si>
  <si>
    <t>• Nunca exclua linhas ou colunas da BASE — apenas limpe o conteúdo (use o menu). Excluir linhas quebra as fórmulas.</t>
  </si>
  <si>
    <t>• Não digite nas abas DADOS, CALC e LISTAS: são fórmulas.</t>
  </si>
  <si>
    <t>• Filtros ficam na linha amarela da DASH. "Todos" ou vazio = sem filtro. Menu "Limpar filtros" volta tudo ao padrão.</t>
  </si>
  <si>
    <t>• A busca livre procura em ID Conhec, NF, AWB, destinatário, remetente, destino e rota de entrega.</t>
  </si>
  <si>
    <t>• O dashboard lê até 5.000 linhas. A linha de status no topo da DASH avisa se o layout da base mudar.</t>
  </si>
  <si>
    <t>• Prazo (dias) é o valor do sistema (coluna PRAZO numérica). A coluna "PRAZO CORRIGIDO" ainda não é usada.</t>
  </si>
  <si>
    <t>NA ORIGEM</t>
  </si>
  <si>
    <t>N</t>
  </si>
  <si>
    <t>Antes Prazo</t>
  </si>
  <si>
    <t>ITN</t>
  </si>
  <si>
    <t>CIF</t>
  </si>
  <si>
    <t>TRIFIL</t>
  </si>
  <si>
    <t>JAM E JÚ CINQUENTENARIO</t>
  </si>
  <si>
    <t>B2B</t>
  </si>
  <si>
    <t>SAO</t>
  </si>
  <si>
    <t>SAO-1</t>
  </si>
  <si>
    <t>CSG</t>
  </si>
  <si>
    <t>ACHE LABORATORIOS FARMACEUTICOS SA</t>
  </si>
  <si>
    <t>S</t>
  </si>
  <si>
    <t>AUTORIZADO</t>
  </si>
  <si>
    <t>ATB</t>
  </si>
  <si>
    <t>LOJAS EDLOPES</t>
  </si>
  <si>
    <t>MMG</t>
  </si>
  <si>
    <t>BELLAS MEIAS E LINGERIES LTDA</t>
  </si>
  <si>
    <t>SJP</t>
  </si>
  <si>
    <t>VIVIANE REBECA DE FREITAS FIRME</t>
  </si>
  <si>
    <t>AQA</t>
  </si>
  <si>
    <t>LOJAS LUPO</t>
  </si>
  <si>
    <t>SOD</t>
  </si>
  <si>
    <t>MASTHER VARIEDADES LTDA</t>
  </si>
  <si>
    <t>MILENE PEDROSO FAVARO ME</t>
  </si>
  <si>
    <t>RIO</t>
  </si>
  <si>
    <t>H. V. MODAS LTDA - ME</t>
  </si>
  <si>
    <t>BHZ</t>
  </si>
  <si>
    <t>LUPO</t>
  </si>
  <si>
    <t>BCG</t>
  </si>
  <si>
    <t>MARIA DALVA FERREIRA DOS SANTOS</t>
  </si>
  <si>
    <t>JDF</t>
  </si>
  <si>
    <t>ELENICE GOMES E CIA</t>
  </si>
  <si>
    <t>VAG</t>
  </si>
  <si>
    <t>JO MODAS LTDA ME - 2031 1 9</t>
  </si>
  <si>
    <t>MOC</t>
  </si>
  <si>
    <t>LIDIANE ANTUNES DE OLIVEIRA</t>
  </si>
  <si>
    <t>FSA</t>
  </si>
  <si>
    <t>Emissão</t>
  </si>
  <si>
    <t>MARIA IZABEL DA COSTA MATOS - ME</t>
  </si>
  <si>
    <t>Prev. Entrega</t>
  </si>
  <si>
    <t>Prazo (dias)</t>
  </si>
  <si>
    <t>Destino</t>
  </si>
  <si>
    <t>Destinatário</t>
  </si>
  <si>
    <t>REC</t>
  </si>
  <si>
    <t>Remetente</t>
  </si>
  <si>
    <t>NF</t>
  </si>
  <si>
    <t>FSA-1</t>
  </si>
  <si>
    <t>Tipo Frete</t>
  </si>
  <si>
    <t>Célula</t>
  </si>
  <si>
    <t>Situação CT-e</t>
  </si>
  <si>
    <t>MAGALY MALHAS LTDA-ME.</t>
  </si>
  <si>
    <t>Status</t>
  </si>
  <si>
    <t>Situação Prazo</t>
  </si>
  <si>
    <t>Categoria</t>
  </si>
  <si>
    <t>Valor Frete</t>
  </si>
  <si>
    <t>MCZ</t>
  </si>
  <si>
    <t>Volumes</t>
  </si>
  <si>
    <t>Origem</t>
  </si>
  <si>
    <t>E MANOEL DE MELO</t>
  </si>
  <si>
    <t>Rt. Entrega</t>
  </si>
  <si>
    <t>Busca</t>
  </si>
  <si>
    <t>Passa filtro</t>
  </si>
  <si>
    <t>⚠ Aba de tratamento (fórmulas). Não digite nada aqui.</t>
  </si>
  <si>
    <t>FOR</t>
  </si>
  <si>
    <t>A.S. ANDRIANI COMERCIO DE VESTUARIO LTDA</t>
  </si>
  <si>
    <t>VRA COMERCIO DE VESTUÁRIO LTDA EPP</t>
  </si>
  <si>
    <t>ASA COMERCIO DE VESTUARIO LTDA.</t>
  </si>
  <si>
    <t>EUSEBIO MEIAS ARTIGOS DE VESTUARIO</t>
  </si>
  <si>
    <t>TERRAZO MEIAS ARTIGOS DO VESTUARIO</t>
  </si>
  <si>
    <t>JDO</t>
  </si>
  <si>
    <t>GADELHA COMERCIO DE VESTUARIO LTDA.</t>
  </si>
  <si>
    <t>PCS</t>
  </si>
  <si>
    <t>VERSALE COMERCIO DE ARTIGOS DO VESTUARIO</t>
  </si>
  <si>
    <t>TUR</t>
  </si>
  <si>
    <t>M N E SILVA &amp; COMPANIA LTDA ME</t>
  </si>
  <si>
    <t>NBL</t>
  </si>
  <si>
    <t>L. M. R. SANTOS - ME(0001006261)</t>
  </si>
  <si>
    <t>M.O.SILVA-ME(0001025358)</t>
  </si>
  <si>
    <t>M.A.M.SOUZA FEITOSA(0001006436)</t>
  </si>
  <si>
    <t>S S DE ARAUJO ME</t>
  </si>
  <si>
    <t>MAO</t>
  </si>
  <si>
    <t>N. T. DE CASTRO BRITO LTDA</t>
  </si>
  <si>
    <t>J F DA COSTA LIMA</t>
  </si>
  <si>
    <t>ARLISON M DE SOUZA</t>
  </si>
  <si>
    <t>RBR</t>
  </si>
  <si>
    <t>PJ M MENDONÇA</t>
  </si>
  <si>
    <t>M.E FRANCA PINHEIRO</t>
  </si>
  <si>
    <t>PVH</t>
  </si>
  <si>
    <t>ATACADAO POPULAR</t>
  </si>
  <si>
    <t>CWB</t>
  </si>
  <si>
    <t>XV MEIAS COMERCIO DE CONFECCOES LTD</t>
  </si>
  <si>
    <t>LUPO SHOPPING CRYSTAL</t>
  </si>
  <si>
    <t>GPB</t>
  </si>
  <si>
    <t>POLO MULTIMARCAS LTDA</t>
  </si>
  <si>
    <t>JOI</t>
  </si>
  <si>
    <t>MAFRA CENTER COMERCIO DE ROUPAS EIRELI M</t>
  </si>
  <si>
    <t>POA</t>
  </si>
  <si>
    <t>LUPO - SHOPPING TOTAL</t>
  </si>
  <si>
    <t>1306080, 1306081,</t>
  </si>
  <si>
    <t>LUPO PRAIA DE BELAS</t>
  </si>
  <si>
    <t>LUPO IGUATEMI</t>
  </si>
  <si>
    <t>QHV</t>
  </si>
  <si>
    <t>Composto 8 Comercio doVestuario Eireli</t>
  </si>
  <si>
    <t>CXJ</t>
  </si>
  <si>
    <t>N&amp;J ZHU COM VAR DE ACESS PRES ELETRO</t>
  </si>
  <si>
    <t>CCT</t>
  </si>
  <si>
    <t>PERFUMARIA PRINCESA DE SAO BENTO LTD</t>
  </si>
  <si>
    <t>SJK</t>
  </si>
  <si>
    <t>J A DE C KAKO - ME</t>
  </si>
  <si>
    <t>LUPO VALE SUL</t>
  </si>
  <si>
    <t>FLOR D'ELIS</t>
  </si>
  <si>
    <t>COMERCIAL VALUTTI LTDA</t>
  </si>
  <si>
    <t>ANTONIO CESAR VELOSO CALCADOS EIRELI EPP</t>
  </si>
  <si>
    <t>LOJAO JACAREI COM DE CONF LTDA</t>
  </si>
  <si>
    <t>1304017, 1305900,</t>
  </si>
  <si>
    <t>CPQ</t>
  </si>
  <si>
    <t>LUPO (CAMPINAS SHOPPING)</t>
  </si>
  <si>
    <t>CALC.MILANI LTDA</t>
  </si>
  <si>
    <t>LIMA E ROLIZOLA COM DE CALÇADOS LTDA EPP</t>
  </si>
  <si>
    <t>AMOREIRAS CALCADOS E MODAS LTDA</t>
  </si>
  <si>
    <t>39.349.226 RODRIGO DE SIERVO</t>
  </si>
  <si>
    <t>1305021, 1305637,</t>
  </si>
  <si>
    <t>43939026 GUSTAVO HENRIQUE SIMIONATO</t>
  </si>
  <si>
    <t>DPW</t>
  </si>
  <si>
    <t>DEPOSITO 23</t>
  </si>
  <si>
    <t>A T NETTO</t>
  </si>
  <si>
    <t>MR CAT 1</t>
  </si>
  <si>
    <t>SPY</t>
  </si>
  <si>
    <t>ZUTIN &amp; CIA.LTDA.</t>
  </si>
  <si>
    <t>FILOH COMERCIO IMP E EXP</t>
  </si>
  <si>
    <t>LOJA ROMANIA</t>
  </si>
  <si>
    <t>CONFECCOES ROBLIU LTDA - EPP</t>
  </si>
  <si>
    <t>NATALINA TAQUECAVA FUKUDA ME</t>
  </si>
  <si>
    <t>MOYSES MAGAZINE</t>
  </si>
  <si>
    <t>RAO</t>
  </si>
  <si>
    <t>PLF ARTIGOS DO VESTUARIO RIBEIRAO PRETO</t>
  </si>
  <si>
    <t>LUPO (RIBEIRÃO SHOPPING)</t>
  </si>
  <si>
    <t>1305186, 1305293,</t>
  </si>
  <si>
    <t>ROZELI AGOSTA BATAGIN</t>
  </si>
  <si>
    <t>BRUNA SPORTWEAR COMERCIO DE VESTUARIO LT</t>
  </si>
  <si>
    <t>JOSE PEREIRA LIMA EPP</t>
  </si>
  <si>
    <t>OPCAO CALCADOS DE BRODOWSKI LTDA</t>
  </si>
  <si>
    <t>LEONOR PETRI FRIZONI MAGAZINE - ME</t>
  </si>
  <si>
    <t>47.382.747 KARINA ALBINO FRANCISCO</t>
  </si>
  <si>
    <t>LUPO LOJAS LTDA</t>
  </si>
  <si>
    <t>ALEX SANDRO JUSTI PEREIRA ME</t>
  </si>
  <si>
    <t>IRIS HELENA GONCALVES</t>
  </si>
  <si>
    <t>STO</t>
  </si>
  <si>
    <t>Scala Comercio de Roupas Acessorios Ltda</t>
  </si>
  <si>
    <t>BAU</t>
  </si>
  <si>
    <t>MARIA DE FATIMA ZANOTTO SANTOS</t>
  </si>
  <si>
    <t>GARCIA E ZANINI LTDA</t>
  </si>
  <si>
    <t>ARU</t>
  </si>
  <si>
    <t>JOSE ROBERTO ROSA E CIA LTD</t>
  </si>
  <si>
    <t>TWO FRIENDES COM. DE CALC. E CONF. LTDA.</t>
  </si>
  <si>
    <t>SOLANGE MARIA DE OLIVEIRA FERREIRA - 310</t>
  </si>
  <si>
    <t>D NUNES DE OLIVEIRA ME</t>
  </si>
  <si>
    <t>ANA CLAUDIA GRACIANO SERDA ME</t>
  </si>
  <si>
    <t>CRISTIANO TOLOI DE ALMEIDA</t>
  </si>
  <si>
    <t>CT-es</t>
  </si>
  <si>
    <t>Olinda Galhardo Confeccoes Ltda</t>
  </si>
  <si>
    <t>Previsão de entrega</t>
  </si>
  <si>
    <t>FNF COMERCIO DE CALCS LTDA EPP</t>
  </si>
  <si>
    <t>MII</t>
  </si>
  <si>
    <t>ANA MARIA LINGERIE</t>
  </si>
  <si>
    <t>PPR</t>
  </si>
  <si>
    <t>MILIANE AGUILAR RODRIGUES ME - 161976</t>
  </si>
  <si>
    <t>O FEIRÃO DOS TECIDOS</t>
  </si>
  <si>
    <t>MARCIA DA SILVA F. DE OLIVEIRA ME</t>
  </si>
  <si>
    <t>MARILDA PEREIRA ROLIM CASTANHO ME</t>
  </si>
  <si>
    <t>Faixa de prazo</t>
  </si>
  <si>
    <t>LA SEDUCTION</t>
  </si>
  <si>
    <t>FURLAN MAGAZINE LTDA ''ME''</t>
  </si>
  <si>
    <t>TEREZINHA DA SILVA SENE - ME</t>
  </si>
  <si>
    <t>LUPO PRESIDENTE PRUDENTE</t>
  </si>
  <si>
    <t>LOJAS 10</t>
  </si>
  <si>
    <t>STILOS MODA INTIMA</t>
  </si>
  <si>
    <t>CASA BARREIROS</t>
  </si>
  <si>
    <t>GRU</t>
  </si>
  <si>
    <t>NEVES COMERCIO DE VESTUARIO EIRELI</t>
  </si>
  <si>
    <t>LUPO- SHOPPING BOULEVARD</t>
  </si>
  <si>
    <t>Até 5 dias</t>
  </si>
  <si>
    <t>LUPO - SHOPPING MADUREIRA</t>
  </si>
  <si>
    <t>SUPERLAR LOJAS DE DEPARTAMENTOS LTDA</t>
  </si>
  <si>
    <t>LUPO BANGU</t>
  </si>
  <si>
    <t>CADUVI COMERCIO DE ROUPAS LTDA.</t>
  </si>
  <si>
    <t>M NILZA MODAS LTDA</t>
  </si>
  <si>
    <t>6 a 7 dias</t>
  </si>
  <si>
    <t>ALZEMIRA DA VEIGA CARDOSO 09696108745</t>
  </si>
  <si>
    <t>R3J</t>
  </si>
  <si>
    <t>CADUVIMA COMERCIO DE ROUPAS E ACESSORIOS</t>
  </si>
  <si>
    <t>LIPO - SHOPPING AMERICO SILVA</t>
  </si>
  <si>
    <t>8 a 9 dias</t>
  </si>
  <si>
    <t>MEGA VALE JF COSMETICOS LTDA</t>
  </si>
  <si>
    <t>JAJA DA VEPLAN ROUPAS LTDA - ME</t>
  </si>
  <si>
    <t>NOU SHOPPING</t>
  </si>
  <si>
    <t>SDR</t>
  </si>
  <si>
    <t>DUVIMACA COMERCIO DE ROUPAS E ACESSORIOS</t>
  </si>
  <si>
    <t>10 a 12 dias</t>
  </si>
  <si>
    <t>CATIA BATISTA SILVA</t>
  </si>
  <si>
    <t>715 MODAS</t>
  </si>
  <si>
    <t>SPORT E CIA</t>
  </si>
  <si>
    <t>13 a 15 dias</t>
  </si>
  <si>
    <t>CAW</t>
  </si>
  <si>
    <t>SAHJA COMERCIO</t>
  </si>
  <si>
    <t>TECIDOS CAMARA DE APERIBE LTDA</t>
  </si>
  <si>
    <t>NFG</t>
  </si>
  <si>
    <t>LUPO FRIBURGO</t>
  </si>
  <si>
    <t>M DE O TURCI INTIMAS ME</t>
  </si>
  <si>
    <t>VIX</t>
  </si>
  <si>
    <t>16+ dias</t>
  </si>
  <si>
    <t>SCALA</t>
  </si>
  <si>
    <t>FLOR DO CANTO</t>
  </si>
  <si>
    <t>FLOR DO CAMPO LTDA</t>
  </si>
  <si>
    <t>BRUNA APARECIDA DE BRITO ROMAO</t>
  </si>
  <si>
    <t>V2C</t>
  </si>
  <si>
    <t>NAUTICA BEACH WEAR COM LTDA</t>
  </si>
  <si>
    <t>CXO</t>
  </si>
  <si>
    <t>I.E Calcados E Acessorios Ltda</t>
  </si>
  <si>
    <t>A ECONOMIA</t>
  </si>
  <si>
    <t>COL</t>
  </si>
  <si>
    <t>MAYLADY</t>
  </si>
  <si>
    <t>COMERCIAL VEIGA</t>
  </si>
  <si>
    <t>JANALLIMA</t>
  </si>
  <si>
    <t>DIBRUM MODAS LTDA</t>
  </si>
  <si>
    <t>VIDIO CONFECCOES LTDA</t>
  </si>
  <si>
    <t>IBIRITE CALCADOS LTDA</t>
  </si>
  <si>
    <t>LOJAS FERNANDES LTDA</t>
  </si>
  <si>
    <t>MALU MAGAZINE COMERCIAL LTDA - ME</t>
  </si>
  <si>
    <t>BIA INTIMATES LTDA</t>
  </si>
  <si>
    <t>RONALDO AMARAL DE JESUS</t>
  </si>
  <si>
    <t>IPN</t>
  </si>
  <si>
    <t>LEONARDO ALVES REIS</t>
  </si>
  <si>
    <t>MARIA H. FERREIRA - ME</t>
  </si>
  <si>
    <t>GVR</t>
  </si>
  <si>
    <t>TOP LOJA</t>
  </si>
  <si>
    <t>CALCADOS PROCOPIO LTDA ME</t>
  </si>
  <si>
    <t>DIQ</t>
  </si>
  <si>
    <t>MUNDO NOVO</t>
  </si>
  <si>
    <t>ALEXANDER COLI AZEVEDO COMERCIO DE ROUPA</t>
  </si>
  <si>
    <t>LUCIANA G FERREIRA CIA LTDA</t>
  </si>
  <si>
    <t>RSN</t>
  </si>
  <si>
    <t>META ESPORTE LTDA</t>
  </si>
  <si>
    <t>PARA MEIAS E CONFECCOES LTDA - EPP</t>
  </si>
  <si>
    <t>CASA J FLORENTINO NETO LTDA</t>
  </si>
  <si>
    <t>LUPO JARDIM NORTE</t>
  </si>
  <si>
    <t>LUCIANO BERNADINO TOLEDO</t>
  </si>
  <si>
    <t>1305829, 1305852,</t>
  </si>
  <si>
    <t>REIS E SANDIM CONFECÇOES E ACESS. LTDA</t>
  </si>
  <si>
    <t>ROSIANI DIAS DA SILVA 05702861663</t>
  </si>
  <si>
    <t>TECIDOS RENE LTDA ME</t>
  </si>
  <si>
    <t>FRANQUIA LUPO</t>
  </si>
  <si>
    <t>Breder Comercio LTDA ME</t>
  </si>
  <si>
    <t>REAL MODAS</t>
  </si>
  <si>
    <t>FRC</t>
  </si>
  <si>
    <t>CASA MAFRA LTDA</t>
  </si>
  <si>
    <t>COMERCIAL FATUME LTDA</t>
  </si>
  <si>
    <t>CASA ALTO ESTILO CONFECCOES LTDA ME</t>
  </si>
  <si>
    <t>ISMAR GONCALVES TEIXEIRA</t>
  </si>
  <si>
    <t>TECIDOS MUNIR BACHA</t>
  </si>
  <si>
    <t>JO MODAS.COM LTDA</t>
  </si>
  <si>
    <t>NZA</t>
  </si>
  <si>
    <t>RAIMUNDO DE PAULA OLIVEIRA - ME</t>
  </si>
  <si>
    <t>CRISTIANE DE CASSIA PEREIRA</t>
  </si>
  <si>
    <t>UBA</t>
  </si>
  <si>
    <t>ELAINE NATALICE LINGERIE</t>
  </si>
  <si>
    <t>CLEDILENE APARECIDA NUNES</t>
  </si>
  <si>
    <t>UDI</t>
  </si>
  <si>
    <t>LUCIANO C. S. FERNANDES - ME</t>
  </si>
  <si>
    <t>PALOMA APARECIDA DE OLIVEIRA MORENO LONG</t>
  </si>
  <si>
    <t>LOJAS EDUARDO - SILVA E XAVIER</t>
  </si>
  <si>
    <t>SUELI APARECIDA BORGES DE SOUZA MIRANDA</t>
  </si>
  <si>
    <t>LOJA TROPICAL</t>
  </si>
  <si>
    <t>VIP COMERCIAL LTDA</t>
  </si>
  <si>
    <t>POJ</t>
  </si>
  <si>
    <t>HMM MODAS LTDA</t>
  </si>
  <si>
    <t>TROPICALIA MODAS LTDA - ME</t>
  </si>
  <si>
    <t>ITB</t>
  </si>
  <si>
    <t>48.901.988 JOSIVAN ALVES DA SILVA</t>
  </si>
  <si>
    <t>REFINATA MEIAS COMERCIO LTDA</t>
  </si>
  <si>
    <t>SSA</t>
  </si>
  <si>
    <t>MASTER MAGAZINE</t>
  </si>
  <si>
    <t>ABS</t>
  </si>
  <si>
    <t>2673A</t>
  </si>
  <si>
    <t>MANIA MANOEL LTDA EPP</t>
  </si>
  <si>
    <t>LADU MODA INFANTIL LTDA(2067)</t>
  </si>
  <si>
    <t>LUPO - SHOPPING DA BAHIA</t>
  </si>
  <si>
    <t>LEONICE DE SOUZA CALDEIRA-ME(0001017497)</t>
  </si>
  <si>
    <t>SUPER MODA</t>
  </si>
  <si>
    <t>MAGAZINE DOS KITS</t>
  </si>
  <si>
    <t>CASA DOS ENXOVAIS</t>
  </si>
  <si>
    <t>VDC</t>
  </si>
  <si>
    <t>GILMAR SOUSA DE OLIVEIRA 69242321591</t>
  </si>
  <si>
    <t>FENTANES REPRESENTACAO COMERCIAL LTDA</t>
  </si>
  <si>
    <t>PE DE MEIA COM DE ROUPAS LTDA</t>
  </si>
  <si>
    <t>2ª PELE</t>
  </si>
  <si>
    <t>LOANO CALZINI LTDA</t>
  </si>
  <si>
    <t>OPCAO MODAS</t>
  </si>
  <si>
    <t>MARIA ECI LEMOS 76166252404</t>
  </si>
  <si>
    <t>MARIA APARECIDA CARDOSO DA SILVA(0001029</t>
  </si>
  <si>
    <t>PNZ</t>
  </si>
  <si>
    <t>O BARATEIRO JZR</t>
  </si>
  <si>
    <t>JZB</t>
  </si>
  <si>
    <t>62.188.825 GEISILENE DE ARAUJO FERR</t>
  </si>
  <si>
    <t>AJU</t>
  </si>
  <si>
    <t>BASICO CHIC</t>
  </si>
  <si>
    <t>1305235, 1305463,</t>
  </si>
  <si>
    <t>SUPERMODA</t>
  </si>
  <si>
    <t>CRIANCA E CIA</t>
  </si>
  <si>
    <t>ARP COMERCIO DE CONFECCOES LTDA -</t>
  </si>
  <si>
    <t>AUGEZ</t>
  </si>
  <si>
    <t>F J DE ALMEIDA NETO EPP</t>
  </si>
  <si>
    <t>COMERCIO CONFECCOES OLIVEIRA LTDA</t>
  </si>
  <si>
    <t>SUPERMODA GLORIA</t>
  </si>
  <si>
    <t>LUPO RECIFE</t>
  </si>
  <si>
    <t>BTB</t>
  </si>
  <si>
    <t>R.A. SHOES CALCADOS - EIRELI - ME</t>
  </si>
  <si>
    <t>JAN MODA</t>
  </si>
  <si>
    <t>MARIA DAS NEVES SILVA ARAEJO(0001020285)</t>
  </si>
  <si>
    <t>QGP</t>
  </si>
  <si>
    <t>MARIA SOCORRO PEREIRA DE MELO(0001014260</t>
  </si>
  <si>
    <t>LEONARDO ANDRADE SILVA CALCADOS(00010126</t>
  </si>
  <si>
    <t>J V BERNARDINO MUNIZ ME</t>
  </si>
  <si>
    <t>O BARATEIRO</t>
  </si>
  <si>
    <t>LUPO LJ 2 ESPORTE</t>
  </si>
  <si>
    <t>DIOGO ALMEIDA DA CRUZ LTDA</t>
  </si>
  <si>
    <t>SGR</t>
  </si>
  <si>
    <t>COMERCIAL OESTE LTDA</t>
  </si>
  <si>
    <t>LUPO ( MACEIO SHOPPING )</t>
  </si>
  <si>
    <t>VIA SOL</t>
  </si>
  <si>
    <t>EDJANE M DA SILVA - ME</t>
  </si>
  <si>
    <t>CPV</t>
  </si>
  <si>
    <t>LINDOMAR SOARES PEREIRA</t>
  </si>
  <si>
    <t>CJZ</t>
  </si>
  <si>
    <t>MARIA APARECIDA FORMIGA DE SOUZA(0001008</t>
  </si>
  <si>
    <t>Maria Aparecida Dantas Diniz</t>
  </si>
  <si>
    <t>CASA GONCALVES</t>
  </si>
  <si>
    <t>NAT</t>
  </si>
  <si>
    <t>MARIA ERIVONETE DE SOUZA ME</t>
  </si>
  <si>
    <t>FRANCIANNY KARLA SENA PEREIRA ME</t>
  </si>
  <si>
    <t>DOCE MEL BOUTIQUE</t>
  </si>
  <si>
    <t>CARNEIROS ESPORTIVOS</t>
  </si>
  <si>
    <t>FRANCISCO TADEU DANTAS JUNIOR</t>
  </si>
  <si>
    <t>MVF</t>
  </si>
  <si>
    <t>M DAS D ROSADO NETA</t>
  </si>
  <si>
    <t>ERRO</t>
  </si>
  <si>
    <t>LUPO - SHOPPING IGUATEMI FORTALEZA</t>
  </si>
  <si>
    <t>1304795, 1305583,</t>
  </si>
  <si>
    <t>VIANNA REPRESENTACOES COMERCIAIS E CONSU</t>
  </si>
  <si>
    <t>AMN COMERCIO DE VESTUARIO LTDA</t>
  </si>
  <si>
    <t>ALBA CALZINI LTDA</t>
  </si>
  <si>
    <t>1304860, 1305403, 1305664,</t>
  </si>
  <si>
    <t>1305396, 1305608,</t>
  </si>
  <si>
    <t>MH Gadelha Comercio de Vestuario LTDA EP</t>
  </si>
  <si>
    <t>SBR</t>
  </si>
  <si>
    <t>CRISTIANE OLIVEIRA PAIVA(0001006415)</t>
  </si>
  <si>
    <t>FRANCISCO VINICIUS FERNANDES CHAVES</t>
  </si>
  <si>
    <t>MEIRIANE MARCIA MUNIZ</t>
  </si>
  <si>
    <t>ROBSON FERREIRA PINTO(0001015086)</t>
  </si>
  <si>
    <t>JEN CALCADOS</t>
  </si>
  <si>
    <t>BELLA INTIMATES LTDA ME</t>
  </si>
  <si>
    <t>ANA ELCA CAVALCANTE LIMA DA SILVA</t>
  </si>
  <si>
    <t>THE</t>
  </si>
  <si>
    <t>CPC VESTUARIO LTDA</t>
  </si>
  <si>
    <t>SCALA - SHOPPING RIVERSIDE - THE</t>
  </si>
  <si>
    <t>1304365, 1304590,</t>
  </si>
  <si>
    <t>MERCATTO SCALA- THE</t>
  </si>
  <si>
    <t>1304541, 1304542,</t>
  </si>
  <si>
    <t>A. L SOARES DA SILVA</t>
  </si>
  <si>
    <t>APORTINATE BOTIQUE</t>
  </si>
  <si>
    <t>FLB</t>
  </si>
  <si>
    <t>0102f</t>
  </si>
  <si>
    <t>M. J. FEITOSA DE MOURA NE</t>
  </si>
  <si>
    <t>SLZ</t>
  </si>
  <si>
    <t>G S MONTENEGRO</t>
  </si>
  <si>
    <t>T H SOARES COMERCIO LTDA</t>
  </si>
  <si>
    <t>SIN</t>
  </si>
  <si>
    <t>MIRANDA CALCADOS LTDA</t>
  </si>
  <si>
    <t>IMP</t>
  </si>
  <si>
    <t>BALSAS CENTER MODAS LTDA</t>
  </si>
  <si>
    <t>E DE SOUSA GALVAO ME</t>
  </si>
  <si>
    <t>1305713, 1305927,</t>
  </si>
  <si>
    <t>BEL</t>
  </si>
  <si>
    <t>LUPO-BOULEVARD</t>
  </si>
  <si>
    <t>GISELE MARTINS RIBEIRO PLANZO</t>
  </si>
  <si>
    <t>BELEM MEIAS CONFECCOES LTDA</t>
  </si>
  <si>
    <t>1305173, 1305552,</t>
  </si>
  <si>
    <t>PARA MEIAS CONFECCOES LTDA</t>
  </si>
  <si>
    <t>CAPRI SHOES CALCADOS - EIRELI</t>
  </si>
  <si>
    <t>MODA KENT FLORATA ,</t>
  </si>
  <si>
    <t>MT1</t>
  </si>
  <si>
    <t>MARLI BIRK</t>
  </si>
  <si>
    <t>ADRIANA G ALCANTRA -ME - 31901</t>
  </si>
  <si>
    <t>W J D SLVEIRA LTDA</t>
  </si>
  <si>
    <t>TEREZA RODRIGUES OLIVEIRA</t>
  </si>
  <si>
    <t>ASCENIO GUSTAVO PINTO DA SILVEIRA(000102</t>
  </si>
  <si>
    <t>DORA BABY E KIDS LTDA-ME(0001042323)</t>
  </si>
  <si>
    <t>BVB</t>
  </si>
  <si>
    <t>ROSIVALDO A. DE AGUIAR</t>
  </si>
  <si>
    <t>F G V Bezerra Cia Ltda - ME</t>
  </si>
  <si>
    <t>BSB</t>
  </si>
  <si>
    <t>LUPO CONJUNTO</t>
  </si>
  <si>
    <t>MARIA MANIA E CIA</t>
  </si>
  <si>
    <t>MARIA JOSE DE JESUS BARCELOS</t>
  </si>
  <si>
    <t>LUPO - AGUAS CLARAS COPAIBA</t>
  </si>
  <si>
    <t>LUPO JK</t>
  </si>
  <si>
    <t>BB2</t>
  </si>
  <si>
    <t>MANIA CALCADOS LTDA</t>
  </si>
  <si>
    <t>PASSITA CALCADOS LTDA</t>
  </si>
  <si>
    <t>ICON COMERCIO DO VESTUARIO LTDA</t>
  </si>
  <si>
    <t>IGO</t>
  </si>
  <si>
    <t>VITALY</t>
  </si>
  <si>
    <t>GYN</t>
  </si>
  <si>
    <t>ROGERIO CUECAS E MEIAS</t>
  </si>
  <si>
    <t>INTIMA MEIAS LTDA</t>
  </si>
  <si>
    <t>TECIDOS UNIVERSO LTDA - EPP</t>
  </si>
  <si>
    <t>1305433, 1305474, 1305497,</t>
  </si>
  <si>
    <t>O. S. B. PASSOS EIRELI - ME</t>
  </si>
  <si>
    <t>LUPO FLAMBOYANT</t>
  </si>
  <si>
    <t>ITG</t>
  </si>
  <si>
    <t>MARANATA ITUMBIARA</t>
  </si>
  <si>
    <t>ATUAL TECIDOS LTDA</t>
  </si>
  <si>
    <t>Avila E Silva Ltda</t>
  </si>
  <si>
    <t>Eduardo Avila da Silva Carvalho</t>
  </si>
  <si>
    <t>HIPER LOCAL MODAS DE MORRINHOS LTDA - EP</t>
  </si>
  <si>
    <t>RVD</t>
  </si>
  <si>
    <t>ESPAÇO MODAS</t>
  </si>
  <si>
    <t>PGT</t>
  </si>
  <si>
    <t>DESTAK URUACU COMERCIO DE CALCADOS LTDA</t>
  </si>
  <si>
    <t>DESTAK MODAS - CAMPINORTE</t>
  </si>
  <si>
    <t>CASA DE TECIDOS ECONOMICA LTDA(000101775</t>
  </si>
  <si>
    <t>JPR</t>
  </si>
  <si>
    <t>LOJA VARUNA</t>
  </si>
  <si>
    <t>H. S. CALCADOS E CONFECCOES LTDA</t>
  </si>
  <si>
    <t>KATAMA DISTRIBUIDORA</t>
  </si>
  <si>
    <t>PBO</t>
  </si>
  <si>
    <t>LOJAS DANIELA</t>
  </si>
  <si>
    <t>SPORT TOTAL LTDA ME</t>
  </si>
  <si>
    <t>PMW</t>
  </si>
  <si>
    <t>ALIANÇA MAGAZINE</t>
  </si>
  <si>
    <t>B. BATISTA DA SILVA(0001007119)</t>
  </si>
  <si>
    <t>PARAISO ACESSORIOS E COMPLEMENTO LT</t>
  </si>
  <si>
    <t>AUX</t>
  </si>
  <si>
    <t>HELLEN CONFECCOES</t>
  </si>
  <si>
    <t>CGB</t>
  </si>
  <si>
    <t>LUPO - PANTANAL SHOPPING</t>
  </si>
  <si>
    <t>TC COMERCIO VAREJISTA EIRELI</t>
  </si>
  <si>
    <t>MT2</t>
  </si>
  <si>
    <t>L1 COMERCIO DE ROUPAS LTDA</t>
  </si>
  <si>
    <t>MULTIMARCAS</t>
  </si>
  <si>
    <t>J E KARPINSKI &amp; CIA LTDA</t>
  </si>
  <si>
    <t>MSS</t>
  </si>
  <si>
    <t>22.972.416 PATRICIA PATUSSI NASCIMENTO P</t>
  </si>
  <si>
    <t>VITORIA FASHION MODAS EIRELI - 19426</t>
  </si>
  <si>
    <t>LOJA LUPO</t>
  </si>
  <si>
    <t>IVONICE DE ARAUJO FARIAS</t>
  </si>
  <si>
    <t>MODELA MODA INTIMA LTDA - ME</t>
  </si>
  <si>
    <t>TRIPILIKA CALCADOS LTDA</t>
  </si>
  <si>
    <t>WOMAN COMERCIO DE CONFECCOES LTDA.</t>
  </si>
  <si>
    <t>SIMO LTDA</t>
  </si>
  <si>
    <t>A PAGAN &amp; CIA LTDA ME</t>
  </si>
  <si>
    <t>ROSA APARECIDA TIMOTEO LOJA DE CONF</t>
  </si>
  <si>
    <t>KARIN FAMILY</t>
  </si>
  <si>
    <t>E. DEPOLE - INTIMATES</t>
  </si>
  <si>
    <t>1305220, 1305400,</t>
  </si>
  <si>
    <t>MARIA BERNADETE CARDOSO CONFECCOES - EIR</t>
  </si>
  <si>
    <t>Tingui Confeccoes Ltda</t>
  </si>
  <si>
    <t>BUBULUGUI MODAS</t>
  </si>
  <si>
    <t>1305567, 1305943,</t>
  </si>
  <si>
    <t>PONTO MIX OUTLET LTDA</t>
  </si>
  <si>
    <t>VALDETE BARBARA WOSCH DA SILVA -ME</t>
  </si>
  <si>
    <t>PGZ</t>
  </si>
  <si>
    <t>LOJA ROSANA</t>
  </si>
  <si>
    <t>KARIME &amp; CIA</t>
  </si>
  <si>
    <t>Rebeca De Moura E Costa</t>
  </si>
  <si>
    <t>IRRI TRENTO &amp; CIA LTDA</t>
  </si>
  <si>
    <t>PTO</t>
  </si>
  <si>
    <t>ZARDO FILHOS &amp; CIA LTDA</t>
  </si>
  <si>
    <t>CAC</t>
  </si>
  <si>
    <t>ROSANGELA REWAY LEAL - ME</t>
  </si>
  <si>
    <t>M L PALUDO &amp; CIA LTDA</t>
  </si>
  <si>
    <t>TECIDOS E REPRESENTACOES SANTA HELENA LT</t>
  </si>
  <si>
    <t>LASTE E JESUS LTDA</t>
  </si>
  <si>
    <t>ITAQUA MEIAS ARTIGOS DE VESTUARIO LTDA -</t>
  </si>
  <si>
    <t>CASA BRASIL</t>
  </si>
  <si>
    <t>LDB</t>
  </si>
  <si>
    <t>Londrina Underwear Com. de Confec. Ltda</t>
  </si>
  <si>
    <t>JA JE GI CONFECCOES LTDA ME</t>
  </si>
  <si>
    <t>SONIA A DOS SANTOS DELCI ME</t>
  </si>
  <si>
    <t>CINQ CONFECCOES LTDA</t>
  </si>
  <si>
    <t>CALÇADOS ARACALCE APUCARANA LTDA</t>
  </si>
  <si>
    <t>MGF</t>
  </si>
  <si>
    <t>EDNA F FRIZON E CIA LTDA ME</t>
  </si>
  <si>
    <t>LOJAS KIBARATO</t>
  </si>
  <si>
    <t>LUPO AVENIDA CENTER</t>
  </si>
  <si>
    <t>UMU</t>
  </si>
  <si>
    <t>59.383.049 Ana Clara Souza Moreira</t>
  </si>
  <si>
    <t>PRV COMERCIO DE ROUPAS</t>
  </si>
  <si>
    <t>1305331, 1305411,</t>
  </si>
  <si>
    <t>FLN</t>
  </si>
  <si>
    <t>CHINA BRASIL EIRELI</t>
  </si>
  <si>
    <t>RDS</t>
  </si>
  <si>
    <t>KOECH VANDERLINDE COM E CONF LTDA</t>
  </si>
  <si>
    <t>CCM</t>
  </si>
  <si>
    <t>CONFECCOES EBENESER LTDA ME</t>
  </si>
  <si>
    <t>BNU</t>
  </si>
  <si>
    <t>LOJA ISAMAR</t>
  </si>
  <si>
    <t>ATACADO NILO GOEDERT LTDA</t>
  </si>
  <si>
    <t>MAJARE COM DE COSMETICOS E PERFUMARIA</t>
  </si>
  <si>
    <t>SOUZA MAGAZINE LTDA EPP</t>
  </si>
  <si>
    <t>QJA</t>
  </si>
  <si>
    <t>BARATOTAL</t>
  </si>
  <si>
    <t>51.866.164 ALINE ESTEFANINA IGNASZE</t>
  </si>
  <si>
    <t>SJA</t>
  </si>
  <si>
    <t>GUILHERME DA ROSA KEMER</t>
  </si>
  <si>
    <t>XAP</t>
  </si>
  <si>
    <t>FLS COMERCIO DE ARTIGOS DO VESTUARIO LTD</t>
  </si>
  <si>
    <t>LUPO BARRA SHOPPING</t>
  </si>
  <si>
    <t>VELLYKKET COMERCIO DE VESTUARIO</t>
  </si>
  <si>
    <t>CASA DE MEIA LTDA-EPP</t>
  </si>
  <si>
    <t>1305718, 1305942,</t>
  </si>
  <si>
    <t>L Sport Poa Comercio Do Vestuario LTDA E</t>
  </si>
  <si>
    <t>RIO FASHION</t>
  </si>
  <si>
    <t>HF CALCADOS E ACESSORIOS LTDA</t>
  </si>
  <si>
    <t>SELAVY</t>
  </si>
  <si>
    <t>67.958.948 ELIANA MORGADO</t>
  </si>
  <si>
    <t>LUPO CACHOEIRINHA</t>
  </si>
  <si>
    <t>Eduardo Keller De Oliveira Colchoes</t>
  </si>
  <si>
    <t>JUSTINA INES MORO SCHMITZ</t>
  </si>
  <si>
    <t>SOS</t>
  </si>
  <si>
    <t>JANETE TEREZINHA DA SILVA</t>
  </si>
  <si>
    <t>PET</t>
  </si>
  <si>
    <t>DLUA STORE</t>
  </si>
  <si>
    <t>RIA</t>
  </si>
  <si>
    <t>PARCERIA</t>
  </si>
  <si>
    <t>CASA CRUZEIRO</t>
  </si>
  <si>
    <t>CSU</t>
  </si>
  <si>
    <t>ODIMAC COM. DE ART. DO LAR LTDA</t>
  </si>
  <si>
    <t>LOJA FLOR DE LIS LTDA</t>
  </si>
  <si>
    <t>CASA DO MILITAR</t>
  </si>
  <si>
    <t>CAMPO DAS MEIAS LTDA EPP</t>
  </si>
  <si>
    <t>GOLDEN MEIAS LTDA</t>
  </si>
  <si>
    <t>MARISOL LACERDA FAGUNDES</t>
  </si>
  <si>
    <t>ANDREIA GABRIEL DA CRUZ</t>
  </si>
  <si>
    <t>MAIS MEIAS EIRELI - EPP</t>
  </si>
  <si>
    <t>URG</t>
  </si>
  <si>
    <t>VANIA MARIA F. SOARES</t>
  </si>
  <si>
    <t>GEL</t>
  </si>
  <si>
    <t>MARCIANE MACIEL DE BRUM 00695657089</t>
  </si>
  <si>
    <t>FABIULA APARECIDA PITHAN DE AB</t>
  </si>
  <si>
    <t>PFB</t>
  </si>
  <si>
    <t>CORPO E ARTE</t>
  </si>
  <si>
    <t>GARDEN LINGERIE</t>
  </si>
  <si>
    <t>BRUNA WESCHENFELDER</t>
  </si>
  <si>
    <t>SAELI CALÇADOS</t>
  </si>
  <si>
    <t>JHJ CALCADOS LDTA</t>
  </si>
  <si>
    <t>PRACA DAS MEIAS LTDA - EPP</t>
  </si>
  <si>
    <t>BENEDUZI &amp; CIA LTDA</t>
  </si>
  <si>
    <t>64.419.539 MAURICIO DOS SANTOS CASAGRAND</t>
  </si>
  <si>
    <t>SUPERMERCADO BERTUOL</t>
  </si>
  <si>
    <t>SUPERMERCADO DANIELI LTDA</t>
  </si>
  <si>
    <t>SSZ</t>
  </si>
  <si>
    <t>LUIZ GONZAGA DE ARAUJO VESTUARIO ME</t>
  </si>
  <si>
    <t>UBT</t>
  </si>
  <si>
    <t>PRUPE CALCADOS LTDA</t>
  </si>
  <si>
    <t>MINA LINGEIRIE</t>
  </si>
  <si>
    <t>H3A DOM PEDRO COMERCIO DE LINGERIE- ME</t>
  </si>
  <si>
    <t>1305896, 1306045,</t>
  </si>
  <si>
    <t>KLF Comercio de Meias e LingeriesLTDA EP</t>
  </si>
  <si>
    <t>Barbara CayresME</t>
  </si>
  <si>
    <t>A. B. CIPRIANI COMERCIO DE ROUPAS L</t>
  </si>
  <si>
    <t>JULIA DALCIN PETROVIC CORREA</t>
  </si>
  <si>
    <t>1306023, 1306095,</t>
  </si>
  <si>
    <t>GENY S S MONTE BELLO E FILHOS LTDA EPP -</t>
  </si>
  <si>
    <t>PAP COMERCIO DE ROUPAS LTDA</t>
  </si>
  <si>
    <t>GERALDINI GERALDINI E CIA LTDA</t>
  </si>
  <si>
    <t>IRMAS AMARAL COMERCIO DE ROUPAS E ACESSO</t>
  </si>
  <si>
    <t>Angelica Cristina Penna de Souza 3837841</t>
  </si>
  <si>
    <t>WANDERLEY DA SILVA SANTOS</t>
  </si>
  <si>
    <t>ARLETE APARECIDA DE OLIVEIRA LUIZ ME</t>
  </si>
  <si>
    <t>RFH LEONELO LTDA</t>
  </si>
  <si>
    <t>CARLOTA</t>
  </si>
  <si>
    <t>NORMA LUCIA DA CUNHA RIOS EDUARDO</t>
  </si>
  <si>
    <t>BAZAR BEIJA FLOR</t>
  </si>
  <si>
    <t>OBA OBA</t>
  </si>
  <si>
    <t>49.415.400 HELENA MARIA SILVA</t>
  </si>
  <si>
    <t>JOSE GILMAR CERON</t>
  </si>
  <si>
    <t>OLGA BAZAN TAKUNAGA BAZAR ME</t>
  </si>
  <si>
    <t>LEDIANE MARISTELA SANTAREM DE ALMEIDA ME</t>
  </si>
  <si>
    <t>SENSUALLY MODA INTIMA</t>
  </si>
  <si>
    <t>CONFECCOES ANA GERIE MODA INTIMA LT</t>
  </si>
  <si>
    <t>CLAUDETE APARECIDA GAZZIRO MORAIS - ME</t>
  </si>
  <si>
    <t>DELICATA MODA INTIMA</t>
  </si>
  <si>
    <t>FERREIRA &amp; MENINI LTDA.</t>
  </si>
  <si>
    <t>N NAKANDAKARE E CIA LTDA</t>
  </si>
  <si>
    <t>EDVANIA REGINA BUZOLIN ANDRADE ME</t>
  </si>
  <si>
    <t>LAZARO BATISTA ANDRADE</t>
  </si>
  <si>
    <t>CINDERELA CALCADOS E CONF</t>
  </si>
  <si>
    <t>R V G LOPES</t>
  </si>
  <si>
    <t>JK2 COMÉRCIO DE MEIAS E ACESSÓRIOS LTDA</t>
  </si>
  <si>
    <t>SAPATARIA E CAMISARIA FEIRANTE LT</t>
  </si>
  <si>
    <t>CALCADOS VEGA LTDA.</t>
  </si>
  <si>
    <t>Jose Ricardo Ferreira do Nascimento94395</t>
  </si>
  <si>
    <t>64599 - LUCAS AZEREDO DE CARVALHO LTDA</t>
  </si>
  <si>
    <t>KATHLEEL BOUTIQUE</t>
  </si>
  <si>
    <t>ROSANGELA CORDEIRO DE BRITO 12167654723</t>
  </si>
  <si>
    <t>LA BELLE COMERCIO VAREJISTA DE LINGERIE</t>
  </si>
  <si>
    <t>CONFECCOES TUANNY LTDA ME</t>
  </si>
  <si>
    <t>CONFECCOES RIMAGE</t>
  </si>
  <si>
    <t>CENTRO LOJA SOBRAL</t>
  </si>
  <si>
    <t>1306111, 1306127,</t>
  </si>
  <si>
    <t>ARLETI DE FATIMA BISSOLI FAGUNDES ME MEE</t>
  </si>
  <si>
    <t>OSVALDO RESENDE OLIVEIRA ME</t>
  </si>
  <si>
    <t>RUANDA CALCADOS LTDA</t>
  </si>
  <si>
    <t>SPAÇO DOS PES</t>
  </si>
  <si>
    <t>DE LU LINGERIE LTDA</t>
  </si>
  <si>
    <t>50.160.074 ALINE APARECIDA DA SILVA</t>
  </si>
  <si>
    <t>MARIA DE LOURDES ALVES FONSECA</t>
  </si>
  <si>
    <t>CELMAR ASSIS DIAS</t>
  </si>
  <si>
    <t>ARMAGEDON</t>
  </si>
  <si>
    <t>LUCIANA LINGERIE</t>
  </si>
  <si>
    <t>A D DA SILVA</t>
  </si>
  <si>
    <t>LOJAS SOUSA E BERTOLIN LTDA - EPP</t>
  </si>
  <si>
    <t>BAZAR DO POVO</t>
  </si>
  <si>
    <t>CLEUZA MARIA FERREIRA TEIXEIRA</t>
  </si>
  <si>
    <t>VIA BRASIL LTDA ME</t>
  </si>
  <si>
    <t>NETO &amp; NETO LTDA</t>
  </si>
  <si>
    <t>ESPORTES E CALCADOS FRUTOLENSE LTDA</t>
  </si>
  <si>
    <t>SRC COMERCIO DE CALCADOS LTDA</t>
  </si>
  <si>
    <t>PIZANTTI CALCADOS</t>
  </si>
  <si>
    <t>BALADA BRASIL</t>
  </si>
  <si>
    <t>COMERCIAL ROBELMAR LTDA</t>
  </si>
  <si>
    <t>FML MAGAZINE EIRELE EPP</t>
  </si>
  <si>
    <t>Ney Coutinho Sbv Comercio De Artigo</t>
  </si>
  <si>
    <t>MASTER STOCK - SSA</t>
  </si>
  <si>
    <t>CASUAL</t>
  </si>
  <si>
    <t>TRANPOLIM - SHOPING DA BAHIA</t>
  </si>
  <si>
    <t>PLANETA CALCADOS</t>
  </si>
  <si>
    <t>SCALA COMERCIO DE ROUPAS E A. LTDA</t>
  </si>
  <si>
    <t>1305981, 1306054,</t>
  </si>
  <si>
    <t>JOILSON DA CONCEICAO MACEDO</t>
  </si>
  <si>
    <t>Alysson Fabio Carvalho Conceicao</t>
  </si>
  <si>
    <t>JOSE DA CONCEIÇÃO FERREIRA DA MATA</t>
  </si>
  <si>
    <t>I O CARNEIRO GUIMARAES</t>
  </si>
  <si>
    <t>DANILO TORRES BENICIO DOS SANTOS 0027227</t>
  </si>
  <si>
    <t>ALISSON MIRANDA D OLIVEIRA</t>
  </si>
  <si>
    <t>MAGAZINE ORION LTDA ME</t>
  </si>
  <si>
    <t>YASMIN BATISTA NUNES 85821549507</t>
  </si>
  <si>
    <t>BROO KLIN.S MAGAZINE LTDA</t>
  </si>
  <si>
    <t>NBR</t>
  </si>
  <si>
    <t>MARLUCE RAMOS DE LIMA GUIMARAES</t>
  </si>
  <si>
    <t>VITORIA MODAS E CONFECCOES LTDA</t>
  </si>
  <si>
    <t>ANALU INTIMATES LTDA ME</t>
  </si>
  <si>
    <t>ANDRE CORREIA DE OLIVEIRA</t>
  </si>
  <si>
    <t>MLL Comercio De Artigos Texteis LTDA ME</t>
  </si>
  <si>
    <t>C R Castello Branco Ribeiro Representaco</t>
  </si>
  <si>
    <t>Neige Comercio de Vestuario LtdaEPP</t>
  </si>
  <si>
    <t>R Q de Aguiar e Silva &amp; Cia Ltda-ME</t>
  </si>
  <si>
    <t>CASA SANTA TEREZINHA</t>
  </si>
  <si>
    <t>I.L CALCADOS</t>
  </si>
  <si>
    <t>CAU</t>
  </si>
  <si>
    <t>ANTONIO DE PADUA CAVALCANTE DE ARAUJO CI</t>
  </si>
  <si>
    <t>ANA CRISTINA GONCALVES DE MELO RAMALHO C</t>
  </si>
  <si>
    <t>MARIA JOSE ARAUJO SILVA(0001011716)</t>
  </si>
  <si>
    <t>ROSILENE M DA SILVA</t>
  </si>
  <si>
    <t>JOSIAS FERREIRA DA SILVA(0001031874)</t>
  </si>
  <si>
    <t>JOANA D ARC EVARISTO ALVES 03094689493</t>
  </si>
  <si>
    <t>JPA</t>
  </si>
  <si>
    <t>ORLANDO DAS MEIAS</t>
  </si>
  <si>
    <t>LOJAS COMPREVESTE(CG-02)</t>
  </si>
  <si>
    <t>ANA PAULA DA GANA SOUSA</t>
  </si>
  <si>
    <t>LUPO NATAL SHOPPING</t>
  </si>
  <si>
    <t>ROSANGELA RODRIGUES DE BRITO</t>
  </si>
  <si>
    <t>EMANUEL DE SOUSA GADELHA MICROEMPRESA</t>
  </si>
  <si>
    <t>ALFREDO A. NETO REPRESENTACOES LTDA</t>
  </si>
  <si>
    <t>ANTONIO BERNARDINO MOREIRA</t>
  </si>
  <si>
    <t>CASA DOS ESPORTES - CRATO</t>
  </si>
  <si>
    <t>Z M G DE ARAUJO</t>
  </si>
  <si>
    <t>N. LIMA CORDEIRO</t>
  </si>
  <si>
    <t>G. P. E. SOUSA LTDA - 33556</t>
  </si>
  <si>
    <t>PAULO HENRIQUE ROCHA ME Cod: 28097</t>
  </si>
  <si>
    <t>MAGAZINE JANNAYNA</t>
  </si>
  <si>
    <t>NSR Tositto Ltda - EPP</t>
  </si>
  <si>
    <t>VAREJO DOS ELETRONICOS LTDA</t>
  </si>
  <si>
    <t>IVANHO DA SILVA ME - 4381</t>
  </si>
  <si>
    <t>0101f</t>
  </si>
  <si>
    <t>M. DO CARMO MOREIRA RAMOS - ME</t>
  </si>
  <si>
    <t>ALMEIDA ARAUJO E CIA LTDA - ME</t>
  </si>
  <si>
    <t>VITORIA CALCADOS LTDA</t>
  </si>
  <si>
    <t>53 217 210 DEUSIRENE NONATA ROCHA</t>
  </si>
  <si>
    <t>LOJAO ITAPEVI COMERCIO DE CONFS LTDA</t>
  </si>
  <si>
    <t>V.R.DE OLIVEIRA-ME(0001036338)</t>
  </si>
  <si>
    <t>R NONATO DE OLIVEIRA ME</t>
  </si>
  <si>
    <t>ATALAIA CONFECCOES</t>
  </si>
  <si>
    <t>M. C. FEITOZA &amp; CIA LTDA - ME(0001059328</t>
  </si>
  <si>
    <t>BOLA DE OURO</t>
  </si>
  <si>
    <t>LOJAS MARISSOL ARTIGOS DO VESTUARIO EIRE</t>
  </si>
  <si>
    <t>LOJAS RAMAR</t>
  </si>
  <si>
    <t>H. B. PEREIRA &amp; CIA LTDA ME(0001005609)</t>
  </si>
  <si>
    <t>JACUNDA MAGAZINE SPORTS LTDA</t>
  </si>
  <si>
    <t>ADALGISA DE JESUS RIBEIRO ME</t>
  </si>
  <si>
    <t>J A COMERCIO VAREJISTA DE CONF LTDA</t>
  </si>
  <si>
    <t>R. A. Siqueira ME</t>
  </si>
  <si>
    <t>INACIO CALCADOS E CONFECCOES LTDA- EPP</t>
  </si>
  <si>
    <t>INACIO CALCADOS E CONFECCOES LTDA</t>
  </si>
  <si>
    <t>SCALA ROCHA</t>
  </si>
  <si>
    <t>E. DA SILVA TEIXEIRA VESTUARIOS - ME</t>
  </si>
  <si>
    <t>LUZIANE DA SILVA SATELIS 91761433172</t>
  </si>
  <si>
    <t>TATTU CALCADOS LTDA</t>
  </si>
  <si>
    <t>MANIA CALCADOS</t>
  </si>
  <si>
    <t>HUDSON RAUSY ALBUQUERQUE DA SILVA</t>
  </si>
  <si>
    <t>J.G MARQUES CALCADOS LTDA ME</t>
  </si>
  <si>
    <t>ESPACO CALCADOS LTDA</t>
  </si>
  <si>
    <t>MUNDIAL CONFECCOES POSSE LTDA ME</t>
  </si>
  <si>
    <t>MODELLE SE LINGERIES FUNCIONAIS LTDA</t>
  </si>
  <si>
    <t>GRANDE RIO COMERCIAL DE CONFECCOES</t>
  </si>
  <si>
    <t>ROSEMEIRE APARECIDA DE REZENDE(000100218</t>
  </si>
  <si>
    <t>STEFANI E SILVA LTDA</t>
  </si>
  <si>
    <t>ANA JULIA MODA INTIMA</t>
  </si>
  <si>
    <t>SONHO MEU</t>
  </si>
  <si>
    <t>WILLAGE SHOPPING RIO VERDE</t>
  </si>
  <si>
    <t>ELY CONFECCOES</t>
  </si>
  <si>
    <t>S M M MERA ME</t>
  </si>
  <si>
    <t>AMERICANA ARIQUEMES LTDA ME</t>
  </si>
  <si>
    <t>BRILHANTE E FERRAZ LTDA</t>
  </si>
  <si>
    <t>BEL CONFECCOES</t>
  </si>
  <si>
    <t>1306097, 1306198,</t>
  </si>
  <si>
    <t>GLOBO COMERCIO DE CONFECCOES LTDA</t>
  </si>
  <si>
    <t>RODRIGUES RODRIGUES E MARANHAO LTDA</t>
  </si>
  <si>
    <t>002307-SEBASTIANA DE ALMEIDA BORGES ME</t>
  </si>
  <si>
    <t>LU MODAS CONFECCOES LTDA ME - 3999</t>
  </si>
  <si>
    <t>JO FITNESS VESTUARIO LTDA</t>
  </si>
  <si>
    <t>FERNANDES ARTIGOS DO VESTUARIO LTDA</t>
  </si>
  <si>
    <t>JCM ARTIGOS DO VESTUARIO EIRELI ME</t>
  </si>
  <si>
    <t>MAX CALCADOS LTDA</t>
  </si>
  <si>
    <t>MT3</t>
  </si>
  <si>
    <t>GLAMOUR</t>
  </si>
  <si>
    <t>LOJAS CENTAURO</t>
  </si>
  <si>
    <t>IMPULSE MODA INTIMA E FITNESS LTDA</t>
  </si>
  <si>
    <t>GIOTI CALCADOS LTDA</t>
  </si>
  <si>
    <t>JOSE DESZAUNET FILHO CIA LTDA</t>
  </si>
  <si>
    <t>MEIMALHA</t>
  </si>
  <si>
    <t>ROCHAT COMERCIO VAREJISTA DE ROUPAS E AC</t>
  </si>
  <si>
    <t>E MODAS Ltda</t>
  </si>
  <si>
    <t>ZANITTA COMERCIO DE ROUPAS LTDA</t>
  </si>
  <si>
    <t>GUIGUITATA MODA INFANT E JUV LTDA ME</t>
  </si>
  <si>
    <t>MARINA</t>
  </si>
  <si>
    <t>LOJA REAL</t>
  </si>
  <si>
    <t>CHP</t>
  </si>
  <si>
    <t>A GOLDINI EIRELI LOJA 7</t>
  </si>
  <si>
    <t>PARISOTTO REPRESENTACOES LTDA</t>
  </si>
  <si>
    <t>EUGENIA L B SOCOLOVSKI</t>
  </si>
  <si>
    <t>IRMAOS PIETTA LTDA</t>
  </si>
  <si>
    <t>E G PIOVEZZAN LTDA</t>
  </si>
  <si>
    <t>CEZAR &amp; ROCKENBACH</t>
  </si>
  <si>
    <t>LANAMARI IND E COM CONFECCOES LTDA</t>
  </si>
  <si>
    <t>DALLE DALLE CONFECCOES</t>
  </si>
  <si>
    <t>MAR E ESTILO</t>
  </si>
  <si>
    <t>ZAGA COMERCIO DE ROUPAS</t>
  </si>
  <si>
    <t>ZUAZEN CONFECCOES</t>
  </si>
  <si>
    <t>ZUAZEN MODAS</t>
  </si>
  <si>
    <t>ENCANTOS MODA INTIMA LTDA</t>
  </si>
  <si>
    <t>CASAS AJITA</t>
  </si>
  <si>
    <t>MARCIA IZABEL MORA ME</t>
  </si>
  <si>
    <t>F.A. COLETA MARTINS BIKES ME</t>
  </si>
  <si>
    <t>PAPOULA</t>
  </si>
  <si>
    <t>K-PRICHO 2 LTDA</t>
  </si>
  <si>
    <t>MUNDIAL JACK REPRESENTACAO COMERCIA</t>
  </si>
  <si>
    <t>MAISA DE SOUZA</t>
  </si>
  <si>
    <t>ITJ</t>
  </si>
  <si>
    <t>THELAVI MODAS LTDA ME</t>
  </si>
  <si>
    <t>RS 10 CALCADOS EIRELI ME</t>
  </si>
  <si>
    <t>Unna Calcados</t>
  </si>
  <si>
    <t>J A CALCADOS E CONF E POUSADA LTDA ME</t>
  </si>
  <si>
    <t>SUPERMERCADO RICKEN</t>
  </si>
  <si>
    <t>IRACI DA ROCHA TORQUATO ME</t>
  </si>
  <si>
    <t>URBAN LOJA DA MODA LTDA</t>
  </si>
  <si>
    <t>MARCOS MODAS LTDA ME</t>
  </si>
  <si>
    <t>ESPAÇO FASHION</t>
  </si>
  <si>
    <t>1306151, 1306156,</t>
  </si>
  <si>
    <t>JANETE TEREZINHA BARP DEBORTOLLI</t>
  </si>
  <si>
    <t>JOSIANE MUNARETTO 03497477923</t>
  </si>
  <si>
    <t>MEL COM DE CALCADOS</t>
  </si>
  <si>
    <t>STÚDIO BÁSICO</t>
  </si>
  <si>
    <t>VALDIR LAZZARI E CIA LTDA</t>
  </si>
  <si>
    <t>LOJA BELA REAL LTDA - ME</t>
  </si>
  <si>
    <t>PAULO C L HAMMES ME</t>
  </si>
  <si>
    <t>CBL COM DE CALCADOS LTDA</t>
  </si>
  <si>
    <t>COML COLINA LTDA DIST E ATACAD LTDA</t>
  </si>
  <si>
    <t>MAGAZINE CARIOCA LTDA</t>
  </si>
  <si>
    <t>PELUIZ S CHIESA CIA LTDA</t>
  </si>
  <si>
    <t>FANCK CONFECCOES</t>
  </si>
  <si>
    <t>QLB</t>
  </si>
  <si>
    <t>LILI MIXBIJU COMERCIO DE PRESENTES LTDA</t>
  </si>
  <si>
    <t>LOVANI T MANICA E CIA LTDA</t>
  </si>
  <si>
    <t>LUCILA CELITA DRESCHER SCHUMAC</t>
  </si>
  <si>
    <t>MARILICA CONFECÇOES LTDA</t>
  </si>
  <si>
    <t>TOMI CONFECCOES MODA INTIMA</t>
  </si>
  <si>
    <t>TIAGO LUIZ NORONHA</t>
  </si>
  <si>
    <t>LUIS CARLOS SEIBEL</t>
  </si>
  <si>
    <t>OLYMPIKA ESPORTES E CONFECCOES</t>
  </si>
  <si>
    <t>MODA JOVEM</t>
  </si>
  <si>
    <t>FEIRA DE CALÇADOS</t>
  </si>
  <si>
    <t>50.002.793 THAISY DALILA FACCIO ECCO</t>
  </si>
  <si>
    <t>BALESTRERRI &amp; BALESTRERRI LTDA</t>
  </si>
  <si>
    <t>NELSON FRANCISCO RAMOS</t>
  </si>
  <si>
    <t>COMERCIO DE CONFECCOES KEKO S LTDA</t>
  </si>
  <si>
    <t>FOB</t>
  </si>
  <si>
    <t>JANINE CAMPOS RODRIGUES 06090904538</t>
  </si>
  <si>
    <t>LA MODA</t>
  </si>
  <si>
    <t>PRISCILLA SANTOS GUIMARAES</t>
  </si>
  <si>
    <t>WP AUTOPARTS</t>
  </si>
  <si>
    <t>FARMACIA LUZ DE EUNAPOLIS</t>
  </si>
  <si>
    <t>COLCCI</t>
  </si>
  <si>
    <t>Valquiria D El Rey Vieira</t>
  </si>
  <si>
    <t>CIDADE MARAVILHOSA INDUSTRIA E COMERCIO</t>
  </si>
  <si>
    <t>316, 317,</t>
  </si>
  <si>
    <t>ADIB KHALED BAKOUNI</t>
  </si>
  <si>
    <t>GUARA COMERCIO DE MEIAS E CONFECCOES LTD</t>
  </si>
  <si>
    <t>MELICA AVIAMENTOS</t>
  </si>
  <si>
    <t>TOQUE FINAL</t>
  </si>
  <si>
    <t>COOPERATIVA CONSUMO INUBIA PTA</t>
  </si>
  <si>
    <t>CALENDULA IND E COM LTDA</t>
  </si>
  <si>
    <t>ALVORADA DAS RENDAS LTDA</t>
  </si>
  <si>
    <t>DROGARIA ARAUJO S A</t>
  </si>
  <si>
    <t>1305278, 1305819,</t>
  </si>
  <si>
    <t>O PRECINHO - CAMPOS GERAIS</t>
  </si>
  <si>
    <t>O PRECINHO - BOTELHOS</t>
  </si>
  <si>
    <t>O PRECINHO - CABO VERDE</t>
  </si>
  <si>
    <t>FARDA FACIL</t>
  </si>
  <si>
    <t>JULIANA G DA SILVA EIRELI - ME</t>
  </si>
  <si>
    <t>EDVANIA BEZERRA DAMASCENO ME(0001007335)</t>
  </si>
  <si>
    <t>ALVES ARAGAO &amp; CIA LTDA</t>
  </si>
  <si>
    <t>ELISETE MADEIRA CARVALHO</t>
  </si>
  <si>
    <t>53.812.775 MARIA N. M. R. DE OLIVEI</t>
  </si>
  <si>
    <t>DASJU COMERCIO CALCADOS LTDA</t>
  </si>
  <si>
    <t>JOSIMAR RIBEIRO DE ALMEIDA ME</t>
  </si>
  <si>
    <t>POSSE CALCADOS E CONFECCOES LTDA - EPP(0</t>
  </si>
  <si>
    <t>DGF COMERCIO DE VESTUARIO LTDA</t>
  </si>
  <si>
    <t>WANDERLEIA ALVES ROSA GONCALVES</t>
  </si>
  <si>
    <t>PIAN MEIAS LTDA - EPP</t>
  </si>
  <si>
    <t>ASSOCIACAO CATOLICA RAINHA DAS VIRGENS</t>
  </si>
  <si>
    <t>BESERRA E CIA LTDA</t>
  </si>
  <si>
    <t>MILLENA ROUPAS E ACESSORIOS - EIRELI</t>
  </si>
  <si>
    <t>LEONILDA RODRIGUES DA SILVA DE OLIVEIRA</t>
  </si>
  <si>
    <t>TEODORO DE CARVALHO &amp; CIA LTDA</t>
  </si>
  <si>
    <t>DADI MORAES</t>
  </si>
  <si>
    <t>IGZ</t>
  </si>
  <si>
    <t>Long Comercio de Calcados Ltda</t>
  </si>
  <si>
    <t>J. A DRESS WELL</t>
  </si>
  <si>
    <t>MARION BAZAR LTDA ME</t>
  </si>
  <si>
    <t>A BARATEIRA FASHION</t>
  </si>
  <si>
    <t>CONFECCOES IRMAOS PERIN LTDA</t>
  </si>
  <si>
    <t>CLAUDIA LUIZA BOCH DA SILVA</t>
  </si>
  <si>
    <t>MACAPE CALCADOS LTDA - ME</t>
  </si>
  <si>
    <t>NESTOR A.HENKES &amp; CIA.LTDA</t>
  </si>
  <si>
    <t>ESSENCIALE VEST LTDA</t>
  </si>
  <si>
    <t>DO PÉ CONFECÇÕES</t>
  </si>
  <si>
    <t>Cond Pagto</t>
  </si>
  <si>
    <t>-</t>
  </si>
  <si>
    <t>VCI VANGUARD CONFECCOES IMPORTADAS</t>
  </si>
  <si>
    <t>ARAMIS</t>
  </si>
  <si>
    <t>DISCOM</t>
  </si>
  <si>
    <t>MODENA &amp;amp SILVA LTDA ME</t>
  </si>
  <si>
    <t>ECONOMIZAR COMERCIO DE PRODUTOS FARMACEU</t>
  </si>
  <si>
    <t>CHEIRO CHEIROSA</t>
  </si>
  <si>
    <t>DAG</t>
  </si>
  <si>
    <t>R GESSER ME</t>
  </si>
  <si>
    <t>MIX VARIEDADES E COSMETICOS LTDA</t>
  </si>
  <si>
    <t>REDE DE FARMACIAS ECONOMIZAR</t>
  </si>
  <si>
    <t>ATACADAO DAS UTILIDADES E EMBALAGENS LTD</t>
  </si>
  <si>
    <t>ECONOMIZAR C DE P FARMACEITICOS LTDA ME</t>
  </si>
  <si>
    <t>REDE DE COSMETICOS LTDA</t>
  </si>
  <si>
    <t>ECONOMIZAR C DE P FARMACEUTICOS LTDA ME</t>
  </si>
  <si>
    <t>MELO UTILIDADES EIRELI</t>
  </si>
  <si>
    <t>SL DROGARIA LTDA</t>
  </si>
  <si>
    <t>CHARMOSA COSMETICOS E VARIEDADES LTDA</t>
  </si>
  <si>
    <t>ABSOLUTA COSMÉTICOS E PERFUMES</t>
  </si>
  <si>
    <t>AF SOARES</t>
  </si>
  <si>
    <t>LUANA PERCILIA S. CAVALCANTE LTDA</t>
  </si>
  <si>
    <t>FARMACIA ECONOMIZAR</t>
  </si>
  <si>
    <t>ECONOMIZAR COM DE PROD FARM LTDA ME</t>
  </si>
  <si>
    <t>BECOREL</t>
  </si>
  <si>
    <t>CASA DA BELEZA</t>
  </si>
  <si>
    <t>ESMATES E ESMALTES COMERCIO DE PERFUMERI</t>
  </si>
  <si>
    <t>DOUGLAS MATHEUS MAIA</t>
  </si>
  <si>
    <t>LEONARDO MORAES</t>
  </si>
  <si>
    <t>MAYNARA PUGLISEL</t>
  </si>
  <si>
    <t>MARIANE VASCONCELOS SILVA</t>
  </si>
  <si>
    <t>BEATRIZ LIMA</t>
  </si>
  <si>
    <t>ARLETE ARAO</t>
  </si>
  <si>
    <t>RENATA NAEGELE</t>
  </si>
  <si>
    <t>FABY GONCALVES</t>
  </si>
  <si>
    <t>TATIANE FERREIRA DA SILVA</t>
  </si>
  <si>
    <t>TOP BIJU ACESSORIOS E PRESENTES LTDA</t>
  </si>
  <si>
    <t>FRANCIS BARBARA FERREIRA FREIRE</t>
  </si>
  <si>
    <t>KASSIMILA DOS SANTOS SILVA</t>
  </si>
  <si>
    <t>VITORIA RAYSSA COSTA OLIVEIRA</t>
  </si>
  <si>
    <t>YOLANDA SOUZA</t>
  </si>
  <si>
    <t>MARIA EDUARDA ALVES CLEMENTE</t>
  </si>
  <si>
    <t>BAHIAFLEX ETIQUETAS E ROTULOS</t>
  </si>
  <si>
    <t>IPANEMA IND. PROD. VETERINARIOS LTDA</t>
  </si>
  <si>
    <t>EMPORIO BIBOCA</t>
  </si>
  <si>
    <t>DATEN TECNOLOGIA</t>
  </si>
  <si>
    <t>EDSON PLINIO</t>
  </si>
  <si>
    <t>BUQ</t>
  </si>
  <si>
    <t>MCE MONTAGEM</t>
  </si>
  <si>
    <t>W SERVICOS E ASSIST TEC INFORM LTDA</t>
  </si>
  <si>
    <t>107242, 107275,</t>
  </si>
  <si>
    <t>COMPUAL INFORMATICA</t>
  </si>
  <si>
    <t>107225, 107253, 107260,</t>
  </si>
  <si>
    <t>FERNANDO JOSE FERNANDES FILHO 0066122988</t>
  </si>
  <si>
    <t>107254, 107258,</t>
  </si>
  <si>
    <t>MOISEIS DA FONSECA LOPES 03704723657</t>
  </si>
  <si>
    <t>107255, 107256, 107261,</t>
  </si>
  <si>
    <t>PRO 200 INFORMATICA LTDA</t>
  </si>
  <si>
    <t>KONTTATO INFORMATICA LTDA</t>
  </si>
  <si>
    <t>M.F. INFORMATICA</t>
  </si>
  <si>
    <t>LUCAS RAMOS SILVA DE OLIVEIRA</t>
  </si>
  <si>
    <t>SAGARA INFORMATICA LTDA</t>
  </si>
  <si>
    <t>LINK DO BRASIL PRODUTOS ELETRONICOS LTDA</t>
  </si>
  <si>
    <t>AMAZON SERVICOS DE VAREJO DO BRASIL LTDA</t>
  </si>
  <si>
    <t>PB FARMA LTDA</t>
  </si>
  <si>
    <t>COML BOM DIA LTDA</t>
  </si>
  <si>
    <t>EL BANAT &amp; FILHO LTDA.</t>
  </si>
  <si>
    <t>XAVIER CALÇADOS</t>
  </si>
  <si>
    <t>MALHA BOA CONFECCAO E COMERCIODE ROUPAS</t>
  </si>
  <si>
    <t>KAMBELL COM DE ROUPAS E CALC LTDA ME</t>
  </si>
  <si>
    <t>FRANCISCO JOSE CARVALHO DOS SANTOS 07841</t>
  </si>
  <si>
    <t>SAPATARIA SANTANA</t>
  </si>
  <si>
    <t>SINOTTI E CIA LTDA</t>
  </si>
  <si>
    <t>MARIA ANGELA PORTO JUNQUEIRA- JOAO PORTO</t>
  </si>
  <si>
    <t>GERALDO E DAL BELO LTDA -ME</t>
  </si>
  <si>
    <t>62.000.647 AMANDA DE OLIVEIRA BATISTA</t>
  </si>
  <si>
    <t>MARCIA EUGENIO ZAMBOINME</t>
  </si>
  <si>
    <t>QUEDA LIVRE CONFECCOES EIRELI EPP - 1281</t>
  </si>
  <si>
    <t>EDUMAIS</t>
  </si>
  <si>
    <t>F. C. V. CARRIJO</t>
  </si>
  <si>
    <t>RANGEL DIAS MOREIRA - 01103</t>
  </si>
  <si>
    <t>ELAINE AP ZUQUETTE BELLO E CIA LTDA ME</t>
  </si>
  <si>
    <t>KARIN RAJA KURY - ME</t>
  </si>
  <si>
    <t>ELENICE APARECIDA TESTA LEITE</t>
  </si>
  <si>
    <t>NETO CALÇADOS</t>
  </si>
  <si>
    <t>Casa Das Meias</t>
  </si>
  <si>
    <t>LIA MODAS</t>
  </si>
  <si>
    <t>MIGUEL MEIAS E CONFECCOES LTDA</t>
  </si>
  <si>
    <t>NOVA MANIA</t>
  </si>
  <si>
    <t>FNF COMERCIO DE CALCADOS EIRELI</t>
  </si>
  <si>
    <t>CKN VESTUARIOS EIRELI</t>
  </si>
  <si>
    <t>PRISCILA WARSZAWSKI FULCO36972275806</t>
  </si>
  <si>
    <t>PASSO A PASSO CALÇADOS BASTOS LTDA</t>
  </si>
  <si>
    <t>EDIVALDO MARCONDES E CIA LTDA</t>
  </si>
  <si>
    <t>COMERCIAL IKEDA LTDA</t>
  </si>
  <si>
    <t>Servino &amp; Vila Verde ArtigosDe Vestuario</t>
  </si>
  <si>
    <t>A.F.CORREA &amp; CIA.LTDA. ME</t>
  </si>
  <si>
    <t>FERNANDA MODAS</t>
  </si>
  <si>
    <t>SUELLEN CAROLINE DE MENDONCA ME</t>
  </si>
  <si>
    <t>CASA SAO LUIZ</t>
  </si>
  <si>
    <t>ADEMAR COZER ME</t>
  </si>
  <si>
    <t>C KIDS ARTIGOS INFANTIS LTDA ME</t>
  </si>
  <si>
    <t>BRASLINS CONFECÇÕES LTDA</t>
  </si>
  <si>
    <t>LINGERIE SANTANA LTDA EPP</t>
  </si>
  <si>
    <t>Camila Com de Roupas e Boutique Ltd</t>
  </si>
  <si>
    <t>LOJAS CITYCOL S/A</t>
  </si>
  <si>
    <t>DETALHE MASCULINO E FEMININO</t>
  </si>
  <si>
    <t>Amilton Jose Albino 32298330824</t>
  </si>
  <si>
    <t>PEROLA NEGRA</t>
  </si>
  <si>
    <t>MEA</t>
  </si>
  <si>
    <t>63.952.110 CELSO FELIX</t>
  </si>
  <si>
    <t>WM VIGUINI MODA INTIMA LTDA</t>
  </si>
  <si>
    <t>G. SANGALI ME</t>
  </si>
  <si>
    <t>CALCADOS DESTAKE LTDA</t>
  </si>
  <si>
    <t>SECRETS MODA INTIMA</t>
  </si>
  <si>
    <t>CURVA MODAS LTDA ME</t>
  </si>
  <si>
    <t>PITY MODAS LTDA</t>
  </si>
  <si>
    <t>DIV INTIMA COMERCIO DE CONFECCOES LTDA</t>
  </si>
  <si>
    <t>DIVBELLA MODA INTIMA LTDA</t>
  </si>
  <si>
    <t>UAI COMPREI COMERCIO ONLINE LTDA</t>
  </si>
  <si>
    <t>DISTRIBUIDORA AYESKA LTDA</t>
  </si>
  <si>
    <t>TATIANE LEITE RIBEIRO</t>
  </si>
  <si>
    <t>IVAN DA SILVA</t>
  </si>
  <si>
    <t>CALUSA CALCADOS</t>
  </si>
  <si>
    <t>PRISCILA REGINA LAMBERT</t>
  </si>
  <si>
    <t>MARIA DO CARMO DE MELO</t>
  </si>
  <si>
    <t>ANTONIO CARLOS NETO MODA INTIMA</t>
  </si>
  <si>
    <t>RICHARD CONFECCOES LTDA</t>
  </si>
  <si>
    <t>ZIRZIO TOMAZ PEREIRA &amp; CIA LTDA - M</t>
  </si>
  <si>
    <t>LOJAS MINEIRAO LTDA</t>
  </si>
  <si>
    <t>LOOZO WEAR</t>
  </si>
  <si>
    <t>LIMA CONFEÇÕES</t>
  </si>
  <si>
    <t>VALENTINNI FOX LINGERIE MODA PRAIA E</t>
  </si>
  <si>
    <t>COMETA CALÇADOS- MATRIZ</t>
  </si>
  <si>
    <t>RICARDO DAMASCENO DA SILVA</t>
  </si>
  <si>
    <t>LUICK COMERCIO DE CONF LTDA</t>
  </si>
  <si>
    <t>CIPRIANO CARVALHO DE SOUZA FILHO</t>
  </si>
  <si>
    <t>JEQ</t>
  </si>
  <si>
    <t>COML TECIDOS GONZAGA LTDA</t>
  </si>
  <si>
    <t>GRIFFY CONFECCOES LTDA(0001004217)</t>
  </si>
  <si>
    <t>D' LINGERIE</t>
  </si>
  <si>
    <t>UNI_MARCA MODA INTIMA</t>
  </si>
  <si>
    <t>CHARM LINGERIE E CONFECCOES LTDA</t>
  </si>
  <si>
    <t>MANOEL JOSE DOS SANTOS ME(0001010893)</t>
  </si>
  <si>
    <t>HS ROUPAS INTIMAS EIRELI</t>
  </si>
  <si>
    <t>MARIA LUCIA SANCHES LINGERIE</t>
  </si>
  <si>
    <t>RC COMERCIO DE ARTIGOS TEXTEIS LTDA</t>
  </si>
  <si>
    <t>SOBRAL MODAS LTDA ME</t>
  </si>
  <si>
    <t>MAGAZINE PERENE LTDA</t>
  </si>
  <si>
    <t>DEPOSITO SAO JOSE</t>
  </si>
  <si>
    <t>Anoka Comercio Para Vestuario Ltda</t>
  </si>
  <si>
    <t>J. RILDO FARIAS ME</t>
  </si>
  <si>
    <t>ARNALDO LUIS DA SILVA ME</t>
  </si>
  <si>
    <t>ISABEL CRISTINA DA SILVA - ME</t>
  </si>
  <si>
    <t>A POTIGUAR(PAI)</t>
  </si>
  <si>
    <t>COMPREVESTE -</t>
  </si>
  <si>
    <t>EVANIA DE MEDEIROS JACOME(0001010625)</t>
  </si>
  <si>
    <t>F. SAMARA MORAIS DE OLIVEIRA LTDA</t>
  </si>
  <si>
    <t>LORHANA MODAS-FLB</t>
  </si>
  <si>
    <t>LOJA SEDUCAO LTDA</t>
  </si>
  <si>
    <t>DAVID ROMEU DE CARVALHO</t>
  </si>
  <si>
    <t>CARDINS EMPREENDIMENTOS LTDA</t>
  </si>
  <si>
    <t>N O Araujo - ME</t>
  </si>
  <si>
    <t>J.M. QUEIROZ E CIA LTDA</t>
  </si>
  <si>
    <t>FENIX CALCADOS</t>
  </si>
  <si>
    <t>SUZANA BULCAO DE SOUZA &amp; CIA</t>
  </si>
  <si>
    <t>LINGERIE E CIA - QSB OE LT 05 LJ 04</t>
  </si>
  <si>
    <t>MARIO LONZA SILVA CARVALHO</t>
  </si>
  <si>
    <t>AMERICA MEIAS</t>
  </si>
  <si>
    <t>SCALA - GOIANIA SHOPPING</t>
  </si>
  <si>
    <t>COMERCIAL J FERREIRA</t>
  </si>
  <si>
    <t>W J TECIDOS LTDA</t>
  </si>
  <si>
    <t>AMERICO CALÇADOS - INHUMAS</t>
  </si>
  <si>
    <t>TERRA NOVA CALÇADOS LTDA</t>
  </si>
  <si>
    <t>ELITE CALCADOS</t>
  </si>
  <si>
    <t>MAGAZINE ARAGUAIA LTDA - ME</t>
  </si>
  <si>
    <t>LOJAS ECONOMICA</t>
  </si>
  <si>
    <t>RAVELI TECIDOS LTDA - EPP</t>
  </si>
  <si>
    <t>WELINGTON LUIZ PINTO ME(0001014590)</t>
  </si>
  <si>
    <t>AMERICANA MODAS</t>
  </si>
  <si>
    <t>ENI DE OLIVEIRA TEIXEIRA ME</t>
  </si>
  <si>
    <t>ROSIMEIRE MENDES DE OLIVEIRA ALVES 01080</t>
  </si>
  <si>
    <t>BALTAZAR BELCHIOR DOS REIS(0001003335)</t>
  </si>
  <si>
    <t>DISPARADA COMERCIO TECIDOS LTDA(00010040</t>
  </si>
  <si>
    <t>MARIANA MODA INTIMA</t>
  </si>
  <si>
    <t>LOJA JR</t>
  </si>
  <si>
    <t>DEGRADÊ MODAS</t>
  </si>
  <si>
    <t>LUANA MARTINS DE OLIVEIRA E CIA LTDA ME</t>
  </si>
  <si>
    <t>CREUZA MARIA SANTOS DA SILVA</t>
  </si>
  <si>
    <t>LOJA MALWE</t>
  </si>
  <si>
    <t>TRL</t>
  </si>
  <si>
    <t>LOJÃO DOS TECIDOS</t>
  </si>
  <si>
    <t>FOZ CENTER</t>
  </si>
  <si>
    <t>L.R.GUSSO CIA LTDA</t>
  </si>
  <si>
    <t>MDBR DA SILVA CALCADOS</t>
  </si>
  <si>
    <t>M F F COMERCIO DE ROUPAS LTDA</t>
  </si>
  <si>
    <t>J.B.S. DREAM S LTDA</t>
  </si>
  <si>
    <t>LAUDICEIA MACHADO DE JESUS MOREIRA</t>
  </si>
  <si>
    <t>1306286, 1306287,</t>
  </si>
  <si>
    <t>MANFRON CENTER</t>
  </si>
  <si>
    <t>FRANCINI GOBETTI SCHAFRANSKI 06685086980</t>
  </si>
  <si>
    <t>LOJAO CESARVANN</t>
  </si>
  <si>
    <t>SUPERMERCADOS ARCHER S/A</t>
  </si>
  <si>
    <t>DEISI DA SILVA MARTINS EIRELI</t>
  </si>
  <si>
    <t>SCARPAN CALCADOS LTDA ME - 10832</t>
  </si>
  <si>
    <t>S L ATITUDE MODAS LTDA ME</t>
  </si>
  <si>
    <t>MARLI CENTER</t>
  </si>
  <si>
    <t>LOJA TRANSIT</t>
  </si>
  <si>
    <t>B &amp; B Com. de Meias Art.do Vest. Lt</t>
  </si>
  <si>
    <t>BARASUOL EIRELLI EPP</t>
  </si>
  <si>
    <t>WEBBER TECIDOS LTDA EPP</t>
  </si>
  <si>
    <t>TATIANE GODOY DOS SANTOS</t>
  </si>
  <si>
    <t>PECCATO ORIGINALE MODA INTIMA LTDA</t>
  </si>
  <si>
    <t>DUPE CALÇADOS</t>
  </si>
  <si>
    <t>LUCIA ROSA DA COSTA</t>
  </si>
  <si>
    <t>Anton Comercio de Confeccoes Ltda</t>
  </si>
  <si>
    <t>LUPO - COMERCIO DE MEIAS GRAMADO</t>
  </si>
  <si>
    <t>LOJA DOSSIN</t>
  </si>
  <si>
    <t>SHOES BETE CALCADOS EIRELI</t>
  </si>
  <si>
    <t>Eloi Bilhalva Martins 46268405900</t>
  </si>
  <si>
    <t>MARIA DE LURDES BACK DA SILVA</t>
  </si>
  <si>
    <t>GRAZZIANI BARBOZA DE SOUZA</t>
  </si>
  <si>
    <t>MINHAGRIFFE</t>
  </si>
  <si>
    <t>CASARAO VERDE</t>
  </si>
  <si>
    <t>MAHMUD M.MUSTAFA &amp; CIA.LTDA.</t>
  </si>
  <si>
    <t>LOJAS FARROUPILHA LTDA</t>
  </si>
  <si>
    <t>MARCIA ELVIRA LOPES DA SILVA -</t>
  </si>
  <si>
    <t>ENILU CONFECÇÕES</t>
  </si>
  <si>
    <t>Maria M. Paiz</t>
  </si>
  <si>
    <t>SENSORE COMERCIO DISTRIBUICAO EXPORT IMP</t>
  </si>
  <si>
    <t>FERNANDA PAULA DA SILVA BARBOSA</t>
  </si>
  <si>
    <t>MARIA CLARA DA SILVA CARDOSO</t>
  </si>
  <si>
    <t>CLAUDINES CRUZ PINTO</t>
  </si>
  <si>
    <t>AVATIM CHEIROS DA TERRA</t>
  </si>
  <si>
    <t>DL AROMAS PERFUMARIA E COSMETICOS LTDA</t>
  </si>
  <si>
    <t>D2L GILBERTO PERFUMARIA E COSMETICOS LTD</t>
  </si>
  <si>
    <t>AVATIM ( ARAPIRACA )</t>
  </si>
  <si>
    <t>AVATIM CHEIROS DA TERRA NATAL SHOPPING</t>
  </si>
  <si>
    <t>📦 Dashboard de Emissões</t>
  </si>
  <si>
    <t>LAVITE COMERCIO DE COSMETICOS LTDA</t>
  </si>
  <si>
    <t>SR5 AROMAS E COSMETICOS LTDA</t>
  </si>
  <si>
    <t>DISTRIBUIDORA PARAIBANA</t>
  </si>
  <si>
    <t>55.534.430 ANDERSON DA SILVA BELEM</t>
  </si>
  <si>
    <t>SANTOS ARAUJO INDUSTRIA COMERCIO E REPRE</t>
  </si>
  <si>
    <t>JACO BARBOSA FERREIRA</t>
  </si>
  <si>
    <t>SUN SET APART HOTEL LTDA</t>
  </si>
  <si>
    <t>Emissão de</t>
  </si>
  <si>
    <t>Emissão até</t>
  </si>
  <si>
    <t>Prazo de (dias)</t>
  </si>
  <si>
    <t>Prazo até</t>
  </si>
  <si>
    <t>Tipo frete</t>
  </si>
  <si>
    <t>Buscar: ID / NF / AWB / destinatário</t>
  </si>
  <si>
    <t>Todos</t>
  </si>
  <si>
    <t>CT-es emitidos</t>
  </si>
  <si>
    <t>Valor de frete</t>
  </si>
  <si>
    <t>Frete médio / CT-e</t>
  </si>
  <si>
    <t>Prazo médio (dias)</t>
  </si>
  <si>
    <t>CT-e autorizado</t>
  </si>
  <si>
    <t>Pendências de CT-e</t>
  </si>
  <si>
    <t>Gráficos (respondem aos filtros acima)</t>
  </si>
  <si>
    <t>Detalhamento (respeita os filtros — use a busca para localizar ID, NF ou AWB)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</si>
</sst>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0.0"/>
    <numFmt numFmtId="167" formatCode="R$ #,##0.00"/>
    <numFmt numFmtId="168" formatCode="0.0%"/>
  </numFmts>
  <fonts count="21">
    <font>
      <sz val="10.0"/>
      <color rgb="FF000000"/>
      <name val="Arial"/>
      <scheme val="minor"/>
    </font>
    <font>
      <sz val="8.0"/>
      <color theme="1"/>
      <name val="MS Sans Serif"/>
    </font>
    <font>
      <b/>
      <sz val="18.0"/>
      <color rgb="FF1E3A8A"/>
      <name val="Arial"/>
      <scheme val="minor"/>
    </font>
    <font>
      <color rgb="FF6B7280"/>
      <name val="Arial"/>
      <scheme val="minor"/>
    </font>
    <font>
      <color theme="1"/>
      <name val="Arial"/>
      <scheme val="minor"/>
    </font>
    <font>
      <b/>
      <color rgb="FF1A56DB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color rgb="FF111827"/>
      <name val="Arial"/>
      <scheme val="minor"/>
    </font>
    <font>
      <color rgb="FF111827"/>
      <name val="Arial"/>
      <scheme val="minor"/>
    </font>
    <font>
      <color rgb="FF111827"/>
      <name val="Arial"/>
    </font>
    <font>
      <b/>
      <sz val="22.0"/>
      <color rgb="FF1E3A8A"/>
      <name val="Arial"/>
    </font>
    <font>
      <sz val="10.0"/>
      <color rgb="FF6B7280"/>
      <name val="Arial"/>
    </font>
    <font>
      <b/>
      <sz val="9.0"/>
      <color rgb="FF6B7280"/>
      <name val="Arial"/>
    </font>
    <font>
      <b/>
      <color rgb="FF111827"/>
      <name val="Arial"/>
    </font>
    <font/>
    <font>
      <b/>
      <sz val="22.0"/>
      <color rgb="FFB91C1C"/>
      <name val="Arial"/>
    </font>
    <font>
      <sz val="9.0"/>
      <color rgb="FF6B7280"/>
      <name val="Arial"/>
    </font>
    <font>
      <b/>
      <sz val="12.0"/>
      <color rgb="FF1E3A8A"/>
      <name val="Arial"/>
    </font>
    <font>
      <b/>
      <color rgb="FFFFFFFF"/>
      <name val="Arial"/>
    </font>
    <font>
      <sz val="9.0"/>
      <color rgb="FF111827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9C3"/>
        <bgColor rgb="FFFEF9C3"/>
      </patternFill>
    </fill>
    <fill>
      <patternFill patternType="solid">
        <fgColor rgb="FFFEF2F2"/>
        <bgColor rgb="FFFEF2F2"/>
      </patternFill>
    </fill>
  </fills>
  <borders count="13">
    <border/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2" fillId="3" fontId="1" numFmtId="0" xfId="0" applyAlignment="1" applyBorder="1" applyFill="1" applyFont="1">
      <alignment vertical="bottom"/>
    </xf>
    <xf borderId="0" fillId="4" fontId="6" numFmtId="0" xfId="0" applyFill="1" applyFont="1"/>
    <xf borderId="2" fillId="3" fontId="1" numFmtId="0" xfId="0" applyAlignment="1" applyBorder="1" applyFill="1" applyFont="1">
      <alignment horizontal="right" vertical="bottom"/>
    </xf>
    <xf borderId="2" fillId="3" fontId="7" numFmtId="0" xfId="0" applyAlignment="1" applyBorder="1" applyFill="1" applyFont="1">
      <alignment vertical="bottom"/>
    </xf>
    <xf borderId="2" fillId="3" fontId="1" numFmtId="164" xfId="0" applyAlignment="1" applyBorder="1" applyFill="1" applyFont="1" applyNumberFormat="1">
      <alignment vertical="bottom"/>
    </xf>
    <xf borderId="2" fillId="3" fontId="1" numFmtId="165" xfId="0" applyAlignment="1" applyBorder="1" applyFill="1" applyFont="1" applyNumberFormat="1">
      <alignment vertical="bottom"/>
    </xf>
    <xf borderId="0" fillId="0" fontId="4" numFmtId="0" xfId="0" applyFont="1"/>
    <xf borderId="0" fillId="0" fontId="4" numFmtId="4" xfId="0" applyFont="1" applyNumberFormat="1"/>
    <xf borderId="0" fillId="0" fontId="4" numFmtId="166" xfId="0" applyFont="1" applyNumberFormat="1"/>
    <xf borderId="0" fillId="4" fontId="6" numFmtId="0" xfId="0" applyAlignment="1" applyFill="1" applyFont="1">
      <alignment readingOrder="0"/>
    </xf>
    <xf borderId="0" fillId="0" fontId="4" numFmtId="164" xfId="0" applyFont="1" applyNumberFormat="1"/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readingOrder="0"/>
    </xf>
    <xf quotePrefix="1" borderId="2" fillId="3" fontId="1" numFmtId="0" xfId="0" applyAlignment="1" applyBorder="1" applyFill="1" applyFont="1">
      <alignment vertical="bottom"/>
    </xf>
    <xf borderId="0" fillId="5" fontId="10" numFmtId="0" xfId="0" applyFill="1" applyFont="1"/>
    <xf borderId="0" fillId="5" fontId="11" numFmtId="0" xfId="0" applyAlignment="1" applyFill="1" applyFont="1">
      <alignment readingOrder="0"/>
    </xf>
    <xf borderId="0" fillId="5" fontId="12" numFmtId="0" xfId="0" applyFill="1" applyFont="1"/>
    <xf borderId="0" fillId="5" fontId="13" numFmtId="0" xfId="0" applyAlignment="1" applyFill="1" applyFont="1">
      <alignment readingOrder="0"/>
    </xf>
    <xf borderId="3" fillId="6" fontId="14" numFmtId="164" xfId="0" applyAlignment="1" applyBorder="1" applyFill="1" applyFont="1" applyNumberFormat="1">
      <alignment horizontal="center" vertical="center"/>
    </xf>
    <xf borderId="3" fillId="6" fontId="14" numFmtId="0" xfId="0" applyAlignment="1" applyBorder="1" applyFill="1" applyFont="1">
      <alignment horizontal="center" vertical="center"/>
    </xf>
    <xf borderId="3" fillId="6" fontId="14" numFmtId="0" xfId="0" applyAlignment="1" applyBorder="1" applyFill="1" applyFont="1">
      <alignment readingOrder="0" vertical="center"/>
    </xf>
    <xf borderId="4" fillId="6" fontId="14" numFmtId="0" xfId="0" applyAlignment="1" applyBorder="1" applyFill="1" applyFont="1">
      <alignment readingOrder="0" vertical="center"/>
    </xf>
    <xf borderId="5" fillId="0" fontId="15" numFmtId="0" xfId="0" applyBorder="1" applyFont="1"/>
    <xf borderId="6" fillId="0" fontId="15" numFmtId="0" xfId="0" applyBorder="1" applyFont="1"/>
    <xf borderId="7" fillId="3" fontId="13" numFmtId="0" xfId="0" applyAlignment="1" applyBorder="1" applyFill="1" applyFont="1">
      <alignment horizontal="center" readingOrder="0" vertical="center"/>
    </xf>
    <xf borderId="8" fillId="0" fontId="15" numFmtId="0" xfId="0" applyBorder="1" applyFont="1"/>
    <xf borderId="7" fillId="7" fontId="13" numFmtId="0" xfId="0" applyAlignment="1" applyBorder="1" applyFill="1" applyFont="1">
      <alignment horizontal="center" readingOrder="0" vertical="center"/>
    </xf>
    <xf borderId="9" fillId="3" fontId="11" numFmtId="3" xfId="0" applyAlignment="1" applyBorder="1" applyFill="1" applyFont="1" applyNumberFormat="1">
      <alignment horizontal="center" vertical="center"/>
    </xf>
    <xf borderId="10" fillId="0" fontId="15" numFmtId="0" xfId="0" applyBorder="1" applyFont="1"/>
    <xf borderId="9" fillId="3" fontId="11" numFmtId="167" xfId="0" applyAlignment="1" applyBorder="1" applyFill="1" applyFont="1" applyNumberFormat="1">
      <alignment horizontal="center" vertical="center"/>
    </xf>
    <xf borderId="9" fillId="3" fontId="11" numFmtId="166" xfId="0" applyAlignment="1" applyBorder="1" applyFill="1" applyFont="1" applyNumberFormat="1">
      <alignment horizontal="center" vertical="center"/>
    </xf>
    <xf borderId="9" fillId="3" fontId="11" numFmtId="168" xfId="0" applyAlignment="1" applyBorder="1" applyFill="1" applyFont="1" applyNumberFormat="1">
      <alignment horizontal="center" vertical="center"/>
    </xf>
    <xf borderId="9" fillId="7" fontId="16" numFmtId="3" xfId="0" applyAlignment="1" applyBorder="1" applyFill="1" applyFont="1" applyNumberFormat="1">
      <alignment horizontal="center" vertical="center"/>
    </xf>
    <xf borderId="11" fillId="3" fontId="17" numFmtId="0" xfId="0" applyAlignment="1" applyBorder="1" applyFill="1" applyFont="1">
      <alignment horizontal="center" vertical="center"/>
    </xf>
    <xf borderId="12" fillId="0" fontId="15" numFmtId="0" xfId="0" applyBorder="1" applyFont="1"/>
    <xf borderId="11" fillId="7" fontId="17" numFmtId="0" xfId="0" applyAlignment="1" applyBorder="1" applyFill="1" applyFont="1">
      <alignment horizontal="center" vertical="center"/>
    </xf>
    <xf borderId="0" fillId="5" fontId="18" numFmtId="0" xfId="0" applyAlignment="1" applyFill="1" applyFont="1">
      <alignment readingOrder="0"/>
    </xf>
    <xf borderId="0" fillId="4" fontId="19" numFmtId="0" xfId="0" applyFill="1" applyFont="1"/>
    <xf borderId="0" fillId="3" fontId="20" numFmtId="164" xfId="0" applyFill="1" applyFont="1" applyNumberFormat="1"/>
    <xf borderId="0" fillId="3" fontId="20" numFmtId="0" xfId="0" applyAlignment="1" applyFill="1" applyFont="1">
      <alignment horizontal="left"/>
    </xf>
    <xf borderId="0" fillId="3" fontId="20" numFmtId="0" xfId="0" applyFill="1" applyFont="1"/>
    <xf borderId="0" fillId="3" fontId="20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Emissões por dia (CT-es)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CALC!$B$1</c:f>
            </c:strRef>
          </c:tx>
          <c:spPr>
            <a:solidFill>
              <a:srgbClr val="1A56DB"/>
            </a:solidFill>
            <a:ln cmpd="sng">
              <a:noFill/>
            </a:ln>
          </c:spPr>
          <c:invertIfNegative val="0"/>
          <c:cat>
            <c:strRef>
              <c:f>CALC!$A$2:$A$1000</c:f>
            </c:strRef>
          </c:cat>
          <c:val>
            <c:numRef>
              <c:f>CALC!$B$2:$B$1000</c:f>
              <c:numCache/>
            </c:numRef>
          </c:val>
        </c:ser>
        <c:axId val="1899768787"/>
        <c:axId val="413301148"/>
      </c:barChart>
      <c:catAx>
        <c:axId val="1899768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301148"/>
      </c:catAx>
      <c:valAx>
        <c:axId val="413301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768787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Top 10 destinos (CT-es)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CALC!$H$1</c:f>
            </c:strRef>
          </c:tx>
          <c:spPr>
            <a:solidFill>
              <a:srgbClr val="0E9F6E"/>
            </a:solidFill>
            <a:ln cmpd="sng">
              <a:noFill/>
            </a:ln>
          </c:spPr>
          <c:invertIfNegative val="0"/>
          <c:cat>
            <c:strRef>
              <c:f>CALC!$G$2:$G$1000</c:f>
            </c:strRef>
          </c:cat>
          <c:val>
            <c:numRef>
              <c:f>CALC!$H$2:$H$1000</c:f>
              <c:numCache/>
            </c:numRef>
          </c:val>
        </c:ser>
        <c:axId val="1237445687"/>
        <c:axId val="1677742456"/>
      </c:barChart>
      <c:catAx>
        <c:axId val="12374456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742456"/>
      </c:catAx>
      <c:valAx>
        <c:axId val="16777424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445687"/>
        <c:crosses val="max"/>
      </c:valAx>
    </c:plotArea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Destinos com maior prazo médio (dias)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CALC!$K$1</c:f>
            </c:strRef>
          </c:tx>
          <c:spPr>
            <a:solidFill>
              <a:srgbClr val="E02424"/>
            </a:solidFill>
            <a:ln cmpd="sng">
              <a:noFill/>
            </a:ln>
          </c:spPr>
          <c:invertIfNegative val="0"/>
          <c:cat>
            <c:strRef>
              <c:f>CALC!$J$2:$J$1000</c:f>
            </c:strRef>
          </c:cat>
          <c:val>
            <c:numRef>
              <c:f>CALC!$K$2:$K$1000</c:f>
              <c:numCache/>
            </c:numRef>
          </c:val>
        </c:ser>
        <c:axId val="579913890"/>
        <c:axId val="1962617248"/>
      </c:barChart>
      <c:catAx>
        <c:axId val="579913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617248"/>
      </c:catAx>
      <c:valAx>
        <c:axId val="1962617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913890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Previsão de entrega por dia (CT-es)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CALC!$E$1</c:f>
            </c:strRef>
          </c:tx>
          <c:spPr>
            <a:solidFill>
              <a:srgbClr val="F59E0B"/>
            </a:solidFill>
            <a:ln cmpd="sng">
              <a:noFill/>
            </a:ln>
          </c:spPr>
          <c:invertIfNegative val="0"/>
          <c:cat>
            <c:strRef>
              <c:f>CALC!$D$2:$D$1000</c:f>
            </c:strRef>
          </c:cat>
          <c:val>
            <c:numRef>
              <c:f>CALC!$E$2:$E$1000</c:f>
              <c:numCache/>
            </c:numRef>
          </c:val>
        </c:ser>
        <c:axId val="332718377"/>
        <c:axId val="721091011"/>
      </c:barChart>
      <c:catAx>
        <c:axId val="332718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091011"/>
      </c:catAx>
      <c:valAx>
        <c:axId val="721091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718377"/>
      </c:valAx>
    </c:plotArea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Tipo de frete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CALC!$Q$1</c:f>
            </c:strRef>
          </c:tx>
          <c:dPt>
            <c:idx val="0"/>
            <c:spPr>
              <a:solidFill>
                <a:srgbClr val="1A56DB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CALC!$P$2:$P$1000</c:f>
            </c:strRef>
          </c:cat>
          <c:val>
            <c:numRef>
              <c:f>CALC!$Q$2:$Q$1000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Situação do CT-e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CALC!$T$1</c:f>
            </c:strRef>
          </c:tx>
          <c:dPt>
            <c:idx val="0"/>
            <c:spPr>
              <a:solidFill>
                <a:srgbClr val="0E9F6E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CALC!$S$2:$S$1000</c:f>
            </c:strRef>
          </c:cat>
          <c:val>
            <c:numRef>
              <c:f>CALC!$T$2:$T$1000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Distribuição por faixa de prazo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CALC!$Z$1</c:f>
            </c:strRef>
          </c:tx>
          <c:spPr>
            <a:solidFill>
              <a:srgbClr val="7E3AF2"/>
            </a:solidFill>
            <a:ln cmpd="sng">
              <a:noFill/>
            </a:ln>
          </c:spPr>
          <c:invertIfNegative val="0"/>
          <c:cat>
            <c:strRef>
              <c:f>CALC!$Y$2:$Y$1000</c:f>
            </c:strRef>
          </c:cat>
          <c:val>
            <c:numRef>
              <c:f>CALC!$Z$2:$Z$1000</c:f>
              <c:numCache/>
            </c:numRef>
          </c:val>
        </c:ser>
        <c:axId val="1787883555"/>
        <c:axId val="458165386"/>
      </c:barChart>
      <c:catAx>
        <c:axId val="1787883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165386"/>
      </c:catAx>
      <c:valAx>
        <c:axId val="458165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883555"/>
      </c:valAx>
    </c:plotArea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Top remetentes (CT-es)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CALC!$N$1</c:f>
            </c:strRef>
          </c:tx>
          <c:spPr>
            <a:solidFill>
              <a:srgbClr val="06B6D4"/>
            </a:solidFill>
            <a:ln cmpd="sng">
              <a:noFill/>
            </a:ln>
          </c:spPr>
          <c:invertIfNegative val="0"/>
          <c:cat>
            <c:strRef>
              <c:f>CALC!$M$2:$M$1000</c:f>
            </c:strRef>
          </c:cat>
          <c:val>
            <c:numRef>
              <c:f>CALC!$N$2:$N$1000</c:f>
              <c:numCache/>
            </c:numRef>
          </c:val>
        </c:ser>
        <c:axId val="2133048100"/>
        <c:axId val="858278086"/>
      </c:barChart>
      <c:catAx>
        <c:axId val="21330481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278086"/>
      </c:catAx>
      <c:valAx>
        <c:axId val="8582780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048100"/>
        <c:crosses val="max"/>
      </c:valAx>
    </c:plotArea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11827"/>
                </a:solidFill>
                <a:latin typeface="+mn-lt"/>
              </a:defRPr>
            </a:pPr>
            <a:r>
              <a:rPr b="1" sz="1300">
                <a:solidFill>
                  <a:srgbClr val="111827"/>
                </a:solidFill>
                <a:latin typeface="+mn-lt"/>
              </a:rPr>
              <a:t>CT-es por célula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CALC!$W$1</c:f>
            </c:strRef>
          </c:tx>
          <c:spPr>
            <a:solidFill>
              <a:srgbClr val="1A56DB"/>
            </a:solidFill>
            <a:ln cmpd="sng">
              <a:noFill/>
            </a:ln>
          </c:spPr>
          <c:invertIfNegative val="0"/>
          <c:cat>
            <c:strRef>
              <c:f>CALC!$V$2:$V$1000</c:f>
            </c:strRef>
          </c:cat>
          <c:val>
            <c:numRef>
              <c:f>CALC!$W$2:$W$1000</c:f>
              <c:numCache/>
            </c:numRef>
          </c:val>
        </c:ser>
        <c:axId val="2027664602"/>
        <c:axId val="1749774489"/>
      </c:barChart>
      <c:catAx>
        <c:axId val="2027664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774489"/>
      </c:catAx>
      <c:valAx>
        <c:axId val="1749774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664602"/>
      </c:valAx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6572250" cy="2571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6715125</xdr:colOff>
      <xdr:row>9</xdr:row>
      <xdr:rowOff>0</xdr:rowOff>
    </xdr:from>
    <xdr:ext cx="6572250" cy="25717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23</xdr:row>
      <xdr:rowOff>0</xdr:rowOff>
    </xdr:from>
    <xdr:ext cx="6572250" cy="25717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6715125</xdr:colOff>
      <xdr:row>23</xdr:row>
      <xdr:rowOff>0</xdr:rowOff>
    </xdr:from>
    <xdr:ext cx="6572250" cy="25717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37</xdr:row>
      <xdr:rowOff>0</xdr:rowOff>
    </xdr:from>
    <xdr:ext cx="4286250" cy="25717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4476750</xdr:colOff>
      <xdr:row>37</xdr:row>
      <xdr:rowOff>0</xdr:rowOff>
    </xdr:from>
    <xdr:ext cx="4286250" cy="25717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8953500</xdr:colOff>
      <xdr:row>37</xdr:row>
      <xdr:rowOff>0</xdr:rowOff>
    </xdr:from>
    <xdr:ext cx="4286250" cy="25717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0</xdr:colOff>
      <xdr:row>51</xdr:row>
      <xdr:rowOff>0</xdr:rowOff>
    </xdr:from>
    <xdr:ext cx="6572250" cy="25717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6715125</xdr:colOff>
      <xdr:row>51</xdr:row>
      <xdr:rowOff>0</xdr:rowOff>
    </xdr:from>
    <xdr:ext cx="6572250" cy="25717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6DB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.88"/>
    <col customWidth="1" min="2" max="2" width="12.0"/>
    <col customWidth="1" min="3" max="3" width="12.63"/>
    <col customWidth="1" min="4" max="4" width="12.0"/>
    <col customWidth="1" min="5" max="6" width="11.38"/>
    <col customWidth="1" min="7" max="7" width="28.88"/>
    <col customWidth="1" min="8" max="8" width="18.88"/>
    <col customWidth="1" min="9" max="9" width="10.13"/>
    <col customWidth="1" min="10" max="10" width="12.0"/>
    <col customWidth="1" min="11" max="11" width="12.63"/>
    <col customWidth="1" min="12" max="12" width="8.88"/>
    <col customWidth="1" min="13" max="13" width="12.0"/>
    <col customWidth="1" min="14" max="14" width="12.63"/>
    <col customWidth="1" min="15" max="15" width="11.38"/>
    <col customWidth="1" min="16" max="16" width="1.88"/>
  </cols>
  <sheetData>
    <row r="1" ht="31.5" customHeight="1">
      <c r="A1" s="25"/>
      <c r="B1" s="26" t="s">
        <v>1140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ht="16.5" customHeight="1">
      <c r="A2" s="25"/>
      <c r="B2" s="27" t="str">
        <f>"Base: "&amp;COUNTIF(DADOS!$G$2:$G$5001,"?*")&amp;" CT-es  •  Período: "&amp;IF(COUNT(DADOS!$A$2:$A$5001)=0,"—",TEXT(MIN(DADOS!$A$2:$A$5001),"dd/mm/yyyy")&amp;" a "&amp;TEXT(MAX(DADOS!$A$2:$A$5001),"dd/mm/yyyy"))&amp;"  •  Filtrados: "&amp;COUNTIF(DADOS!$V$2:$V$5001,TRUE)&amp;"  •  "&amp;IF(AND(BASE!$A$1="Modal",BASE!$H$1="DEST",BASE!$J$1="ID Conhec",BASE!$K$1="DATA",BASE!$L$1="DT. PREV. ENTREGA",BASE!$O$1="PRAZO",BASE!$S$1="TIPO FRETE",BASE!$V$1="VALOR DO FRETE",BASE!$W$1="VOL.",BASE!$X$1="REMETENTE",BASE!$Y$1="DESTINATARIO",BASE!$AA$1="NOTAS"),"✔ Layout da base reconhecido","⚠ Layout da BASE diferente do esperado — conferir colunas / colar a partir da A1")&amp;IF(COUNTA(BASE!$J$5002:$J$6000)&gt;0,"  •  ⚠ Base passa de 5000 linhas: excedente ignorado","")&amp;IF(COUNTIF(DADOS!$G$2:$G$5001,"?*")&gt;COUNT(DADOS!$A$2:$A$5001),"  •  ⚠ "&amp;(COUNTIF(DADOS!$G$2:$G$5001,"?*")-COUNT(DADOS!$A$2:$A$5001))&amp;" linha(s) com data inválida","")</f>
        <v>Base: 953 CT-es  •  Período: 09/10/2026 a 10/10/2026  •  Filtrados: 11  •  ✔ Layout da base reconhecido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ht="15.0" customHeight="1">
      <c r="A3" s="25"/>
      <c r="B3" s="28" t="s">
        <v>1148</v>
      </c>
      <c r="C3" s="28" t="s">
        <v>1149</v>
      </c>
      <c r="D3" s="28" t="s">
        <v>1150</v>
      </c>
      <c r="E3" s="28" t="s">
        <v>1151</v>
      </c>
      <c r="F3" s="28" t="s">
        <v>85</v>
      </c>
      <c r="G3" s="28" t="s">
        <v>88</v>
      </c>
      <c r="H3" s="28" t="s">
        <v>93</v>
      </c>
      <c r="I3" s="28" t="s">
        <v>1152</v>
      </c>
      <c r="J3" s="28" t="s">
        <v>92</v>
      </c>
      <c r="K3" s="28" t="s">
        <v>97</v>
      </c>
      <c r="L3" s="28" t="s">
        <v>1153</v>
      </c>
      <c r="M3" s="25"/>
      <c r="N3" s="25"/>
      <c r="O3" s="25"/>
      <c r="P3" s="25"/>
    </row>
    <row r="4" ht="22.5" customHeight="1">
      <c r="A4" s="25"/>
      <c r="B4" s="29"/>
      <c r="C4" s="29"/>
      <c r="D4" s="30"/>
      <c r="E4" s="30"/>
      <c r="F4" s="31" t="s">
        <v>1154</v>
      </c>
      <c r="G4" s="31" t="s">
        <v>947</v>
      </c>
      <c r="H4" s="31" t="s">
        <v>56</v>
      </c>
      <c r="I4" s="31" t="s">
        <v>1154</v>
      </c>
      <c r="J4" s="31" t="s">
        <v>1154</v>
      </c>
      <c r="K4" s="31" t="s">
        <v>1154</v>
      </c>
      <c r="L4" s="32"/>
      <c r="M4" s="33"/>
      <c r="N4" s="33"/>
      <c r="O4" s="34"/>
      <c r="P4" s="25"/>
    </row>
    <row r="5" ht="7.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ht="16.5" customHeight="1">
      <c r="A6" s="25"/>
      <c r="B6" s="35" t="s">
        <v>1155</v>
      </c>
      <c r="C6" s="36"/>
      <c r="D6" s="35" t="s">
        <v>100</v>
      </c>
      <c r="E6" s="36"/>
      <c r="F6" s="35" t="s">
        <v>1156</v>
      </c>
      <c r="G6" s="36"/>
      <c r="H6" s="35" t="s">
        <v>1157</v>
      </c>
      <c r="I6" s="36"/>
      <c r="J6" s="35" t="s">
        <v>1158</v>
      </c>
      <c r="K6" s="36"/>
      <c r="L6" s="35" t="s">
        <v>1159</v>
      </c>
      <c r="M6" s="36"/>
      <c r="N6" s="37" t="s">
        <v>1160</v>
      </c>
      <c r="O6" s="36"/>
      <c r="P6" s="25"/>
    </row>
    <row r="7" ht="31.5" customHeight="1">
      <c r="A7" s="25"/>
      <c r="B7" s="38">
        <f>COUNTIF(DADOS!$V$2:$V$5001,TRUE)</f>
        <v>11</v>
      </c>
      <c r="C7" s="39"/>
      <c r="D7" s="38">
        <f>SUMIFS(DADOS!$Q$2:$Q$5001,DADOS!$V$2:$V$5001,TRUE)</f>
        <v>16</v>
      </c>
      <c r="E7" s="39"/>
      <c r="F7" s="40">
        <f>SUMIFS(DADOS!$P$2:$P$5001,DADOS!$V$2:$V$5001,TRUE)</f>
        <v>1445.83</v>
      </c>
      <c r="G7" s="39"/>
      <c r="H7" s="40">
        <f>IFERROR(SUMIFS(DADOS!$P$2:$P$5001,DADOS!$V$2:$V$5001,TRUE)/COUNTIF(DADOS!$V$2:$V$5001,TRUE),0)</f>
        <v>131.4390909</v>
      </c>
      <c r="I7" s="39"/>
      <c r="J7" s="41">
        <f>IFERROR(AVERAGEIFS(DADOS!$C$2:$C$5001,DADOS!$V$2:$V$5001,TRUE),0)</f>
        <v>9.818181818</v>
      </c>
      <c r="K7" s="39"/>
      <c r="L7" s="42">
        <f>IFERROR(COUNTIFS(DADOS!$V$2:$V$5001,TRUE,DADOS!$L$2:$L$5001,"AUTORIZADO")/COUNTIF(DADOS!$V$2:$V$5001,TRUE),0)</f>
        <v>1</v>
      </c>
      <c r="M7" s="39"/>
      <c r="N7" s="43">
        <f>COUNTIFS(DADOS!$V$2:$V$5001,TRUE,DADOS!$L$2:$L$5001,"&lt;&gt;AUTORIZADO")</f>
        <v>0</v>
      </c>
      <c r="O7" s="39"/>
      <c r="P7" s="25"/>
    </row>
    <row r="8" ht="16.5" customHeight="1">
      <c r="A8" s="25"/>
      <c r="B8" s="44" t="str">
        <f>"de "&amp;COUNTIF(DADOS!$G$2:$G$5001,"?*")&amp;" na base"</f>
        <v>de 953 na base</v>
      </c>
      <c r="C8" s="45"/>
      <c r="D8" s="44" t="str">
        <f>"média "&amp;IFERROR(ROUND(SUMIFS(DADOS!$Q$2:$Q$5001,DADOS!$V$2:$V$5001,TRUE)/COUNTIF(DADOS!$V$2:$V$5001,TRUE),1),0)&amp;" por CT-e"</f>
        <v>média 1,5 por CT-e</v>
      </c>
      <c r="E8" s="45"/>
      <c r="F8" s="44" t="str">
        <f>"CIF: R$ "&amp;ROUND(SUMIFS(DADOS!$P$2:$P$5001,DADOS!$V$2:$V$5001,TRUE,DADOS!$J$2:$J$5001,"CIF"),0)</f>
        <v>CIF: R$ 1446</v>
      </c>
      <c r="G8" s="45"/>
      <c r="H8" s="44" t="str">
        <f>"maior: R$ "&amp;IFERROR(ROUND(MAXIFS(DADOS!$P$2:$P$5001,DADOS!$V$2:$V$5001,TRUE),0),0)</f>
        <v>maior: R$ 192</v>
      </c>
      <c r="I8" s="45"/>
      <c r="J8" s="44" t="str">
        <f>"mín "&amp;IFERROR(MINIFS(DADOS!$C$2:$C$5001,DADOS!$V$2:$V$5001,TRUE),"-")&amp;"  •  máx "&amp;IFERROR(MAXIFS(DADOS!$C$2:$C$5001,DADOS!$V$2:$V$5001,TRUE),"-")</f>
        <v>mín 8  •  máx 12</v>
      </c>
      <c r="K8" s="45"/>
      <c r="L8" s="44" t="str">
        <f>COUNTIFS(DADOS!$V$2:$V$5001,TRUE,DADOS!$L$2:$L$5001,"AUTORIZADO")&amp;" autorizados"</f>
        <v>11 autorizados</v>
      </c>
      <c r="M8" s="45"/>
      <c r="N8" s="46" t="str">
        <f>"erro: "&amp;COUNTIFS(DADOS!$V$2:$V$5001,TRUE,DADOS!$L$2:$L$5001,"ERRO")&amp;"  •  sem CT-e: "&amp;COUNTIFS(DADOS!$V$2:$V$5001,TRUE,DADOS!$L$2:$L$5001,"SEM CT-E")</f>
        <v>erro: 0  •  sem CT-e: 0</v>
      </c>
      <c r="O8" s="45"/>
      <c r="P8" s="25"/>
    </row>
    <row r="9" ht="19.5" customHeight="1">
      <c r="A9" s="25"/>
      <c r="B9" s="47" t="s">
        <v>1161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>
      <c r="A66" s="25"/>
      <c r="B66" s="47" t="s">
        <v>1162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>
      <c r="A67" s="25"/>
      <c r="B67" s="48" t="str">
        <f>IFERROR(__xludf.DUMMYFUNCTION("IFERROR(QUERY(DADOS!$A$1:$V$5001,""select Col1, Col7, Col8, Col9, Col4, Col5, Col6, Col10, Col2, Col3, Col17, Col16, Col12, Col11 where Col22 = true order by Col1 desc, Col4, Col7 limit 2000 label Col1 'Emissão', Col7 'ID Conhec.', Col8 'NF', Col9 'AWB', "&amp;"Col4 'Destino', Col5 'Destinatário', Col6 'Remetente', Col10 'Tipo frete', Col2 'Prev. entrega', Col3 'Prazo (dias)', Col17 'Vol.', Col16 'Frete (R$)', Col12 'CT-e', Col11 'Célula'"",1),""Nenhum registro para os filtros selecionados"")"),"Emissão")</f>
        <v>Emissão</v>
      </c>
      <c r="C67" s="48" t="str">
        <f>IFERROR(__xludf.DUMMYFUNCTION("""COMPUTED_VALUE"""),"ID Conhec.")</f>
        <v>ID Conhec.</v>
      </c>
      <c r="D67" s="48" t="str">
        <f>IFERROR(__xludf.DUMMYFUNCTION("""COMPUTED_VALUE"""),"NF")</f>
        <v>NF</v>
      </c>
      <c r="E67" s="48" t="str">
        <f>IFERROR(__xludf.DUMMYFUNCTION("""COMPUTED_VALUE"""),"AWB")</f>
        <v>AWB</v>
      </c>
      <c r="F67" s="48" t="str">
        <f>IFERROR(__xludf.DUMMYFUNCTION("""COMPUTED_VALUE"""),"Destino")</f>
        <v>Destino</v>
      </c>
      <c r="G67" s="48" t="str">
        <f>IFERROR(__xludf.DUMMYFUNCTION("""COMPUTED_VALUE"""),"Destinatário")</f>
        <v>Destinatário</v>
      </c>
      <c r="H67" s="48" t="str">
        <f>IFERROR(__xludf.DUMMYFUNCTION("""COMPUTED_VALUE"""),"Remetente")</f>
        <v>Remetente</v>
      </c>
      <c r="I67" s="48" t="str">
        <f>IFERROR(__xludf.DUMMYFUNCTION("""COMPUTED_VALUE"""),"Tipo frete")</f>
        <v>Tipo frete</v>
      </c>
      <c r="J67" s="48" t="str">
        <f>IFERROR(__xludf.DUMMYFUNCTION("""COMPUTED_VALUE"""),"Prev. entrega")</f>
        <v>Prev. entrega</v>
      </c>
      <c r="K67" s="48" t="str">
        <f>IFERROR(__xludf.DUMMYFUNCTION("""COMPUTED_VALUE"""),"Prazo (dias)")</f>
        <v>Prazo (dias)</v>
      </c>
      <c r="L67" s="48" t="str">
        <f>IFERROR(__xludf.DUMMYFUNCTION("""COMPUTED_VALUE"""),"Vol.")</f>
        <v>Vol.</v>
      </c>
      <c r="M67" s="48" t="str">
        <f>IFERROR(__xludf.DUMMYFUNCTION("""COMPUTED_VALUE"""),"Frete (R$)")</f>
        <v>Frete (R$)</v>
      </c>
      <c r="N67" s="48" t="str">
        <f>IFERROR(__xludf.DUMMYFUNCTION("""COMPUTED_VALUE"""),"CT-e")</f>
        <v>CT-e</v>
      </c>
      <c r="O67" s="48" t="str">
        <f>IFERROR(__xludf.DUMMYFUNCTION("""COMPUTED_VALUE"""),"Célula")</f>
        <v>Célula</v>
      </c>
      <c r="P67" s="25"/>
    </row>
    <row r="68">
      <c r="A68" s="25"/>
      <c r="B68" s="49">
        <f>IFERROR(__xludf.DUMMYFUNCTION("""COMPUTED_VALUE"""),46304.0)</f>
        <v>46304</v>
      </c>
      <c r="C68" s="50" t="str">
        <f>IFERROR(__xludf.DUMMYFUNCTION("""COMPUTED_VALUE"""),"266834276")</f>
        <v>266834276</v>
      </c>
      <c r="D68" s="50" t="str">
        <f>IFERROR(__xludf.DUMMYFUNCTION("""COMPUTED_VALUE"""),"107264")</f>
        <v>107264</v>
      </c>
      <c r="E68" s="50" t="str">
        <f>IFERROR(__xludf.DUMMYFUNCTION("""COMPUTED_VALUE"""),"8177626")</f>
        <v>8177626</v>
      </c>
      <c r="F68" s="51" t="str">
        <f>IFERROR(__xludf.DUMMYFUNCTION("""COMPUTED_VALUE"""),"ABS")</f>
        <v>ABS</v>
      </c>
      <c r="G68" s="51" t="str">
        <f>IFERROR(__xludf.DUMMYFUNCTION("""COMPUTED_VALUE"""),"SAGARA INFORMATICA LTDA")</f>
        <v>SAGARA INFORMATICA LTDA</v>
      </c>
      <c r="H68" s="51" t="str">
        <f>IFERROR(__xludf.DUMMYFUNCTION("""COMPUTED_VALUE"""),"DATEN TECNOLOGIA")</f>
        <v>DATEN TECNOLOGIA</v>
      </c>
      <c r="I68" s="51" t="str">
        <f>IFERROR(__xludf.DUMMYFUNCTION("""COMPUTED_VALUE"""),"CIF")</f>
        <v>CIF</v>
      </c>
      <c r="J68" s="49">
        <f>IFERROR(__xludf.DUMMYFUNCTION("""COMPUTED_VALUE"""),46321.0)</f>
        <v>46321</v>
      </c>
      <c r="K68" s="51">
        <f>IFERROR(__xludf.DUMMYFUNCTION("""COMPUTED_VALUE"""),10.0)</f>
        <v>10</v>
      </c>
      <c r="L68" s="51">
        <f>IFERROR(__xludf.DUMMYFUNCTION("""COMPUTED_VALUE"""),1.0)</f>
        <v>1</v>
      </c>
      <c r="M68" s="52">
        <f>IFERROR(__xludf.DUMMYFUNCTION("""COMPUTED_VALUE"""),191.58)</f>
        <v>191.58</v>
      </c>
      <c r="N68" s="51" t="str">
        <f>IFERROR(__xludf.DUMMYFUNCTION("""COMPUTED_VALUE"""),"AUTORIZADO")</f>
        <v>AUTORIZADO</v>
      </c>
      <c r="O68" s="51" t="str">
        <f>IFERROR(__xludf.DUMMYFUNCTION("""COMPUTED_VALUE"""),"(sem célula)")</f>
        <v>(sem célula)</v>
      </c>
      <c r="P68" s="25"/>
    </row>
    <row r="69">
      <c r="A69" s="25"/>
      <c r="B69" s="49">
        <f>IFERROR(__xludf.DUMMYFUNCTION("""COMPUTED_VALUE"""),46304.0)</f>
        <v>46304</v>
      </c>
      <c r="C69" s="50" t="str">
        <f>IFERROR(__xludf.DUMMYFUNCTION("""COMPUTED_VALUE"""),"266834274")</f>
        <v>266834274</v>
      </c>
      <c r="D69" s="50" t="str">
        <f>IFERROR(__xludf.DUMMYFUNCTION("""COMPUTED_VALUE"""),"107262")</f>
        <v>107262</v>
      </c>
      <c r="E69" s="50" t="str">
        <f>IFERROR(__xludf.DUMMYFUNCTION("""COMPUTED_VALUE"""),"8177617")</f>
        <v>8177617</v>
      </c>
      <c r="F69" s="51" t="str">
        <f>IFERROR(__xludf.DUMMYFUNCTION("""COMPUTED_VALUE"""),"BAU")</f>
        <v>BAU</v>
      </c>
      <c r="G69" s="51" t="str">
        <f>IFERROR(__xludf.DUMMYFUNCTION("""COMPUTED_VALUE"""),"M.F. INFORMATICA")</f>
        <v>M.F. INFORMATICA</v>
      </c>
      <c r="H69" s="51" t="str">
        <f>IFERROR(__xludf.DUMMYFUNCTION("""COMPUTED_VALUE"""),"DATEN TECNOLOGIA")</f>
        <v>DATEN TECNOLOGIA</v>
      </c>
      <c r="I69" s="51" t="str">
        <f>IFERROR(__xludf.DUMMYFUNCTION("""COMPUTED_VALUE"""),"CIF")</f>
        <v>CIF</v>
      </c>
      <c r="J69" s="49">
        <f>IFERROR(__xludf.DUMMYFUNCTION("""COMPUTED_VALUE"""),46321.0)</f>
        <v>46321</v>
      </c>
      <c r="K69" s="51">
        <f>IFERROR(__xludf.DUMMYFUNCTION("""COMPUTED_VALUE"""),10.0)</f>
        <v>10</v>
      </c>
      <c r="L69" s="51">
        <f>IFERROR(__xludf.DUMMYFUNCTION("""COMPUTED_VALUE"""),2.0)</f>
        <v>2</v>
      </c>
      <c r="M69" s="52">
        <f>IFERROR(__xludf.DUMMYFUNCTION("""COMPUTED_VALUE"""),127.64)</f>
        <v>127.64</v>
      </c>
      <c r="N69" s="51" t="str">
        <f>IFERROR(__xludf.DUMMYFUNCTION("""COMPUTED_VALUE"""),"AUTORIZADO")</f>
        <v>AUTORIZADO</v>
      </c>
      <c r="O69" s="51" t="str">
        <f>IFERROR(__xludf.DUMMYFUNCTION("""COMPUTED_VALUE"""),"(sem célula)")</f>
        <v>(sem célula)</v>
      </c>
      <c r="P69" s="25"/>
    </row>
    <row r="70">
      <c r="A70" s="25"/>
      <c r="B70" s="49">
        <f>IFERROR(__xludf.DUMMYFUNCTION("""COMPUTED_VALUE"""),46304.0)</f>
        <v>46304</v>
      </c>
      <c r="C70" s="50" t="str">
        <f>IFERROR(__xludf.DUMMYFUNCTION("""COMPUTED_VALUE"""),"266834270")</f>
        <v>266834270</v>
      </c>
      <c r="D70" s="50" t="str">
        <f>IFERROR(__xludf.DUMMYFUNCTION("""COMPUTED_VALUE"""),"107255, 107256, 107261")</f>
        <v>107255, 107256, 107261</v>
      </c>
      <c r="E70" s="50" t="str">
        <f>IFERROR(__xludf.DUMMYFUNCTION("""COMPUTED_VALUE"""),"8177616")</f>
        <v>8177616</v>
      </c>
      <c r="F70" s="51" t="str">
        <f>IFERROR(__xludf.DUMMYFUNCTION("""COMPUTED_VALUE"""),"BHZ")</f>
        <v>BHZ</v>
      </c>
      <c r="G70" s="51" t="str">
        <f>IFERROR(__xludf.DUMMYFUNCTION("""COMPUTED_VALUE"""),"MOISEIS DA FONSECA LOPES 03704723657")</f>
        <v>MOISEIS DA FONSECA LOPES 03704723657</v>
      </c>
      <c r="H70" s="51" t="str">
        <f>IFERROR(__xludf.DUMMYFUNCTION("""COMPUTED_VALUE"""),"DATEN TECNOLOGIA")</f>
        <v>DATEN TECNOLOGIA</v>
      </c>
      <c r="I70" s="51" t="str">
        <f>IFERROR(__xludf.DUMMYFUNCTION("""COMPUTED_VALUE"""),"CIF")</f>
        <v>CIF</v>
      </c>
      <c r="J70" s="49">
        <f>IFERROR(__xludf.DUMMYFUNCTION("""COMPUTED_VALUE"""),46321.0)</f>
        <v>46321</v>
      </c>
      <c r="K70" s="51">
        <f>IFERROR(__xludf.DUMMYFUNCTION("""COMPUTED_VALUE"""),10.0)</f>
        <v>10</v>
      </c>
      <c r="L70" s="51">
        <f>IFERROR(__xludf.DUMMYFUNCTION("""COMPUTED_VALUE"""),2.0)</f>
        <v>2</v>
      </c>
      <c r="M70" s="52">
        <f>IFERROR(__xludf.DUMMYFUNCTION("""COMPUTED_VALUE"""),118.41)</f>
        <v>118.41</v>
      </c>
      <c r="N70" s="51" t="str">
        <f>IFERROR(__xludf.DUMMYFUNCTION("""COMPUTED_VALUE"""),"AUTORIZADO")</f>
        <v>AUTORIZADO</v>
      </c>
      <c r="O70" s="51" t="str">
        <f>IFERROR(__xludf.DUMMYFUNCTION("""COMPUTED_VALUE"""),"(sem célula)")</f>
        <v>(sem célula)</v>
      </c>
      <c r="P70" s="25"/>
    </row>
    <row r="71">
      <c r="A71" s="25"/>
      <c r="B71" s="49">
        <f>IFERROR(__xludf.DUMMYFUNCTION("""COMPUTED_VALUE"""),46304.0)</f>
        <v>46304</v>
      </c>
      <c r="C71" s="50" t="str">
        <f>IFERROR(__xludf.DUMMYFUNCTION("""COMPUTED_VALUE"""),"266834268")</f>
        <v>266834268</v>
      </c>
      <c r="D71" s="50" t="str">
        <f>IFERROR(__xludf.DUMMYFUNCTION("""COMPUTED_VALUE"""),"107254, 107258")</f>
        <v>107254, 107258</v>
      </c>
      <c r="E71" s="50" t="str">
        <f>IFERROR(__xludf.DUMMYFUNCTION("""COMPUTED_VALUE"""),"8177622")</f>
        <v>8177622</v>
      </c>
      <c r="F71" s="51" t="str">
        <f>IFERROR(__xludf.DUMMYFUNCTION("""COMPUTED_VALUE"""),"BSB")</f>
        <v>BSB</v>
      </c>
      <c r="G71" s="51" t="str">
        <f>IFERROR(__xludf.DUMMYFUNCTION("""COMPUTED_VALUE"""),"FERNANDO JOSE FERNANDES FILHO 0066122988")</f>
        <v>FERNANDO JOSE FERNANDES FILHO 0066122988</v>
      </c>
      <c r="H71" s="51" t="str">
        <f>IFERROR(__xludf.DUMMYFUNCTION("""COMPUTED_VALUE"""),"DATEN TECNOLOGIA")</f>
        <v>DATEN TECNOLOGIA</v>
      </c>
      <c r="I71" s="51" t="str">
        <f>IFERROR(__xludf.DUMMYFUNCTION("""COMPUTED_VALUE"""),"CIF")</f>
        <v>CIF</v>
      </c>
      <c r="J71" s="49">
        <f>IFERROR(__xludf.DUMMYFUNCTION("""COMPUTED_VALUE"""),46321.0)</f>
        <v>46321</v>
      </c>
      <c r="K71" s="51">
        <f>IFERROR(__xludf.DUMMYFUNCTION("""COMPUTED_VALUE"""),10.0)</f>
        <v>10</v>
      </c>
      <c r="L71" s="51">
        <f>IFERROR(__xludf.DUMMYFUNCTION("""COMPUTED_VALUE"""),1.0)</f>
        <v>1</v>
      </c>
      <c r="M71" s="52">
        <f>IFERROR(__xludf.DUMMYFUNCTION("""COMPUTED_VALUE"""),122.47)</f>
        <v>122.47</v>
      </c>
      <c r="N71" s="51" t="str">
        <f>IFERROR(__xludf.DUMMYFUNCTION("""COMPUTED_VALUE"""),"AUTORIZADO")</f>
        <v>AUTORIZADO</v>
      </c>
      <c r="O71" s="51" t="str">
        <f>IFERROR(__xludf.DUMMYFUNCTION("""COMPUTED_VALUE"""),"(sem célula)")</f>
        <v>(sem célula)</v>
      </c>
      <c r="P71" s="25"/>
    </row>
    <row r="72">
      <c r="A72" s="25"/>
      <c r="B72" s="49">
        <f>IFERROR(__xludf.DUMMYFUNCTION("""COMPUTED_VALUE"""),46304.0)</f>
        <v>46304</v>
      </c>
      <c r="C72" s="50" t="str">
        <f>IFERROR(__xludf.DUMMYFUNCTION("""COMPUTED_VALUE"""),"266834265")</f>
        <v>266834265</v>
      </c>
      <c r="D72" s="50" t="str">
        <f>IFERROR(__xludf.DUMMYFUNCTION("""COMPUTED_VALUE"""),"107277")</f>
        <v>107277</v>
      </c>
      <c r="E72" s="50" t="str">
        <f>IFERROR(__xludf.DUMMYFUNCTION("""COMPUTED_VALUE"""),"8177620")</f>
        <v>8177620</v>
      </c>
      <c r="F72" s="51" t="str">
        <f>IFERROR(__xludf.DUMMYFUNCTION("""COMPUTED_VALUE"""),"BUQ")</f>
        <v>BUQ</v>
      </c>
      <c r="G72" s="51" t="str">
        <f>IFERROR(__xludf.DUMMYFUNCTION("""COMPUTED_VALUE"""),"MCE MONTAGEM")</f>
        <v>MCE MONTAGEM</v>
      </c>
      <c r="H72" s="51" t="str">
        <f>IFERROR(__xludf.DUMMYFUNCTION("""COMPUTED_VALUE"""),"DATEN TECNOLOGIA")</f>
        <v>DATEN TECNOLOGIA</v>
      </c>
      <c r="I72" s="51" t="str">
        <f>IFERROR(__xludf.DUMMYFUNCTION("""COMPUTED_VALUE"""),"CIF")</f>
        <v>CIF</v>
      </c>
      <c r="J72" s="49">
        <f>IFERROR(__xludf.DUMMYFUNCTION("""COMPUTED_VALUE"""),46323.0)</f>
        <v>46323</v>
      </c>
      <c r="K72" s="51">
        <f>IFERROR(__xludf.DUMMYFUNCTION("""COMPUTED_VALUE"""),12.0)</f>
        <v>12</v>
      </c>
      <c r="L72" s="51">
        <f>IFERROR(__xludf.DUMMYFUNCTION("""COMPUTED_VALUE"""),1.0)</f>
        <v>1</v>
      </c>
      <c r="M72" s="52">
        <f>IFERROR(__xludf.DUMMYFUNCTION("""COMPUTED_VALUE"""),155.51)</f>
        <v>155.51</v>
      </c>
      <c r="N72" s="51" t="str">
        <f>IFERROR(__xludf.DUMMYFUNCTION("""COMPUTED_VALUE"""),"AUTORIZADO")</f>
        <v>AUTORIZADO</v>
      </c>
      <c r="O72" s="51" t="str">
        <f>IFERROR(__xludf.DUMMYFUNCTION("""COMPUTED_VALUE"""),"FSA-1")</f>
        <v>FSA-1</v>
      </c>
      <c r="P72" s="25"/>
    </row>
    <row r="73">
      <c r="A73" s="25"/>
      <c r="B73" s="49">
        <f>IFERROR(__xludf.DUMMYFUNCTION("""COMPUTED_VALUE"""),46304.0)</f>
        <v>46304</v>
      </c>
      <c r="C73" s="50" t="str">
        <f>IFERROR(__xludf.DUMMYFUNCTION("""COMPUTED_VALUE"""),"266834273")</f>
        <v>266834273</v>
      </c>
      <c r="D73" s="50" t="str">
        <f>IFERROR(__xludf.DUMMYFUNCTION("""COMPUTED_VALUE"""),"107259")</f>
        <v>107259</v>
      </c>
      <c r="E73" s="50" t="str">
        <f>IFERROR(__xludf.DUMMYFUNCTION("""COMPUTED_VALUE"""),"8177624")</f>
        <v>8177624</v>
      </c>
      <c r="F73" s="51" t="str">
        <f>IFERROR(__xludf.DUMMYFUNCTION("""COMPUTED_VALUE"""),"FSA")</f>
        <v>FSA</v>
      </c>
      <c r="G73" s="51" t="str">
        <f>IFERROR(__xludf.DUMMYFUNCTION("""COMPUTED_VALUE"""),"KONTTATO INFORMATICA LTDA")</f>
        <v>KONTTATO INFORMATICA LTDA</v>
      </c>
      <c r="H73" s="51" t="str">
        <f>IFERROR(__xludf.DUMMYFUNCTION("""COMPUTED_VALUE"""),"DATEN TECNOLOGIA")</f>
        <v>DATEN TECNOLOGIA</v>
      </c>
      <c r="I73" s="51" t="str">
        <f>IFERROR(__xludf.DUMMYFUNCTION("""COMPUTED_VALUE"""),"CIF")</f>
        <v>CIF</v>
      </c>
      <c r="J73" s="49">
        <f>IFERROR(__xludf.DUMMYFUNCTION("""COMPUTED_VALUE"""),46317.0)</f>
        <v>46317</v>
      </c>
      <c r="K73" s="51">
        <f>IFERROR(__xludf.DUMMYFUNCTION("""COMPUTED_VALUE"""),8.0)</f>
        <v>8</v>
      </c>
      <c r="L73" s="51">
        <f>IFERROR(__xludf.DUMMYFUNCTION("""COMPUTED_VALUE"""),1.0)</f>
        <v>1</v>
      </c>
      <c r="M73" s="52">
        <f>IFERROR(__xludf.DUMMYFUNCTION("""COMPUTED_VALUE"""),131.21)</f>
        <v>131.21</v>
      </c>
      <c r="N73" s="51" t="str">
        <f>IFERROR(__xludf.DUMMYFUNCTION("""COMPUTED_VALUE"""),"AUTORIZADO")</f>
        <v>AUTORIZADO</v>
      </c>
      <c r="O73" s="51" t="str">
        <f>IFERROR(__xludf.DUMMYFUNCTION("""COMPUTED_VALUE"""),"(sem célula)")</f>
        <v>(sem célula)</v>
      </c>
      <c r="P73" s="25"/>
    </row>
    <row r="74">
      <c r="A74" s="25"/>
      <c r="B74" s="49">
        <f>IFERROR(__xludf.DUMMYFUNCTION("""COMPUTED_VALUE"""),46304.0)</f>
        <v>46304</v>
      </c>
      <c r="C74" s="50" t="str">
        <f>IFERROR(__xludf.DUMMYFUNCTION("""COMPUTED_VALUE"""),"266834263")</f>
        <v>266834263</v>
      </c>
      <c r="D74" s="50" t="str">
        <f>IFERROR(__xludf.DUMMYFUNCTION("""COMPUTED_VALUE"""),"107278")</f>
        <v>107278</v>
      </c>
      <c r="E74" s="50" t="str">
        <f>IFERROR(__xludf.DUMMYFUNCTION("""COMPUTED_VALUE"""),"8177619")</f>
        <v>8177619</v>
      </c>
      <c r="F74" s="51" t="str">
        <f>IFERROR(__xludf.DUMMYFUNCTION("""COMPUTED_VALUE"""),"ITJ")</f>
        <v>ITJ</v>
      </c>
      <c r="G74" s="51" t="str">
        <f>IFERROR(__xludf.DUMMYFUNCTION("""COMPUTED_VALUE"""),"EDSON PLINIO")</f>
        <v>EDSON PLINIO</v>
      </c>
      <c r="H74" s="51" t="str">
        <f>IFERROR(__xludf.DUMMYFUNCTION("""COMPUTED_VALUE"""),"DATEN TECNOLOGIA")</f>
        <v>DATEN TECNOLOGIA</v>
      </c>
      <c r="I74" s="51" t="str">
        <f>IFERROR(__xludf.DUMMYFUNCTION("""COMPUTED_VALUE"""),"CIF")</f>
        <v>CIF</v>
      </c>
      <c r="J74" s="49">
        <f>IFERROR(__xludf.DUMMYFUNCTION("""COMPUTED_VALUE"""),46322.0)</f>
        <v>46322</v>
      </c>
      <c r="K74" s="51">
        <f>IFERROR(__xludf.DUMMYFUNCTION("""COMPUTED_VALUE"""),11.0)</f>
        <v>11</v>
      </c>
      <c r="L74" s="51">
        <f>IFERROR(__xludf.DUMMYFUNCTION("""COMPUTED_VALUE"""),1.0)</f>
        <v>1</v>
      </c>
      <c r="M74" s="52">
        <f>IFERROR(__xludf.DUMMYFUNCTION("""COMPUTED_VALUE"""),139.21)</f>
        <v>139.21</v>
      </c>
      <c r="N74" s="51" t="str">
        <f>IFERROR(__xludf.DUMMYFUNCTION("""COMPUTED_VALUE"""),"AUTORIZADO")</f>
        <v>AUTORIZADO</v>
      </c>
      <c r="O74" s="51" t="str">
        <f>IFERROR(__xludf.DUMMYFUNCTION("""COMPUTED_VALUE"""),"FSA-1")</f>
        <v>FSA-1</v>
      </c>
      <c r="P74" s="25"/>
    </row>
    <row r="75">
      <c r="A75" s="25"/>
      <c r="B75" s="49">
        <f>IFERROR(__xludf.DUMMYFUNCTION("""COMPUTED_VALUE"""),46304.0)</f>
        <v>46304</v>
      </c>
      <c r="C75" s="50" t="str">
        <f>IFERROR(__xludf.DUMMYFUNCTION("""COMPUTED_VALUE"""),"266834267")</f>
        <v>266834267</v>
      </c>
      <c r="D75" s="50" t="str">
        <f>IFERROR(__xludf.DUMMYFUNCTION("""COMPUTED_VALUE"""),"107225, 107253, 107260")</f>
        <v>107225, 107253, 107260</v>
      </c>
      <c r="E75" s="50" t="str">
        <f>IFERROR(__xludf.DUMMYFUNCTION("""COMPUTED_VALUE"""),"8177621")</f>
        <v>8177621</v>
      </c>
      <c r="F75" s="51" t="str">
        <f>IFERROR(__xludf.DUMMYFUNCTION("""COMPUTED_VALUE"""),"MCZ")</f>
        <v>MCZ</v>
      </c>
      <c r="G75" s="51" t="str">
        <f>IFERROR(__xludf.DUMMYFUNCTION("""COMPUTED_VALUE"""),"COMPUAL INFORMATICA")</f>
        <v>COMPUAL INFORMATICA</v>
      </c>
      <c r="H75" s="51" t="str">
        <f>IFERROR(__xludf.DUMMYFUNCTION("""COMPUTED_VALUE"""),"DATEN TECNOLOGIA")</f>
        <v>DATEN TECNOLOGIA</v>
      </c>
      <c r="I75" s="51" t="str">
        <f>IFERROR(__xludf.DUMMYFUNCTION("""COMPUTED_VALUE"""),"CIF")</f>
        <v>CIF</v>
      </c>
      <c r="J75" s="49">
        <f>IFERROR(__xludf.DUMMYFUNCTION("""COMPUTED_VALUE"""),46318.0)</f>
        <v>46318</v>
      </c>
      <c r="K75" s="51">
        <f>IFERROR(__xludf.DUMMYFUNCTION("""COMPUTED_VALUE"""),9.0)</f>
        <v>9</v>
      </c>
      <c r="L75" s="51">
        <f>IFERROR(__xludf.DUMMYFUNCTION("""COMPUTED_VALUE"""),3.0)</f>
        <v>3</v>
      </c>
      <c r="M75" s="52">
        <f>IFERROR(__xludf.DUMMYFUNCTION("""COMPUTED_VALUE"""),85.87)</f>
        <v>85.87</v>
      </c>
      <c r="N75" s="51" t="str">
        <f>IFERROR(__xludf.DUMMYFUNCTION("""COMPUTED_VALUE"""),"AUTORIZADO")</f>
        <v>AUTORIZADO</v>
      </c>
      <c r="O75" s="51" t="str">
        <f>IFERROR(__xludf.DUMMYFUNCTION("""COMPUTED_VALUE"""),"FSA-1")</f>
        <v>FSA-1</v>
      </c>
      <c r="P75" s="25"/>
    </row>
    <row r="76">
      <c r="A76" s="25"/>
      <c r="B76" s="49">
        <f>IFERROR(__xludf.DUMMYFUNCTION("""COMPUTED_VALUE"""),46304.0)</f>
        <v>46304</v>
      </c>
      <c r="C76" s="50" t="str">
        <f>IFERROR(__xludf.DUMMYFUNCTION("""COMPUTED_VALUE"""),"266834266")</f>
        <v>266834266</v>
      </c>
      <c r="D76" s="50" t="str">
        <f>IFERROR(__xludf.DUMMYFUNCTION("""COMPUTED_VALUE"""),"107242, 107275")</f>
        <v>107242, 107275</v>
      </c>
      <c r="E76" s="50" t="str">
        <f>IFERROR(__xludf.DUMMYFUNCTION("""COMPUTED_VALUE"""),"8177615")</f>
        <v>8177615</v>
      </c>
      <c r="F76" s="51" t="str">
        <f>IFERROR(__xludf.DUMMYFUNCTION("""COMPUTED_VALUE"""),"NAT")</f>
        <v>NAT</v>
      </c>
      <c r="G76" s="51" t="str">
        <f>IFERROR(__xludf.DUMMYFUNCTION("""COMPUTED_VALUE"""),"W SERVICOS E ASSIST TEC INFORM LTDA")</f>
        <v>W SERVICOS E ASSIST TEC INFORM LTDA</v>
      </c>
      <c r="H76" s="51" t="str">
        <f>IFERROR(__xludf.DUMMYFUNCTION("""COMPUTED_VALUE"""),"DATEN TECNOLOGIA")</f>
        <v>DATEN TECNOLOGIA</v>
      </c>
      <c r="I76" s="51" t="str">
        <f>IFERROR(__xludf.DUMMYFUNCTION("""COMPUTED_VALUE"""),"CIF")</f>
        <v>CIF</v>
      </c>
      <c r="J76" s="49">
        <f>IFERROR(__xludf.DUMMYFUNCTION("""COMPUTED_VALUE"""),46318.0)</f>
        <v>46318</v>
      </c>
      <c r="K76" s="51">
        <f>IFERROR(__xludf.DUMMYFUNCTION("""COMPUTED_VALUE"""),9.0)</f>
        <v>9</v>
      </c>
      <c r="L76" s="51">
        <f>IFERROR(__xludf.DUMMYFUNCTION("""COMPUTED_VALUE"""),2.0)</f>
        <v>2</v>
      </c>
      <c r="M76" s="52">
        <f>IFERROR(__xludf.DUMMYFUNCTION("""COMPUTED_VALUE"""),96.56)</f>
        <v>96.56</v>
      </c>
      <c r="N76" s="51" t="str">
        <f>IFERROR(__xludf.DUMMYFUNCTION("""COMPUTED_VALUE"""),"AUTORIZADO")</f>
        <v>AUTORIZADO</v>
      </c>
      <c r="O76" s="51" t="str">
        <f>IFERROR(__xludf.DUMMYFUNCTION("""COMPUTED_VALUE"""),"FSA-1")</f>
        <v>FSA-1</v>
      </c>
      <c r="P76" s="25"/>
    </row>
    <row r="77">
      <c r="A77" s="25"/>
      <c r="B77" s="49">
        <f>IFERROR(__xludf.DUMMYFUNCTION("""COMPUTED_VALUE"""),46304.0)</f>
        <v>46304</v>
      </c>
      <c r="C77" s="50" t="str">
        <f>IFERROR(__xludf.DUMMYFUNCTION("""COMPUTED_VALUE"""),"266834275")</f>
        <v>266834275</v>
      </c>
      <c r="D77" s="50" t="str">
        <f>IFERROR(__xludf.DUMMYFUNCTION("""COMPUTED_VALUE"""),"107263")</f>
        <v>107263</v>
      </c>
      <c r="E77" s="50" t="str">
        <f>IFERROR(__xludf.DUMMYFUNCTION("""COMPUTED_VALUE"""),"8177625")</f>
        <v>8177625</v>
      </c>
      <c r="F77" s="51" t="str">
        <f>IFERROR(__xludf.DUMMYFUNCTION("""COMPUTED_VALUE"""),"REC")</f>
        <v>REC</v>
      </c>
      <c r="G77" s="51" t="str">
        <f>IFERROR(__xludf.DUMMYFUNCTION("""COMPUTED_VALUE"""),"LUCAS RAMOS SILVA DE OLIVEIRA")</f>
        <v>LUCAS RAMOS SILVA DE OLIVEIRA</v>
      </c>
      <c r="H77" s="51" t="str">
        <f>IFERROR(__xludf.DUMMYFUNCTION("""COMPUTED_VALUE"""),"DATEN TECNOLOGIA")</f>
        <v>DATEN TECNOLOGIA</v>
      </c>
      <c r="I77" s="51" t="str">
        <f>IFERROR(__xludf.DUMMYFUNCTION("""COMPUTED_VALUE"""),"CIF")</f>
        <v>CIF</v>
      </c>
      <c r="J77" s="49">
        <f>IFERROR(__xludf.DUMMYFUNCTION("""COMPUTED_VALUE"""),46318.0)</f>
        <v>46318</v>
      </c>
      <c r="K77" s="51">
        <f>IFERROR(__xludf.DUMMYFUNCTION("""COMPUTED_VALUE"""),9.0)</f>
        <v>9</v>
      </c>
      <c r="L77" s="51">
        <f>IFERROR(__xludf.DUMMYFUNCTION("""COMPUTED_VALUE"""),1.0)</f>
        <v>1</v>
      </c>
      <c r="M77" s="52">
        <f>IFERROR(__xludf.DUMMYFUNCTION("""COMPUTED_VALUE"""),173.6)</f>
        <v>173.6</v>
      </c>
      <c r="N77" s="51" t="str">
        <f>IFERROR(__xludf.DUMMYFUNCTION("""COMPUTED_VALUE"""),"AUTORIZADO")</f>
        <v>AUTORIZADO</v>
      </c>
      <c r="O77" s="51" t="str">
        <f>IFERROR(__xludf.DUMMYFUNCTION("""COMPUTED_VALUE"""),"FSA-1")</f>
        <v>FSA-1</v>
      </c>
      <c r="P77" s="25"/>
    </row>
    <row r="78">
      <c r="A78" s="25"/>
      <c r="B78" s="49">
        <f>IFERROR(__xludf.DUMMYFUNCTION("""COMPUTED_VALUE"""),46304.0)</f>
        <v>46304</v>
      </c>
      <c r="C78" s="50" t="str">
        <f>IFERROR(__xludf.DUMMYFUNCTION("""COMPUTED_VALUE"""),"266834271")</f>
        <v>266834271</v>
      </c>
      <c r="D78" s="50" t="str">
        <f>IFERROR(__xludf.DUMMYFUNCTION("""COMPUTED_VALUE"""),"107257")</f>
        <v>107257</v>
      </c>
      <c r="E78" s="50" t="str">
        <f>IFERROR(__xludf.DUMMYFUNCTION("""COMPUTED_VALUE"""),"8177623")</f>
        <v>8177623</v>
      </c>
      <c r="F78" s="51" t="str">
        <f>IFERROR(__xludf.DUMMYFUNCTION("""COMPUTED_VALUE"""),"RIO")</f>
        <v>RIO</v>
      </c>
      <c r="G78" s="51" t="str">
        <f>IFERROR(__xludf.DUMMYFUNCTION("""COMPUTED_VALUE"""),"PRO 200 INFORMATICA LTDA")</f>
        <v>PRO 200 INFORMATICA LTDA</v>
      </c>
      <c r="H78" s="51" t="str">
        <f>IFERROR(__xludf.DUMMYFUNCTION("""COMPUTED_VALUE"""),"DATEN TECNOLOGIA")</f>
        <v>DATEN TECNOLOGIA</v>
      </c>
      <c r="I78" s="51" t="str">
        <f>IFERROR(__xludf.DUMMYFUNCTION("""COMPUTED_VALUE"""),"CIF")</f>
        <v>CIF</v>
      </c>
      <c r="J78" s="49">
        <f>IFERROR(__xludf.DUMMYFUNCTION("""COMPUTED_VALUE"""),46321.0)</f>
        <v>46321</v>
      </c>
      <c r="K78" s="51">
        <f>IFERROR(__xludf.DUMMYFUNCTION("""COMPUTED_VALUE"""),10.0)</f>
        <v>10</v>
      </c>
      <c r="L78" s="51">
        <f>IFERROR(__xludf.DUMMYFUNCTION("""COMPUTED_VALUE"""),1.0)</f>
        <v>1</v>
      </c>
      <c r="M78" s="52">
        <f>IFERROR(__xludf.DUMMYFUNCTION("""COMPUTED_VALUE"""),103.77)</f>
        <v>103.77</v>
      </c>
      <c r="N78" s="51" t="str">
        <f>IFERROR(__xludf.DUMMYFUNCTION("""COMPUTED_VALUE"""),"AUTORIZADO")</f>
        <v>AUTORIZADO</v>
      </c>
      <c r="O78" s="51" t="str">
        <f>IFERROR(__xludf.DUMMYFUNCTION("""COMPUTED_VALUE"""),"(sem célula)")</f>
        <v>(sem célula)</v>
      </c>
      <c r="P78" s="25"/>
    </row>
    <row r="79">
      <c r="A79" s="25"/>
      <c r="B79" s="49"/>
      <c r="C79" s="50"/>
      <c r="D79" s="50"/>
      <c r="E79" s="50"/>
      <c r="F79" s="51"/>
      <c r="G79" s="51"/>
      <c r="H79" s="51"/>
      <c r="I79" s="51"/>
      <c r="J79" s="49"/>
      <c r="K79" s="51"/>
      <c r="L79" s="51"/>
      <c r="M79" s="52"/>
      <c r="N79" s="51"/>
      <c r="O79" s="51"/>
      <c r="P79" s="25"/>
    </row>
    <row r="80">
      <c r="A80" s="25"/>
      <c r="B80" s="49"/>
      <c r="C80" s="50"/>
      <c r="D80" s="50"/>
      <c r="E80" s="50"/>
      <c r="F80" s="51"/>
      <c r="G80" s="51"/>
      <c r="H80" s="51"/>
      <c r="I80" s="51"/>
      <c r="J80" s="49"/>
      <c r="K80" s="51"/>
      <c r="L80" s="51"/>
      <c r="M80" s="52"/>
      <c r="N80" s="51"/>
      <c r="O80" s="51"/>
      <c r="P80" s="25"/>
    </row>
    <row r="81">
      <c r="A81" s="25"/>
      <c r="B81" s="49"/>
      <c r="C81" s="50"/>
      <c r="D81" s="50"/>
      <c r="E81" s="50"/>
      <c r="F81" s="51"/>
      <c r="G81" s="51"/>
      <c r="H81" s="51"/>
      <c r="I81" s="51"/>
      <c r="J81" s="49"/>
      <c r="K81" s="51"/>
      <c r="L81" s="51"/>
      <c r="M81" s="52"/>
      <c r="N81" s="51"/>
      <c r="O81" s="51"/>
      <c r="P81" s="25"/>
    </row>
    <row r="82">
      <c r="A82" s="25"/>
      <c r="B82" s="49"/>
      <c r="C82" s="50"/>
      <c r="D82" s="50"/>
      <c r="E82" s="50"/>
      <c r="F82" s="51"/>
      <c r="G82" s="51"/>
      <c r="H82" s="51"/>
      <c r="I82" s="51"/>
      <c r="J82" s="49"/>
      <c r="K82" s="51"/>
      <c r="L82" s="51"/>
      <c r="M82" s="52"/>
      <c r="N82" s="51"/>
      <c r="O82" s="51"/>
      <c r="P82" s="25"/>
    </row>
    <row r="83">
      <c r="A83" s="25"/>
      <c r="B83" s="49"/>
      <c r="C83" s="50"/>
      <c r="D83" s="50"/>
      <c r="E83" s="50"/>
      <c r="F83" s="51"/>
      <c r="G83" s="51"/>
      <c r="H83" s="51"/>
      <c r="I83" s="51"/>
      <c r="J83" s="49"/>
      <c r="K83" s="51"/>
      <c r="L83" s="51"/>
      <c r="M83" s="52"/>
      <c r="N83" s="51"/>
      <c r="O83" s="51"/>
      <c r="P83" s="25"/>
    </row>
    <row r="84">
      <c r="A84" s="25"/>
      <c r="B84" s="49"/>
      <c r="C84" s="50"/>
      <c r="D84" s="50"/>
      <c r="E84" s="50"/>
      <c r="F84" s="51"/>
      <c r="G84" s="51"/>
      <c r="H84" s="51"/>
      <c r="I84" s="51"/>
      <c r="J84" s="49"/>
      <c r="K84" s="51"/>
      <c r="L84" s="51"/>
      <c r="M84" s="52"/>
      <c r="N84" s="51"/>
      <c r="O84" s="51"/>
      <c r="P84" s="25"/>
    </row>
    <row r="85">
      <c r="A85" s="25"/>
      <c r="B85" s="49"/>
      <c r="C85" s="50"/>
      <c r="D85" s="50"/>
      <c r="E85" s="50"/>
      <c r="F85" s="51"/>
      <c r="G85" s="51"/>
      <c r="H85" s="51"/>
      <c r="I85" s="51"/>
      <c r="J85" s="49"/>
      <c r="K85" s="51"/>
      <c r="L85" s="51"/>
      <c r="M85" s="52"/>
      <c r="N85" s="51"/>
      <c r="O85" s="51"/>
      <c r="P85" s="25"/>
    </row>
    <row r="86">
      <c r="A86" s="25"/>
      <c r="B86" s="49"/>
      <c r="C86" s="50"/>
      <c r="D86" s="50"/>
      <c r="E86" s="50"/>
      <c r="F86" s="51"/>
      <c r="G86" s="51"/>
      <c r="H86" s="51"/>
      <c r="I86" s="51"/>
      <c r="J86" s="49"/>
      <c r="K86" s="51"/>
      <c r="L86" s="51"/>
      <c r="M86" s="52"/>
      <c r="N86" s="51"/>
      <c r="O86" s="51"/>
      <c r="P86" s="25"/>
    </row>
    <row r="87">
      <c r="A87" s="25"/>
      <c r="B87" s="49"/>
      <c r="C87" s="50"/>
      <c r="D87" s="50"/>
      <c r="E87" s="50"/>
      <c r="F87" s="51"/>
      <c r="G87" s="51"/>
      <c r="H87" s="51"/>
      <c r="I87" s="51"/>
      <c r="J87" s="49"/>
      <c r="K87" s="51"/>
      <c r="L87" s="51"/>
      <c r="M87" s="52"/>
      <c r="N87" s="51"/>
      <c r="O87" s="51"/>
      <c r="P87" s="25"/>
    </row>
    <row r="88">
      <c r="A88" s="25"/>
      <c r="B88" s="49"/>
      <c r="C88" s="50"/>
      <c r="D88" s="50"/>
      <c r="E88" s="50"/>
      <c r="F88" s="51"/>
      <c r="G88" s="51"/>
      <c r="H88" s="51"/>
      <c r="I88" s="51"/>
      <c r="J88" s="49"/>
      <c r="K88" s="51"/>
      <c r="L88" s="51"/>
      <c r="M88" s="52"/>
      <c r="N88" s="51"/>
      <c r="O88" s="51"/>
      <c r="P88" s="25"/>
    </row>
    <row r="89">
      <c r="A89" s="25"/>
      <c r="B89" s="49"/>
      <c r="C89" s="50"/>
      <c r="D89" s="50"/>
      <c r="E89" s="50"/>
      <c r="F89" s="51"/>
      <c r="G89" s="51"/>
      <c r="H89" s="51"/>
      <c r="I89" s="51"/>
      <c r="J89" s="49"/>
      <c r="K89" s="51"/>
      <c r="L89" s="51"/>
      <c r="M89" s="52"/>
      <c r="N89" s="51"/>
      <c r="O89" s="51"/>
      <c r="P89" s="25"/>
    </row>
    <row r="90">
      <c r="A90" s="25"/>
      <c r="B90" s="49"/>
      <c r="C90" s="50"/>
      <c r="D90" s="50"/>
      <c r="E90" s="50"/>
      <c r="F90" s="51"/>
      <c r="G90" s="51"/>
      <c r="H90" s="51"/>
      <c r="I90" s="51"/>
      <c r="J90" s="49"/>
      <c r="K90" s="51"/>
      <c r="L90" s="51"/>
      <c r="M90" s="52"/>
      <c r="N90" s="51"/>
      <c r="O90" s="51"/>
      <c r="P90" s="25"/>
    </row>
    <row r="91">
      <c r="A91" s="25"/>
      <c r="B91" s="49"/>
      <c r="C91" s="50"/>
      <c r="D91" s="50"/>
      <c r="E91" s="50"/>
      <c r="F91" s="51"/>
      <c r="G91" s="51"/>
      <c r="H91" s="51"/>
      <c r="I91" s="51"/>
      <c r="J91" s="49"/>
      <c r="K91" s="51"/>
      <c r="L91" s="51"/>
      <c r="M91" s="52"/>
      <c r="N91" s="51"/>
      <c r="O91" s="51"/>
      <c r="P91" s="25"/>
    </row>
    <row r="92">
      <c r="A92" s="25"/>
      <c r="B92" s="49"/>
      <c r="C92" s="50"/>
      <c r="D92" s="50"/>
      <c r="E92" s="50"/>
      <c r="F92" s="51"/>
      <c r="G92" s="51"/>
      <c r="H92" s="51"/>
      <c r="I92" s="51"/>
      <c r="J92" s="49"/>
      <c r="K92" s="51"/>
      <c r="L92" s="51"/>
      <c r="M92" s="52"/>
      <c r="N92" s="51"/>
      <c r="O92" s="51"/>
      <c r="P92" s="25"/>
    </row>
    <row r="93">
      <c r="A93" s="25"/>
      <c r="B93" s="49"/>
      <c r="C93" s="50"/>
      <c r="D93" s="50"/>
      <c r="E93" s="50"/>
      <c r="F93" s="51"/>
      <c r="G93" s="51"/>
      <c r="H93" s="51"/>
      <c r="I93" s="51"/>
      <c r="J93" s="49"/>
      <c r="K93" s="51"/>
      <c r="L93" s="51"/>
      <c r="M93" s="52"/>
      <c r="N93" s="51"/>
      <c r="O93" s="51"/>
      <c r="P93" s="25"/>
    </row>
    <row r="94">
      <c r="A94" s="25"/>
      <c r="B94" s="49"/>
      <c r="C94" s="50"/>
      <c r="D94" s="50"/>
      <c r="E94" s="50"/>
      <c r="F94" s="51"/>
      <c r="G94" s="51"/>
      <c r="H94" s="51"/>
      <c r="I94" s="51"/>
      <c r="J94" s="49"/>
      <c r="K94" s="51"/>
      <c r="L94" s="51"/>
      <c r="M94" s="52"/>
      <c r="N94" s="51"/>
      <c r="O94" s="51"/>
      <c r="P94" s="25"/>
    </row>
    <row r="95">
      <c r="A95" s="25"/>
      <c r="B95" s="49"/>
      <c r="C95" s="50"/>
      <c r="D95" s="50"/>
      <c r="E95" s="50"/>
      <c r="F95" s="51"/>
      <c r="G95" s="51"/>
      <c r="H95" s="51"/>
      <c r="I95" s="51"/>
      <c r="J95" s="49"/>
      <c r="K95" s="51"/>
      <c r="L95" s="51"/>
      <c r="M95" s="52"/>
      <c r="N95" s="51"/>
      <c r="O95" s="51"/>
      <c r="P95" s="25"/>
    </row>
    <row r="96">
      <c r="A96" s="25"/>
      <c r="B96" s="49"/>
      <c r="C96" s="50"/>
      <c r="D96" s="50"/>
      <c r="E96" s="50"/>
      <c r="F96" s="51"/>
      <c r="G96" s="51"/>
      <c r="H96" s="51"/>
      <c r="I96" s="51"/>
      <c r="J96" s="49"/>
      <c r="K96" s="51"/>
      <c r="L96" s="51"/>
      <c r="M96" s="52"/>
      <c r="N96" s="51"/>
      <c r="O96" s="51"/>
      <c r="P96" s="25"/>
    </row>
    <row r="97">
      <c r="A97" s="25"/>
      <c r="B97" s="49"/>
      <c r="C97" s="50"/>
      <c r="D97" s="50"/>
      <c r="E97" s="50"/>
      <c r="F97" s="51"/>
      <c r="G97" s="51"/>
      <c r="H97" s="51"/>
      <c r="I97" s="51"/>
      <c r="J97" s="49"/>
      <c r="K97" s="51"/>
      <c r="L97" s="51"/>
      <c r="M97" s="52"/>
      <c r="N97" s="51"/>
      <c r="O97" s="51"/>
      <c r="P97" s="25"/>
    </row>
    <row r="98">
      <c r="A98" s="25"/>
      <c r="B98" s="49"/>
      <c r="C98" s="50"/>
      <c r="D98" s="50"/>
      <c r="E98" s="50"/>
      <c r="F98" s="51"/>
      <c r="G98" s="51"/>
      <c r="H98" s="51"/>
      <c r="I98" s="51"/>
      <c r="J98" s="49"/>
      <c r="K98" s="51"/>
      <c r="L98" s="51"/>
      <c r="M98" s="52"/>
      <c r="N98" s="51"/>
      <c r="O98" s="51"/>
      <c r="P98" s="25"/>
    </row>
    <row r="99">
      <c r="A99" s="25"/>
      <c r="B99" s="49"/>
      <c r="C99" s="50"/>
      <c r="D99" s="50"/>
      <c r="E99" s="50"/>
      <c r="F99" s="51"/>
      <c r="G99" s="51"/>
      <c r="H99" s="51"/>
      <c r="I99" s="51"/>
      <c r="J99" s="49"/>
      <c r="K99" s="51"/>
      <c r="L99" s="51"/>
      <c r="M99" s="52"/>
      <c r="N99" s="51"/>
      <c r="O99" s="51"/>
      <c r="P99" s="25"/>
    </row>
    <row r="100">
      <c r="A100" s="25"/>
      <c r="B100" s="49"/>
      <c r="C100" s="50"/>
      <c r="D100" s="50"/>
      <c r="E100" s="50"/>
      <c r="F100" s="51"/>
      <c r="G100" s="51"/>
      <c r="H100" s="51"/>
      <c r="I100" s="51"/>
      <c r="J100" s="49"/>
      <c r="K100" s="51"/>
      <c r="L100" s="51"/>
      <c r="M100" s="52"/>
      <c r="N100" s="51"/>
      <c r="O100" s="51"/>
      <c r="P100" s="25"/>
    </row>
    <row r="101">
      <c r="A101" s="25"/>
      <c r="B101" s="49"/>
      <c r="C101" s="50"/>
      <c r="D101" s="50"/>
      <c r="E101" s="50"/>
      <c r="F101" s="51"/>
      <c r="G101" s="51"/>
      <c r="H101" s="51"/>
      <c r="I101" s="51"/>
      <c r="J101" s="49"/>
      <c r="K101" s="51"/>
      <c r="L101" s="51"/>
      <c r="M101" s="52"/>
      <c r="N101" s="51"/>
      <c r="O101" s="51"/>
      <c r="P101" s="25"/>
    </row>
    <row r="102">
      <c r="A102" s="25"/>
      <c r="B102" s="49"/>
      <c r="C102" s="50"/>
      <c r="D102" s="50"/>
      <c r="E102" s="50"/>
      <c r="F102" s="51"/>
      <c r="G102" s="51"/>
      <c r="H102" s="51"/>
      <c r="I102" s="51"/>
      <c r="J102" s="49"/>
      <c r="K102" s="51"/>
      <c r="L102" s="51"/>
      <c r="M102" s="52"/>
      <c r="N102" s="51"/>
      <c r="O102" s="51"/>
      <c r="P102" s="25"/>
    </row>
    <row r="103">
      <c r="A103" s="25"/>
      <c r="B103" s="49"/>
      <c r="C103" s="50"/>
      <c r="D103" s="50"/>
      <c r="E103" s="50"/>
      <c r="F103" s="51"/>
      <c r="G103" s="51"/>
      <c r="H103" s="51"/>
      <c r="I103" s="51"/>
      <c r="J103" s="49"/>
      <c r="K103" s="51"/>
      <c r="L103" s="51"/>
      <c r="M103" s="52"/>
      <c r="N103" s="51"/>
      <c r="O103" s="51"/>
      <c r="P103" s="25"/>
    </row>
    <row r="104">
      <c r="A104" s="25"/>
      <c r="B104" s="49"/>
      <c r="C104" s="50"/>
      <c r="D104" s="50"/>
      <c r="E104" s="50"/>
      <c r="F104" s="51"/>
      <c r="G104" s="51"/>
      <c r="H104" s="51"/>
      <c r="I104" s="51"/>
      <c r="J104" s="49"/>
      <c r="K104" s="51"/>
      <c r="L104" s="51"/>
      <c r="M104" s="52"/>
      <c r="N104" s="51"/>
      <c r="O104" s="51"/>
      <c r="P104" s="25"/>
    </row>
    <row r="105">
      <c r="A105" s="25"/>
      <c r="B105" s="49"/>
      <c r="C105" s="50"/>
      <c r="D105" s="50"/>
      <c r="E105" s="50"/>
      <c r="F105" s="51"/>
      <c r="G105" s="51"/>
      <c r="H105" s="51"/>
      <c r="I105" s="51"/>
      <c r="J105" s="49"/>
      <c r="K105" s="51"/>
      <c r="L105" s="51"/>
      <c r="M105" s="52"/>
      <c r="N105" s="51"/>
      <c r="O105" s="51"/>
      <c r="P105" s="25"/>
    </row>
    <row r="106">
      <c r="A106" s="25"/>
      <c r="B106" s="49"/>
      <c r="C106" s="50"/>
      <c r="D106" s="50"/>
      <c r="E106" s="50"/>
      <c r="F106" s="51"/>
      <c r="G106" s="51"/>
      <c r="H106" s="51"/>
      <c r="I106" s="51"/>
      <c r="J106" s="49"/>
      <c r="K106" s="51"/>
      <c r="L106" s="51"/>
      <c r="M106" s="52"/>
      <c r="N106" s="51"/>
      <c r="O106" s="51"/>
      <c r="P106" s="25"/>
    </row>
    <row r="107">
      <c r="A107" s="25"/>
      <c r="B107" s="49"/>
      <c r="C107" s="50"/>
      <c r="D107" s="50"/>
      <c r="E107" s="50"/>
      <c r="F107" s="51"/>
      <c r="G107" s="51"/>
      <c r="H107" s="51"/>
      <c r="I107" s="51"/>
      <c r="J107" s="49"/>
      <c r="K107" s="51"/>
      <c r="L107" s="51"/>
      <c r="M107" s="52"/>
      <c r="N107" s="51"/>
      <c r="O107" s="51"/>
      <c r="P107" s="25"/>
    </row>
    <row r="108">
      <c r="A108" s="25"/>
      <c r="B108" s="49"/>
      <c r="C108" s="50"/>
      <c r="D108" s="50"/>
      <c r="E108" s="50"/>
      <c r="F108" s="51"/>
      <c r="G108" s="51"/>
      <c r="H108" s="51"/>
      <c r="I108" s="51"/>
      <c r="J108" s="49"/>
      <c r="K108" s="51"/>
      <c r="L108" s="51"/>
      <c r="M108" s="52"/>
      <c r="N108" s="51"/>
      <c r="O108" s="51"/>
      <c r="P108" s="25"/>
    </row>
    <row r="109">
      <c r="A109" s="25"/>
      <c r="B109" s="49"/>
      <c r="C109" s="50"/>
      <c r="D109" s="50"/>
      <c r="E109" s="50"/>
      <c r="F109" s="51"/>
      <c r="G109" s="51"/>
      <c r="H109" s="51"/>
      <c r="I109" s="51"/>
      <c r="J109" s="49"/>
      <c r="K109" s="51"/>
      <c r="L109" s="51"/>
      <c r="M109" s="52"/>
      <c r="N109" s="51"/>
      <c r="O109" s="51"/>
      <c r="P109" s="25"/>
    </row>
    <row r="110">
      <c r="A110" s="25"/>
      <c r="B110" s="49"/>
      <c r="C110" s="50"/>
      <c r="D110" s="50"/>
      <c r="E110" s="50"/>
      <c r="F110" s="51"/>
      <c r="G110" s="51"/>
      <c r="H110" s="51"/>
      <c r="I110" s="51"/>
      <c r="J110" s="49"/>
      <c r="K110" s="51"/>
      <c r="L110" s="51"/>
      <c r="M110" s="52"/>
      <c r="N110" s="51"/>
      <c r="O110" s="51"/>
      <c r="P110" s="25"/>
    </row>
    <row r="111">
      <c r="A111" s="25"/>
      <c r="B111" s="49"/>
      <c r="C111" s="50"/>
      <c r="D111" s="50"/>
      <c r="E111" s="50"/>
      <c r="F111" s="51"/>
      <c r="G111" s="51"/>
      <c r="H111" s="51"/>
      <c r="I111" s="51"/>
      <c r="J111" s="49"/>
      <c r="K111" s="51"/>
      <c r="L111" s="51"/>
      <c r="M111" s="52"/>
      <c r="N111" s="51"/>
      <c r="O111" s="51"/>
      <c r="P111" s="25"/>
    </row>
    <row r="112">
      <c r="A112" s="25"/>
      <c r="B112" s="49"/>
      <c r="C112" s="50"/>
      <c r="D112" s="50"/>
      <c r="E112" s="50"/>
      <c r="F112" s="51"/>
      <c r="G112" s="51"/>
      <c r="H112" s="51"/>
      <c r="I112" s="51"/>
      <c r="J112" s="49"/>
      <c r="K112" s="51"/>
      <c r="L112" s="51"/>
      <c r="M112" s="52"/>
      <c r="N112" s="51"/>
      <c r="O112" s="51"/>
      <c r="P112" s="25"/>
    </row>
    <row r="113">
      <c r="A113" s="25"/>
      <c r="B113" s="49"/>
      <c r="C113" s="50"/>
      <c r="D113" s="50"/>
      <c r="E113" s="50"/>
      <c r="F113" s="51"/>
      <c r="G113" s="51"/>
      <c r="H113" s="51"/>
      <c r="I113" s="51"/>
      <c r="J113" s="49"/>
      <c r="K113" s="51"/>
      <c r="L113" s="51"/>
      <c r="M113" s="52"/>
      <c r="N113" s="51"/>
      <c r="O113" s="51"/>
      <c r="P113" s="25"/>
    </row>
    <row r="114">
      <c r="A114" s="25"/>
      <c r="B114" s="49"/>
      <c r="C114" s="50"/>
      <c r="D114" s="50"/>
      <c r="E114" s="50"/>
      <c r="F114" s="51"/>
      <c r="G114" s="51"/>
      <c r="H114" s="51"/>
      <c r="I114" s="51"/>
      <c r="J114" s="49"/>
      <c r="K114" s="51"/>
      <c r="L114" s="51"/>
      <c r="M114" s="52"/>
      <c r="N114" s="51"/>
      <c r="O114" s="51"/>
      <c r="P114" s="25"/>
    </row>
    <row r="115">
      <c r="A115" s="25"/>
      <c r="B115" s="49"/>
      <c r="C115" s="50"/>
      <c r="D115" s="50"/>
      <c r="E115" s="50"/>
      <c r="F115" s="51"/>
      <c r="G115" s="51"/>
      <c r="H115" s="51"/>
      <c r="I115" s="51"/>
      <c r="J115" s="49"/>
      <c r="K115" s="51"/>
      <c r="L115" s="51"/>
      <c r="M115" s="52"/>
      <c r="N115" s="51"/>
      <c r="O115" s="51"/>
      <c r="P115" s="25"/>
    </row>
    <row r="116">
      <c r="A116" s="25"/>
      <c r="B116" s="49"/>
      <c r="C116" s="50"/>
      <c r="D116" s="50"/>
      <c r="E116" s="50"/>
      <c r="F116" s="51"/>
      <c r="G116" s="51"/>
      <c r="H116" s="51"/>
      <c r="I116" s="51"/>
      <c r="J116" s="49"/>
      <c r="K116" s="51"/>
      <c r="L116" s="51"/>
      <c r="M116" s="52"/>
      <c r="N116" s="51"/>
      <c r="O116" s="51"/>
      <c r="P116" s="25"/>
    </row>
    <row r="117">
      <c r="A117" s="25"/>
      <c r="B117" s="49"/>
      <c r="C117" s="50"/>
      <c r="D117" s="50"/>
      <c r="E117" s="50"/>
      <c r="F117" s="51"/>
      <c r="G117" s="51"/>
      <c r="H117" s="51"/>
      <c r="I117" s="51"/>
      <c r="J117" s="49"/>
      <c r="K117" s="51"/>
      <c r="L117" s="51"/>
      <c r="M117" s="52"/>
      <c r="N117" s="51"/>
      <c r="O117" s="51"/>
      <c r="P117" s="25"/>
    </row>
    <row r="118">
      <c r="A118" s="25"/>
      <c r="B118" s="49"/>
      <c r="C118" s="50"/>
      <c r="D118" s="50"/>
      <c r="E118" s="50"/>
      <c r="F118" s="51"/>
      <c r="G118" s="51"/>
      <c r="H118" s="51"/>
      <c r="I118" s="51"/>
      <c r="J118" s="49"/>
      <c r="K118" s="51"/>
      <c r="L118" s="51"/>
      <c r="M118" s="52"/>
      <c r="N118" s="51"/>
      <c r="O118" s="51"/>
      <c r="P118" s="25"/>
    </row>
    <row r="119">
      <c r="A119" s="25"/>
      <c r="B119" s="49"/>
      <c r="C119" s="50"/>
      <c r="D119" s="50"/>
      <c r="E119" s="50"/>
      <c r="F119" s="51"/>
      <c r="G119" s="51"/>
      <c r="H119" s="51"/>
      <c r="I119" s="51"/>
      <c r="J119" s="49"/>
      <c r="K119" s="51"/>
      <c r="L119" s="51"/>
      <c r="M119" s="52"/>
      <c r="N119" s="51"/>
      <c r="O119" s="51"/>
      <c r="P119" s="25"/>
    </row>
    <row r="120">
      <c r="A120" s="25"/>
      <c r="B120" s="49"/>
      <c r="C120" s="50"/>
      <c r="D120" s="50"/>
      <c r="E120" s="50"/>
      <c r="F120" s="51"/>
      <c r="G120" s="51"/>
      <c r="H120" s="51"/>
      <c r="I120" s="51"/>
      <c r="J120" s="49"/>
      <c r="K120" s="51"/>
      <c r="L120" s="51"/>
      <c r="M120" s="52"/>
      <c r="N120" s="51"/>
      <c r="O120" s="51"/>
      <c r="P120" s="25"/>
    </row>
    <row r="121">
      <c r="A121" s="25"/>
      <c r="B121" s="49"/>
      <c r="C121" s="50"/>
      <c r="D121" s="50"/>
      <c r="E121" s="50"/>
      <c r="F121" s="51"/>
      <c r="G121" s="51"/>
      <c r="H121" s="51"/>
      <c r="I121" s="51"/>
      <c r="J121" s="49"/>
      <c r="K121" s="51"/>
      <c r="L121" s="51"/>
      <c r="M121" s="52"/>
      <c r="N121" s="51"/>
      <c r="O121" s="51"/>
      <c r="P121" s="25"/>
    </row>
    <row r="122">
      <c r="A122" s="25"/>
      <c r="B122" s="49"/>
      <c r="C122" s="50"/>
      <c r="D122" s="50"/>
      <c r="E122" s="50"/>
      <c r="F122" s="51"/>
      <c r="G122" s="51"/>
      <c r="H122" s="51"/>
      <c r="I122" s="51"/>
      <c r="J122" s="49"/>
      <c r="K122" s="51"/>
      <c r="L122" s="51"/>
      <c r="M122" s="52"/>
      <c r="N122" s="51"/>
      <c r="O122" s="51"/>
      <c r="P122" s="25"/>
    </row>
    <row r="123">
      <c r="A123" s="25"/>
      <c r="B123" s="49"/>
      <c r="C123" s="50"/>
      <c r="D123" s="50"/>
      <c r="E123" s="50"/>
      <c r="F123" s="51"/>
      <c r="G123" s="51"/>
      <c r="H123" s="51"/>
      <c r="I123" s="51"/>
      <c r="J123" s="49"/>
      <c r="K123" s="51"/>
      <c r="L123" s="51"/>
      <c r="M123" s="52"/>
      <c r="N123" s="51"/>
      <c r="O123" s="51"/>
      <c r="P123" s="25"/>
    </row>
    <row r="124">
      <c r="A124" s="25"/>
      <c r="B124" s="49"/>
      <c r="C124" s="50"/>
      <c r="D124" s="50"/>
      <c r="E124" s="50"/>
      <c r="F124" s="51"/>
      <c r="G124" s="51"/>
      <c r="H124" s="51"/>
      <c r="I124" s="51"/>
      <c r="J124" s="49"/>
      <c r="K124" s="51"/>
      <c r="L124" s="51"/>
      <c r="M124" s="52"/>
      <c r="N124" s="51"/>
      <c r="O124" s="51"/>
      <c r="P124" s="25"/>
    </row>
    <row r="125">
      <c r="A125" s="25"/>
      <c r="B125" s="49"/>
      <c r="C125" s="50"/>
      <c r="D125" s="50"/>
      <c r="E125" s="50"/>
      <c r="F125" s="51"/>
      <c r="G125" s="51"/>
      <c r="H125" s="51"/>
      <c r="I125" s="51"/>
      <c r="J125" s="49"/>
      <c r="K125" s="51"/>
      <c r="L125" s="51"/>
      <c r="M125" s="52"/>
      <c r="N125" s="51"/>
      <c r="O125" s="51"/>
      <c r="P125" s="25"/>
    </row>
    <row r="126">
      <c r="A126" s="25"/>
      <c r="B126" s="49"/>
      <c r="C126" s="50"/>
      <c r="D126" s="50"/>
      <c r="E126" s="50"/>
      <c r="F126" s="51"/>
      <c r="G126" s="51"/>
      <c r="H126" s="51"/>
      <c r="I126" s="51"/>
      <c r="J126" s="49"/>
      <c r="K126" s="51"/>
      <c r="L126" s="51"/>
      <c r="M126" s="52"/>
      <c r="N126" s="51"/>
      <c r="O126" s="51"/>
      <c r="P126" s="25"/>
    </row>
    <row r="127">
      <c r="A127" s="25"/>
      <c r="B127" s="49"/>
      <c r="C127" s="50"/>
      <c r="D127" s="50"/>
      <c r="E127" s="50"/>
      <c r="F127" s="51"/>
      <c r="G127" s="51"/>
      <c r="H127" s="51"/>
      <c r="I127" s="51"/>
      <c r="J127" s="49"/>
      <c r="K127" s="51"/>
      <c r="L127" s="51"/>
      <c r="M127" s="52"/>
      <c r="N127" s="51"/>
      <c r="O127" s="51"/>
      <c r="P127" s="25"/>
    </row>
    <row r="128">
      <c r="A128" s="25"/>
      <c r="B128" s="49"/>
      <c r="C128" s="50"/>
      <c r="D128" s="50"/>
      <c r="E128" s="50"/>
      <c r="F128" s="51"/>
      <c r="G128" s="51"/>
      <c r="H128" s="51"/>
      <c r="I128" s="51"/>
      <c r="J128" s="49"/>
      <c r="K128" s="51"/>
      <c r="L128" s="51"/>
      <c r="M128" s="52"/>
      <c r="N128" s="51"/>
      <c r="O128" s="51"/>
      <c r="P128" s="25"/>
    </row>
    <row r="129">
      <c r="A129" s="25"/>
      <c r="B129" s="49"/>
      <c r="C129" s="50"/>
      <c r="D129" s="50"/>
      <c r="E129" s="50"/>
      <c r="F129" s="51"/>
      <c r="G129" s="51"/>
      <c r="H129" s="51"/>
      <c r="I129" s="51"/>
      <c r="J129" s="49"/>
      <c r="K129" s="51"/>
      <c r="L129" s="51"/>
      <c r="M129" s="52"/>
      <c r="N129" s="51"/>
      <c r="O129" s="51"/>
      <c r="P129" s="25"/>
    </row>
    <row r="130">
      <c r="A130" s="25"/>
      <c r="B130" s="49"/>
      <c r="C130" s="50"/>
      <c r="D130" s="50"/>
      <c r="E130" s="50"/>
      <c r="F130" s="51"/>
      <c r="G130" s="51"/>
      <c r="H130" s="51"/>
      <c r="I130" s="51"/>
      <c r="J130" s="49"/>
      <c r="K130" s="51"/>
      <c r="L130" s="51"/>
      <c r="M130" s="52"/>
      <c r="N130" s="51"/>
      <c r="O130" s="51"/>
      <c r="P130" s="25"/>
    </row>
    <row r="131">
      <c r="A131" s="25"/>
      <c r="B131" s="49"/>
      <c r="C131" s="50"/>
      <c r="D131" s="50"/>
      <c r="E131" s="50"/>
      <c r="F131" s="51"/>
      <c r="G131" s="51"/>
      <c r="H131" s="51"/>
      <c r="I131" s="51"/>
      <c r="J131" s="49"/>
      <c r="K131" s="51"/>
      <c r="L131" s="51"/>
      <c r="M131" s="52"/>
      <c r="N131" s="51"/>
      <c r="O131" s="51"/>
      <c r="P131" s="25"/>
    </row>
    <row r="132">
      <c r="A132" s="25"/>
      <c r="B132" s="49"/>
      <c r="C132" s="50"/>
      <c r="D132" s="50"/>
      <c r="E132" s="50"/>
      <c r="F132" s="51"/>
      <c r="G132" s="51"/>
      <c r="H132" s="51"/>
      <c r="I132" s="51"/>
      <c r="J132" s="49"/>
      <c r="K132" s="51"/>
      <c r="L132" s="51"/>
      <c r="M132" s="52"/>
      <c r="N132" s="51"/>
      <c r="O132" s="51"/>
      <c r="P132" s="25"/>
    </row>
    <row r="133">
      <c r="A133" s="25"/>
      <c r="B133" s="49"/>
      <c r="C133" s="50"/>
      <c r="D133" s="50"/>
      <c r="E133" s="50"/>
      <c r="F133" s="51"/>
      <c r="G133" s="51"/>
      <c r="H133" s="51"/>
      <c r="I133" s="51"/>
      <c r="J133" s="49"/>
      <c r="K133" s="51"/>
      <c r="L133" s="51"/>
      <c r="M133" s="52"/>
      <c r="N133" s="51"/>
      <c r="O133" s="51"/>
      <c r="P133" s="25"/>
    </row>
    <row r="134">
      <c r="A134" s="25"/>
      <c r="B134" s="49"/>
      <c r="C134" s="50"/>
      <c r="D134" s="50"/>
      <c r="E134" s="50"/>
      <c r="F134" s="51"/>
      <c r="G134" s="51"/>
      <c r="H134" s="51"/>
      <c r="I134" s="51"/>
      <c r="J134" s="49"/>
      <c r="K134" s="51"/>
      <c r="L134" s="51"/>
      <c r="M134" s="52"/>
      <c r="N134" s="51"/>
      <c r="O134" s="51"/>
      <c r="P134" s="25"/>
    </row>
    <row r="135">
      <c r="A135" s="25"/>
      <c r="B135" s="49"/>
      <c r="C135" s="50"/>
      <c r="D135" s="50"/>
      <c r="E135" s="50"/>
      <c r="F135" s="51"/>
      <c r="G135" s="51"/>
      <c r="H135" s="51"/>
      <c r="I135" s="51"/>
      <c r="J135" s="49"/>
      <c r="K135" s="51"/>
      <c r="L135" s="51"/>
      <c r="M135" s="52"/>
      <c r="N135" s="51"/>
      <c r="O135" s="51"/>
      <c r="P135" s="25"/>
    </row>
    <row r="136">
      <c r="A136" s="25"/>
      <c r="B136" s="49"/>
      <c r="C136" s="50"/>
      <c r="D136" s="50"/>
      <c r="E136" s="50"/>
      <c r="F136" s="51"/>
      <c r="G136" s="51"/>
      <c r="H136" s="51"/>
      <c r="I136" s="51"/>
      <c r="J136" s="49"/>
      <c r="K136" s="51"/>
      <c r="L136" s="51"/>
      <c r="M136" s="52"/>
      <c r="N136" s="51"/>
      <c r="O136" s="51"/>
      <c r="P136" s="25"/>
    </row>
    <row r="137">
      <c r="A137" s="25"/>
      <c r="B137" s="49"/>
      <c r="C137" s="50"/>
      <c r="D137" s="50"/>
      <c r="E137" s="50"/>
      <c r="F137" s="51"/>
      <c r="G137" s="51"/>
      <c r="H137" s="51"/>
      <c r="I137" s="51"/>
      <c r="J137" s="49"/>
      <c r="K137" s="51"/>
      <c r="L137" s="51"/>
      <c r="M137" s="52"/>
      <c r="N137" s="51"/>
      <c r="O137" s="51"/>
      <c r="P137" s="25"/>
    </row>
    <row r="138">
      <c r="A138" s="25"/>
      <c r="B138" s="49"/>
      <c r="C138" s="50"/>
      <c r="D138" s="50"/>
      <c r="E138" s="50"/>
      <c r="F138" s="51"/>
      <c r="G138" s="51"/>
      <c r="H138" s="51"/>
      <c r="I138" s="51"/>
      <c r="J138" s="49"/>
      <c r="K138" s="51"/>
      <c r="L138" s="51"/>
      <c r="M138" s="52"/>
      <c r="N138" s="51"/>
      <c r="O138" s="51"/>
      <c r="P138" s="25"/>
    </row>
    <row r="139">
      <c r="A139" s="25"/>
      <c r="B139" s="49"/>
      <c r="C139" s="50"/>
      <c r="D139" s="50"/>
      <c r="E139" s="50"/>
      <c r="F139" s="51"/>
      <c r="G139" s="51"/>
      <c r="H139" s="51"/>
      <c r="I139" s="51"/>
      <c r="J139" s="49"/>
      <c r="K139" s="51"/>
      <c r="L139" s="51"/>
      <c r="M139" s="52"/>
      <c r="N139" s="51"/>
      <c r="O139" s="51"/>
      <c r="P139" s="25"/>
    </row>
    <row r="140">
      <c r="A140" s="25"/>
      <c r="B140" s="49"/>
      <c r="C140" s="50"/>
      <c r="D140" s="50"/>
      <c r="E140" s="50"/>
      <c r="F140" s="51"/>
      <c r="G140" s="51"/>
      <c r="H140" s="51"/>
      <c r="I140" s="51"/>
      <c r="J140" s="49"/>
      <c r="K140" s="51"/>
      <c r="L140" s="51"/>
      <c r="M140" s="52"/>
      <c r="N140" s="51"/>
      <c r="O140" s="51"/>
      <c r="P140" s="25"/>
    </row>
    <row r="141">
      <c r="A141" s="25"/>
      <c r="B141" s="49"/>
      <c r="C141" s="50"/>
      <c r="D141" s="50"/>
      <c r="E141" s="50"/>
      <c r="F141" s="51"/>
      <c r="G141" s="51"/>
      <c r="H141" s="51"/>
      <c r="I141" s="51"/>
      <c r="J141" s="49"/>
      <c r="K141" s="51"/>
      <c r="L141" s="51"/>
      <c r="M141" s="52"/>
      <c r="N141" s="51"/>
      <c r="O141" s="51"/>
      <c r="P141" s="25"/>
    </row>
    <row r="142">
      <c r="A142" s="25"/>
      <c r="B142" s="49"/>
      <c r="C142" s="50"/>
      <c r="D142" s="50"/>
      <c r="E142" s="50"/>
      <c r="F142" s="51"/>
      <c r="G142" s="51"/>
      <c r="H142" s="51"/>
      <c r="I142" s="51"/>
      <c r="J142" s="49"/>
      <c r="K142" s="51"/>
      <c r="L142" s="51"/>
      <c r="M142" s="52"/>
      <c r="N142" s="51"/>
      <c r="O142" s="51"/>
      <c r="P142" s="25"/>
    </row>
    <row r="143">
      <c r="A143" s="25"/>
      <c r="B143" s="49"/>
      <c r="C143" s="50"/>
      <c r="D143" s="50"/>
      <c r="E143" s="50"/>
      <c r="F143" s="51"/>
      <c r="G143" s="51"/>
      <c r="H143" s="51"/>
      <c r="I143" s="51"/>
      <c r="J143" s="49"/>
      <c r="K143" s="51"/>
      <c r="L143" s="51"/>
      <c r="M143" s="52"/>
      <c r="N143" s="51"/>
      <c r="O143" s="51"/>
      <c r="P143" s="25"/>
    </row>
    <row r="144">
      <c r="A144" s="25"/>
      <c r="B144" s="49"/>
      <c r="C144" s="50"/>
      <c r="D144" s="50"/>
      <c r="E144" s="50"/>
      <c r="F144" s="51"/>
      <c r="G144" s="51"/>
      <c r="H144" s="51"/>
      <c r="I144" s="51"/>
      <c r="J144" s="49"/>
      <c r="K144" s="51"/>
      <c r="L144" s="51"/>
      <c r="M144" s="52"/>
      <c r="N144" s="51"/>
      <c r="O144" s="51"/>
      <c r="P144" s="25"/>
    </row>
    <row r="145">
      <c r="A145" s="25"/>
      <c r="B145" s="49"/>
      <c r="C145" s="50"/>
      <c r="D145" s="50"/>
      <c r="E145" s="50"/>
      <c r="F145" s="51"/>
      <c r="G145" s="51"/>
      <c r="H145" s="51"/>
      <c r="I145" s="51"/>
      <c r="J145" s="49"/>
      <c r="K145" s="51"/>
      <c r="L145" s="51"/>
      <c r="M145" s="52"/>
      <c r="N145" s="51"/>
      <c r="O145" s="51"/>
      <c r="P145" s="25"/>
    </row>
    <row r="146">
      <c r="A146" s="25"/>
      <c r="B146" s="49"/>
      <c r="C146" s="50"/>
      <c r="D146" s="50"/>
      <c r="E146" s="50"/>
      <c r="F146" s="51"/>
      <c r="G146" s="51"/>
      <c r="H146" s="51"/>
      <c r="I146" s="51"/>
      <c r="J146" s="49"/>
      <c r="K146" s="51"/>
      <c r="L146" s="51"/>
      <c r="M146" s="52"/>
      <c r="N146" s="51"/>
      <c r="O146" s="51"/>
      <c r="P146" s="25"/>
    </row>
    <row r="147">
      <c r="A147" s="25"/>
      <c r="B147" s="49"/>
      <c r="C147" s="50"/>
      <c r="D147" s="50"/>
      <c r="E147" s="50"/>
      <c r="F147" s="51"/>
      <c r="G147" s="51"/>
      <c r="H147" s="51"/>
      <c r="I147" s="51"/>
      <c r="J147" s="49"/>
      <c r="K147" s="51"/>
      <c r="L147" s="51"/>
      <c r="M147" s="52"/>
      <c r="N147" s="51"/>
      <c r="O147" s="51"/>
      <c r="P147" s="25"/>
    </row>
    <row r="148">
      <c r="A148" s="25"/>
      <c r="B148" s="49"/>
      <c r="C148" s="50"/>
      <c r="D148" s="50"/>
      <c r="E148" s="50"/>
      <c r="F148" s="51"/>
      <c r="G148" s="51"/>
      <c r="H148" s="51"/>
      <c r="I148" s="51"/>
      <c r="J148" s="49"/>
      <c r="K148" s="51"/>
      <c r="L148" s="51"/>
      <c r="M148" s="52"/>
      <c r="N148" s="51"/>
      <c r="O148" s="51"/>
      <c r="P148" s="25"/>
    </row>
    <row r="149">
      <c r="A149" s="25"/>
      <c r="B149" s="49"/>
      <c r="C149" s="50"/>
      <c r="D149" s="50"/>
      <c r="E149" s="50"/>
      <c r="F149" s="51"/>
      <c r="G149" s="51"/>
      <c r="H149" s="51"/>
      <c r="I149" s="51"/>
      <c r="J149" s="49"/>
      <c r="K149" s="51"/>
      <c r="L149" s="51"/>
      <c r="M149" s="52"/>
      <c r="N149" s="51"/>
      <c r="O149" s="51"/>
      <c r="P149" s="25"/>
    </row>
    <row r="150">
      <c r="A150" s="25"/>
      <c r="B150" s="49"/>
      <c r="C150" s="50"/>
      <c r="D150" s="50"/>
      <c r="E150" s="50"/>
      <c r="F150" s="51"/>
      <c r="G150" s="51"/>
      <c r="H150" s="51"/>
      <c r="I150" s="51"/>
      <c r="J150" s="49"/>
      <c r="K150" s="51"/>
      <c r="L150" s="51"/>
      <c r="M150" s="52"/>
      <c r="N150" s="51"/>
      <c r="O150" s="51"/>
      <c r="P150" s="25"/>
    </row>
    <row r="151">
      <c r="A151" s="25"/>
      <c r="B151" s="49"/>
      <c r="C151" s="50"/>
      <c r="D151" s="50"/>
      <c r="E151" s="50"/>
      <c r="F151" s="51"/>
      <c r="G151" s="51"/>
      <c r="H151" s="51"/>
      <c r="I151" s="51"/>
      <c r="J151" s="49"/>
      <c r="K151" s="51"/>
      <c r="L151" s="51"/>
      <c r="M151" s="52"/>
      <c r="N151" s="51"/>
      <c r="O151" s="51"/>
      <c r="P151" s="25"/>
    </row>
    <row r="152">
      <c r="A152" s="25"/>
      <c r="B152" s="49"/>
      <c r="C152" s="50"/>
      <c r="D152" s="50"/>
      <c r="E152" s="50"/>
      <c r="F152" s="51"/>
      <c r="G152" s="51"/>
      <c r="H152" s="51"/>
      <c r="I152" s="51"/>
      <c r="J152" s="49"/>
      <c r="K152" s="51"/>
      <c r="L152" s="51"/>
      <c r="M152" s="52"/>
      <c r="N152" s="51"/>
      <c r="O152" s="51"/>
      <c r="P152" s="25"/>
    </row>
    <row r="153">
      <c r="A153" s="25"/>
      <c r="B153" s="49"/>
      <c r="C153" s="50"/>
      <c r="D153" s="50"/>
      <c r="E153" s="50"/>
      <c r="F153" s="51"/>
      <c r="G153" s="51"/>
      <c r="H153" s="51"/>
      <c r="I153" s="51"/>
      <c r="J153" s="49"/>
      <c r="K153" s="51"/>
      <c r="L153" s="51"/>
      <c r="M153" s="52"/>
      <c r="N153" s="51"/>
      <c r="O153" s="51"/>
      <c r="P153" s="25"/>
    </row>
    <row r="154">
      <c r="A154" s="25"/>
      <c r="B154" s="49"/>
      <c r="C154" s="50"/>
      <c r="D154" s="50"/>
      <c r="E154" s="50"/>
      <c r="F154" s="51"/>
      <c r="G154" s="51"/>
      <c r="H154" s="51"/>
      <c r="I154" s="51"/>
      <c r="J154" s="49"/>
      <c r="K154" s="51"/>
      <c r="L154" s="51"/>
      <c r="M154" s="52"/>
      <c r="N154" s="51"/>
      <c r="O154" s="51"/>
      <c r="P154" s="25"/>
    </row>
    <row r="155">
      <c r="A155" s="25"/>
      <c r="B155" s="49"/>
      <c r="C155" s="50"/>
      <c r="D155" s="50"/>
      <c r="E155" s="50"/>
      <c r="F155" s="51"/>
      <c r="G155" s="51"/>
      <c r="H155" s="51"/>
      <c r="I155" s="51"/>
      <c r="J155" s="49"/>
      <c r="K155" s="51"/>
      <c r="L155" s="51"/>
      <c r="M155" s="52"/>
      <c r="N155" s="51"/>
      <c r="O155" s="51"/>
      <c r="P155" s="25"/>
    </row>
    <row r="156">
      <c r="A156" s="25"/>
      <c r="B156" s="49"/>
      <c r="C156" s="50"/>
      <c r="D156" s="50"/>
      <c r="E156" s="50"/>
      <c r="F156" s="51"/>
      <c r="G156" s="51"/>
      <c r="H156" s="51"/>
      <c r="I156" s="51"/>
      <c r="J156" s="49"/>
      <c r="K156" s="51"/>
      <c r="L156" s="51"/>
      <c r="M156" s="52"/>
      <c r="N156" s="51"/>
      <c r="O156" s="51"/>
      <c r="P156" s="25"/>
    </row>
    <row r="157">
      <c r="A157" s="25"/>
      <c r="B157" s="49"/>
      <c r="C157" s="50"/>
      <c r="D157" s="50"/>
      <c r="E157" s="50"/>
      <c r="F157" s="51"/>
      <c r="G157" s="51"/>
      <c r="H157" s="51"/>
      <c r="I157" s="51"/>
      <c r="J157" s="49"/>
      <c r="K157" s="51"/>
      <c r="L157" s="51"/>
      <c r="M157" s="52"/>
      <c r="N157" s="51"/>
      <c r="O157" s="51"/>
      <c r="P157" s="25"/>
    </row>
    <row r="158">
      <c r="A158" s="25"/>
      <c r="B158" s="49"/>
      <c r="C158" s="50"/>
      <c r="D158" s="50"/>
      <c r="E158" s="50"/>
      <c r="F158" s="51"/>
      <c r="G158" s="51"/>
      <c r="H158" s="51"/>
      <c r="I158" s="51"/>
      <c r="J158" s="49"/>
      <c r="K158" s="51"/>
      <c r="L158" s="51"/>
      <c r="M158" s="52"/>
      <c r="N158" s="51"/>
      <c r="O158" s="51"/>
      <c r="P158" s="25"/>
    </row>
    <row r="159">
      <c r="A159" s="25"/>
      <c r="B159" s="49"/>
      <c r="C159" s="50"/>
      <c r="D159" s="50"/>
      <c r="E159" s="50"/>
      <c r="F159" s="51"/>
      <c r="G159" s="51"/>
      <c r="H159" s="51"/>
      <c r="I159" s="51"/>
      <c r="J159" s="49"/>
      <c r="K159" s="51"/>
      <c r="L159" s="51"/>
      <c r="M159" s="52"/>
      <c r="N159" s="51"/>
      <c r="O159" s="51"/>
      <c r="P159" s="25"/>
    </row>
    <row r="160">
      <c r="A160" s="25"/>
      <c r="B160" s="49"/>
      <c r="C160" s="50"/>
      <c r="D160" s="50"/>
      <c r="E160" s="50"/>
      <c r="F160" s="51"/>
      <c r="G160" s="51"/>
      <c r="H160" s="51"/>
      <c r="I160" s="51"/>
      <c r="J160" s="49"/>
      <c r="K160" s="51"/>
      <c r="L160" s="51"/>
      <c r="M160" s="52"/>
      <c r="N160" s="51"/>
      <c r="O160" s="51"/>
      <c r="P160" s="25"/>
    </row>
    <row r="161">
      <c r="A161" s="25"/>
      <c r="B161" s="49"/>
      <c r="C161" s="50"/>
      <c r="D161" s="50"/>
      <c r="E161" s="50"/>
      <c r="F161" s="51"/>
      <c r="G161" s="51"/>
      <c r="H161" s="51"/>
      <c r="I161" s="51"/>
      <c r="J161" s="49"/>
      <c r="K161" s="51"/>
      <c r="L161" s="51"/>
      <c r="M161" s="52"/>
      <c r="N161" s="51"/>
      <c r="O161" s="51"/>
      <c r="P161" s="25"/>
    </row>
    <row r="162">
      <c r="A162" s="25"/>
      <c r="B162" s="49"/>
      <c r="C162" s="50"/>
      <c r="D162" s="50"/>
      <c r="E162" s="50"/>
      <c r="F162" s="51"/>
      <c r="G162" s="51"/>
      <c r="H162" s="51"/>
      <c r="I162" s="51"/>
      <c r="J162" s="49"/>
      <c r="K162" s="51"/>
      <c r="L162" s="51"/>
      <c r="M162" s="52"/>
      <c r="N162" s="51"/>
      <c r="O162" s="51"/>
      <c r="P162" s="25"/>
    </row>
    <row r="163">
      <c r="A163" s="25"/>
      <c r="B163" s="49"/>
      <c r="C163" s="50"/>
      <c r="D163" s="50"/>
      <c r="E163" s="50"/>
      <c r="F163" s="51"/>
      <c r="G163" s="51"/>
      <c r="H163" s="51"/>
      <c r="I163" s="51"/>
      <c r="J163" s="49"/>
      <c r="K163" s="51"/>
      <c r="L163" s="51"/>
      <c r="M163" s="52"/>
      <c r="N163" s="51"/>
      <c r="O163" s="51"/>
      <c r="P163" s="25"/>
    </row>
    <row r="164">
      <c r="A164" s="25"/>
      <c r="B164" s="49"/>
      <c r="C164" s="50"/>
      <c r="D164" s="50"/>
      <c r="E164" s="50"/>
      <c r="F164" s="51"/>
      <c r="G164" s="51"/>
      <c r="H164" s="51"/>
      <c r="I164" s="51"/>
      <c r="J164" s="49"/>
      <c r="K164" s="51"/>
      <c r="L164" s="51"/>
      <c r="M164" s="52"/>
      <c r="N164" s="51"/>
      <c r="O164" s="51"/>
      <c r="P164" s="25"/>
    </row>
    <row r="165">
      <c r="A165" s="25"/>
      <c r="B165" s="49"/>
      <c r="C165" s="50"/>
      <c r="D165" s="50"/>
      <c r="E165" s="50"/>
      <c r="F165" s="51"/>
      <c r="G165" s="51"/>
      <c r="H165" s="51"/>
      <c r="I165" s="51"/>
      <c r="J165" s="49"/>
      <c r="K165" s="51"/>
      <c r="L165" s="51"/>
      <c r="M165" s="52"/>
      <c r="N165" s="51"/>
      <c r="O165" s="51"/>
      <c r="P165" s="25"/>
    </row>
    <row r="166">
      <c r="A166" s="25"/>
      <c r="B166" s="49"/>
      <c r="C166" s="50"/>
      <c r="D166" s="50"/>
      <c r="E166" s="50"/>
      <c r="F166" s="51"/>
      <c r="G166" s="51"/>
      <c r="H166" s="51"/>
      <c r="I166" s="51"/>
      <c r="J166" s="49"/>
      <c r="K166" s="51"/>
      <c r="L166" s="51"/>
      <c r="M166" s="52"/>
      <c r="N166" s="51"/>
      <c r="O166" s="51"/>
      <c r="P166" s="25"/>
    </row>
    <row r="167">
      <c r="A167" s="25"/>
      <c r="B167" s="49"/>
      <c r="C167" s="50"/>
      <c r="D167" s="50"/>
      <c r="E167" s="50"/>
      <c r="F167" s="51"/>
      <c r="G167" s="51"/>
      <c r="H167" s="51"/>
      <c r="I167" s="51"/>
      <c r="J167" s="49"/>
      <c r="K167" s="51"/>
      <c r="L167" s="51"/>
      <c r="M167" s="52"/>
      <c r="N167" s="51"/>
      <c r="O167" s="51"/>
      <c r="P167" s="25"/>
    </row>
    <row r="168">
      <c r="A168" s="25"/>
      <c r="B168" s="49"/>
      <c r="C168" s="50"/>
      <c r="D168" s="50"/>
      <c r="E168" s="50"/>
      <c r="F168" s="51"/>
      <c r="G168" s="51"/>
      <c r="H168" s="51"/>
      <c r="I168" s="51"/>
      <c r="J168" s="49"/>
      <c r="K168" s="51"/>
      <c r="L168" s="51"/>
      <c r="M168" s="52"/>
      <c r="N168" s="51"/>
      <c r="O168" s="51"/>
      <c r="P168" s="25"/>
    </row>
    <row r="169">
      <c r="A169" s="25"/>
      <c r="B169" s="49"/>
      <c r="C169" s="50"/>
      <c r="D169" s="50"/>
      <c r="E169" s="50"/>
      <c r="F169" s="51"/>
      <c r="G169" s="51"/>
      <c r="H169" s="51"/>
      <c r="I169" s="51"/>
      <c r="J169" s="49"/>
      <c r="K169" s="51"/>
      <c r="L169" s="51"/>
      <c r="M169" s="52"/>
      <c r="N169" s="51"/>
      <c r="O169" s="51"/>
      <c r="P169" s="25"/>
    </row>
    <row r="170">
      <c r="A170" s="25"/>
      <c r="B170" s="49"/>
      <c r="C170" s="50"/>
      <c r="D170" s="50"/>
      <c r="E170" s="50"/>
      <c r="F170" s="51"/>
      <c r="G170" s="51"/>
      <c r="H170" s="51"/>
      <c r="I170" s="51"/>
      <c r="J170" s="49"/>
      <c r="K170" s="51"/>
      <c r="L170" s="51"/>
      <c r="M170" s="52"/>
      <c r="N170" s="51"/>
      <c r="O170" s="51"/>
      <c r="P170" s="25"/>
    </row>
    <row r="171">
      <c r="A171" s="25"/>
      <c r="B171" s="49"/>
      <c r="C171" s="50"/>
      <c r="D171" s="50"/>
      <c r="E171" s="50"/>
      <c r="F171" s="51"/>
      <c r="G171" s="51"/>
      <c r="H171" s="51"/>
      <c r="I171" s="51"/>
      <c r="J171" s="49"/>
      <c r="K171" s="51"/>
      <c r="L171" s="51"/>
      <c r="M171" s="52"/>
      <c r="N171" s="51"/>
      <c r="O171" s="51"/>
      <c r="P171" s="25"/>
    </row>
    <row r="172">
      <c r="A172" s="25"/>
      <c r="B172" s="49"/>
      <c r="C172" s="50"/>
      <c r="D172" s="50"/>
      <c r="E172" s="50"/>
      <c r="F172" s="51"/>
      <c r="G172" s="51"/>
      <c r="H172" s="51"/>
      <c r="I172" s="51"/>
      <c r="J172" s="49"/>
      <c r="K172" s="51"/>
      <c r="L172" s="51"/>
      <c r="M172" s="52"/>
      <c r="N172" s="51"/>
      <c r="O172" s="51"/>
      <c r="P172" s="25"/>
    </row>
    <row r="173">
      <c r="A173" s="25"/>
      <c r="B173" s="49"/>
      <c r="C173" s="50"/>
      <c r="D173" s="50"/>
      <c r="E173" s="50"/>
      <c r="F173" s="51"/>
      <c r="G173" s="51"/>
      <c r="H173" s="51"/>
      <c r="I173" s="51"/>
      <c r="J173" s="49"/>
      <c r="K173" s="51"/>
      <c r="L173" s="51"/>
      <c r="M173" s="52"/>
      <c r="N173" s="51"/>
      <c r="O173" s="51"/>
      <c r="P173" s="25"/>
    </row>
    <row r="174">
      <c r="A174" s="25"/>
      <c r="B174" s="49"/>
      <c r="C174" s="50"/>
      <c r="D174" s="50"/>
      <c r="E174" s="50"/>
      <c r="F174" s="51"/>
      <c r="G174" s="51"/>
      <c r="H174" s="51"/>
      <c r="I174" s="51"/>
      <c r="J174" s="49"/>
      <c r="K174" s="51"/>
      <c r="L174" s="51"/>
      <c r="M174" s="52"/>
      <c r="N174" s="51"/>
      <c r="O174" s="51"/>
      <c r="P174" s="25"/>
    </row>
    <row r="175">
      <c r="A175" s="25"/>
      <c r="B175" s="49"/>
      <c r="C175" s="50"/>
      <c r="D175" s="50"/>
      <c r="E175" s="50"/>
      <c r="F175" s="51"/>
      <c r="G175" s="51"/>
      <c r="H175" s="51"/>
      <c r="I175" s="51"/>
      <c r="J175" s="49"/>
      <c r="K175" s="51"/>
      <c r="L175" s="51"/>
      <c r="M175" s="52"/>
      <c r="N175" s="51"/>
      <c r="O175" s="51"/>
      <c r="P175" s="25"/>
    </row>
    <row r="176">
      <c r="A176" s="25"/>
      <c r="B176" s="49"/>
      <c r="C176" s="50"/>
      <c r="D176" s="50"/>
      <c r="E176" s="50"/>
      <c r="F176" s="51"/>
      <c r="G176" s="51"/>
      <c r="H176" s="51"/>
      <c r="I176" s="51"/>
      <c r="J176" s="49"/>
      <c r="K176" s="51"/>
      <c r="L176" s="51"/>
      <c r="M176" s="52"/>
      <c r="N176" s="51"/>
      <c r="O176" s="51"/>
      <c r="P176" s="25"/>
    </row>
    <row r="177">
      <c r="A177" s="25"/>
      <c r="B177" s="49"/>
      <c r="C177" s="50"/>
      <c r="D177" s="50"/>
      <c r="E177" s="50"/>
      <c r="F177" s="51"/>
      <c r="G177" s="51"/>
      <c r="H177" s="51"/>
      <c r="I177" s="51"/>
      <c r="J177" s="49"/>
      <c r="K177" s="51"/>
      <c r="L177" s="51"/>
      <c r="M177" s="52"/>
      <c r="N177" s="51"/>
      <c r="O177" s="51"/>
      <c r="P177" s="25"/>
    </row>
    <row r="178">
      <c r="A178" s="25"/>
      <c r="B178" s="49"/>
      <c r="C178" s="50"/>
      <c r="D178" s="50"/>
      <c r="E178" s="50"/>
      <c r="F178" s="51"/>
      <c r="G178" s="51"/>
      <c r="H178" s="51"/>
      <c r="I178" s="51"/>
      <c r="J178" s="49"/>
      <c r="K178" s="51"/>
      <c r="L178" s="51"/>
      <c r="M178" s="52"/>
      <c r="N178" s="51"/>
      <c r="O178" s="51"/>
      <c r="P178" s="25"/>
    </row>
    <row r="179">
      <c r="A179" s="25"/>
      <c r="B179" s="49"/>
      <c r="C179" s="50"/>
      <c r="D179" s="50"/>
      <c r="E179" s="50"/>
      <c r="F179" s="51"/>
      <c r="G179" s="51"/>
      <c r="H179" s="51"/>
      <c r="I179" s="51"/>
      <c r="J179" s="49"/>
      <c r="K179" s="51"/>
      <c r="L179" s="51"/>
      <c r="M179" s="52"/>
      <c r="N179" s="51"/>
      <c r="O179" s="51"/>
      <c r="P179" s="25"/>
    </row>
    <row r="180">
      <c r="A180" s="25"/>
      <c r="B180" s="49"/>
      <c r="C180" s="50"/>
      <c r="D180" s="50"/>
      <c r="E180" s="50"/>
      <c r="F180" s="51"/>
      <c r="G180" s="51"/>
      <c r="H180" s="51"/>
      <c r="I180" s="51"/>
      <c r="J180" s="49"/>
      <c r="K180" s="51"/>
      <c r="L180" s="51"/>
      <c r="M180" s="52"/>
      <c r="N180" s="51"/>
      <c r="O180" s="51"/>
      <c r="P180" s="25"/>
    </row>
    <row r="181">
      <c r="A181" s="25"/>
      <c r="B181" s="49"/>
      <c r="C181" s="50"/>
      <c r="D181" s="50"/>
      <c r="E181" s="50"/>
      <c r="F181" s="51"/>
      <c r="G181" s="51"/>
      <c r="H181" s="51"/>
      <c r="I181" s="51"/>
      <c r="J181" s="49"/>
      <c r="K181" s="51"/>
      <c r="L181" s="51"/>
      <c r="M181" s="52"/>
      <c r="N181" s="51"/>
      <c r="O181" s="51"/>
      <c r="P181" s="25"/>
    </row>
    <row r="182">
      <c r="A182" s="25"/>
      <c r="B182" s="49"/>
      <c r="C182" s="50"/>
      <c r="D182" s="50"/>
      <c r="E182" s="50"/>
      <c r="F182" s="51"/>
      <c r="G182" s="51"/>
      <c r="H182" s="51"/>
      <c r="I182" s="51"/>
      <c r="J182" s="49"/>
      <c r="K182" s="51"/>
      <c r="L182" s="51"/>
      <c r="M182" s="52"/>
      <c r="N182" s="51"/>
      <c r="O182" s="51"/>
      <c r="P182" s="25"/>
    </row>
    <row r="183">
      <c r="A183" s="25"/>
      <c r="B183" s="49"/>
      <c r="C183" s="50"/>
      <c r="D183" s="50"/>
      <c r="E183" s="50"/>
      <c r="F183" s="51"/>
      <c r="G183" s="51"/>
      <c r="H183" s="51"/>
      <c r="I183" s="51"/>
      <c r="J183" s="49"/>
      <c r="K183" s="51"/>
      <c r="L183" s="51"/>
      <c r="M183" s="52"/>
      <c r="N183" s="51"/>
      <c r="O183" s="51"/>
      <c r="P183" s="25"/>
    </row>
    <row r="184">
      <c r="A184" s="25"/>
      <c r="B184" s="49"/>
      <c r="C184" s="50"/>
      <c r="D184" s="50"/>
      <c r="E184" s="50"/>
      <c r="F184" s="51"/>
      <c r="G184" s="51"/>
      <c r="H184" s="51"/>
      <c r="I184" s="51"/>
      <c r="J184" s="49"/>
      <c r="K184" s="51"/>
      <c r="L184" s="51"/>
      <c r="M184" s="52"/>
      <c r="N184" s="51"/>
      <c r="O184" s="51"/>
      <c r="P184" s="25"/>
    </row>
    <row r="185">
      <c r="A185" s="25"/>
      <c r="B185" s="49"/>
      <c r="C185" s="50"/>
      <c r="D185" s="50"/>
      <c r="E185" s="50"/>
      <c r="F185" s="51"/>
      <c r="G185" s="51"/>
      <c r="H185" s="51"/>
      <c r="I185" s="51"/>
      <c r="J185" s="49"/>
      <c r="K185" s="51"/>
      <c r="L185" s="51"/>
      <c r="M185" s="52"/>
      <c r="N185" s="51"/>
      <c r="O185" s="51"/>
      <c r="P185" s="25"/>
    </row>
    <row r="186">
      <c r="A186" s="25"/>
      <c r="B186" s="49"/>
      <c r="C186" s="50"/>
      <c r="D186" s="50"/>
      <c r="E186" s="50"/>
      <c r="F186" s="51"/>
      <c r="G186" s="51"/>
      <c r="H186" s="51"/>
      <c r="I186" s="51"/>
      <c r="J186" s="49"/>
      <c r="K186" s="51"/>
      <c r="L186" s="51"/>
      <c r="M186" s="52"/>
      <c r="N186" s="51"/>
      <c r="O186" s="51"/>
      <c r="P186" s="25"/>
    </row>
    <row r="187">
      <c r="A187" s="25"/>
      <c r="B187" s="49"/>
      <c r="C187" s="50"/>
      <c r="D187" s="50"/>
      <c r="E187" s="50"/>
      <c r="F187" s="51"/>
      <c r="G187" s="51"/>
      <c r="H187" s="51"/>
      <c r="I187" s="51"/>
      <c r="J187" s="49"/>
      <c r="K187" s="51"/>
      <c r="L187" s="51"/>
      <c r="M187" s="52"/>
      <c r="N187" s="51"/>
      <c r="O187" s="51"/>
      <c r="P187" s="25"/>
    </row>
    <row r="188">
      <c r="A188" s="25"/>
      <c r="B188" s="49"/>
      <c r="C188" s="50"/>
      <c r="D188" s="50"/>
      <c r="E188" s="50"/>
      <c r="F188" s="51"/>
      <c r="G188" s="51"/>
      <c r="H188" s="51"/>
      <c r="I188" s="51"/>
      <c r="J188" s="49"/>
      <c r="K188" s="51"/>
      <c r="L188" s="51"/>
      <c r="M188" s="52"/>
      <c r="N188" s="51"/>
      <c r="O188" s="51"/>
      <c r="P188" s="25"/>
    </row>
    <row r="189">
      <c r="A189" s="25"/>
      <c r="B189" s="49"/>
      <c r="C189" s="50"/>
      <c r="D189" s="50"/>
      <c r="E189" s="50"/>
      <c r="F189" s="51"/>
      <c r="G189" s="51"/>
      <c r="H189" s="51"/>
      <c r="I189" s="51"/>
      <c r="J189" s="49"/>
      <c r="K189" s="51"/>
      <c r="L189" s="51"/>
      <c r="M189" s="52"/>
      <c r="N189" s="51"/>
      <c r="O189" s="51"/>
      <c r="P189" s="25"/>
    </row>
    <row r="190">
      <c r="A190" s="25"/>
      <c r="B190" s="49"/>
      <c r="C190" s="50"/>
      <c r="D190" s="50"/>
      <c r="E190" s="50"/>
      <c r="F190" s="51"/>
      <c r="G190" s="51"/>
      <c r="H190" s="51"/>
      <c r="I190" s="51"/>
      <c r="J190" s="49"/>
      <c r="K190" s="51"/>
      <c r="L190" s="51"/>
      <c r="M190" s="52"/>
      <c r="N190" s="51"/>
      <c r="O190" s="51"/>
      <c r="P190" s="25"/>
    </row>
    <row r="191">
      <c r="A191" s="25"/>
      <c r="B191" s="49"/>
      <c r="C191" s="50"/>
      <c r="D191" s="50"/>
      <c r="E191" s="50"/>
      <c r="F191" s="51"/>
      <c r="G191" s="51"/>
      <c r="H191" s="51"/>
      <c r="I191" s="51"/>
      <c r="J191" s="49"/>
      <c r="K191" s="51"/>
      <c r="L191" s="51"/>
      <c r="M191" s="52"/>
      <c r="N191" s="51"/>
      <c r="O191" s="51"/>
      <c r="P191" s="25"/>
    </row>
    <row r="192">
      <c r="A192" s="25"/>
      <c r="B192" s="49"/>
      <c r="C192" s="50"/>
      <c r="D192" s="50"/>
      <c r="E192" s="50"/>
      <c r="F192" s="51"/>
      <c r="G192" s="51"/>
      <c r="H192" s="51"/>
      <c r="I192" s="51"/>
      <c r="J192" s="49"/>
      <c r="K192" s="51"/>
      <c r="L192" s="51"/>
      <c r="M192" s="52"/>
      <c r="N192" s="51"/>
      <c r="O192" s="51"/>
      <c r="P192" s="25"/>
    </row>
    <row r="193">
      <c r="A193" s="25"/>
      <c r="B193" s="49"/>
      <c r="C193" s="50"/>
      <c r="D193" s="50"/>
      <c r="E193" s="50"/>
      <c r="F193" s="51"/>
      <c r="G193" s="51"/>
      <c r="H193" s="51"/>
      <c r="I193" s="51"/>
      <c r="J193" s="49"/>
      <c r="K193" s="51"/>
      <c r="L193" s="51"/>
      <c r="M193" s="52"/>
      <c r="N193" s="51"/>
      <c r="O193" s="51"/>
      <c r="P193" s="25"/>
    </row>
    <row r="194">
      <c r="A194" s="25"/>
      <c r="B194" s="49"/>
      <c r="C194" s="50"/>
      <c r="D194" s="50"/>
      <c r="E194" s="50"/>
      <c r="F194" s="51"/>
      <c r="G194" s="51"/>
      <c r="H194" s="51"/>
      <c r="I194" s="51"/>
      <c r="J194" s="49"/>
      <c r="K194" s="51"/>
      <c r="L194" s="51"/>
      <c r="M194" s="52"/>
      <c r="N194" s="51"/>
      <c r="O194" s="51"/>
      <c r="P194" s="25"/>
    </row>
    <row r="195">
      <c r="A195" s="25"/>
      <c r="B195" s="49"/>
      <c r="C195" s="50"/>
      <c r="D195" s="50"/>
      <c r="E195" s="50"/>
      <c r="F195" s="51"/>
      <c r="G195" s="51"/>
      <c r="H195" s="51"/>
      <c r="I195" s="51"/>
      <c r="J195" s="49"/>
      <c r="K195" s="51"/>
      <c r="L195" s="51"/>
      <c r="M195" s="52"/>
      <c r="N195" s="51"/>
      <c r="O195" s="51"/>
      <c r="P195" s="25"/>
    </row>
    <row r="196">
      <c r="A196" s="25"/>
      <c r="B196" s="49"/>
      <c r="C196" s="50"/>
      <c r="D196" s="50"/>
      <c r="E196" s="50"/>
      <c r="F196" s="51"/>
      <c r="G196" s="51"/>
      <c r="H196" s="51"/>
      <c r="I196" s="51"/>
      <c r="J196" s="49"/>
      <c r="K196" s="51"/>
      <c r="L196" s="51"/>
      <c r="M196" s="52"/>
      <c r="N196" s="51"/>
      <c r="O196" s="51"/>
      <c r="P196" s="25"/>
    </row>
    <row r="197">
      <c r="A197" s="25"/>
      <c r="B197" s="49"/>
      <c r="C197" s="50"/>
      <c r="D197" s="50"/>
      <c r="E197" s="50"/>
      <c r="F197" s="51"/>
      <c r="G197" s="51"/>
      <c r="H197" s="51"/>
      <c r="I197" s="51"/>
      <c r="J197" s="49"/>
      <c r="K197" s="51"/>
      <c r="L197" s="51"/>
      <c r="M197" s="52"/>
      <c r="N197" s="51"/>
      <c r="O197" s="51"/>
      <c r="P197" s="25"/>
    </row>
    <row r="198">
      <c r="A198" s="25"/>
      <c r="B198" s="49"/>
      <c r="C198" s="50"/>
      <c r="D198" s="50"/>
      <c r="E198" s="50"/>
      <c r="F198" s="51"/>
      <c r="G198" s="51"/>
      <c r="H198" s="51"/>
      <c r="I198" s="51"/>
      <c r="J198" s="49"/>
      <c r="K198" s="51"/>
      <c r="L198" s="51"/>
      <c r="M198" s="52"/>
      <c r="N198" s="51"/>
      <c r="O198" s="51"/>
      <c r="P198" s="25"/>
    </row>
    <row r="199">
      <c r="A199" s="25"/>
      <c r="B199" s="49"/>
      <c r="C199" s="50"/>
      <c r="D199" s="50"/>
      <c r="E199" s="50"/>
      <c r="F199" s="51"/>
      <c r="G199" s="51"/>
      <c r="H199" s="51"/>
      <c r="I199" s="51"/>
      <c r="J199" s="49"/>
      <c r="K199" s="51"/>
      <c r="L199" s="51"/>
      <c r="M199" s="52"/>
      <c r="N199" s="51"/>
      <c r="O199" s="51"/>
      <c r="P199" s="25"/>
    </row>
    <row r="200">
      <c r="A200" s="25"/>
      <c r="B200" s="49"/>
      <c r="C200" s="50"/>
      <c r="D200" s="50"/>
      <c r="E200" s="50"/>
      <c r="F200" s="51"/>
      <c r="G200" s="51"/>
      <c r="H200" s="51"/>
      <c r="I200" s="51"/>
      <c r="J200" s="49"/>
      <c r="K200" s="51"/>
      <c r="L200" s="51"/>
      <c r="M200" s="52"/>
      <c r="N200" s="51"/>
      <c r="O200" s="51"/>
      <c r="P200" s="25"/>
    </row>
    <row r="201">
      <c r="A201" s="25"/>
      <c r="B201" s="49"/>
      <c r="C201" s="50"/>
      <c r="D201" s="50"/>
      <c r="E201" s="50"/>
      <c r="F201" s="51"/>
      <c r="G201" s="51"/>
      <c r="H201" s="51"/>
      <c r="I201" s="51"/>
      <c r="J201" s="49"/>
      <c r="K201" s="51"/>
      <c r="L201" s="51"/>
      <c r="M201" s="52"/>
      <c r="N201" s="51"/>
      <c r="O201" s="51"/>
      <c r="P201" s="25"/>
    </row>
    <row r="202">
      <c r="A202" s="25"/>
      <c r="B202" s="49"/>
      <c r="C202" s="50"/>
      <c r="D202" s="50"/>
      <c r="E202" s="50"/>
      <c r="F202" s="51"/>
      <c r="G202" s="51"/>
      <c r="H202" s="51"/>
      <c r="I202" s="51"/>
      <c r="J202" s="49"/>
      <c r="K202" s="51"/>
      <c r="L202" s="51"/>
      <c r="M202" s="52"/>
      <c r="N202" s="51"/>
      <c r="O202" s="51"/>
      <c r="P202" s="25"/>
    </row>
    <row r="203">
      <c r="A203" s="25"/>
      <c r="B203" s="49"/>
      <c r="C203" s="50"/>
      <c r="D203" s="50"/>
      <c r="E203" s="50"/>
      <c r="F203" s="51"/>
      <c r="G203" s="51"/>
      <c r="H203" s="51"/>
      <c r="I203" s="51"/>
      <c r="J203" s="49"/>
      <c r="K203" s="51"/>
      <c r="L203" s="51"/>
      <c r="M203" s="52"/>
      <c r="N203" s="51"/>
      <c r="O203" s="51"/>
      <c r="P203" s="25"/>
    </row>
    <row r="204">
      <c r="A204" s="25"/>
      <c r="B204" s="49"/>
      <c r="C204" s="50"/>
      <c r="D204" s="50"/>
      <c r="E204" s="50"/>
      <c r="F204" s="51"/>
      <c r="G204" s="51"/>
      <c r="H204" s="51"/>
      <c r="I204" s="51"/>
      <c r="J204" s="49"/>
      <c r="K204" s="51"/>
      <c r="L204" s="51"/>
      <c r="M204" s="52"/>
      <c r="N204" s="51"/>
      <c r="O204" s="51"/>
      <c r="P204" s="25"/>
    </row>
    <row r="205">
      <c r="A205" s="25"/>
      <c r="B205" s="49"/>
      <c r="C205" s="50"/>
      <c r="D205" s="50"/>
      <c r="E205" s="50"/>
      <c r="F205" s="51"/>
      <c r="G205" s="51"/>
      <c r="H205" s="51"/>
      <c r="I205" s="51"/>
      <c r="J205" s="49"/>
      <c r="K205" s="51"/>
      <c r="L205" s="51"/>
      <c r="M205" s="52"/>
      <c r="N205" s="51"/>
      <c r="O205" s="51"/>
      <c r="P205" s="25"/>
    </row>
    <row r="206">
      <c r="A206" s="25"/>
      <c r="B206" s="49"/>
      <c r="C206" s="50"/>
      <c r="D206" s="50"/>
      <c r="E206" s="50"/>
      <c r="F206" s="51"/>
      <c r="G206" s="51"/>
      <c r="H206" s="51"/>
      <c r="I206" s="51"/>
      <c r="J206" s="49"/>
      <c r="K206" s="51"/>
      <c r="L206" s="51"/>
      <c r="M206" s="52"/>
      <c r="N206" s="51"/>
      <c r="O206" s="51"/>
      <c r="P206" s="25"/>
    </row>
    <row r="207">
      <c r="A207" s="25"/>
      <c r="B207" s="49"/>
      <c r="C207" s="50"/>
      <c r="D207" s="50"/>
      <c r="E207" s="50"/>
      <c r="F207" s="51"/>
      <c r="G207" s="51"/>
      <c r="H207" s="51"/>
      <c r="I207" s="51"/>
      <c r="J207" s="49"/>
      <c r="K207" s="51"/>
      <c r="L207" s="51"/>
      <c r="M207" s="52"/>
      <c r="N207" s="51"/>
      <c r="O207" s="51"/>
      <c r="P207" s="25"/>
    </row>
    <row r="208">
      <c r="A208" s="25"/>
      <c r="B208" s="49"/>
      <c r="C208" s="50"/>
      <c r="D208" s="50"/>
      <c r="E208" s="50"/>
      <c r="F208" s="51"/>
      <c r="G208" s="51"/>
      <c r="H208" s="51"/>
      <c r="I208" s="51"/>
      <c r="J208" s="49"/>
      <c r="K208" s="51"/>
      <c r="L208" s="51"/>
      <c r="M208" s="52"/>
      <c r="N208" s="51"/>
      <c r="O208" s="51"/>
      <c r="P208" s="25"/>
    </row>
    <row r="209">
      <c r="A209" s="25"/>
      <c r="B209" s="49"/>
      <c r="C209" s="50"/>
      <c r="D209" s="50"/>
      <c r="E209" s="50"/>
      <c r="F209" s="51"/>
      <c r="G209" s="51"/>
      <c r="H209" s="51"/>
      <c r="I209" s="51"/>
      <c r="J209" s="49"/>
      <c r="K209" s="51"/>
      <c r="L209" s="51"/>
      <c r="M209" s="52"/>
      <c r="N209" s="51"/>
      <c r="O209" s="51"/>
      <c r="P209" s="25"/>
    </row>
    <row r="210">
      <c r="A210" s="25"/>
      <c r="B210" s="49"/>
      <c r="C210" s="50"/>
      <c r="D210" s="50"/>
      <c r="E210" s="50"/>
      <c r="F210" s="51"/>
      <c r="G210" s="51"/>
      <c r="H210" s="51"/>
      <c r="I210" s="51"/>
      <c r="J210" s="49"/>
      <c r="K210" s="51"/>
      <c r="L210" s="51"/>
      <c r="M210" s="52"/>
      <c r="N210" s="51"/>
      <c r="O210" s="51"/>
      <c r="P210" s="25"/>
    </row>
    <row r="211">
      <c r="A211" s="25"/>
      <c r="B211" s="49"/>
      <c r="C211" s="50"/>
      <c r="D211" s="50"/>
      <c r="E211" s="50"/>
      <c r="F211" s="51"/>
      <c r="G211" s="51"/>
      <c r="H211" s="51"/>
      <c r="I211" s="51"/>
      <c r="J211" s="49"/>
      <c r="K211" s="51"/>
      <c r="L211" s="51"/>
      <c r="M211" s="52"/>
      <c r="N211" s="51"/>
      <c r="O211" s="51"/>
      <c r="P211" s="25"/>
    </row>
    <row r="212">
      <c r="A212" s="25"/>
      <c r="B212" s="49"/>
      <c r="C212" s="50"/>
      <c r="D212" s="50"/>
      <c r="E212" s="50"/>
      <c r="F212" s="51"/>
      <c r="G212" s="51"/>
      <c r="H212" s="51"/>
      <c r="I212" s="51"/>
      <c r="J212" s="49"/>
      <c r="K212" s="51"/>
      <c r="L212" s="51"/>
      <c r="M212" s="52"/>
      <c r="N212" s="51"/>
      <c r="O212" s="51"/>
      <c r="P212" s="25"/>
    </row>
    <row r="213">
      <c r="A213" s="25"/>
      <c r="B213" s="49"/>
      <c r="C213" s="50"/>
      <c r="D213" s="50"/>
      <c r="E213" s="50"/>
      <c r="F213" s="51"/>
      <c r="G213" s="51"/>
      <c r="H213" s="51"/>
      <c r="I213" s="51"/>
      <c r="J213" s="49"/>
      <c r="K213" s="51"/>
      <c r="L213" s="51"/>
      <c r="M213" s="52"/>
      <c r="N213" s="51"/>
      <c r="O213" s="51"/>
      <c r="P213" s="25"/>
    </row>
    <row r="214">
      <c r="A214" s="25"/>
      <c r="B214" s="49"/>
      <c r="C214" s="50"/>
      <c r="D214" s="50"/>
      <c r="E214" s="50"/>
      <c r="F214" s="51"/>
      <c r="G214" s="51"/>
      <c r="H214" s="51"/>
      <c r="I214" s="51"/>
      <c r="J214" s="49"/>
      <c r="K214" s="51"/>
      <c r="L214" s="51"/>
      <c r="M214" s="52"/>
      <c r="N214" s="51"/>
      <c r="O214" s="51"/>
      <c r="P214" s="25"/>
    </row>
    <row r="215">
      <c r="A215" s="25"/>
      <c r="B215" s="49"/>
      <c r="C215" s="50"/>
      <c r="D215" s="50"/>
      <c r="E215" s="50"/>
      <c r="F215" s="51"/>
      <c r="G215" s="51"/>
      <c r="H215" s="51"/>
      <c r="I215" s="51"/>
      <c r="J215" s="49"/>
      <c r="K215" s="51"/>
      <c r="L215" s="51"/>
      <c r="M215" s="52"/>
      <c r="N215" s="51"/>
      <c r="O215" s="51"/>
      <c r="P215" s="25"/>
    </row>
    <row r="216">
      <c r="A216" s="25"/>
      <c r="B216" s="49"/>
      <c r="C216" s="50"/>
      <c r="D216" s="50"/>
      <c r="E216" s="50"/>
      <c r="F216" s="51"/>
      <c r="G216" s="51"/>
      <c r="H216" s="51"/>
      <c r="I216" s="51"/>
      <c r="J216" s="49"/>
      <c r="K216" s="51"/>
      <c r="L216" s="51"/>
      <c r="M216" s="52"/>
      <c r="N216" s="51"/>
      <c r="O216" s="51"/>
      <c r="P216" s="25"/>
    </row>
    <row r="217">
      <c r="A217" s="25"/>
      <c r="B217" s="49"/>
      <c r="C217" s="50"/>
      <c r="D217" s="50"/>
      <c r="E217" s="50"/>
      <c r="F217" s="51"/>
      <c r="G217" s="51"/>
      <c r="H217" s="51"/>
      <c r="I217" s="51"/>
      <c r="J217" s="49"/>
      <c r="K217" s="51"/>
      <c r="L217" s="51"/>
      <c r="M217" s="52"/>
      <c r="N217" s="51"/>
      <c r="O217" s="51"/>
      <c r="P217" s="25"/>
    </row>
    <row r="218">
      <c r="A218" s="25"/>
      <c r="B218" s="49"/>
      <c r="C218" s="50"/>
      <c r="D218" s="50"/>
      <c r="E218" s="50"/>
      <c r="F218" s="51"/>
      <c r="G218" s="51"/>
      <c r="H218" s="51"/>
      <c r="I218" s="51"/>
      <c r="J218" s="49"/>
      <c r="K218" s="51"/>
      <c r="L218" s="51"/>
      <c r="M218" s="52"/>
      <c r="N218" s="51"/>
      <c r="O218" s="51"/>
      <c r="P218" s="25"/>
    </row>
    <row r="219">
      <c r="A219" s="25"/>
      <c r="B219" s="49"/>
      <c r="C219" s="50"/>
      <c r="D219" s="50"/>
      <c r="E219" s="50"/>
      <c r="F219" s="51"/>
      <c r="G219" s="51"/>
      <c r="H219" s="51"/>
      <c r="I219" s="51"/>
      <c r="J219" s="49"/>
      <c r="K219" s="51"/>
      <c r="L219" s="51"/>
      <c r="M219" s="52"/>
      <c r="N219" s="51"/>
      <c r="O219" s="51"/>
      <c r="P219" s="25"/>
    </row>
    <row r="220">
      <c r="A220" s="25"/>
      <c r="B220" s="49"/>
      <c r="C220" s="50"/>
      <c r="D220" s="50"/>
      <c r="E220" s="50"/>
      <c r="F220" s="51"/>
      <c r="G220" s="51"/>
      <c r="H220" s="51"/>
      <c r="I220" s="51"/>
      <c r="J220" s="49"/>
      <c r="K220" s="51"/>
      <c r="L220" s="51"/>
      <c r="M220" s="52"/>
      <c r="N220" s="51"/>
      <c r="O220" s="51"/>
      <c r="P220" s="25"/>
    </row>
    <row r="221">
      <c r="A221" s="25"/>
      <c r="B221" s="49"/>
      <c r="C221" s="50"/>
      <c r="D221" s="50"/>
      <c r="E221" s="50"/>
      <c r="F221" s="51"/>
      <c r="G221" s="51"/>
      <c r="H221" s="51"/>
      <c r="I221" s="51"/>
      <c r="J221" s="49"/>
      <c r="K221" s="51"/>
      <c r="L221" s="51"/>
      <c r="M221" s="52"/>
      <c r="N221" s="51"/>
      <c r="O221" s="51"/>
      <c r="P221" s="25"/>
    </row>
    <row r="222">
      <c r="A222" s="25"/>
      <c r="B222" s="49"/>
      <c r="C222" s="50"/>
      <c r="D222" s="50"/>
      <c r="E222" s="50"/>
      <c r="F222" s="51"/>
      <c r="G222" s="51"/>
      <c r="H222" s="51"/>
      <c r="I222" s="51"/>
      <c r="J222" s="49"/>
      <c r="K222" s="51"/>
      <c r="L222" s="51"/>
      <c r="M222" s="52"/>
      <c r="N222" s="51"/>
      <c r="O222" s="51"/>
      <c r="P222" s="25"/>
    </row>
    <row r="223">
      <c r="A223" s="25"/>
      <c r="B223" s="49"/>
      <c r="C223" s="50"/>
      <c r="D223" s="50"/>
      <c r="E223" s="50"/>
      <c r="F223" s="51"/>
      <c r="G223" s="51"/>
      <c r="H223" s="51"/>
      <c r="I223" s="51"/>
      <c r="J223" s="49"/>
      <c r="K223" s="51"/>
      <c r="L223" s="51"/>
      <c r="M223" s="52"/>
      <c r="N223" s="51"/>
      <c r="O223" s="51"/>
      <c r="P223" s="25"/>
    </row>
    <row r="224">
      <c r="A224" s="25"/>
      <c r="B224" s="49"/>
      <c r="C224" s="50"/>
      <c r="D224" s="50"/>
      <c r="E224" s="50"/>
      <c r="F224" s="51"/>
      <c r="G224" s="51"/>
      <c r="H224" s="51"/>
      <c r="I224" s="51"/>
      <c r="J224" s="49"/>
      <c r="K224" s="51"/>
      <c r="L224" s="51"/>
      <c r="M224" s="52"/>
      <c r="N224" s="51"/>
      <c r="O224" s="51"/>
      <c r="P224" s="25"/>
    </row>
    <row r="225">
      <c r="A225" s="25"/>
      <c r="B225" s="49"/>
      <c r="C225" s="50"/>
      <c r="D225" s="50"/>
      <c r="E225" s="50"/>
      <c r="F225" s="51"/>
      <c r="G225" s="51"/>
      <c r="H225" s="51"/>
      <c r="I225" s="51"/>
      <c r="J225" s="49"/>
      <c r="K225" s="51"/>
      <c r="L225" s="51"/>
      <c r="M225" s="52"/>
      <c r="N225" s="51"/>
      <c r="O225" s="51"/>
      <c r="P225" s="25"/>
    </row>
    <row r="226">
      <c r="A226" s="25"/>
      <c r="B226" s="49"/>
      <c r="C226" s="50"/>
      <c r="D226" s="50"/>
      <c r="E226" s="50"/>
      <c r="F226" s="51"/>
      <c r="G226" s="51"/>
      <c r="H226" s="51"/>
      <c r="I226" s="51"/>
      <c r="J226" s="49"/>
      <c r="K226" s="51"/>
      <c r="L226" s="51"/>
      <c r="M226" s="52"/>
      <c r="N226" s="51"/>
      <c r="O226" s="51"/>
      <c r="P226" s="25"/>
    </row>
    <row r="227">
      <c r="A227" s="25"/>
      <c r="B227" s="49"/>
      <c r="C227" s="50"/>
      <c r="D227" s="50"/>
      <c r="E227" s="50"/>
      <c r="F227" s="51"/>
      <c r="G227" s="51"/>
      <c r="H227" s="51"/>
      <c r="I227" s="51"/>
      <c r="J227" s="49"/>
      <c r="K227" s="51"/>
      <c r="L227" s="51"/>
      <c r="M227" s="52"/>
      <c r="N227" s="51"/>
      <c r="O227" s="51"/>
      <c r="P227" s="25"/>
    </row>
    <row r="228">
      <c r="A228" s="25"/>
      <c r="B228" s="49"/>
      <c r="C228" s="50"/>
      <c r="D228" s="50"/>
      <c r="E228" s="50"/>
      <c r="F228" s="51"/>
      <c r="G228" s="51"/>
      <c r="H228" s="51"/>
      <c r="I228" s="51"/>
      <c r="J228" s="49"/>
      <c r="K228" s="51"/>
      <c r="L228" s="51"/>
      <c r="M228" s="52"/>
      <c r="N228" s="51"/>
      <c r="O228" s="51"/>
      <c r="P228" s="25"/>
    </row>
    <row r="229">
      <c r="A229" s="25"/>
      <c r="B229" s="49"/>
      <c r="C229" s="50"/>
      <c r="D229" s="50"/>
      <c r="E229" s="50"/>
      <c r="F229" s="51"/>
      <c r="G229" s="51"/>
      <c r="H229" s="51"/>
      <c r="I229" s="51"/>
      <c r="J229" s="49"/>
      <c r="K229" s="51"/>
      <c r="L229" s="51"/>
      <c r="M229" s="52"/>
      <c r="N229" s="51"/>
      <c r="O229" s="51"/>
      <c r="P229" s="25"/>
    </row>
    <row r="230">
      <c r="A230" s="25"/>
      <c r="B230" s="49"/>
      <c r="C230" s="50"/>
      <c r="D230" s="50"/>
      <c r="E230" s="50"/>
      <c r="F230" s="51"/>
      <c r="G230" s="51"/>
      <c r="H230" s="51"/>
      <c r="I230" s="51"/>
      <c r="J230" s="49"/>
      <c r="K230" s="51"/>
      <c r="L230" s="51"/>
      <c r="M230" s="52"/>
      <c r="N230" s="51"/>
      <c r="O230" s="51"/>
      <c r="P230" s="25"/>
    </row>
    <row r="231">
      <c r="A231" s="25"/>
      <c r="B231" s="49"/>
      <c r="C231" s="50"/>
      <c r="D231" s="50"/>
      <c r="E231" s="50"/>
      <c r="F231" s="51"/>
      <c r="G231" s="51"/>
      <c r="H231" s="51"/>
      <c r="I231" s="51"/>
      <c r="J231" s="49"/>
      <c r="K231" s="51"/>
      <c r="L231" s="51"/>
      <c r="M231" s="52"/>
      <c r="N231" s="51"/>
      <c r="O231" s="51"/>
      <c r="P231" s="25"/>
    </row>
    <row r="232">
      <c r="A232" s="25"/>
      <c r="B232" s="49"/>
      <c r="C232" s="50"/>
      <c r="D232" s="50"/>
      <c r="E232" s="50"/>
      <c r="F232" s="51"/>
      <c r="G232" s="51"/>
      <c r="H232" s="51"/>
      <c r="I232" s="51"/>
      <c r="J232" s="49"/>
      <c r="K232" s="51"/>
      <c r="L232" s="51"/>
      <c r="M232" s="52"/>
      <c r="N232" s="51"/>
      <c r="O232" s="51"/>
      <c r="P232" s="25"/>
    </row>
    <row r="233">
      <c r="A233" s="25"/>
      <c r="B233" s="49"/>
      <c r="C233" s="50"/>
      <c r="D233" s="50"/>
      <c r="E233" s="50"/>
      <c r="F233" s="51"/>
      <c r="G233" s="51"/>
      <c r="H233" s="51"/>
      <c r="I233" s="51"/>
      <c r="J233" s="49"/>
      <c r="K233" s="51"/>
      <c r="L233" s="51"/>
      <c r="M233" s="52"/>
      <c r="N233" s="51"/>
      <c r="O233" s="51"/>
      <c r="P233" s="25"/>
    </row>
    <row r="234">
      <c r="A234" s="25"/>
      <c r="B234" s="49"/>
      <c r="C234" s="50"/>
      <c r="D234" s="50"/>
      <c r="E234" s="50"/>
      <c r="F234" s="51"/>
      <c r="G234" s="51"/>
      <c r="H234" s="51"/>
      <c r="I234" s="51"/>
      <c r="J234" s="49"/>
      <c r="K234" s="51"/>
      <c r="L234" s="51"/>
      <c r="M234" s="52"/>
      <c r="N234" s="51"/>
      <c r="O234" s="51"/>
      <c r="P234" s="25"/>
    </row>
    <row r="235">
      <c r="A235" s="25"/>
      <c r="B235" s="49"/>
      <c r="C235" s="50"/>
      <c r="D235" s="50"/>
      <c r="E235" s="50"/>
      <c r="F235" s="51"/>
      <c r="G235" s="51"/>
      <c r="H235" s="51"/>
      <c r="I235" s="51"/>
      <c r="J235" s="49"/>
      <c r="K235" s="51"/>
      <c r="L235" s="51"/>
      <c r="M235" s="52"/>
      <c r="N235" s="51"/>
      <c r="O235" s="51"/>
      <c r="P235" s="25"/>
    </row>
    <row r="236">
      <c r="A236" s="25"/>
      <c r="B236" s="49"/>
      <c r="C236" s="50"/>
      <c r="D236" s="50"/>
      <c r="E236" s="50"/>
      <c r="F236" s="51"/>
      <c r="G236" s="51"/>
      <c r="H236" s="51"/>
      <c r="I236" s="51"/>
      <c r="J236" s="49"/>
      <c r="K236" s="51"/>
      <c r="L236" s="51"/>
      <c r="M236" s="52"/>
      <c r="N236" s="51"/>
      <c r="O236" s="51"/>
      <c r="P236" s="25"/>
    </row>
    <row r="237">
      <c r="A237" s="25"/>
      <c r="B237" s="49"/>
      <c r="C237" s="50"/>
      <c r="D237" s="50"/>
      <c r="E237" s="50"/>
      <c r="F237" s="51"/>
      <c r="G237" s="51"/>
      <c r="H237" s="51"/>
      <c r="I237" s="51"/>
      <c r="J237" s="49"/>
      <c r="K237" s="51"/>
      <c r="L237" s="51"/>
      <c r="M237" s="52"/>
      <c r="N237" s="51"/>
      <c r="O237" s="51"/>
      <c r="P237" s="25"/>
    </row>
    <row r="238">
      <c r="A238" s="25"/>
      <c r="B238" s="49"/>
      <c r="C238" s="50"/>
      <c r="D238" s="50"/>
      <c r="E238" s="50"/>
      <c r="F238" s="51"/>
      <c r="G238" s="51"/>
      <c r="H238" s="51"/>
      <c r="I238" s="51"/>
      <c r="J238" s="49"/>
      <c r="K238" s="51"/>
      <c r="L238" s="51"/>
      <c r="M238" s="52"/>
      <c r="N238" s="51"/>
      <c r="O238" s="51"/>
      <c r="P238" s="25"/>
    </row>
    <row r="239">
      <c r="A239" s="25"/>
      <c r="B239" s="49"/>
      <c r="C239" s="50"/>
      <c r="D239" s="50"/>
      <c r="E239" s="50"/>
      <c r="F239" s="51"/>
      <c r="G239" s="51"/>
      <c r="H239" s="51"/>
      <c r="I239" s="51"/>
      <c r="J239" s="49"/>
      <c r="K239" s="51"/>
      <c r="L239" s="51"/>
      <c r="M239" s="52"/>
      <c r="N239" s="51"/>
      <c r="O239" s="51"/>
      <c r="P239" s="25"/>
    </row>
    <row r="240">
      <c r="A240" s="25"/>
      <c r="B240" s="49"/>
      <c r="C240" s="50"/>
      <c r="D240" s="50"/>
      <c r="E240" s="50"/>
      <c r="F240" s="51"/>
      <c r="G240" s="51"/>
      <c r="H240" s="51"/>
      <c r="I240" s="51"/>
      <c r="J240" s="49"/>
      <c r="K240" s="51"/>
      <c r="L240" s="51"/>
      <c r="M240" s="52"/>
      <c r="N240" s="51"/>
      <c r="O240" s="51"/>
      <c r="P240" s="25"/>
    </row>
    <row r="241">
      <c r="A241" s="25"/>
      <c r="B241" s="49"/>
      <c r="C241" s="50"/>
      <c r="D241" s="50"/>
      <c r="E241" s="50"/>
      <c r="F241" s="51"/>
      <c r="G241" s="51"/>
      <c r="H241" s="51"/>
      <c r="I241" s="51"/>
      <c r="J241" s="49"/>
      <c r="K241" s="51"/>
      <c r="L241" s="51"/>
      <c r="M241" s="52"/>
      <c r="N241" s="51"/>
      <c r="O241" s="51"/>
      <c r="P241" s="25"/>
    </row>
    <row r="242">
      <c r="A242" s="25"/>
      <c r="B242" s="49"/>
      <c r="C242" s="50"/>
      <c r="D242" s="50"/>
      <c r="E242" s="50"/>
      <c r="F242" s="51"/>
      <c r="G242" s="51"/>
      <c r="H242" s="51"/>
      <c r="I242" s="51"/>
      <c r="J242" s="49"/>
      <c r="K242" s="51"/>
      <c r="L242" s="51"/>
      <c r="M242" s="52"/>
      <c r="N242" s="51"/>
      <c r="O242" s="51"/>
      <c r="P242" s="25"/>
    </row>
    <row r="243">
      <c r="A243" s="25"/>
      <c r="B243" s="49"/>
      <c r="C243" s="50"/>
      <c r="D243" s="50"/>
      <c r="E243" s="50"/>
      <c r="F243" s="51"/>
      <c r="G243" s="51"/>
      <c r="H243" s="51"/>
      <c r="I243" s="51"/>
      <c r="J243" s="49"/>
      <c r="K243" s="51"/>
      <c r="L243" s="51"/>
      <c r="M243" s="52"/>
      <c r="N243" s="51"/>
      <c r="O243" s="51"/>
      <c r="P243" s="25"/>
    </row>
    <row r="244">
      <c r="A244" s="25"/>
      <c r="B244" s="49"/>
      <c r="C244" s="50"/>
      <c r="D244" s="50"/>
      <c r="E244" s="50"/>
      <c r="F244" s="51"/>
      <c r="G244" s="51"/>
      <c r="H244" s="51"/>
      <c r="I244" s="51"/>
      <c r="J244" s="49"/>
      <c r="K244" s="51"/>
      <c r="L244" s="51"/>
      <c r="M244" s="52"/>
      <c r="N244" s="51"/>
      <c r="O244" s="51"/>
      <c r="P244" s="25"/>
    </row>
    <row r="245">
      <c r="A245" s="25"/>
      <c r="B245" s="49"/>
      <c r="C245" s="50"/>
      <c r="D245" s="50"/>
      <c r="E245" s="50"/>
      <c r="F245" s="51"/>
      <c r="G245" s="51"/>
      <c r="H245" s="51"/>
      <c r="I245" s="51"/>
      <c r="J245" s="49"/>
      <c r="K245" s="51"/>
      <c r="L245" s="51"/>
      <c r="M245" s="52"/>
      <c r="N245" s="51"/>
      <c r="O245" s="51"/>
      <c r="P245" s="25"/>
    </row>
    <row r="246">
      <c r="A246" s="25"/>
      <c r="B246" s="49"/>
      <c r="C246" s="50"/>
      <c r="D246" s="50"/>
      <c r="E246" s="50"/>
      <c r="F246" s="51"/>
      <c r="G246" s="51"/>
      <c r="H246" s="51"/>
      <c r="I246" s="51"/>
      <c r="J246" s="49"/>
      <c r="K246" s="51"/>
      <c r="L246" s="51"/>
      <c r="M246" s="52"/>
      <c r="N246" s="51"/>
      <c r="O246" s="51"/>
      <c r="P246" s="25"/>
    </row>
    <row r="247">
      <c r="A247" s="25"/>
      <c r="B247" s="49"/>
      <c r="C247" s="50"/>
      <c r="D247" s="50"/>
      <c r="E247" s="50"/>
      <c r="F247" s="51"/>
      <c r="G247" s="51"/>
      <c r="H247" s="51"/>
      <c r="I247" s="51"/>
      <c r="J247" s="49"/>
      <c r="K247" s="51"/>
      <c r="L247" s="51"/>
      <c r="M247" s="52"/>
      <c r="N247" s="51"/>
      <c r="O247" s="51"/>
      <c r="P247" s="25"/>
    </row>
    <row r="248">
      <c r="A248" s="25"/>
      <c r="B248" s="49"/>
      <c r="C248" s="50"/>
      <c r="D248" s="50"/>
      <c r="E248" s="50"/>
      <c r="F248" s="51"/>
      <c r="G248" s="51"/>
      <c r="H248" s="51"/>
      <c r="I248" s="51"/>
      <c r="J248" s="49"/>
      <c r="K248" s="51"/>
      <c r="L248" s="51"/>
      <c r="M248" s="52"/>
      <c r="N248" s="51"/>
      <c r="O248" s="51"/>
      <c r="P248" s="25"/>
    </row>
    <row r="249">
      <c r="A249" s="25"/>
      <c r="B249" s="49"/>
      <c r="C249" s="50"/>
      <c r="D249" s="50"/>
      <c r="E249" s="50"/>
      <c r="F249" s="51"/>
      <c r="G249" s="51"/>
      <c r="H249" s="51"/>
      <c r="I249" s="51"/>
      <c r="J249" s="49"/>
      <c r="K249" s="51"/>
      <c r="L249" s="51"/>
      <c r="M249" s="52"/>
      <c r="N249" s="51"/>
      <c r="O249" s="51"/>
      <c r="P249" s="25"/>
    </row>
    <row r="250">
      <c r="A250" s="25"/>
      <c r="B250" s="49"/>
      <c r="C250" s="50"/>
      <c r="D250" s="50"/>
      <c r="E250" s="50"/>
      <c r="F250" s="51"/>
      <c r="G250" s="51"/>
      <c r="H250" s="51"/>
      <c r="I250" s="51"/>
      <c r="J250" s="49"/>
      <c r="K250" s="51"/>
      <c r="L250" s="51"/>
      <c r="M250" s="52"/>
      <c r="N250" s="51"/>
      <c r="O250" s="51"/>
      <c r="P250" s="25"/>
    </row>
    <row r="251">
      <c r="A251" s="25"/>
      <c r="B251" s="49"/>
      <c r="C251" s="50"/>
      <c r="D251" s="50"/>
      <c r="E251" s="50"/>
      <c r="F251" s="51"/>
      <c r="G251" s="51"/>
      <c r="H251" s="51"/>
      <c r="I251" s="51"/>
      <c r="J251" s="49"/>
      <c r="K251" s="51"/>
      <c r="L251" s="51"/>
      <c r="M251" s="52"/>
      <c r="N251" s="51"/>
      <c r="O251" s="51"/>
      <c r="P251" s="25"/>
    </row>
    <row r="252">
      <c r="A252" s="25"/>
      <c r="B252" s="49"/>
      <c r="C252" s="50"/>
      <c r="D252" s="50"/>
      <c r="E252" s="50"/>
      <c r="F252" s="51"/>
      <c r="G252" s="51"/>
      <c r="H252" s="51"/>
      <c r="I252" s="51"/>
      <c r="J252" s="49"/>
      <c r="K252" s="51"/>
      <c r="L252" s="51"/>
      <c r="M252" s="52"/>
      <c r="N252" s="51"/>
      <c r="O252" s="51"/>
      <c r="P252" s="25"/>
    </row>
    <row r="253">
      <c r="A253" s="25"/>
      <c r="B253" s="49"/>
      <c r="C253" s="50"/>
      <c r="D253" s="50"/>
      <c r="E253" s="50"/>
      <c r="F253" s="51"/>
      <c r="G253" s="51"/>
      <c r="H253" s="51"/>
      <c r="I253" s="51"/>
      <c r="J253" s="49"/>
      <c r="K253" s="51"/>
      <c r="L253" s="51"/>
      <c r="M253" s="52"/>
      <c r="N253" s="51"/>
      <c r="O253" s="51"/>
      <c r="P253" s="25"/>
    </row>
    <row r="254">
      <c r="A254" s="25"/>
      <c r="B254" s="49"/>
      <c r="C254" s="50"/>
      <c r="D254" s="50"/>
      <c r="E254" s="50"/>
      <c r="F254" s="51"/>
      <c r="G254" s="51"/>
      <c r="H254" s="51"/>
      <c r="I254" s="51"/>
      <c r="J254" s="49"/>
      <c r="K254" s="51"/>
      <c r="L254" s="51"/>
      <c r="M254" s="52"/>
      <c r="N254" s="51"/>
      <c r="O254" s="51"/>
      <c r="P254" s="25"/>
    </row>
    <row r="255">
      <c r="A255" s="25"/>
      <c r="B255" s="49"/>
      <c r="C255" s="50"/>
      <c r="D255" s="50"/>
      <c r="E255" s="50"/>
      <c r="F255" s="51"/>
      <c r="G255" s="51"/>
      <c r="H255" s="51"/>
      <c r="I255" s="51"/>
      <c r="J255" s="49"/>
      <c r="K255" s="51"/>
      <c r="L255" s="51"/>
      <c r="M255" s="52"/>
      <c r="N255" s="51"/>
      <c r="O255" s="51"/>
      <c r="P255" s="25"/>
    </row>
    <row r="256">
      <c r="A256" s="25"/>
      <c r="B256" s="49"/>
      <c r="C256" s="50"/>
      <c r="D256" s="50"/>
      <c r="E256" s="50"/>
      <c r="F256" s="51"/>
      <c r="G256" s="51"/>
      <c r="H256" s="51"/>
      <c r="I256" s="51"/>
      <c r="J256" s="49"/>
      <c r="K256" s="51"/>
      <c r="L256" s="51"/>
      <c r="M256" s="52"/>
      <c r="N256" s="51"/>
      <c r="O256" s="51"/>
      <c r="P256" s="25"/>
    </row>
    <row r="257">
      <c r="A257" s="25"/>
      <c r="B257" s="49"/>
      <c r="C257" s="50"/>
      <c r="D257" s="50"/>
      <c r="E257" s="50"/>
      <c r="F257" s="51"/>
      <c r="G257" s="51"/>
      <c r="H257" s="51"/>
      <c r="I257" s="51"/>
      <c r="J257" s="49"/>
      <c r="K257" s="51"/>
      <c r="L257" s="51"/>
      <c r="M257" s="52"/>
      <c r="N257" s="51"/>
      <c r="O257" s="51"/>
      <c r="P257" s="25"/>
    </row>
    <row r="258">
      <c r="A258" s="25"/>
      <c r="B258" s="49"/>
      <c r="C258" s="50"/>
      <c r="D258" s="50"/>
      <c r="E258" s="50"/>
      <c r="F258" s="51"/>
      <c r="G258" s="51"/>
      <c r="H258" s="51"/>
      <c r="I258" s="51"/>
      <c r="J258" s="49"/>
      <c r="K258" s="51"/>
      <c r="L258" s="51"/>
      <c r="M258" s="52"/>
      <c r="N258" s="51"/>
      <c r="O258" s="51"/>
      <c r="P258" s="25"/>
    </row>
    <row r="259">
      <c r="A259" s="25"/>
      <c r="B259" s="49"/>
      <c r="C259" s="50"/>
      <c r="D259" s="50"/>
      <c r="E259" s="50"/>
      <c r="F259" s="51"/>
      <c r="G259" s="51"/>
      <c r="H259" s="51"/>
      <c r="I259" s="51"/>
      <c r="J259" s="49"/>
      <c r="K259" s="51"/>
      <c r="L259" s="51"/>
      <c r="M259" s="52"/>
      <c r="N259" s="51"/>
      <c r="O259" s="51"/>
      <c r="P259" s="25"/>
    </row>
    <row r="260">
      <c r="A260" s="25"/>
      <c r="B260" s="49"/>
      <c r="C260" s="50"/>
      <c r="D260" s="50"/>
      <c r="E260" s="50"/>
      <c r="F260" s="51"/>
      <c r="G260" s="51"/>
      <c r="H260" s="51"/>
      <c r="I260" s="51"/>
      <c r="J260" s="49"/>
      <c r="K260" s="51"/>
      <c r="L260" s="51"/>
      <c r="M260" s="52"/>
      <c r="N260" s="51"/>
      <c r="O260" s="51"/>
      <c r="P260" s="25"/>
    </row>
    <row r="261">
      <c r="A261" s="25"/>
      <c r="B261" s="49"/>
      <c r="C261" s="50"/>
      <c r="D261" s="50"/>
      <c r="E261" s="50"/>
      <c r="F261" s="51"/>
      <c r="G261" s="51"/>
      <c r="H261" s="51"/>
      <c r="I261" s="51"/>
      <c r="J261" s="49"/>
      <c r="K261" s="51"/>
      <c r="L261" s="51"/>
      <c r="M261" s="52"/>
      <c r="N261" s="51"/>
      <c r="O261" s="51"/>
      <c r="P261" s="25"/>
    </row>
    <row r="262">
      <c r="A262" s="25"/>
      <c r="B262" s="49"/>
      <c r="C262" s="50"/>
      <c r="D262" s="50"/>
      <c r="E262" s="50"/>
      <c r="F262" s="51"/>
      <c r="G262" s="51"/>
      <c r="H262" s="51"/>
      <c r="I262" s="51"/>
      <c r="J262" s="49"/>
      <c r="K262" s="51"/>
      <c r="L262" s="51"/>
      <c r="M262" s="52"/>
      <c r="N262" s="51"/>
      <c r="O262" s="51"/>
      <c r="P262" s="25"/>
    </row>
    <row r="263">
      <c r="A263" s="25"/>
      <c r="B263" s="49"/>
      <c r="C263" s="50"/>
      <c r="D263" s="50"/>
      <c r="E263" s="50"/>
      <c r="F263" s="51"/>
      <c r="G263" s="51"/>
      <c r="H263" s="51"/>
      <c r="I263" s="51"/>
      <c r="J263" s="49"/>
      <c r="K263" s="51"/>
      <c r="L263" s="51"/>
      <c r="M263" s="52"/>
      <c r="N263" s="51"/>
      <c r="O263" s="51"/>
      <c r="P263" s="25"/>
    </row>
    <row r="264">
      <c r="A264" s="25"/>
      <c r="B264" s="49"/>
      <c r="C264" s="50"/>
      <c r="D264" s="50"/>
      <c r="E264" s="50"/>
      <c r="F264" s="51"/>
      <c r="G264" s="51"/>
      <c r="H264" s="51"/>
      <c r="I264" s="51"/>
      <c r="J264" s="49"/>
      <c r="K264" s="51"/>
      <c r="L264" s="51"/>
      <c r="M264" s="52"/>
      <c r="N264" s="51"/>
      <c r="O264" s="51"/>
      <c r="P264" s="25"/>
    </row>
    <row r="265">
      <c r="A265" s="25"/>
      <c r="B265" s="49"/>
      <c r="C265" s="50"/>
      <c r="D265" s="50"/>
      <c r="E265" s="50"/>
      <c r="F265" s="51"/>
      <c r="G265" s="51"/>
      <c r="H265" s="51"/>
      <c r="I265" s="51"/>
      <c r="J265" s="49"/>
      <c r="K265" s="51"/>
      <c r="L265" s="51"/>
      <c r="M265" s="52"/>
      <c r="N265" s="51"/>
      <c r="O265" s="51"/>
      <c r="P265" s="25"/>
    </row>
    <row r="266">
      <c r="A266" s="25"/>
      <c r="B266" s="49"/>
      <c r="C266" s="50"/>
      <c r="D266" s="50"/>
      <c r="E266" s="50"/>
      <c r="F266" s="51"/>
      <c r="G266" s="51"/>
      <c r="H266" s="51"/>
      <c r="I266" s="51"/>
      <c r="J266" s="49"/>
      <c r="K266" s="51"/>
      <c r="L266" s="51"/>
      <c r="M266" s="52"/>
      <c r="N266" s="51"/>
      <c r="O266" s="51"/>
      <c r="P266" s="25"/>
    </row>
    <row r="267">
      <c r="A267" s="25"/>
      <c r="B267" s="49"/>
      <c r="C267" s="50"/>
      <c r="D267" s="50"/>
      <c r="E267" s="50"/>
      <c r="F267" s="51"/>
      <c r="G267" s="51"/>
      <c r="H267" s="51"/>
      <c r="I267" s="51"/>
      <c r="J267" s="49"/>
      <c r="K267" s="51"/>
      <c r="L267" s="51"/>
      <c r="M267" s="52"/>
      <c r="N267" s="51"/>
      <c r="O267" s="51"/>
      <c r="P267" s="25"/>
    </row>
    <row r="268">
      <c r="A268" s="25"/>
      <c r="B268" s="49"/>
      <c r="C268" s="50"/>
      <c r="D268" s="50"/>
      <c r="E268" s="50"/>
      <c r="F268" s="51"/>
      <c r="G268" s="51"/>
      <c r="H268" s="51"/>
      <c r="I268" s="51"/>
      <c r="J268" s="49"/>
      <c r="K268" s="51"/>
      <c r="L268" s="51"/>
      <c r="M268" s="52"/>
      <c r="N268" s="51"/>
      <c r="O268" s="51"/>
      <c r="P268" s="25"/>
    </row>
    <row r="269">
      <c r="A269" s="25"/>
      <c r="B269" s="49"/>
      <c r="C269" s="50"/>
      <c r="D269" s="50"/>
      <c r="E269" s="50"/>
      <c r="F269" s="51"/>
      <c r="G269" s="51"/>
      <c r="H269" s="51"/>
      <c r="I269" s="51"/>
      <c r="J269" s="49"/>
      <c r="K269" s="51"/>
      <c r="L269" s="51"/>
      <c r="M269" s="52"/>
      <c r="N269" s="51"/>
      <c r="O269" s="51"/>
      <c r="P269" s="25"/>
    </row>
    <row r="270">
      <c r="A270" s="25"/>
      <c r="B270" s="49"/>
      <c r="C270" s="50"/>
      <c r="D270" s="50"/>
      <c r="E270" s="50"/>
      <c r="F270" s="51"/>
      <c r="G270" s="51"/>
      <c r="H270" s="51"/>
      <c r="I270" s="51"/>
      <c r="J270" s="49"/>
      <c r="K270" s="51"/>
      <c r="L270" s="51"/>
      <c r="M270" s="52"/>
      <c r="N270" s="51"/>
      <c r="O270" s="51"/>
      <c r="P270" s="25"/>
    </row>
    <row r="271">
      <c r="A271" s="25"/>
      <c r="B271" s="49"/>
      <c r="C271" s="50"/>
      <c r="D271" s="50"/>
      <c r="E271" s="50"/>
      <c r="F271" s="51"/>
      <c r="G271" s="51"/>
      <c r="H271" s="51"/>
      <c r="I271" s="51"/>
      <c r="J271" s="49"/>
      <c r="K271" s="51"/>
      <c r="L271" s="51"/>
      <c r="M271" s="52"/>
      <c r="N271" s="51"/>
      <c r="O271" s="51"/>
      <c r="P271" s="25"/>
    </row>
    <row r="272">
      <c r="A272" s="25"/>
      <c r="B272" s="49"/>
      <c r="C272" s="50"/>
      <c r="D272" s="50"/>
      <c r="E272" s="50"/>
      <c r="F272" s="51"/>
      <c r="G272" s="51"/>
      <c r="H272" s="51"/>
      <c r="I272" s="51"/>
      <c r="J272" s="49"/>
      <c r="K272" s="51"/>
      <c r="L272" s="51"/>
      <c r="M272" s="52"/>
      <c r="N272" s="51"/>
      <c r="O272" s="51"/>
      <c r="P272" s="25"/>
    </row>
    <row r="273">
      <c r="A273" s="25"/>
      <c r="B273" s="49"/>
      <c r="C273" s="50"/>
      <c r="D273" s="50"/>
      <c r="E273" s="50"/>
      <c r="F273" s="51"/>
      <c r="G273" s="51"/>
      <c r="H273" s="51"/>
      <c r="I273" s="51"/>
      <c r="J273" s="49"/>
      <c r="K273" s="51"/>
      <c r="L273" s="51"/>
      <c r="M273" s="52"/>
      <c r="N273" s="51"/>
      <c r="O273" s="51"/>
      <c r="P273" s="25"/>
    </row>
    <row r="274">
      <c r="A274" s="25"/>
      <c r="B274" s="49"/>
      <c r="C274" s="50"/>
      <c r="D274" s="50"/>
      <c r="E274" s="50"/>
      <c r="F274" s="51"/>
      <c r="G274" s="51"/>
      <c r="H274" s="51"/>
      <c r="I274" s="51"/>
      <c r="J274" s="49"/>
      <c r="K274" s="51"/>
      <c r="L274" s="51"/>
      <c r="M274" s="52"/>
      <c r="N274" s="51"/>
      <c r="O274" s="51"/>
      <c r="P274" s="25"/>
    </row>
    <row r="275">
      <c r="A275" s="25"/>
      <c r="B275" s="49"/>
      <c r="C275" s="50"/>
      <c r="D275" s="50"/>
      <c r="E275" s="50"/>
      <c r="F275" s="51"/>
      <c r="G275" s="51"/>
      <c r="H275" s="51"/>
      <c r="I275" s="51"/>
      <c r="J275" s="49"/>
      <c r="K275" s="51"/>
      <c r="L275" s="51"/>
      <c r="M275" s="52"/>
      <c r="N275" s="51"/>
      <c r="O275" s="51"/>
      <c r="P275" s="25"/>
    </row>
    <row r="276">
      <c r="A276" s="25"/>
      <c r="B276" s="49"/>
      <c r="C276" s="50"/>
      <c r="D276" s="50"/>
      <c r="E276" s="50"/>
      <c r="F276" s="51"/>
      <c r="G276" s="51"/>
      <c r="H276" s="51"/>
      <c r="I276" s="51"/>
      <c r="J276" s="49"/>
      <c r="K276" s="51"/>
      <c r="L276" s="51"/>
      <c r="M276" s="52"/>
      <c r="N276" s="51"/>
      <c r="O276" s="51"/>
      <c r="P276" s="25"/>
    </row>
    <row r="277">
      <c r="A277" s="25"/>
      <c r="B277" s="49"/>
      <c r="C277" s="50"/>
      <c r="D277" s="50"/>
      <c r="E277" s="50"/>
      <c r="F277" s="51"/>
      <c r="G277" s="51"/>
      <c r="H277" s="51"/>
      <c r="I277" s="51"/>
      <c r="J277" s="49"/>
      <c r="K277" s="51"/>
      <c r="L277" s="51"/>
      <c r="M277" s="52"/>
      <c r="N277" s="51"/>
      <c r="O277" s="51"/>
      <c r="P277" s="25"/>
    </row>
    <row r="278">
      <c r="A278" s="25"/>
      <c r="B278" s="49"/>
      <c r="C278" s="50"/>
      <c r="D278" s="50"/>
      <c r="E278" s="50"/>
      <c r="F278" s="51"/>
      <c r="G278" s="51"/>
      <c r="H278" s="51"/>
      <c r="I278" s="51"/>
      <c r="J278" s="49"/>
      <c r="K278" s="51"/>
      <c r="L278" s="51"/>
      <c r="M278" s="52"/>
      <c r="N278" s="51"/>
      <c r="O278" s="51"/>
      <c r="P278" s="25"/>
    </row>
    <row r="279">
      <c r="A279" s="25"/>
      <c r="B279" s="49"/>
      <c r="C279" s="50"/>
      <c r="D279" s="50"/>
      <c r="E279" s="50"/>
      <c r="F279" s="51"/>
      <c r="G279" s="51"/>
      <c r="H279" s="51"/>
      <c r="I279" s="51"/>
      <c r="J279" s="49"/>
      <c r="K279" s="51"/>
      <c r="L279" s="51"/>
      <c r="M279" s="52"/>
      <c r="N279" s="51"/>
      <c r="O279" s="51"/>
      <c r="P279" s="25"/>
    </row>
    <row r="280">
      <c r="A280" s="25"/>
      <c r="B280" s="49"/>
      <c r="C280" s="50"/>
      <c r="D280" s="50"/>
      <c r="E280" s="50"/>
      <c r="F280" s="51"/>
      <c r="G280" s="51"/>
      <c r="H280" s="51"/>
      <c r="I280" s="51"/>
      <c r="J280" s="49"/>
      <c r="K280" s="51"/>
      <c r="L280" s="51"/>
      <c r="M280" s="52"/>
      <c r="N280" s="51"/>
      <c r="O280" s="51"/>
      <c r="P280" s="25"/>
    </row>
    <row r="281">
      <c r="A281" s="25"/>
      <c r="B281" s="49"/>
      <c r="C281" s="50"/>
      <c r="D281" s="50"/>
      <c r="E281" s="50"/>
      <c r="F281" s="51"/>
      <c r="G281" s="51"/>
      <c r="H281" s="51"/>
      <c r="I281" s="51"/>
      <c r="J281" s="49"/>
      <c r="K281" s="51"/>
      <c r="L281" s="51"/>
      <c r="M281" s="52"/>
      <c r="N281" s="51"/>
      <c r="O281" s="51"/>
      <c r="P281" s="25"/>
    </row>
    <row r="282">
      <c r="A282" s="25"/>
      <c r="B282" s="49"/>
      <c r="C282" s="50"/>
      <c r="D282" s="50"/>
      <c r="E282" s="50"/>
      <c r="F282" s="51"/>
      <c r="G282" s="51"/>
      <c r="H282" s="51"/>
      <c r="I282" s="51"/>
      <c r="J282" s="49"/>
      <c r="K282" s="51"/>
      <c r="L282" s="51"/>
      <c r="M282" s="52"/>
      <c r="N282" s="51"/>
      <c r="O282" s="51"/>
      <c r="P282" s="25"/>
    </row>
    <row r="283">
      <c r="A283" s="25"/>
      <c r="B283" s="49"/>
      <c r="C283" s="50"/>
      <c r="D283" s="50"/>
      <c r="E283" s="50"/>
      <c r="F283" s="51"/>
      <c r="G283" s="51"/>
      <c r="H283" s="51"/>
      <c r="I283" s="51"/>
      <c r="J283" s="49"/>
      <c r="K283" s="51"/>
      <c r="L283" s="51"/>
      <c r="M283" s="52"/>
      <c r="N283" s="51"/>
      <c r="O283" s="51"/>
      <c r="P283" s="25"/>
    </row>
    <row r="284">
      <c r="A284" s="25"/>
      <c r="B284" s="49"/>
      <c r="C284" s="50"/>
      <c r="D284" s="50"/>
      <c r="E284" s="50"/>
      <c r="F284" s="51"/>
      <c r="G284" s="51"/>
      <c r="H284" s="51"/>
      <c r="I284" s="51"/>
      <c r="J284" s="49"/>
      <c r="K284" s="51"/>
      <c r="L284" s="51"/>
      <c r="M284" s="52"/>
      <c r="N284" s="51"/>
      <c r="O284" s="51"/>
      <c r="P284" s="25"/>
    </row>
    <row r="285">
      <c r="A285" s="25"/>
      <c r="B285" s="49"/>
      <c r="C285" s="50"/>
      <c r="D285" s="50"/>
      <c r="E285" s="50"/>
      <c r="F285" s="51"/>
      <c r="G285" s="51"/>
      <c r="H285" s="51"/>
      <c r="I285" s="51"/>
      <c r="J285" s="49"/>
      <c r="K285" s="51"/>
      <c r="L285" s="51"/>
      <c r="M285" s="52"/>
      <c r="N285" s="51"/>
      <c r="O285" s="51"/>
      <c r="P285" s="25"/>
    </row>
    <row r="286">
      <c r="A286" s="25"/>
      <c r="B286" s="49"/>
      <c r="C286" s="50"/>
      <c r="D286" s="50"/>
      <c r="E286" s="50"/>
      <c r="F286" s="51"/>
      <c r="G286" s="51"/>
      <c r="H286" s="51"/>
      <c r="I286" s="51"/>
      <c r="J286" s="49"/>
      <c r="K286" s="51"/>
      <c r="L286" s="51"/>
      <c r="M286" s="52"/>
      <c r="N286" s="51"/>
      <c r="O286" s="51"/>
      <c r="P286" s="25"/>
    </row>
    <row r="287">
      <c r="A287" s="25"/>
      <c r="B287" s="49"/>
      <c r="C287" s="50"/>
      <c r="D287" s="50"/>
      <c r="E287" s="50"/>
      <c r="F287" s="51"/>
      <c r="G287" s="51"/>
      <c r="H287" s="51"/>
      <c r="I287" s="51"/>
      <c r="J287" s="49"/>
      <c r="K287" s="51"/>
      <c r="L287" s="51"/>
      <c r="M287" s="52"/>
      <c r="N287" s="51"/>
      <c r="O287" s="51"/>
      <c r="P287" s="25"/>
    </row>
    <row r="288">
      <c r="A288" s="25"/>
      <c r="B288" s="49"/>
      <c r="C288" s="50"/>
      <c r="D288" s="50"/>
      <c r="E288" s="50"/>
      <c r="F288" s="51"/>
      <c r="G288" s="51"/>
      <c r="H288" s="51"/>
      <c r="I288" s="51"/>
      <c r="J288" s="49"/>
      <c r="K288" s="51"/>
      <c r="L288" s="51"/>
      <c r="M288" s="52"/>
      <c r="N288" s="51"/>
      <c r="O288" s="51"/>
      <c r="P288" s="25"/>
    </row>
    <row r="289">
      <c r="A289" s="25"/>
      <c r="B289" s="49"/>
      <c r="C289" s="50"/>
      <c r="D289" s="50"/>
      <c r="E289" s="50"/>
      <c r="F289" s="51"/>
      <c r="G289" s="51"/>
      <c r="H289" s="51"/>
      <c r="I289" s="51"/>
      <c r="J289" s="49"/>
      <c r="K289" s="51"/>
      <c r="L289" s="51"/>
      <c r="M289" s="52"/>
      <c r="N289" s="51"/>
      <c r="O289" s="51"/>
      <c r="P289" s="25"/>
    </row>
    <row r="290">
      <c r="A290" s="25"/>
      <c r="B290" s="49"/>
      <c r="C290" s="50"/>
      <c r="D290" s="50"/>
      <c r="E290" s="50"/>
      <c r="F290" s="51"/>
      <c r="G290" s="51"/>
      <c r="H290" s="51"/>
      <c r="I290" s="51"/>
      <c r="J290" s="49"/>
      <c r="K290" s="51"/>
      <c r="L290" s="51"/>
      <c r="M290" s="52"/>
      <c r="N290" s="51"/>
      <c r="O290" s="51"/>
      <c r="P290" s="25"/>
    </row>
    <row r="291">
      <c r="A291" s="25"/>
      <c r="B291" s="49"/>
      <c r="C291" s="50"/>
      <c r="D291" s="50"/>
      <c r="E291" s="50"/>
      <c r="F291" s="51"/>
      <c r="G291" s="51"/>
      <c r="H291" s="51"/>
      <c r="I291" s="51"/>
      <c r="J291" s="49"/>
      <c r="K291" s="51"/>
      <c r="L291" s="51"/>
      <c r="M291" s="52"/>
      <c r="N291" s="51"/>
      <c r="O291" s="51"/>
      <c r="P291" s="25"/>
    </row>
    <row r="292">
      <c r="A292" s="25"/>
      <c r="B292" s="49"/>
      <c r="C292" s="50"/>
      <c r="D292" s="50"/>
      <c r="E292" s="50"/>
      <c r="F292" s="51"/>
      <c r="G292" s="51"/>
      <c r="H292" s="51"/>
      <c r="I292" s="51"/>
      <c r="J292" s="49"/>
      <c r="K292" s="51"/>
      <c r="L292" s="51"/>
      <c r="M292" s="52"/>
      <c r="N292" s="51"/>
      <c r="O292" s="51"/>
      <c r="P292" s="25"/>
    </row>
    <row r="293">
      <c r="A293" s="25"/>
      <c r="B293" s="49"/>
      <c r="C293" s="50"/>
      <c r="D293" s="50"/>
      <c r="E293" s="50"/>
      <c r="F293" s="51"/>
      <c r="G293" s="51"/>
      <c r="H293" s="51"/>
      <c r="I293" s="51"/>
      <c r="J293" s="49"/>
      <c r="K293" s="51"/>
      <c r="L293" s="51"/>
      <c r="M293" s="52"/>
      <c r="N293" s="51"/>
      <c r="O293" s="51"/>
      <c r="P293" s="25"/>
    </row>
    <row r="294">
      <c r="A294" s="25"/>
      <c r="B294" s="49"/>
      <c r="C294" s="50"/>
      <c r="D294" s="50"/>
      <c r="E294" s="50"/>
      <c r="F294" s="51"/>
      <c r="G294" s="51"/>
      <c r="H294" s="51"/>
      <c r="I294" s="51"/>
      <c r="J294" s="49"/>
      <c r="K294" s="51"/>
      <c r="L294" s="51"/>
      <c r="M294" s="52"/>
      <c r="N294" s="51"/>
      <c r="O294" s="51"/>
      <c r="P294" s="25"/>
    </row>
    <row r="295">
      <c r="A295" s="25"/>
      <c r="B295" s="49"/>
      <c r="C295" s="50"/>
      <c r="D295" s="50"/>
      <c r="E295" s="50"/>
      <c r="F295" s="51"/>
      <c r="G295" s="51"/>
      <c r="H295" s="51"/>
      <c r="I295" s="51"/>
      <c r="J295" s="49"/>
      <c r="K295" s="51"/>
      <c r="L295" s="51"/>
      <c r="M295" s="52"/>
      <c r="N295" s="51"/>
      <c r="O295" s="51"/>
      <c r="P295" s="25"/>
    </row>
    <row r="296">
      <c r="A296" s="25"/>
      <c r="B296" s="49"/>
      <c r="C296" s="50"/>
      <c r="D296" s="50"/>
      <c r="E296" s="50"/>
      <c r="F296" s="51"/>
      <c r="G296" s="51"/>
      <c r="H296" s="51"/>
      <c r="I296" s="51"/>
      <c r="J296" s="49"/>
      <c r="K296" s="51"/>
      <c r="L296" s="51"/>
      <c r="M296" s="52"/>
      <c r="N296" s="51"/>
      <c r="O296" s="51"/>
      <c r="P296" s="25"/>
    </row>
    <row r="297">
      <c r="A297" s="25"/>
      <c r="B297" s="49"/>
      <c r="C297" s="50"/>
      <c r="D297" s="50"/>
      <c r="E297" s="50"/>
      <c r="F297" s="51"/>
      <c r="G297" s="51"/>
      <c r="H297" s="51"/>
      <c r="I297" s="51"/>
      <c r="J297" s="49"/>
      <c r="K297" s="51"/>
      <c r="L297" s="51"/>
      <c r="M297" s="52"/>
      <c r="N297" s="51"/>
      <c r="O297" s="51"/>
      <c r="P297" s="25"/>
    </row>
    <row r="298">
      <c r="A298" s="25"/>
      <c r="B298" s="49"/>
      <c r="C298" s="50"/>
      <c r="D298" s="50"/>
      <c r="E298" s="50"/>
      <c r="F298" s="51"/>
      <c r="G298" s="51"/>
      <c r="H298" s="51"/>
      <c r="I298" s="51"/>
      <c r="J298" s="49"/>
      <c r="K298" s="51"/>
      <c r="L298" s="51"/>
      <c r="M298" s="52"/>
      <c r="N298" s="51"/>
      <c r="O298" s="51"/>
      <c r="P298" s="25"/>
    </row>
    <row r="299">
      <c r="A299" s="25"/>
      <c r="B299" s="49"/>
      <c r="C299" s="50"/>
      <c r="D299" s="50"/>
      <c r="E299" s="50"/>
      <c r="F299" s="51"/>
      <c r="G299" s="51"/>
      <c r="H299" s="51"/>
      <c r="I299" s="51"/>
      <c r="J299" s="49"/>
      <c r="K299" s="51"/>
      <c r="L299" s="51"/>
      <c r="M299" s="52"/>
      <c r="N299" s="51"/>
      <c r="O299" s="51"/>
      <c r="P299" s="25"/>
    </row>
    <row r="300">
      <c r="A300" s="25"/>
      <c r="B300" s="49"/>
      <c r="C300" s="50"/>
      <c r="D300" s="50"/>
      <c r="E300" s="50"/>
      <c r="F300" s="51"/>
      <c r="G300" s="51"/>
      <c r="H300" s="51"/>
      <c r="I300" s="51"/>
      <c r="J300" s="49"/>
      <c r="K300" s="51"/>
      <c r="L300" s="51"/>
      <c r="M300" s="52"/>
      <c r="N300" s="51"/>
      <c r="O300" s="51"/>
      <c r="P300" s="25"/>
    </row>
    <row r="301">
      <c r="A301" s="25"/>
      <c r="B301" s="49"/>
      <c r="C301" s="50"/>
      <c r="D301" s="50"/>
      <c r="E301" s="50"/>
      <c r="F301" s="51"/>
      <c r="G301" s="51"/>
      <c r="H301" s="51"/>
      <c r="I301" s="51"/>
      <c r="J301" s="49"/>
      <c r="K301" s="51"/>
      <c r="L301" s="51"/>
      <c r="M301" s="52"/>
      <c r="N301" s="51"/>
      <c r="O301" s="51"/>
      <c r="P301" s="25"/>
    </row>
    <row r="302">
      <c r="A302" s="25"/>
      <c r="B302" s="49"/>
      <c r="C302" s="50"/>
      <c r="D302" s="50"/>
      <c r="E302" s="50"/>
      <c r="F302" s="51"/>
      <c r="G302" s="51"/>
      <c r="H302" s="51"/>
      <c r="I302" s="51"/>
      <c r="J302" s="49"/>
      <c r="K302" s="51"/>
      <c r="L302" s="51"/>
      <c r="M302" s="52"/>
      <c r="N302" s="51"/>
      <c r="O302" s="51"/>
      <c r="P302" s="25"/>
    </row>
    <row r="303">
      <c r="A303" s="25"/>
      <c r="B303" s="49"/>
      <c r="C303" s="50"/>
      <c r="D303" s="50"/>
      <c r="E303" s="50"/>
      <c r="F303" s="51"/>
      <c r="G303" s="51"/>
      <c r="H303" s="51"/>
      <c r="I303" s="51"/>
      <c r="J303" s="49"/>
      <c r="K303" s="51"/>
      <c r="L303" s="51"/>
      <c r="M303" s="52"/>
      <c r="N303" s="51"/>
      <c r="O303" s="51"/>
      <c r="P303" s="25"/>
    </row>
    <row r="304">
      <c r="A304" s="25"/>
      <c r="B304" s="49"/>
      <c r="C304" s="50"/>
      <c r="D304" s="50"/>
      <c r="E304" s="50"/>
      <c r="F304" s="51"/>
      <c r="G304" s="51"/>
      <c r="H304" s="51"/>
      <c r="I304" s="51"/>
      <c r="J304" s="49"/>
      <c r="K304" s="51"/>
      <c r="L304" s="51"/>
      <c r="M304" s="52"/>
      <c r="N304" s="51"/>
      <c r="O304" s="51"/>
      <c r="P304" s="25"/>
    </row>
    <row r="305">
      <c r="A305" s="25"/>
      <c r="B305" s="49"/>
      <c r="C305" s="50"/>
      <c r="D305" s="50"/>
      <c r="E305" s="50"/>
      <c r="F305" s="51"/>
      <c r="G305" s="51"/>
      <c r="H305" s="51"/>
      <c r="I305" s="51"/>
      <c r="J305" s="49"/>
      <c r="K305" s="51"/>
      <c r="L305" s="51"/>
      <c r="M305" s="52"/>
      <c r="N305" s="51"/>
      <c r="O305" s="51"/>
      <c r="P305" s="25"/>
    </row>
    <row r="306">
      <c r="A306" s="25"/>
      <c r="B306" s="49"/>
      <c r="C306" s="50"/>
      <c r="D306" s="50"/>
      <c r="E306" s="50"/>
      <c r="F306" s="51"/>
      <c r="G306" s="51"/>
      <c r="H306" s="51"/>
      <c r="I306" s="51"/>
      <c r="J306" s="49"/>
      <c r="K306" s="51"/>
      <c r="L306" s="51"/>
      <c r="M306" s="52"/>
      <c r="N306" s="51"/>
      <c r="O306" s="51"/>
      <c r="P306" s="25"/>
    </row>
    <row r="307">
      <c r="A307" s="25"/>
      <c r="B307" s="49"/>
      <c r="C307" s="50"/>
      <c r="D307" s="50"/>
      <c r="E307" s="50"/>
      <c r="F307" s="51"/>
      <c r="G307" s="51"/>
      <c r="H307" s="51"/>
      <c r="I307" s="51"/>
      <c r="J307" s="49"/>
      <c r="K307" s="51"/>
      <c r="L307" s="51"/>
      <c r="M307" s="52"/>
      <c r="N307" s="51"/>
      <c r="O307" s="51"/>
      <c r="P307" s="25"/>
    </row>
    <row r="308">
      <c r="A308" s="25"/>
      <c r="B308" s="49"/>
      <c r="C308" s="50"/>
      <c r="D308" s="50"/>
      <c r="E308" s="50"/>
      <c r="F308" s="51"/>
      <c r="G308" s="51"/>
      <c r="H308" s="51"/>
      <c r="I308" s="51"/>
      <c r="J308" s="49"/>
      <c r="K308" s="51"/>
      <c r="L308" s="51"/>
      <c r="M308" s="52"/>
      <c r="N308" s="51"/>
      <c r="O308" s="51"/>
      <c r="P308" s="25"/>
    </row>
    <row r="309">
      <c r="A309" s="25"/>
      <c r="B309" s="49"/>
      <c r="C309" s="50"/>
      <c r="D309" s="50"/>
      <c r="E309" s="50"/>
      <c r="F309" s="51"/>
      <c r="G309" s="51"/>
      <c r="H309" s="51"/>
      <c r="I309" s="51"/>
      <c r="J309" s="49"/>
      <c r="K309" s="51"/>
      <c r="L309" s="51"/>
      <c r="M309" s="52"/>
      <c r="N309" s="51"/>
      <c r="O309" s="51"/>
      <c r="P309" s="25"/>
    </row>
    <row r="310">
      <c r="A310" s="25"/>
      <c r="B310" s="49"/>
      <c r="C310" s="50"/>
      <c r="D310" s="50"/>
      <c r="E310" s="50"/>
      <c r="F310" s="51"/>
      <c r="G310" s="51"/>
      <c r="H310" s="51"/>
      <c r="I310" s="51"/>
      <c r="J310" s="49"/>
      <c r="K310" s="51"/>
      <c r="L310" s="51"/>
      <c r="M310" s="52"/>
      <c r="N310" s="51"/>
      <c r="O310" s="51"/>
      <c r="P310" s="25"/>
    </row>
    <row r="311">
      <c r="A311" s="25"/>
      <c r="B311" s="49"/>
      <c r="C311" s="50"/>
      <c r="D311" s="50"/>
      <c r="E311" s="50"/>
      <c r="F311" s="51"/>
      <c r="G311" s="51"/>
      <c r="H311" s="51"/>
      <c r="I311" s="51"/>
      <c r="J311" s="49"/>
      <c r="K311" s="51"/>
      <c r="L311" s="51"/>
      <c r="M311" s="52"/>
      <c r="N311" s="51"/>
      <c r="O311" s="51"/>
      <c r="P311" s="25"/>
    </row>
    <row r="312">
      <c r="A312" s="25"/>
      <c r="B312" s="49"/>
      <c r="C312" s="50"/>
      <c r="D312" s="50"/>
      <c r="E312" s="50"/>
      <c r="F312" s="51"/>
      <c r="G312" s="51"/>
      <c r="H312" s="51"/>
      <c r="I312" s="51"/>
      <c r="J312" s="49"/>
      <c r="K312" s="51"/>
      <c r="L312" s="51"/>
      <c r="M312" s="52"/>
      <c r="N312" s="51"/>
      <c r="O312" s="51"/>
      <c r="P312" s="25"/>
    </row>
    <row r="313">
      <c r="A313" s="25"/>
      <c r="B313" s="49"/>
      <c r="C313" s="50"/>
      <c r="D313" s="50"/>
      <c r="E313" s="50"/>
      <c r="F313" s="51"/>
      <c r="G313" s="51"/>
      <c r="H313" s="51"/>
      <c r="I313" s="51"/>
      <c r="J313" s="49"/>
      <c r="K313" s="51"/>
      <c r="L313" s="51"/>
      <c r="M313" s="52"/>
      <c r="N313" s="51"/>
      <c r="O313" s="51"/>
      <c r="P313" s="25"/>
    </row>
    <row r="314">
      <c r="A314" s="25"/>
      <c r="B314" s="49"/>
      <c r="C314" s="50"/>
      <c r="D314" s="50"/>
      <c r="E314" s="50"/>
      <c r="F314" s="51"/>
      <c r="G314" s="51"/>
      <c r="H314" s="51"/>
      <c r="I314" s="51"/>
      <c r="J314" s="49"/>
      <c r="K314" s="51"/>
      <c r="L314" s="51"/>
      <c r="M314" s="52"/>
      <c r="N314" s="51"/>
      <c r="O314" s="51"/>
      <c r="P314" s="25"/>
    </row>
    <row r="315">
      <c r="A315" s="25"/>
      <c r="B315" s="49"/>
      <c r="C315" s="50"/>
      <c r="D315" s="50"/>
      <c r="E315" s="50"/>
      <c r="F315" s="51"/>
      <c r="G315" s="51"/>
      <c r="H315" s="51"/>
      <c r="I315" s="51"/>
      <c r="J315" s="49"/>
      <c r="K315" s="51"/>
      <c r="L315" s="51"/>
      <c r="M315" s="52"/>
      <c r="N315" s="51"/>
      <c r="O315" s="51"/>
      <c r="P315" s="25"/>
    </row>
    <row r="316">
      <c r="A316" s="25"/>
      <c r="B316" s="49"/>
      <c r="C316" s="50"/>
      <c r="D316" s="50"/>
      <c r="E316" s="50"/>
      <c r="F316" s="51"/>
      <c r="G316" s="51"/>
      <c r="H316" s="51"/>
      <c r="I316" s="51"/>
      <c r="J316" s="49"/>
      <c r="K316" s="51"/>
      <c r="L316" s="51"/>
      <c r="M316" s="52"/>
      <c r="N316" s="51"/>
      <c r="O316" s="51"/>
      <c r="P316" s="25"/>
    </row>
    <row r="317">
      <c r="A317" s="25"/>
      <c r="B317" s="49"/>
      <c r="C317" s="50"/>
      <c r="D317" s="50"/>
      <c r="E317" s="50"/>
      <c r="F317" s="51"/>
      <c r="G317" s="51"/>
      <c r="H317" s="51"/>
      <c r="I317" s="51"/>
      <c r="J317" s="49"/>
      <c r="K317" s="51"/>
      <c r="L317" s="51"/>
      <c r="M317" s="52"/>
      <c r="N317" s="51"/>
      <c r="O317" s="51"/>
      <c r="P317" s="25"/>
    </row>
    <row r="318">
      <c r="A318" s="25"/>
      <c r="B318" s="49"/>
      <c r="C318" s="50"/>
      <c r="D318" s="50"/>
      <c r="E318" s="50"/>
      <c r="F318" s="51"/>
      <c r="G318" s="51"/>
      <c r="H318" s="51"/>
      <c r="I318" s="51"/>
      <c r="J318" s="49"/>
      <c r="K318" s="51"/>
      <c r="L318" s="51"/>
      <c r="M318" s="52"/>
      <c r="N318" s="51"/>
      <c r="O318" s="51"/>
      <c r="P318" s="25"/>
    </row>
    <row r="319">
      <c r="A319" s="25"/>
      <c r="B319" s="49"/>
      <c r="C319" s="50"/>
      <c r="D319" s="50"/>
      <c r="E319" s="50"/>
      <c r="F319" s="51"/>
      <c r="G319" s="51"/>
      <c r="H319" s="51"/>
      <c r="I319" s="51"/>
      <c r="J319" s="49"/>
      <c r="K319" s="51"/>
      <c r="L319" s="51"/>
      <c r="M319" s="52"/>
      <c r="N319" s="51"/>
      <c r="O319" s="51"/>
      <c r="P319" s="25"/>
    </row>
    <row r="320">
      <c r="A320" s="25"/>
      <c r="B320" s="49"/>
      <c r="C320" s="50"/>
      <c r="D320" s="50"/>
      <c r="E320" s="50"/>
      <c r="F320" s="51"/>
      <c r="G320" s="51"/>
      <c r="H320" s="51"/>
      <c r="I320" s="51"/>
      <c r="J320" s="49"/>
      <c r="K320" s="51"/>
      <c r="L320" s="51"/>
      <c r="M320" s="52"/>
      <c r="N320" s="51"/>
      <c r="O320" s="51"/>
      <c r="P320" s="25"/>
    </row>
    <row r="321">
      <c r="A321" s="25"/>
      <c r="B321" s="49"/>
      <c r="C321" s="50"/>
      <c r="D321" s="50"/>
      <c r="E321" s="50"/>
      <c r="F321" s="51"/>
      <c r="G321" s="51"/>
      <c r="H321" s="51"/>
      <c r="I321" s="51"/>
      <c r="J321" s="49"/>
      <c r="K321" s="51"/>
      <c r="L321" s="51"/>
      <c r="M321" s="52"/>
      <c r="N321" s="51"/>
      <c r="O321" s="51"/>
      <c r="P321" s="25"/>
    </row>
    <row r="322">
      <c r="A322" s="25"/>
      <c r="B322" s="49"/>
      <c r="C322" s="50"/>
      <c r="D322" s="50"/>
      <c r="E322" s="50"/>
      <c r="F322" s="51"/>
      <c r="G322" s="51"/>
      <c r="H322" s="51"/>
      <c r="I322" s="51"/>
      <c r="J322" s="49"/>
      <c r="K322" s="51"/>
      <c r="L322" s="51"/>
      <c r="M322" s="52"/>
      <c r="N322" s="51"/>
      <c r="O322" s="51"/>
      <c r="P322" s="25"/>
    </row>
    <row r="323">
      <c r="A323" s="25"/>
      <c r="B323" s="49"/>
      <c r="C323" s="50"/>
      <c r="D323" s="50"/>
      <c r="E323" s="50"/>
      <c r="F323" s="51"/>
      <c r="G323" s="51"/>
      <c r="H323" s="51"/>
      <c r="I323" s="51"/>
      <c r="J323" s="49"/>
      <c r="K323" s="51"/>
      <c r="L323" s="51"/>
      <c r="M323" s="52"/>
      <c r="N323" s="51"/>
      <c r="O323" s="51"/>
      <c r="P323" s="25"/>
    </row>
    <row r="324">
      <c r="A324" s="25"/>
      <c r="B324" s="49"/>
      <c r="C324" s="50"/>
      <c r="D324" s="50"/>
      <c r="E324" s="50"/>
      <c r="F324" s="51"/>
      <c r="G324" s="51"/>
      <c r="H324" s="51"/>
      <c r="I324" s="51"/>
      <c r="J324" s="49"/>
      <c r="K324" s="51"/>
      <c r="L324" s="51"/>
      <c r="M324" s="52"/>
      <c r="N324" s="51"/>
      <c r="O324" s="51"/>
      <c r="P324" s="25"/>
    </row>
    <row r="325">
      <c r="A325" s="25"/>
      <c r="B325" s="49"/>
      <c r="C325" s="50"/>
      <c r="D325" s="50"/>
      <c r="E325" s="50"/>
      <c r="F325" s="51"/>
      <c r="G325" s="51"/>
      <c r="H325" s="51"/>
      <c r="I325" s="51"/>
      <c r="J325" s="49"/>
      <c r="K325" s="51"/>
      <c r="L325" s="51"/>
      <c r="M325" s="52"/>
      <c r="N325" s="51"/>
      <c r="O325" s="51"/>
      <c r="P325" s="25"/>
    </row>
    <row r="326">
      <c r="A326" s="25"/>
      <c r="B326" s="49"/>
      <c r="C326" s="50"/>
      <c r="D326" s="50"/>
      <c r="E326" s="50"/>
      <c r="F326" s="51"/>
      <c r="G326" s="51"/>
      <c r="H326" s="51"/>
      <c r="I326" s="51"/>
      <c r="J326" s="49"/>
      <c r="K326" s="51"/>
      <c r="L326" s="51"/>
      <c r="M326" s="52"/>
      <c r="N326" s="51"/>
      <c r="O326" s="51"/>
      <c r="P326" s="25"/>
    </row>
    <row r="327">
      <c r="A327" s="25"/>
      <c r="B327" s="49"/>
      <c r="C327" s="50"/>
      <c r="D327" s="50"/>
      <c r="E327" s="50"/>
      <c r="F327" s="51"/>
      <c r="G327" s="51"/>
      <c r="H327" s="51"/>
      <c r="I327" s="51"/>
      <c r="J327" s="49"/>
      <c r="K327" s="51"/>
      <c r="L327" s="51"/>
      <c r="M327" s="52"/>
      <c r="N327" s="51"/>
      <c r="O327" s="51"/>
      <c r="P327" s="25"/>
    </row>
    <row r="328">
      <c r="A328" s="25"/>
      <c r="B328" s="49"/>
      <c r="C328" s="50"/>
      <c r="D328" s="50"/>
      <c r="E328" s="50"/>
      <c r="F328" s="51"/>
      <c r="G328" s="51"/>
      <c r="H328" s="51"/>
      <c r="I328" s="51"/>
      <c r="J328" s="49"/>
      <c r="K328" s="51"/>
      <c r="L328" s="51"/>
      <c r="M328" s="52"/>
      <c r="N328" s="51"/>
      <c r="O328" s="51"/>
      <c r="P328" s="25"/>
    </row>
    <row r="329">
      <c r="A329" s="25"/>
      <c r="B329" s="49"/>
      <c r="C329" s="50"/>
      <c r="D329" s="50"/>
      <c r="E329" s="50"/>
      <c r="F329" s="51"/>
      <c r="G329" s="51"/>
      <c r="H329" s="51"/>
      <c r="I329" s="51"/>
      <c r="J329" s="49"/>
      <c r="K329" s="51"/>
      <c r="L329" s="51"/>
      <c r="M329" s="52"/>
      <c r="N329" s="51"/>
      <c r="O329" s="51"/>
      <c r="P329" s="25"/>
    </row>
    <row r="330">
      <c r="A330" s="25"/>
      <c r="B330" s="49"/>
      <c r="C330" s="50"/>
      <c r="D330" s="50"/>
      <c r="E330" s="50"/>
      <c r="F330" s="51"/>
      <c r="G330" s="51"/>
      <c r="H330" s="51"/>
      <c r="I330" s="51"/>
      <c r="J330" s="49"/>
      <c r="K330" s="51"/>
      <c r="L330" s="51"/>
      <c r="M330" s="52"/>
      <c r="N330" s="51"/>
      <c r="O330" s="51"/>
      <c r="P330" s="25"/>
    </row>
    <row r="331">
      <c r="A331" s="25"/>
      <c r="B331" s="49"/>
      <c r="C331" s="50"/>
      <c r="D331" s="50"/>
      <c r="E331" s="50"/>
      <c r="F331" s="51"/>
      <c r="G331" s="51"/>
      <c r="H331" s="51"/>
      <c r="I331" s="51"/>
      <c r="J331" s="49"/>
      <c r="K331" s="51"/>
      <c r="L331" s="51"/>
      <c r="M331" s="52"/>
      <c r="N331" s="51"/>
      <c r="O331" s="51"/>
      <c r="P331" s="25"/>
    </row>
    <row r="332">
      <c r="A332" s="25"/>
      <c r="B332" s="49"/>
      <c r="C332" s="50"/>
      <c r="D332" s="50"/>
      <c r="E332" s="50"/>
      <c r="F332" s="51"/>
      <c r="G332" s="51"/>
      <c r="H332" s="51"/>
      <c r="I332" s="51"/>
      <c r="J332" s="49"/>
      <c r="K332" s="51"/>
      <c r="L332" s="51"/>
      <c r="M332" s="52"/>
      <c r="N332" s="51"/>
      <c r="O332" s="51"/>
      <c r="P332" s="25"/>
    </row>
    <row r="333">
      <c r="A333" s="25"/>
      <c r="B333" s="49"/>
      <c r="C333" s="50"/>
      <c r="D333" s="50"/>
      <c r="E333" s="50"/>
      <c r="F333" s="51"/>
      <c r="G333" s="51"/>
      <c r="H333" s="51"/>
      <c r="I333" s="51"/>
      <c r="J333" s="49"/>
      <c r="K333" s="51"/>
      <c r="L333" s="51"/>
      <c r="M333" s="52"/>
      <c r="N333" s="51"/>
      <c r="O333" s="51"/>
      <c r="P333" s="25"/>
    </row>
    <row r="334">
      <c r="A334" s="25"/>
      <c r="B334" s="49"/>
      <c r="C334" s="50"/>
      <c r="D334" s="50"/>
      <c r="E334" s="50"/>
      <c r="F334" s="51"/>
      <c r="G334" s="51"/>
      <c r="H334" s="51"/>
      <c r="I334" s="51"/>
      <c r="J334" s="49"/>
      <c r="K334" s="51"/>
      <c r="L334" s="51"/>
      <c r="M334" s="52"/>
      <c r="N334" s="51"/>
      <c r="O334" s="51"/>
      <c r="P334" s="25"/>
    </row>
    <row r="335">
      <c r="A335" s="25"/>
      <c r="B335" s="49"/>
      <c r="C335" s="50"/>
      <c r="D335" s="50"/>
      <c r="E335" s="50"/>
      <c r="F335" s="51"/>
      <c r="G335" s="51"/>
      <c r="H335" s="51"/>
      <c r="I335" s="51"/>
      <c r="J335" s="49"/>
      <c r="K335" s="51"/>
      <c r="L335" s="51"/>
      <c r="M335" s="52"/>
      <c r="N335" s="51"/>
      <c r="O335" s="51"/>
      <c r="P335" s="25"/>
    </row>
    <row r="336">
      <c r="A336" s="25"/>
      <c r="B336" s="49"/>
      <c r="C336" s="50"/>
      <c r="D336" s="50"/>
      <c r="E336" s="50"/>
      <c r="F336" s="51"/>
      <c r="G336" s="51"/>
      <c r="H336" s="51"/>
      <c r="I336" s="51"/>
      <c r="J336" s="49"/>
      <c r="K336" s="51"/>
      <c r="L336" s="51"/>
      <c r="M336" s="52"/>
      <c r="N336" s="51"/>
      <c r="O336" s="51"/>
      <c r="P336" s="25"/>
    </row>
    <row r="337">
      <c r="A337" s="25"/>
      <c r="B337" s="49"/>
      <c r="C337" s="50"/>
      <c r="D337" s="50"/>
      <c r="E337" s="50"/>
      <c r="F337" s="51"/>
      <c r="G337" s="51"/>
      <c r="H337" s="51"/>
      <c r="I337" s="51"/>
      <c r="J337" s="49"/>
      <c r="K337" s="51"/>
      <c r="L337" s="51"/>
      <c r="M337" s="52"/>
      <c r="N337" s="51"/>
      <c r="O337" s="51"/>
      <c r="P337" s="25"/>
    </row>
    <row r="338">
      <c r="A338" s="25"/>
      <c r="B338" s="49"/>
      <c r="C338" s="50"/>
      <c r="D338" s="50"/>
      <c r="E338" s="50"/>
      <c r="F338" s="51"/>
      <c r="G338" s="51"/>
      <c r="H338" s="51"/>
      <c r="I338" s="51"/>
      <c r="J338" s="49"/>
      <c r="K338" s="51"/>
      <c r="L338" s="51"/>
      <c r="M338" s="52"/>
      <c r="N338" s="51"/>
      <c r="O338" s="51"/>
      <c r="P338" s="25"/>
    </row>
    <row r="339">
      <c r="A339" s="25"/>
      <c r="B339" s="49"/>
      <c r="C339" s="50"/>
      <c r="D339" s="50"/>
      <c r="E339" s="50"/>
      <c r="F339" s="51"/>
      <c r="G339" s="51"/>
      <c r="H339" s="51"/>
      <c r="I339" s="51"/>
      <c r="J339" s="49"/>
      <c r="K339" s="51"/>
      <c r="L339" s="51"/>
      <c r="M339" s="52"/>
      <c r="N339" s="51"/>
      <c r="O339" s="51"/>
      <c r="P339" s="25"/>
    </row>
    <row r="340">
      <c r="A340" s="25"/>
      <c r="B340" s="49"/>
      <c r="C340" s="50"/>
      <c r="D340" s="50"/>
      <c r="E340" s="50"/>
      <c r="F340" s="51"/>
      <c r="G340" s="51"/>
      <c r="H340" s="51"/>
      <c r="I340" s="51"/>
      <c r="J340" s="49"/>
      <c r="K340" s="51"/>
      <c r="L340" s="51"/>
      <c r="M340" s="52"/>
      <c r="N340" s="51"/>
      <c r="O340" s="51"/>
      <c r="P340" s="25"/>
    </row>
    <row r="341">
      <c r="A341" s="25"/>
      <c r="B341" s="49"/>
      <c r="C341" s="50"/>
      <c r="D341" s="50"/>
      <c r="E341" s="50"/>
      <c r="F341" s="51"/>
      <c r="G341" s="51"/>
      <c r="H341" s="51"/>
      <c r="I341" s="51"/>
      <c r="J341" s="49"/>
      <c r="K341" s="51"/>
      <c r="L341" s="51"/>
      <c r="M341" s="52"/>
      <c r="N341" s="51"/>
      <c r="O341" s="51"/>
      <c r="P341" s="25"/>
    </row>
    <row r="342">
      <c r="A342" s="25"/>
      <c r="B342" s="49"/>
      <c r="C342" s="50"/>
      <c r="D342" s="50"/>
      <c r="E342" s="50"/>
      <c r="F342" s="51"/>
      <c r="G342" s="51"/>
      <c r="H342" s="51"/>
      <c r="I342" s="51"/>
      <c r="J342" s="49"/>
      <c r="K342" s="51"/>
      <c r="L342" s="51"/>
      <c r="M342" s="52"/>
      <c r="N342" s="51"/>
      <c r="O342" s="51"/>
      <c r="P342" s="25"/>
    </row>
    <row r="343">
      <c r="A343" s="25"/>
      <c r="B343" s="49"/>
      <c r="C343" s="50"/>
      <c r="D343" s="50"/>
      <c r="E343" s="50"/>
      <c r="F343" s="51"/>
      <c r="G343" s="51"/>
      <c r="H343" s="51"/>
      <c r="I343" s="51"/>
      <c r="J343" s="49"/>
      <c r="K343" s="51"/>
      <c r="L343" s="51"/>
      <c r="M343" s="52"/>
      <c r="N343" s="51"/>
      <c r="O343" s="51"/>
      <c r="P343" s="25"/>
    </row>
    <row r="344">
      <c r="A344" s="25"/>
      <c r="B344" s="49"/>
      <c r="C344" s="50"/>
      <c r="D344" s="50"/>
      <c r="E344" s="50"/>
      <c r="F344" s="51"/>
      <c r="G344" s="51"/>
      <c r="H344" s="51"/>
      <c r="I344" s="51"/>
      <c r="J344" s="49"/>
      <c r="K344" s="51"/>
      <c r="L344" s="51"/>
      <c r="M344" s="52"/>
      <c r="N344" s="51"/>
      <c r="O344" s="51"/>
      <c r="P344" s="25"/>
    </row>
    <row r="345">
      <c r="A345" s="25"/>
      <c r="B345" s="49"/>
      <c r="C345" s="50"/>
      <c r="D345" s="50"/>
      <c r="E345" s="50"/>
      <c r="F345" s="51"/>
      <c r="G345" s="51"/>
      <c r="H345" s="51"/>
      <c r="I345" s="51"/>
      <c r="J345" s="49"/>
      <c r="K345" s="51"/>
      <c r="L345" s="51"/>
      <c r="M345" s="52"/>
      <c r="N345" s="51"/>
      <c r="O345" s="51"/>
      <c r="P345" s="25"/>
    </row>
    <row r="346">
      <c r="A346" s="25"/>
      <c r="B346" s="49"/>
      <c r="C346" s="50"/>
      <c r="D346" s="50"/>
      <c r="E346" s="50"/>
      <c r="F346" s="51"/>
      <c r="G346" s="51"/>
      <c r="H346" s="51"/>
      <c r="I346" s="51"/>
      <c r="J346" s="49"/>
      <c r="K346" s="51"/>
      <c r="L346" s="51"/>
      <c r="M346" s="52"/>
      <c r="N346" s="51"/>
      <c r="O346" s="51"/>
      <c r="P346" s="25"/>
    </row>
    <row r="347">
      <c r="A347" s="25"/>
      <c r="B347" s="49"/>
      <c r="C347" s="50"/>
      <c r="D347" s="50"/>
      <c r="E347" s="50"/>
      <c r="F347" s="51"/>
      <c r="G347" s="51"/>
      <c r="H347" s="51"/>
      <c r="I347" s="51"/>
      <c r="J347" s="49"/>
      <c r="K347" s="51"/>
      <c r="L347" s="51"/>
      <c r="M347" s="52"/>
      <c r="N347" s="51"/>
      <c r="O347" s="51"/>
      <c r="P347" s="25"/>
    </row>
    <row r="348">
      <c r="A348" s="25"/>
      <c r="B348" s="49"/>
      <c r="C348" s="50"/>
      <c r="D348" s="50"/>
      <c r="E348" s="50"/>
      <c r="F348" s="51"/>
      <c r="G348" s="51"/>
      <c r="H348" s="51"/>
      <c r="I348" s="51"/>
      <c r="J348" s="49"/>
      <c r="K348" s="51"/>
      <c r="L348" s="51"/>
      <c r="M348" s="52"/>
      <c r="N348" s="51"/>
      <c r="O348" s="51"/>
      <c r="P348" s="25"/>
    </row>
    <row r="349">
      <c r="A349" s="25"/>
      <c r="B349" s="49"/>
      <c r="C349" s="50"/>
      <c r="D349" s="50"/>
      <c r="E349" s="50"/>
      <c r="F349" s="51"/>
      <c r="G349" s="51"/>
      <c r="H349" s="51"/>
      <c r="I349" s="51"/>
      <c r="J349" s="49"/>
      <c r="K349" s="51"/>
      <c r="L349" s="51"/>
      <c r="M349" s="52"/>
      <c r="N349" s="51"/>
      <c r="O349" s="51"/>
      <c r="P349" s="25"/>
    </row>
    <row r="350">
      <c r="A350" s="25"/>
      <c r="B350" s="49"/>
      <c r="C350" s="50"/>
      <c r="D350" s="50"/>
      <c r="E350" s="50"/>
      <c r="F350" s="51"/>
      <c r="G350" s="51"/>
      <c r="H350" s="51"/>
      <c r="I350" s="51"/>
      <c r="J350" s="49"/>
      <c r="K350" s="51"/>
      <c r="L350" s="51"/>
      <c r="M350" s="52"/>
      <c r="N350" s="51"/>
      <c r="O350" s="51"/>
      <c r="P350" s="25"/>
    </row>
    <row r="351">
      <c r="A351" s="25"/>
      <c r="B351" s="49"/>
      <c r="C351" s="50"/>
      <c r="D351" s="50"/>
      <c r="E351" s="50"/>
      <c r="F351" s="51"/>
      <c r="G351" s="51"/>
      <c r="H351" s="51"/>
      <c r="I351" s="51"/>
      <c r="J351" s="49"/>
      <c r="K351" s="51"/>
      <c r="L351" s="51"/>
      <c r="M351" s="52"/>
      <c r="N351" s="51"/>
      <c r="O351" s="51"/>
      <c r="P351" s="25"/>
    </row>
    <row r="352">
      <c r="A352" s="25"/>
      <c r="B352" s="49"/>
      <c r="C352" s="50"/>
      <c r="D352" s="50"/>
      <c r="E352" s="50"/>
      <c r="F352" s="51"/>
      <c r="G352" s="51"/>
      <c r="H352" s="51"/>
      <c r="I352" s="51"/>
      <c r="J352" s="49"/>
      <c r="K352" s="51"/>
      <c r="L352" s="51"/>
      <c r="M352" s="52"/>
      <c r="N352" s="51"/>
      <c r="O352" s="51"/>
      <c r="P352" s="25"/>
    </row>
    <row r="353">
      <c r="A353" s="25"/>
      <c r="B353" s="49"/>
      <c r="C353" s="50"/>
      <c r="D353" s="50"/>
      <c r="E353" s="50"/>
      <c r="F353" s="51"/>
      <c r="G353" s="51"/>
      <c r="H353" s="51"/>
      <c r="I353" s="51"/>
      <c r="J353" s="49"/>
      <c r="K353" s="51"/>
      <c r="L353" s="51"/>
      <c r="M353" s="52"/>
      <c r="N353" s="51"/>
      <c r="O353" s="51"/>
      <c r="P353" s="25"/>
    </row>
    <row r="354">
      <c r="A354" s="25"/>
      <c r="B354" s="49"/>
      <c r="C354" s="50"/>
      <c r="D354" s="50"/>
      <c r="E354" s="50"/>
      <c r="F354" s="51"/>
      <c r="G354" s="51"/>
      <c r="H354" s="51"/>
      <c r="I354" s="51"/>
      <c r="J354" s="49"/>
      <c r="K354" s="51"/>
      <c r="L354" s="51"/>
      <c r="M354" s="52"/>
      <c r="N354" s="51"/>
      <c r="O354" s="51"/>
      <c r="P354" s="25"/>
    </row>
    <row r="355">
      <c r="A355" s="25"/>
      <c r="B355" s="49"/>
      <c r="C355" s="50"/>
      <c r="D355" s="50"/>
      <c r="E355" s="50"/>
      <c r="F355" s="51"/>
      <c r="G355" s="51"/>
      <c r="H355" s="51"/>
      <c r="I355" s="51"/>
      <c r="J355" s="49"/>
      <c r="K355" s="51"/>
      <c r="L355" s="51"/>
      <c r="M355" s="52"/>
      <c r="N355" s="51"/>
      <c r="O355" s="51"/>
      <c r="P355" s="25"/>
    </row>
    <row r="356">
      <c r="A356" s="25"/>
      <c r="B356" s="49"/>
      <c r="C356" s="50"/>
      <c r="D356" s="50"/>
      <c r="E356" s="50"/>
      <c r="F356" s="51"/>
      <c r="G356" s="51"/>
      <c r="H356" s="51"/>
      <c r="I356" s="51"/>
      <c r="J356" s="49"/>
      <c r="K356" s="51"/>
      <c r="L356" s="51"/>
      <c r="M356" s="52"/>
      <c r="N356" s="51"/>
      <c r="O356" s="51"/>
      <c r="P356" s="25"/>
    </row>
    <row r="357">
      <c r="A357" s="25"/>
      <c r="B357" s="49"/>
      <c r="C357" s="50"/>
      <c r="D357" s="50"/>
      <c r="E357" s="50"/>
      <c r="F357" s="51"/>
      <c r="G357" s="51"/>
      <c r="H357" s="51"/>
      <c r="I357" s="51"/>
      <c r="J357" s="49"/>
      <c r="K357" s="51"/>
      <c r="L357" s="51"/>
      <c r="M357" s="52"/>
      <c r="N357" s="51"/>
      <c r="O357" s="51"/>
      <c r="P357" s="25"/>
    </row>
    <row r="358">
      <c r="A358" s="25"/>
      <c r="B358" s="49"/>
      <c r="C358" s="50"/>
      <c r="D358" s="50"/>
      <c r="E358" s="50"/>
      <c r="F358" s="51"/>
      <c r="G358" s="51"/>
      <c r="H358" s="51"/>
      <c r="I358" s="51"/>
      <c r="J358" s="49"/>
      <c r="K358" s="51"/>
      <c r="L358" s="51"/>
      <c r="M358" s="52"/>
      <c r="N358" s="51"/>
      <c r="O358" s="51"/>
      <c r="P358" s="25"/>
    </row>
    <row r="359">
      <c r="A359" s="25"/>
      <c r="B359" s="49"/>
      <c r="C359" s="50"/>
      <c r="D359" s="50"/>
      <c r="E359" s="50"/>
      <c r="F359" s="51"/>
      <c r="G359" s="51"/>
      <c r="H359" s="51"/>
      <c r="I359" s="51"/>
      <c r="J359" s="49"/>
      <c r="K359" s="51"/>
      <c r="L359" s="51"/>
      <c r="M359" s="52"/>
      <c r="N359" s="51"/>
      <c r="O359" s="51"/>
      <c r="P359" s="25"/>
    </row>
    <row r="360">
      <c r="A360" s="25"/>
      <c r="B360" s="49"/>
      <c r="C360" s="50"/>
      <c r="D360" s="50"/>
      <c r="E360" s="50"/>
      <c r="F360" s="51"/>
      <c r="G360" s="51"/>
      <c r="H360" s="51"/>
      <c r="I360" s="51"/>
      <c r="J360" s="49"/>
      <c r="K360" s="51"/>
      <c r="L360" s="51"/>
      <c r="M360" s="52"/>
      <c r="N360" s="51"/>
      <c r="O360" s="51"/>
      <c r="P360" s="25"/>
    </row>
    <row r="361">
      <c r="A361" s="25"/>
      <c r="B361" s="49"/>
      <c r="C361" s="50"/>
      <c r="D361" s="50"/>
      <c r="E361" s="50"/>
      <c r="F361" s="51"/>
      <c r="G361" s="51"/>
      <c r="H361" s="51"/>
      <c r="I361" s="51"/>
      <c r="J361" s="49"/>
      <c r="K361" s="51"/>
      <c r="L361" s="51"/>
      <c r="M361" s="52"/>
      <c r="N361" s="51"/>
      <c r="O361" s="51"/>
      <c r="P361" s="25"/>
    </row>
    <row r="362">
      <c r="A362" s="25"/>
      <c r="B362" s="49"/>
      <c r="C362" s="50"/>
      <c r="D362" s="50"/>
      <c r="E362" s="50"/>
      <c r="F362" s="51"/>
      <c r="G362" s="51"/>
      <c r="H362" s="51"/>
      <c r="I362" s="51"/>
      <c r="J362" s="49"/>
      <c r="K362" s="51"/>
      <c r="L362" s="51"/>
      <c r="M362" s="52"/>
      <c r="N362" s="51"/>
      <c r="O362" s="51"/>
      <c r="P362" s="25"/>
    </row>
    <row r="363">
      <c r="A363" s="25"/>
      <c r="B363" s="49"/>
      <c r="C363" s="50"/>
      <c r="D363" s="50"/>
      <c r="E363" s="50"/>
      <c r="F363" s="51"/>
      <c r="G363" s="51"/>
      <c r="H363" s="51"/>
      <c r="I363" s="51"/>
      <c r="J363" s="49"/>
      <c r="K363" s="51"/>
      <c r="L363" s="51"/>
      <c r="M363" s="52"/>
      <c r="N363" s="51"/>
      <c r="O363" s="51"/>
      <c r="P363" s="25"/>
    </row>
    <row r="364">
      <c r="A364" s="25"/>
      <c r="B364" s="49"/>
      <c r="C364" s="50"/>
      <c r="D364" s="50"/>
      <c r="E364" s="50"/>
      <c r="F364" s="51"/>
      <c r="G364" s="51"/>
      <c r="H364" s="51"/>
      <c r="I364" s="51"/>
      <c r="J364" s="49"/>
      <c r="K364" s="51"/>
      <c r="L364" s="51"/>
      <c r="M364" s="52"/>
      <c r="N364" s="51"/>
      <c r="O364" s="51"/>
      <c r="P364" s="25"/>
    </row>
    <row r="365">
      <c r="A365" s="25"/>
      <c r="B365" s="49"/>
      <c r="C365" s="50"/>
      <c r="D365" s="50"/>
      <c r="E365" s="50"/>
      <c r="F365" s="51"/>
      <c r="G365" s="51"/>
      <c r="H365" s="51"/>
      <c r="I365" s="51"/>
      <c r="J365" s="49"/>
      <c r="K365" s="51"/>
      <c r="L365" s="51"/>
      <c r="M365" s="52"/>
      <c r="N365" s="51"/>
      <c r="O365" s="51"/>
      <c r="P365" s="25"/>
    </row>
    <row r="366">
      <c r="A366" s="25"/>
      <c r="B366" s="49"/>
      <c r="C366" s="50"/>
      <c r="D366" s="50"/>
      <c r="E366" s="50"/>
      <c r="F366" s="51"/>
      <c r="G366" s="51"/>
      <c r="H366" s="51"/>
      <c r="I366" s="51"/>
      <c r="J366" s="49"/>
      <c r="K366" s="51"/>
      <c r="L366" s="51"/>
      <c r="M366" s="52"/>
      <c r="N366" s="51"/>
      <c r="O366" s="51"/>
      <c r="P366" s="25"/>
    </row>
    <row r="367">
      <c r="A367" s="25"/>
      <c r="B367" s="49"/>
      <c r="C367" s="50"/>
      <c r="D367" s="50"/>
      <c r="E367" s="50"/>
      <c r="F367" s="51"/>
      <c r="G367" s="51"/>
      <c r="H367" s="51"/>
      <c r="I367" s="51"/>
      <c r="J367" s="49"/>
      <c r="K367" s="51"/>
      <c r="L367" s="51"/>
      <c r="M367" s="52"/>
      <c r="N367" s="51"/>
      <c r="O367" s="51"/>
      <c r="P367" s="25"/>
    </row>
    <row r="368">
      <c r="A368" s="25"/>
      <c r="B368" s="49"/>
      <c r="C368" s="50"/>
      <c r="D368" s="50"/>
      <c r="E368" s="50"/>
      <c r="F368" s="51"/>
      <c r="G368" s="51"/>
      <c r="H368" s="51"/>
      <c r="I368" s="51"/>
      <c r="J368" s="49"/>
      <c r="K368" s="51"/>
      <c r="L368" s="51"/>
      <c r="M368" s="52"/>
      <c r="N368" s="51"/>
      <c r="O368" s="51"/>
      <c r="P368" s="25"/>
    </row>
    <row r="369">
      <c r="A369" s="25"/>
      <c r="B369" s="49"/>
      <c r="C369" s="50"/>
      <c r="D369" s="50"/>
      <c r="E369" s="50"/>
      <c r="F369" s="51"/>
      <c r="G369" s="51"/>
      <c r="H369" s="51"/>
      <c r="I369" s="51"/>
      <c r="J369" s="49"/>
      <c r="K369" s="51"/>
      <c r="L369" s="51"/>
      <c r="M369" s="52"/>
      <c r="N369" s="51"/>
      <c r="O369" s="51"/>
      <c r="P369" s="25"/>
    </row>
    <row r="370">
      <c r="A370" s="25"/>
      <c r="B370" s="49"/>
      <c r="C370" s="50"/>
      <c r="D370" s="50"/>
      <c r="E370" s="50"/>
      <c r="F370" s="51"/>
      <c r="G370" s="51"/>
      <c r="H370" s="51"/>
      <c r="I370" s="51"/>
      <c r="J370" s="49"/>
      <c r="K370" s="51"/>
      <c r="L370" s="51"/>
      <c r="M370" s="52"/>
      <c r="N370" s="51"/>
      <c r="O370" s="51"/>
      <c r="P370" s="25"/>
    </row>
    <row r="371">
      <c r="A371" s="25"/>
      <c r="B371" s="49"/>
      <c r="C371" s="50"/>
      <c r="D371" s="50"/>
      <c r="E371" s="50"/>
      <c r="F371" s="51"/>
      <c r="G371" s="51"/>
      <c r="H371" s="51"/>
      <c r="I371" s="51"/>
      <c r="J371" s="49"/>
      <c r="K371" s="51"/>
      <c r="L371" s="51"/>
      <c r="M371" s="52"/>
      <c r="N371" s="51"/>
      <c r="O371" s="51"/>
      <c r="P371" s="25"/>
    </row>
    <row r="372">
      <c r="A372" s="25"/>
      <c r="B372" s="49"/>
      <c r="C372" s="50"/>
      <c r="D372" s="50"/>
      <c r="E372" s="50"/>
      <c r="F372" s="51"/>
      <c r="G372" s="51"/>
      <c r="H372" s="51"/>
      <c r="I372" s="51"/>
      <c r="J372" s="49"/>
      <c r="K372" s="51"/>
      <c r="L372" s="51"/>
      <c r="M372" s="52"/>
      <c r="N372" s="51"/>
      <c r="O372" s="51"/>
      <c r="P372" s="25"/>
    </row>
    <row r="373">
      <c r="A373" s="25"/>
      <c r="B373" s="49"/>
      <c r="C373" s="50"/>
      <c r="D373" s="50"/>
      <c r="E373" s="50"/>
      <c r="F373" s="51"/>
      <c r="G373" s="51"/>
      <c r="H373" s="51"/>
      <c r="I373" s="51"/>
      <c r="J373" s="49"/>
      <c r="K373" s="51"/>
      <c r="L373" s="51"/>
      <c r="M373" s="52"/>
      <c r="N373" s="51"/>
      <c r="O373" s="51"/>
      <c r="P373" s="25"/>
    </row>
    <row r="374">
      <c r="A374" s="25"/>
      <c r="B374" s="49"/>
      <c r="C374" s="50"/>
      <c r="D374" s="50"/>
      <c r="E374" s="50"/>
      <c r="F374" s="51"/>
      <c r="G374" s="51"/>
      <c r="H374" s="51"/>
      <c r="I374" s="51"/>
      <c r="J374" s="49"/>
      <c r="K374" s="51"/>
      <c r="L374" s="51"/>
      <c r="M374" s="52"/>
      <c r="N374" s="51"/>
      <c r="O374" s="51"/>
      <c r="P374" s="25"/>
    </row>
    <row r="375">
      <c r="A375" s="25"/>
      <c r="B375" s="49"/>
      <c r="C375" s="50"/>
      <c r="D375" s="50"/>
      <c r="E375" s="50"/>
      <c r="F375" s="51"/>
      <c r="G375" s="51"/>
      <c r="H375" s="51"/>
      <c r="I375" s="51"/>
      <c r="J375" s="49"/>
      <c r="K375" s="51"/>
      <c r="L375" s="51"/>
      <c r="M375" s="52"/>
      <c r="N375" s="51"/>
      <c r="O375" s="51"/>
      <c r="P375" s="25"/>
    </row>
    <row r="376">
      <c r="A376" s="25"/>
      <c r="B376" s="49"/>
      <c r="C376" s="50"/>
      <c r="D376" s="50"/>
      <c r="E376" s="50"/>
      <c r="F376" s="51"/>
      <c r="G376" s="51"/>
      <c r="H376" s="51"/>
      <c r="I376" s="51"/>
      <c r="J376" s="49"/>
      <c r="K376" s="51"/>
      <c r="L376" s="51"/>
      <c r="M376" s="52"/>
      <c r="N376" s="51"/>
      <c r="O376" s="51"/>
      <c r="P376" s="25"/>
    </row>
    <row r="377">
      <c r="A377" s="25"/>
      <c r="B377" s="49"/>
      <c r="C377" s="50"/>
      <c r="D377" s="50"/>
      <c r="E377" s="50"/>
      <c r="F377" s="51"/>
      <c r="G377" s="51"/>
      <c r="H377" s="51"/>
      <c r="I377" s="51"/>
      <c r="J377" s="49"/>
      <c r="K377" s="51"/>
      <c r="L377" s="51"/>
      <c r="M377" s="52"/>
      <c r="N377" s="51"/>
      <c r="O377" s="51"/>
      <c r="P377" s="25"/>
    </row>
    <row r="378">
      <c r="A378" s="25"/>
      <c r="B378" s="49"/>
      <c r="C378" s="50"/>
      <c r="D378" s="50"/>
      <c r="E378" s="50"/>
      <c r="F378" s="51"/>
      <c r="G378" s="51"/>
      <c r="H378" s="51"/>
      <c r="I378" s="51"/>
      <c r="J378" s="49"/>
      <c r="K378" s="51"/>
      <c r="L378" s="51"/>
      <c r="M378" s="52"/>
      <c r="N378" s="51"/>
      <c r="O378" s="51"/>
      <c r="P378" s="25"/>
    </row>
    <row r="379">
      <c r="A379" s="25"/>
      <c r="B379" s="49"/>
      <c r="C379" s="50"/>
      <c r="D379" s="50"/>
      <c r="E379" s="50"/>
      <c r="F379" s="51"/>
      <c r="G379" s="51"/>
      <c r="H379" s="51"/>
      <c r="I379" s="51"/>
      <c r="J379" s="49"/>
      <c r="K379" s="51"/>
      <c r="L379" s="51"/>
      <c r="M379" s="52"/>
      <c r="N379" s="51"/>
      <c r="O379" s="51"/>
      <c r="P379" s="25"/>
    </row>
    <row r="380">
      <c r="A380" s="25"/>
      <c r="B380" s="49"/>
      <c r="C380" s="50"/>
      <c r="D380" s="50"/>
      <c r="E380" s="50"/>
      <c r="F380" s="51"/>
      <c r="G380" s="51"/>
      <c r="H380" s="51"/>
      <c r="I380" s="51"/>
      <c r="J380" s="49"/>
      <c r="K380" s="51"/>
      <c r="L380" s="51"/>
      <c r="M380" s="52"/>
      <c r="N380" s="51"/>
      <c r="O380" s="51"/>
      <c r="P380" s="25"/>
    </row>
    <row r="381">
      <c r="A381" s="25"/>
      <c r="B381" s="49"/>
      <c r="C381" s="50"/>
      <c r="D381" s="50"/>
      <c r="E381" s="50"/>
      <c r="F381" s="51"/>
      <c r="G381" s="51"/>
      <c r="H381" s="51"/>
      <c r="I381" s="51"/>
      <c r="J381" s="49"/>
      <c r="K381" s="51"/>
      <c r="L381" s="51"/>
      <c r="M381" s="52"/>
      <c r="N381" s="51"/>
      <c r="O381" s="51"/>
      <c r="P381" s="25"/>
    </row>
    <row r="382">
      <c r="A382" s="25"/>
      <c r="B382" s="49"/>
      <c r="C382" s="50"/>
      <c r="D382" s="50"/>
      <c r="E382" s="50"/>
      <c r="F382" s="51"/>
      <c r="G382" s="51"/>
      <c r="H382" s="51"/>
      <c r="I382" s="51"/>
      <c r="J382" s="49"/>
      <c r="K382" s="51"/>
      <c r="L382" s="51"/>
      <c r="M382" s="52"/>
      <c r="N382" s="51"/>
      <c r="O382" s="51"/>
      <c r="P382" s="25"/>
    </row>
    <row r="383">
      <c r="A383" s="25"/>
      <c r="B383" s="49"/>
      <c r="C383" s="50"/>
      <c r="D383" s="50"/>
      <c r="E383" s="50"/>
      <c r="F383" s="51"/>
      <c r="G383" s="51"/>
      <c r="H383" s="51"/>
      <c r="I383" s="51"/>
      <c r="J383" s="49"/>
      <c r="K383" s="51"/>
      <c r="L383" s="51"/>
      <c r="M383" s="52"/>
      <c r="N383" s="51"/>
      <c r="O383" s="51"/>
      <c r="P383" s="25"/>
    </row>
    <row r="384">
      <c r="A384" s="25"/>
      <c r="B384" s="49"/>
      <c r="C384" s="50"/>
      <c r="D384" s="50"/>
      <c r="E384" s="50"/>
      <c r="F384" s="51"/>
      <c r="G384" s="51"/>
      <c r="H384" s="51"/>
      <c r="I384" s="51"/>
      <c r="J384" s="49"/>
      <c r="K384" s="51"/>
      <c r="L384" s="51"/>
      <c r="M384" s="52"/>
      <c r="N384" s="51"/>
      <c r="O384" s="51"/>
      <c r="P384" s="25"/>
    </row>
    <row r="385">
      <c r="A385" s="25"/>
      <c r="B385" s="49"/>
      <c r="C385" s="50"/>
      <c r="D385" s="50"/>
      <c r="E385" s="50"/>
      <c r="F385" s="51"/>
      <c r="G385" s="51"/>
      <c r="H385" s="51"/>
      <c r="I385" s="51"/>
      <c r="J385" s="49"/>
      <c r="K385" s="51"/>
      <c r="L385" s="51"/>
      <c r="M385" s="52"/>
      <c r="N385" s="51"/>
      <c r="O385" s="51"/>
      <c r="P385" s="25"/>
    </row>
    <row r="386">
      <c r="A386" s="25"/>
      <c r="B386" s="49"/>
      <c r="C386" s="50"/>
      <c r="D386" s="50"/>
      <c r="E386" s="50"/>
      <c r="F386" s="51"/>
      <c r="G386" s="51"/>
      <c r="H386" s="51"/>
      <c r="I386" s="51"/>
      <c r="J386" s="49"/>
      <c r="K386" s="51"/>
      <c r="L386" s="51"/>
      <c r="M386" s="52"/>
      <c r="N386" s="51"/>
      <c r="O386" s="51"/>
      <c r="P386" s="25"/>
    </row>
    <row r="387">
      <c r="A387" s="25"/>
      <c r="B387" s="49"/>
      <c r="C387" s="50"/>
      <c r="D387" s="50"/>
      <c r="E387" s="50"/>
      <c r="F387" s="51"/>
      <c r="G387" s="51"/>
      <c r="H387" s="51"/>
      <c r="I387" s="51"/>
      <c r="J387" s="49"/>
      <c r="K387" s="51"/>
      <c r="L387" s="51"/>
      <c r="M387" s="52"/>
      <c r="N387" s="51"/>
      <c r="O387" s="51"/>
      <c r="P387" s="25"/>
    </row>
    <row r="388">
      <c r="A388" s="25"/>
      <c r="B388" s="49"/>
      <c r="C388" s="50"/>
      <c r="D388" s="50"/>
      <c r="E388" s="50"/>
      <c r="F388" s="51"/>
      <c r="G388" s="51"/>
      <c r="H388" s="51"/>
      <c r="I388" s="51"/>
      <c r="J388" s="49"/>
      <c r="K388" s="51"/>
      <c r="L388" s="51"/>
      <c r="M388" s="52"/>
      <c r="N388" s="51"/>
      <c r="O388" s="51"/>
      <c r="P388" s="25"/>
    </row>
    <row r="389">
      <c r="A389" s="25"/>
      <c r="B389" s="49"/>
      <c r="C389" s="50"/>
      <c r="D389" s="50"/>
      <c r="E389" s="50"/>
      <c r="F389" s="51"/>
      <c r="G389" s="51"/>
      <c r="H389" s="51"/>
      <c r="I389" s="51"/>
      <c r="J389" s="49"/>
      <c r="K389" s="51"/>
      <c r="L389" s="51"/>
      <c r="M389" s="52"/>
      <c r="N389" s="51"/>
      <c r="O389" s="51"/>
      <c r="P389" s="25"/>
    </row>
    <row r="390">
      <c r="A390" s="25"/>
      <c r="B390" s="49"/>
      <c r="C390" s="50"/>
      <c r="D390" s="50"/>
      <c r="E390" s="50"/>
      <c r="F390" s="51"/>
      <c r="G390" s="51"/>
      <c r="H390" s="51"/>
      <c r="I390" s="51"/>
      <c r="J390" s="49"/>
      <c r="K390" s="51"/>
      <c r="L390" s="51"/>
      <c r="M390" s="52"/>
      <c r="N390" s="51"/>
      <c r="O390" s="51"/>
      <c r="P390" s="25"/>
    </row>
    <row r="391">
      <c r="A391" s="25"/>
      <c r="B391" s="49"/>
      <c r="C391" s="50"/>
      <c r="D391" s="50"/>
      <c r="E391" s="50"/>
      <c r="F391" s="51"/>
      <c r="G391" s="51"/>
      <c r="H391" s="51"/>
      <c r="I391" s="51"/>
      <c r="J391" s="49"/>
      <c r="K391" s="51"/>
      <c r="L391" s="51"/>
      <c r="M391" s="52"/>
      <c r="N391" s="51"/>
      <c r="O391" s="51"/>
      <c r="P391" s="25"/>
    </row>
    <row r="392">
      <c r="A392" s="25"/>
      <c r="B392" s="49"/>
      <c r="C392" s="50"/>
      <c r="D392" s="50"/>
      <c r="E392" s="50"/>
      <c r="F392" s="51"/>
      <c r="G392" s="51"/>
      <c r="H392" s="51"/>
      <c r="I392" s="51"/>
      <c r="J392" s="49"/>
      <c r="K392" s="51"/>
      <c r="L392" s="51"/>
      <c r="M392" s="52"/>
      <c r="N392" s="51"/>
      <c r="O392" s="51"/>
      <c r="P392" s="25"/>
    </row>
    <row r="393">
      <c r="A393" s="25"/>
      <c r="B393" s="49"/>
      <c r="C393" s="50"/>
      <c r="D393" s="50"/>
      <c r="E393" s="50"/>
      <c r="F393" s="51"/>
      <c r="G393" s="51"/>
      <c r="H393" s="51"/>
      <c r="I393" s="51"/>
      <c r="J393" s="49"/>
      <c r="K393" s="51"/>
      <c r="L393" s="51"/>
      <c r="M393" s="52"/>
      <c r="N393" s="51"/>
      <c r="O393" s="51"/>
      <c r="P393" s="25"/>
    </row>
    <row r="394">
      <c r="A394" s="25"/>
      <c r="B394" s="49"/>
      <c r="C394" s="50"/>
      <c r="D394" s="50"/>
      <c r="E394" s="50"/>
      <c r="F394" s="51"/>
      <c r="G394" s="51"/>
      <c r="H394" s="51"/>
      <c r="I394" s="51"/>
      <c r="J394" s="49"/>
      <c r="K394" s="51"/>
      <c r="L394" s="51"/>
      <c r="M394" s="52"/>
      <c r="N394" s="51"/>
      <c r="O394" s="51"/>
      <c r="P394" s="25"/>
    </row>
    <row r="395">
      <c r="A395" s="25"/>
      <c r="B395" s="49"/>
      <c r="C395" s="50"/>
      <c r="D395" s="50"/>
      <c r="E395" s="50"/>
      <c r="F395" s="51"/>
      <c r="G395" s="51"/>
      <c r="H395" s="51"/>
      <c r="I395" s="51"/>
      <c r="J395" s="49"/>
      <c r="K395" s="51"/>
      <c r="L395" s="51"/>
      <c r="M395" s="52"/>
      <c r="N395" s="51"/>
      <c r="O395" s="51"/>
      <c r="P395" s="25"/>
    </row>
    <row r="396">
      <c r="A396" s="25"/>
      <c r="B396" s="49"/>
      <c r="C396" s="50"/>
      <c r="D396" s="50"/>
      <c r="E396" s="50"/>
      <c r="F396" s="51"/>
      <c r="G396" s="51"/>
      <c r="H396" s="51"/>
      <c r="I396" s="51"/>
      <c r="J396" s="49"/>
      <c r="K396" s="51"/>
      <c r="L396" s="51"/>
      <c r="M396" s="52"/>
      <c r="N396" s="51"/>
      <c r="O396" s="51"/>
      <c r="P396" s="25"/>
    </row>
    <row r="397">
      <c r="A397" s="25"/>
      <c r="B397" s="49"/>
      <c r="C397" s="50"/>
      <c r="D397" s="50"/>
      <c r="E397" s="50"/>
      <c r="F397" s="51"/>
      <c r="G397" s="51"/>
      <c r="H397" s="51"/>
      <c r="I397" s="51"/>
      <c r="J397" s="49"/>
      <c r="K397" s="51"/>
      <c r="L397" s="51"/>
      <c r="M397" s="52"/>
      <c r="N397" s="51"/>
      <c r="O397" s="51"/>
      <c r="P397" s="25"/>
    </row>
    <row r="398">
      <c r="A398" s="25"/>
      <c r="B398" s="49"/>
      <c r="C398" s="50"/>
      <c r="D398" s="50"/>
      <c r="E398" s="50"/>
      <c r="F398" s="51"/>
      <c r="G398" s="51"/>
      <c r="H398" s="51"/>
      <c r="I398" s="51"/>
      <c r="J398" s="49"/>
      <c r="K398" s="51"/>
      <c r="L398" s="51"/>
      <c r="M398" s="52"/>
      <c r="N398" s="51"/>
      <c r="O398" s="51"/>
      <c r="P398" s="25"/>
    </row>
    <row r="399">
      <c r="A399" s="25"/>
      <c r="B399" s="49"/>
      <c r="C399" s="50"/>
      <c r="D399" s="50"/>
      <c r="E399" s="50"/>
      <c r="F399" s="51"/>
      <c r="G399" s="51"/>
      <c r="H399" s="51"/>
      <c r="I399" s="51"/>
      <c r="J399" s="49"/>
      <c r="K399" s="51"/>
      <c r="L399" s="51"/>
      <c r="M399" s="52"/>
      <c r="N399" s="51"/>
      <c r="O399" s="51"/>
      <c r="P399" s="25"/>
    </row>
    <row r="400">
      <c r="A400" s="25"/>
      <c r="B400" s="49"/>
      <c r="C400" s="50"/>
      <c r="D400" s="50"/>
      <c r="E400" s="50"/>
      <c r="F400" s="51"/>
      <c r="G400" s="51"/>
      <c r="H400" s="51"/>
      <c r="I400" s="51"/>
      <c r="J400" s="49"/>
      <c r="K400" s="51"/>
      <c r="L400" s="51"/>
      <c r="M400" s="52"/>
      <c r="N400" s="51"/>
      <c r="O400" s="51"/>
      <c r="P400" s="25"/>
    </row>
    <row r="401">
      <c r="A401" s="25"/>
      <c r="B401" s="49"/>
      <c r="C401" s="50"/>
      <c r="D401" s="50"/>
      <c r="E401" s="50"/>
      <c r="F401" s="51"/>
      <c r="G401" s="51"/>
      <c r="H401" s="51"/>
      <c r="I401" s="51"/>
      <c r="J401" s="49"/>
      <c r="K401" s="51"/>
      <c r="L401" s="51"/>
      <c r="M401" s="52"/>
      <c r="N401" s="51"/>
      <c r="O401" s="51"/>
      <c r="P401" s="25"/>
    </row>
    <row r="402">
      <c r="A402" s="25"/>
      <c r="B402" s="49"/>
      <c r="C402" s="50"/>
      <c r="D402" s="50"/>
      <c r="E402" s="50"/>
      <c r="F402" s="51"/>
      <c r="G402" s="51"/>
      <c r="H402" s="51"/>
      <c r="I402" s="51"/>
      <c r="J402" s="49"/>
      <c r="K402" s="51"/>
      <c r="L402" s="51"/>
      <c r="M402" s="52"/>
      <c r="N402" s="51"/>
      <c r="O402" s="51"/>
      <c r="P402" s="25"/>
    </row>
    <row r="403">
      <c r="A403" s="25"/>
      <c r="B403" s="49"/>
      <c r="C403" s="50"/>
      <c r="D403" s="50"/>
      <c r="E403" s="50"/>
      <c r="F403" s="51"/>
      <c r="G403" s="51"/>
      <c r="H403" s="51"/>
      <c r="I403" s="51"/>
      <c r="J403" s="49"/>
      <c r="K403" s="51"/>
      <c r="L403" s="51"/>
      <c r="M403" s="52"/>
      <c r="N403" s="51"/>
      <c r="O403" s="51"/>
      <c r="P403" s="25"/>
    </row>
    <row r="404">
      <c r="A404" s="25"/>
      <c r="B404" s="49"/>
      <c r="C404" s="50"/>
      <c r="D404" s="50"/>
      <c r="E404" s="50"/>
      <c r="F404" s="51"/>
      <c r="G404" s="51"/>
      <c r="H404" s="51"/>
      <c r="I404" s="51"/>
      <c r="J404" s="49"/>
      <c r="K404" s="51"/>
      <c r="L404" s="51"/>
      <c r="M404" s="52"/>
      <c r="N404" s="51"/>
      <c r="O404" s="51"/>
      <c r="P404" s="25"/>
    </row>
    <row r="405">
      <c r="A405" s="25"/>
      <c r="B405" s="49"/>
      <c r="C405" s="50"/>
      <c r="D405" s="50"/>
      <c r="E405" s="50"/>
      <c r="F405" s="51"/>
      <c r="G405" s="51"/>
      <c r="H405" s="51"/>
      <c r="I405" s="51"/>
      <c r="J405" s="49"/>
      <c r="K405" s="51"/>
      <c r="L405" s="51"/>
      <c r="M405" s="52"/>
      <c r="N405" s="51"/>
      <c r="O405" s="51"/>
      <c r="P405" s="25"/>
    </row>
    <row r="406">
      <c r="A406" s="25"/>
      <c r="B406" s="49"/>
      <c r="C406" s="50"/>
      <c r="D406" s="50"/>
      <c r="E406" s="50"/>
      <c r="F406" s="51"/>
      <c r="G406" s="51"/>
      <c r="H406" s="51"/>
      <c r="I406" s="51"/>
      <c r="J406" s="49"/>
      <c r="K406" s="51"/>
      <c r="L406" s="51"/>
      <c r="M406" s="52"/>
      <c r="N406" s="51"/>
      <c r="O406" s="51"/>
      <c r="P406" s="25"/>
    </row>
    <row r="407">
      <c r="A407" s="25"/>
      <c r="B407" s="49"/>
      <c r="C407" s="50"/>
      <c r="D407" s="50"/>
      <c r="E407" s="50"/>
      <c r="F407" s="51"/>
      <c r="G407" s="51"/>
      <c r="H407" s="51"/>
      <c r="I407" s="51"/>
      <c r="J407" s="49"/>
      <c r="K407" s="51"/>
      <c r="L407" s="51"/>
      <c r="M407" s="52"/>
      <c r="N407" s="51"/>
      <c r="O407" s="51"/>
      <c r="P407" s="25"/>
    </row>
    <row r="408">
      <c r="A408" s="25"/>
      <c r="B408" s="49"/>
      <c r="C408" s="50"/>
      <c r="D408" s="50"/>
      <c r="E408" s="50"/>
      <c r="F408" s="51"/>
      <c r="G408" s="51"/>
      <c r="H408" s="51"/>
      <c r="I408" s="51"/>
      <c r="J408" s="49"/>
      <c r="K408" s="51"/>
      <c r="L408" s="51"/>
      <c r="M408" s="52"/>
      <c r="N408" s="51"/>
      <c r="O408" s="51"/>
      <c r="P408" s="25"/>
    </row>
    <row r="409">
      <c r="A409" s="25"/>
      <c r="B409" s="49"/>
      <c r="C409" s="50"/>
      <c r="D409" s="50"/>
      <c r="E409" s="50"/>
      <c r="F409" s="51"/>
      <c r="G409" s="51"/>
      <c r="H409" s="51"/>
      <c r="I409" s="51"/>
      <c r="J409" s="49"/>
      <c r="K409" s="51"/>
      <c r="L409" s="51"/>
      <c r="M409" s="52"/>
      <c r="N409" s="51"/>
      <c r="O409" s="51"/>
      <c r="P409" s="25"/>
    </row>
    <row r="410">
      <c r="A410" s="25"/>
      <c r="B410" s="49"/>
      <c r="C410" s="50"/>
      <c r="D410" s="50"/>
      <c r="E410" s="50"/>
      <c r="F410" s="51"/>
      <c r="G410" s="51"/>
      <c r="H410" s="51"/>
      <c r="I410" s="51"/>
      <c r="J410" s="49"/>
      <c r="K410" s="51"/>
      <c r="L410" s="51"/>
      <c r="M410" s="52"/>
      <c r="N410" s="51"/>
      <c r="O410" s="51"/>
      <c r="P410" s="25"/>
    </row>
    <row r="411">
      <c r="A411" s="25"/>
      <c r="B411" s="49"/>
      <c r="C411" s="50"/>
      <c r="D411" s="50"/>
      <c r="E411" s="50"/>
      <c r="F411" s="51"/>
      <c r="G411" s="51"/>
      <c r="H411" s="51"/>
      <c r="I411" s="51"/>
      <c r="J411" s="49"/>
      <c r="K411" s="51"/>
      <c r="L411" s="51"/>
      <c r="M411" s="52"/>
      <c r="N411" s="51"/>
      <c r="O411" s="51"/>
      <c r="P411" s="25"/>
    </row>
    <row r="412">
      <c r="A412" s="25"/>
      <c r="B412" s="49"/>
      <c r="C412" s="50"/>
      <c r="D412" s="50"/>
      <c r="E412" s="50"/>
      <c r="F412" s="51"/>
      <c r="G412" s="51"/>
      <c r="H412" s="51"/>
      <c r="I412" s="51"/>
      <c r="J412" s="49"/>
      <c r="K412" s="51"/>
      <c r="L412" s="51"/>
      <c r="M412" s="52"/>
      <c r="N412" s="51"/>
      <c r="O412" s="51"/>
      <c r="P412" s="25"/>
    </row>
    <row r="413">
      <c r="A413" s="25"/>
      <c r="B413" s="49"/>
      <c r="C413" s="50"/>
      <c r="D413" s="50"/>
      <c r="E413" s="50"/>
      <c r="F413" s="51"/>
      <c r="G413" s="51"/>
      <c r="H413" s="51"/>
      <c r="I413" s="51"/>
      <c r="J413" s="49"/>
      <c r="K413" s="51"/>
      <c r="L413" s="51"/>
      <c r="M413" s="52"/>
      <c r="N413" s="51"/>
      <c r="O413" s="51"/>
      <c r="P413" s="25"/>
    </row>
    <row r="414">
      <c r="A414" s="25"/>
      <c r="B414" s="49"/>
      <c r="C414" s="50"/>
      <c r="D414" s="50"/>
      <c r="E414" s="50"/>
      <c r="F414" s="51"/>
      <c r="G414" s="51"/>
      <c r="H414" s="51"/>
      <c r="I414" s="51"/>
      <c r="J414" s="49"/>
      <c r="K414" s="51"/>
      <c r="L414" s="51"/>
      <c r="M414" s="52"/>
      <c r="N414" s="51"/>
      <c r="O414" s="51"/>
      <c r="P414" s="25"/>
    </row>
    <row r="415">
      <c r="A415" s="25"/>
      <c r="B415" s="49"/>
      <c r="C415" s="50"/>
      <c r="D415" s="50"/>
      <c r="E415" s="50"/>
      <c r="F415" s="51"/>
      <c r="G415" s="51"/>
      <c r="H415" s="51"/>
      <c r="I415" s="51"/>
      <c r="J415" s="49"/>
      <c r="K415" s="51"/>
      <c r="L415" s="51"/>
      <c r="M415" s="52"/>
      <c r="N415" s="51"/>
      <c r="O415" s="51"/>
      <c r="P415" s="25"/>
    </row>
    <row r="416">
      <c r="A416" s="25"/>
      <c r="B416" s="49"/>
      <c r="C416" s="50"/>
      <c r="D416" s="50"/>
      <c r="E416" s="50"/>
      <c r="F416" s="51"/>
      <c r="G416" s="51"/>
      <c r="H416" s="51"/>
      <c r="I416" s="51"/>
      <c r="J416" s="49"/>
      <c r="K416" s="51"/>
      <c r="L416" s="51"/>
      <c r="M416" s="52"/>
      <c r="N416" s="51"/>
      <c r="O416" s="51"/>
      <c r="P416" s="25"/>
    </row>
    <row r="417">
      <c r="A417" s="25"/>
      <c r="B417" s="49"/>
      <c r="C417" s="50"/>
      <c r="D417" s="50"/>
      <c r="E417" s="50"/>
      <c r="F417" s="51"/>
      <c r="G417" s="51"/>
      <c r="H417" s="51"/>
      <c r="I417" s="51"/>
      <c r="J417" s="49"/>
      <c r="K417" s="51"/>
      <c r="L417" s="51"/>
      <c r="M417" s="52"/>
      <c r="N417" s="51"/>
      <c r="O417" s="51"/>
      <c r="P417" s="25"/>
    </row>
    <row r="418">
      <c r="A418" s="25"/>
      <c r="B418" s="49"/>
      <c r="C418" s="50"/>
      <c r="D418" s="50"/>
      <c r="E418" s="50"/>
      <c r="F418" s="51"/>
      <c r="G418" s="51"/>
      <c r="H418" s="51"/>
      <c r="I418" s="51"/>
      <c r="J418" s="49"/>
      <c r="K418" s="51"/>
      <c r="L418" s="51"/>
      <c r="M418" s="52"/>
      <c r="N418" s="51"/>
      <c r="O418" s="51"/>
      <c r="P418" s="25"/>
    </row>
    <row r="419">
      <c r="A419" s="25"/>
      <c r="B419" s="49"/>
      <c r="C419" s="50"/>
      <c r="D419" s="50"/>
      <c r="E419" s="50"/>
      <c r="F419" s="51"/>
      <c r="G419" s="51"/>
      <c r="H419" s="51"/>
      <c r="I419" s="51"/>
      <c r="J419" s="49"/>
      <c r="K419" s="51"/>
      <c r="L419" s="51"/>
      <c r="M419" s="52"/>
      <c r="N419" s="51"/>
      <c r="O419" s="51"/>
      <c r="P419" s="25"/>
    </row>
    <row r="420">
      <c r="A420" s="25"/>
      <c r="B420" s="49"/>
      <c r="C420" s="50"/>
      <c r="D420" s="50"/>
      <c r="E420" s="50"/>
      <c r="F420" s="51"/>
      <c r="G420" s="51"/>
      <c r="H420" s="51"/>
      <c r="I420" s="51"/>
      <c r="J420" s="49"/>
      <c r="K420" s="51"/>
      <c r="L420" s="51"/>
      <c r="M420" s="52"/>
      <c r="N420" s="51"/>
      <c r="O420" s="51"/>
      <c r="P420" s="25"/>
    </row>
    <row r="421">
      <c r="A421" s="25"/>
      <c r="B421" s="49"/>
      <c r="C421" s="50"/>
      <c r="D421" s="50"/>
      <c r="E421" s="50"/>
      <c r="F421" s="51"/>
      <c r="G421" s="51"/>
      <c r="H421" s="51"/>
      <c r="I421" s="51"/>
      <c r="J421" s="49"/>
      <c r="K421" s="51"/>
      <c r="L421" s="51"/>
      <c r="M421" s="52"/>
      <c r="N421" s="51"/>
      <c r="O421" s="51"/>
      <c r="P421" s="25"/>
    </row>
    <row r="422">
      <c r="A422" s="25"/>
      <c r="B422" s="49"/>
      <c r="C422" s="50"/>
      <c r="D422" s="50"/>
      <c r="E422" s="50"/>
      <c r="F422" s="51"/>
      <c r="G422" s="51"/>
      <c r="H422" s="51"/>
      <c r="I422" s="51"/>
      <c r="J422" s="49"/>
      <c r="K422" s="51"/>
      <c r="L422" s="51"/>
      <c r="M422" s="52"/>
      <c r="N422" s="51"/>
      <c r="O422" s="51"/>
      <c r="P422" s="25"/>
    </row>
    <row r="423">
      <c r="A423" s="25"/>
      <c r="B423" s="49"/>
      <c r="C423" s="50"/>
      <c r="D423" s="50"/>
      <c r="E423" s="50"/>
      <c r="F423" s="51"/>
      <c r="G423" s="51"/>
      <c r="H423" s="51"/>
      <c r="I423" s="51"/>
      <c r="J423" s="49"/>
      <c r="K423" s="51"/>
      <c r="L423" s="51"/>
      <c r="M423" s="52"/>
      <c r="N423" s="51"/>
      <c r="O423" s="51"/>
      <c r="P423" s="25"/>
    </row>
    <row r="424">
      <c r="A424" s="25"/>
      <c r="B424" s="49"/>
      <c r="C424" s="50"/>
      <c r="D424" s="50"/>
      <c r="E424" s="50"/>
      <c r="F424" s="51"/>
      <c r="G424" s="51"/>
      <c r="H424" s="51"/>
      <c r="I424" s="51"/>
      <c r="J424" s="49"/>
      <c r="K424" s="51"/>
      <c r="L424" s="51"/>
      <c r="M424" s="52"/>
      <c r="N424" s="51"/>
      <c r="O424" s="51"/>
      <c r="P424" s="25"/>
    </row>
    <row r="425">
      <c r="A425" s="25"/>
      <c r="B425" s="49"/>
      <c r="C425" s="50"/>
      <c r="D425" s="50"/>
      <c r="E425" s="50"/>
      <c r="F425" s="51"/>
      <c r="G425" s="51"/>
      <c r="H425" s="51"/>
      <c r="I425" s="51"/>
      <c r="J425" s="49"/>
      <c r="K425" s="51"/>
      <c r="L425" s="51"/>
      <c r="M425" s="52"/>
      <c r="N425" s="51"/>
      <c r="O425" s="51"/>
      <c r="P425" s="25"/>
    </row>
    <row r="426">
      <c r="A426" s="25"/>
      <c r="B426" s="49"/>
      <c r="C426" s="50"/>
      <c r="D426" s="50"/>
      <c r="E426" s="50"/>
      <c r="F426" s="51"/>
      <c r="G426" s="51"/>
      <c r="H426" s="51"/>
      <c r="I426" s="51"/>
      <c r="J426" s="49"/>
      <c r="K426" s="51"/>
      <c r="L426" s="51"/>
      <c r="M426" s="52"/>
      <c r="N426" s="51"/>
      <c r="O426" s="51"/>
      <c r="P426" s="25"/>
    </row>
    <row r="427">
      <c r="A427" s="25"/>
      <c r="B427" s="49"/>
      <c r="C427" s="50"/>
      <c r="D427" s="50"/>
      <c r="E427" s="50"/>
      <c r="F427" s="51"/>
      <c r="G427" s="51"/>
      <c r="H427" s="51"/>
      <c r="I427" s="51"/>
      <c r="J427" s="49"/>
      <c r="K427" s="51"/>
      <c r="L427" s="51"/>
      <c r="M427" s="52"/>
      <c r="N427" s="51"/>
      <c r="O427" s="51"/>
      <c r="P427" s="25"/>
    </row>
    <row r="428">
      <c r="A428" s="25"/>
      <c r="B428" s="49"/>
      <c r="C428" s="50"/>
      <c r="D428" s="50"/>
      <c r="E428" s="50"/>
      <c r="F428" s="51"/>
      <c r="G428" s="51"/>
      <c r="H428" s="51"/>
      <c r="I428" s="51"/>
      <c r="J428" s="49"/>
      <c r="K428" s="51"/>
      <c r="L428" s="51"/>
      <c r="M428" s="52"/>
      <c r="N428" s="51"/>
      <c r="O428" s="51"/>
      <c r="P428" s="25"/>
    </row>
    <row r="429">
      <c r="A429" s="25"/>
      <c r="B429" s="49"/>
      <c r="C429" s="50"/>
      <c r="D429" s="50"/>
      <c r="E429" s="50"/>
      <c r="F429" s="51"/>
      <c r="G429" s="51"/>
      <c r="H429" s="51"/>
      <c r="I429" s="51"/>
      <c r="J429" s="49"/>
      <c r="K429" s="51"/>
      <c r="L429" s="51"/>
      <c r="M429" s="52"/>
      <c r="N429" s="51"/>
      <c r="O429" s="51"/>
      <c r="P429" s="25"/>
    </row>
    <row r="430">
      <c r="A430" s="25"/>
      <c r="B430" s="49"/>
      <c r="C430" s="50"/>
      <c r="D430" s="50"/>
      <c r="E430" s="50"/>
      <c r="F430" s="51"/>
      <c r="G430" s="51"/>
      <c r="H430" s="51"/>
      <c r="I430" s="51"/>
      <c r="J430" s="49"/>
      <c r="K430" s="51"/>
      <c r="L430" s="51"/>
      <c r="M430" s="52"/>
      <c r="N430" s="51"/>
      <c r="O430" s="51"/>
      <c r="P430" s="25"/>
    </row>
    <row r="431">
      <c r="A431" s="25"/>
      <c r="B431" s="49"/>
      <c r="C431" s="50"/>
      <c r="D431" s="50"/>
      <c r="E431" s="50"/>
      <c r="F431" s="51"/>
      <c r="G431" s="51"/>
      <c r="H431" s="51"/>
      <c r="I431" s="51"/>
      <c r="J431" s="49"/>
      <c r="K431" s="51"/>
      <c r="L431" s="51"/>
      <c r="M431" s="52"/>
      <c r="N431" s="51"/>
      <c r="O431" s="51"/>
      <c r="P431" s="25"/>
    </row>
    <row r="432">
      <c r="A432" s="25"/>
      <c r="B432" s="49"/>
      <c r="C432" s="50"/>
      <c r="D432" s="50"/>
      <c r="E432" s="50"/>
      <c r="F432" s="51"/>
      <c r="G432" s="51"/>
      <c r="H432" s="51"/>
      <c r="I432" s="51"/>
      <c r="J432" s="49"/>
      <c r="K432" s="51"/>
      <c r="L432" s="51"/>
      <c r="M432" s="52"/>
      <c r="N432" s="51"/>
      <c r="O432" s="51"/>
      <c r="P432" s="25"/>
    </row>
    <row r="433">
      <c r="A433" s="25"/>
      <c r="B433" s="49"/>
      <c r="C433" s="50"/>
      <c r="D433" s="50"/>
      <c r="E433" s="50"/>
      <c r="F433" s="51"/>
      <c r="G433" s="51"/>
      <c r="H433" s="51"/>
      <c r="I433" s="51"/>
      <c r="J433" s="49"/>
      <c r="K433" s="51"/>
      <c r="L433" s="51"/>
      <c r="M433" s="52"/>
      <c r="N433" s="51"/>
      <c r="O433" s="51"/>
      <c r="P433" s="25"/>
    </row>
    <row r="434">
      <c r="A434" s="25"/>
      <c r="B434" s="49"/>
      <c r="C434" s="50"/>
      <c r="D434" s="50"/>
      <c r="E434" s="50"/>
      <c r="F434" s="51"/>
      <c r="G434" s="51"/>
      <c r="H434" s="51"/>
      <c r="I434" s="51"/>
      <c r="J434" s="49"/>
      <c r="K434" s="51"/>
      <c r="L434" s="51"/>
      <c r="M434" s="52"/>
      <c r="N434" s="51"/>
      <c r="O434" s="51"/>
      <c r="P434" s="25"/>
    </row>
    <row r="435">
      <c r="A435" s="25"/>
      <c r="B435" s="49"/>
      <c r="C435" s="50"/>
      <c r="D435" s="50"/>
      <c r="E435" s="50"/>
      <c r="F435" s="51"/>
      <c r="G435" s="51"/>
      <c r="H435" s="51"/>
      <c r="I435" s="51"/>
      <c r="J435" s="49"/>
      <c r="K435" s="51"/>
      <c r="L435" s="51"/>
      <c r="M435" s="52"/>
      <c r="N435" s="51"/>
      <c r="O435" s="51"/>
      <c r="P435" s="25"/>
    </row>
    <row r="436">
      <c r="A436" s="25"/>
      <c r="B436" s="49"/>
      <c r="C436" s="50"/>
      <c r="D436" s="50"/>
      <c r="E436" s="50"/>
      <c r="F436" s="51"/>
      <c r="G436" s="51"/>
      <c r="H436" s="51"/>
      <c r="I436" s="51"/>
      <c r="J436" s="49"/>
      <c r="K436" s="51"/>
      <c r="L436" s="51"/>
      <c r="M436" s="52"/>
      <c r="N436" s="51"/>
      <c r="O436" s="51"/>
      <c r="P436" s="25"/>
    </row>
    <row r="437">
      <c r="A437" s="25"/>
      <c r="B437" s="49"/>
      <c r="C437" s="50"/>
      <c r="D437" s="50"/>
      <c r="E437" s="50"/>
      <c r="F437" s="51"/>
      <c r="G437" s="51"/>
      <c r="H437" s="51"/>
      <c r="I437" s="51"/>
      <c r="J437" s="49"/>
      <c r="K437" s="51"/>
      <c r="L437" s="51"/>
      <c r="M437" s="52"/>
      <c r="N437" s="51"/>
      <c r="O437" s="51"/>
      <c r="P437" s="25"/>
    </row>
    <row r="438">
      <c r="A438" s="25"/>
      <c r="B438" s="49"/>
      <c r="C438" s="50"/>
      <c r="D438" s="50"/>
      <c r="E438" s="50"/>
      <c r="F438" s="51"/>
      <c r="G438" s="51"/>
      <c r="H438" s="51"/>
      <c r="I438" s="51"/>
      <c r="J438" s="49"/>
      <c r="K438" s="51"/>
      <c r="L438" s="51"/>
      <c r="M438" s="52"/>
      <c r="N438" s="51"/>
      <c r="O438" s="51"/>
      <c r="P438" s="25"/>
    </row>
    <row r="439">
      <c r="A439" s="25"/>
      <c r="B439" s="49"/>
      <c r="C439" s="50"/>
      <c r="D439" s="50"/>
      <c r="E439" s="50"/>
      <c r="F439" s="51"/>
      <c r="G439" s="51"/>
      <c r="H439" s="51"/>
      <c r="I439" s="51"/>
      <c r="J439" s="49"/>
      <c r="K439" s="51"/>
      <c r="L439" s="51"/>
      <c r="M439" s="52"/>
      <c r="N439" s="51"/>
      <c r="O439" s="51"/>
      <c r="P439" s="25"/>
    </row>
    <row r="440">
      <c r="A440" s="25"/>
      <c r="B440" s="49"/>
      <c r="C440" s="50"/>
      <c r="D440" s="50"/>
      <c r="E440" s="50"/>
      <c r="F440" s="51"/>
      <c r="G440" s="51"/>
      <c r="H440" s="51"/>
      <c r="I440" s="51"/>
      <c r="J440" s="49"/>
      <c r="K440" s="51"/>
      <c r="L440" s="51"/>
      <c r="M440" s="52"/>
      <c r="N440" s="51"/>
      <c r="O440" s="51"/>
      <c r="P440" s="25"/>
    </row>
    <row r="441">
      <c r="A441" s="25"/>
      <c r="B441" s="49"/>
      <c r="C441" s="50"/>
      <c r="D441" s="50"/>
      <c r="E441" s="50"/>
      <c r="F441" s="51"/>
      <c r="G441" s="51"/>
      <c r="H441" s="51"/>
      <c r="I441" s="51"/>
      <c r="J441" s="49"/>
      <c r="K441" s="51"/>
      <c r="L441" s="51"/>
      <c r="M441" s="52"/>
      <c r="N441" s="51"/>
      <c r="O441" s="51"/>
      <c r="P441" s="25"/>
    </row>
    <row r="442">
      <c r="A442" s="25"/>
      <c r="B442" s="49"/>
      <c r="C442" s="50"/>
      <c r="D442" s="50"/>
      <c r="E442" s="50"/>
      <c r="F442" s="51"/>
      <c r="G442" s="51"/>
      <c r="H442" s="51"/>
      <c r="I442" s="51"/>
      <c r="J442" s="49"/>
      <c r="K442" s="51"/>
      <c r="L442" s="51"/>
      <c r="M442" s="52"/>
      <c r="N442" s="51"/>
      <c r="O442" s="51"/>
      <c r="P442" s="25"/>
    </row>
    <row r="443">
      <c r="A443" s="25"/>
      <c r="B443" s="49"/>
      <c r="C443" s="50"/>
      <c r="D443" s="50"/>
      <c r="E443" s="50"/>
      <c r="F443" s="51"/>
      <c r="G443" s="51"/>
      <c r="H443" s="51"/>
      <c r="I443" s="51"/>
      <c r="J443" s="49"/>
      <c r="K443" s="51"/>
      <c r="L443" s="51"/>
      <c r="M443" s="52"/>
      <c r="N443" s="51"/>
      <c r="O443" s="51"/>
      <c r="P443" s="25"/>
    </row>
    <row r="444">
      <c r="A444" s="25"/>
      <c r="B444" s="49"/>
      <c r="C444" s="50"/>
      <c r="D444" s="50"/>
      <c r="E444" s="50"/>
      <c r="F444" s="51"/>
      <c r="G444" s="51"/>
      <c r="H444" s="51"/>
      <c r="I444" s="51"/>
      <c r="J444" s="49"/>
      <c r="K444" s="51"/>
      <c r="L444" s="51"/>
      <c r="M444" s="52"/>
      <c r="N444" s="51"/>
      <c r="O444" s="51"/>
      <c r="P444" s="25"/>
    </row>
    <row r="445">
      <c r="A445" s="25"/>
      <c r="B445" s="49"/>
      <c r="C445" s="50"/>
      <c r="D445" s="50"/>
      <c r="E445" s="50"/>
      <c r="F445" s="51"/>
      <c r="G445" s="51"/>
      <c r="H445" s="51"/>
      <c r="I445" s="51"/>
      <c r="J445" s="49"/>
      <c r="K445" s="51"/>
      <c r="L445" s="51"/>
      <c r="M445" s="52"/>
      <c r="N445" s="51"/>
      <c r="O445" s="51"/>
      <c r="P445" s="25"/>
    </row>
    <row r="446">
      <c r="A446" s="25"/>
      <c r="B446" s="49"/>
      <c r="C446" s="50"/>
      <c r="D446" s="50"/>
      <c r="E446" s="50"/>
      <c r="F446" s="51"/>
      <c r="G446" s="51"/>
      <c r="H446" s="51"/>
      <c r="I446" s="51"/>
      <c r="J446" s="49"/>
      <c r="K446" s="51"/>
      <c r="L446" s="51"/>
      <c r="M446" s="52"/>
      <c r="N446" s="51"/>
      <c r="O446" s="51"/>
      <c r="P446" s="25"/>
    </row>
    <row r="447">
      <c r="A447" s="25"/>
      <c r="B447" s="49"/>
      <c r="C447" s="50"/>
      <c r="D447" s="50"/>
      <c r="E447" s="50"/>
      <c r="F447" s="51"/>
      <c r="G447" s="51"/>
      <c r="H447" s="51"/>
      <c r="I447" s="51"/>
      <c r="J447" s="49"/>
      <c r="K447" s="51"/>
      <c r="L447" s="51"/>
      <c r="M447" s="52"/>
      <c r="N447" s="51"/>
      <c r="O447" s="51"/>
      <c r="P447" s="25"/>
    </row>
    <row r="448">
      <c r="A448" s="25"/>
      <c r="B448" s="49"/>
      <c r="C448" s="50"/>
      <c r="D448" s="50"/>
      <c r="E448" s="50"/>
      <c r="F448" s="51"/>
      <c r="G448" s="51"/>
      <c r="H448" s="51"/>
      <c r="I448" s="51"/>
      <c r="J448" s="49"/>
      <c r="K448" s="51"/>
      <c r="L448" s="51"/>
      <c r="M448" s="52"/>
      <c r="N448" s="51"/>
      <c r="O448" s="51"/>
      <c r="P448" s="25"/>
    </row>
    <row r="449">
      <c r="A449" s="25"/>
      <c r="B449" s="49"/>
      <c r="C449" s="50"/>
      <c r="D449" s="50"/>
      <c r="E449" s="50"/>
      <c r="F449" s="51"/>
      <c r="G449" s="51"/>
      <c r="H449" s="51"/>
      <c r="I449" s="51"/>
      <c r="J449" s="49"/>
      <c r="K449" s="51"/>
      <c r="L449" s="51"/>
      <c r="M449" s="52"/>
      <c r="N449" s="51"/>
      <c r="O449" s="51"/>
      <c r="P449" s="25"/>
    </row>
    <row r="450">
      <c r="A450" s="25"/>
      <c r="B450" s="49"/>
      <c r="C450" s="50"/>
      <c r="D450" s="50"/>
      <c r="E450" s="50"/>
      <c r="F450" s="51"/>
      <c r="G450" s="51"/>
      <c r="H450" s="51"/>
      <c r="I450" s="51"/>
      <c r="J450" s="49"/>
      <c r="K450" s="51"/>
      <c r="L450" s="51"/>
      <c r="M450" s="52"/>
      <c r="N450" s="51"/>
      <c r="O450" s="51"/>
      <c r="P450" s="25"/>
    </row>
    <row r="451">
      <c r="A451" s="25"/>
      <c r="B451" s="49"/>
      <c r="C451" s="50"/>
      <c r="D451" s="50"/>
      <c r="E451" s="50"/>
      <c r="F451" s="51"/>
      <c r="G451" s="51"/>
      <c r="H451" s="51"/>
      <c r="I451" s="51"/>
      <c r="J451" s="49"/>
      <c r="K451" s="51"/>
      <c r="L451" s="51"/>
      <c r="M451" s="52"/>
      <c r="N451" s="51"/>
      <c r="O451" s="51"/>
      <c r="P451" s="25"/>
    </row>
    <row r="452">
      <c r="A452" s="25"/>
      <c r="B452" s="49"/>
      <c r="C452" s="50"/>
      <c r="D452" s="50"/>
      <c r="E452" s="50"/>
      <c r="F452" s="51"/>
      <c r="G452" s="51"/>
      <c r="H452" s="51"/>
      <c r="I452" s="51"/>
      <c r="J452" s="49"/>
      <c r="K452" s="51"/>
      <c r="L452" s="51"/>
      <c r="M452" s="52"/>
      <c r="N452" s="51"/>
      <c r="O452" s="51"/>
      <c r="P452" s="25"/>
    </row>
    <row r="453">
      <c r="A453" s="25"/>
      <c r="B453" s="49"/>
      <c r="C453" s="50"/>
      <c r="D453" s="50"/>
      <c r="E453" s="50"/>
      <c r="F453" s="51"/>
      <c r="G453" s="51"/>
      <c r="H453" s="51"/>
      <c r="I453" s="51"/>
      <c r="J453" s="49"/>
      <c r="K453" s="51"/>
      <c r="L453" s="51"/>
      <c r="M453" s="52"/>
      <c r="N453" s="51"/>
      <c r="O453" s="51"/>
      <c r="P453" s="25"/>
    </row>
    <row r="454">
      <c r="A454" s="25"/>
      <c r="B454" s="49"/>
      <c r="C454" s="50"/>
      <c r="D454" s="50"/>
      <c r="E454" s="50"/>
      <c r="F454" s="51"/>
      <c r="G454" s="51"/>
      <c r="H454" s="51"/>
      <c r="I454" s="51"/>
      <c r="J454" s="49"/>
      <c r="K454" s="51"/>
      <c r="L454" s="51"/>
      <c r="M454" s="52"/>
      <c r="N454" s="51"/>
      <c r="O454" s="51"/>
      <c r="P454" s="25"/>
    </row>
    <row r="455">
      <c r="A455" s="25"/>
      <c r="B455" s="49"/>
      <c r="C455" s="50"/>
      <c r="D455" s="50"/>
      <c r="E455" s="50"/>
      <c r="F455" s="51"/>
      <c r="G455" s="51"/>
      <c r="H455" s="51"/>
      <c r="I455" s="51"/>
      <c r="J455" s="49"/>
      <c r="K455" s="51"/>
      <c r="L455" s="51"/>
      <c r="M455" s="52"/>
      <c r="N455" s="51"/>
      <c r="O455" s="51"/>
      <c r="P455" s="25"/>
    </row>
    <row r="456">
      <c r="A456" s="25"/>
      <c r="B456" s="49"/>
      <c r="C456" s="50"/>
      <c r="D456" s="50"/>
      <c r="E456" s="50"/>
      <c r="F456" s="51"/>
      <c r="G456" s="51"/>
      <c r="H456" s="51"/>
      <c r="I456" s="51"/>
      <c r="J456" s="49"/>
      <c r="K456" s="51"/>
      <c r="L456" s="51"/>
      <c r="M456" s="52"/>
      <c r="N456" s="51"/>
      <c r="O456" s="51"/>
      <c r="P456" s="25"/>
    </row>
    <row r="457">
      <c r="A457" s="25"/>
      <c r="B457" s="49"/>
      <c r="C457" s="50"/>
      <c r="D457" s="50"/>
      <c r="E457" s="50"/>
      <c r="F457" s="51"/>
      <c r="G457" s="51"/>
      <c r="H457" s="51"/>
      <c r="I457" s="51"/>
      <c r="J457" s="49"/>
      <c r="K457" s="51"/>
      <c r="L457" s="51"/>
      <c r="M457" s="52"/>
      <c r="N457" s="51"/>
      <c r="O457" s="51"/>
      <c r="P457" s="25"/>
    </row>
    <row r="458">
      <c r="A458" s="25"/>
      <c r="B458" s="49"/>
      <c r="C458" s="50"/>
      <c r="D458" s="50"/>
      <c r="E458" s="50"/>
      <c r="F458" s="51"/>
      <c r="G458" s="51"/>
      <c r="H458" s="51"/>
      <c r="I458" s="51"/>
      <c r="J458" s="49"/>
      <c r="K458" s="51"/>
      <c r="L458" s="51"/>
      <c r="M458" s="52"/>
      <c r="N458" s="51"/>
      <c r="O458" s="51"/>
      <c r="P458" s="25"/>
    </row>
    <row r="459">
      <c r="A459" s="25"/>
      <c r="B459" s="49"/>
      <c r="C459" s="50"/>
      <c r="D459" s="50"/>
      <c r="E459" s="50"/>
      <c r="F459" s="51"/>
      <c r="G459" s="51"/>
      <c r="H459" s="51"/>
      <c r="I459" s="51"/>
      <c r="J459" s="49"/>
      <c r="K459" s="51"/>
      <c r="L459" s="51"/>
      <c r="M459" s="52"/>
      <c r="N459" s="51"/>
      <c r="O459" s="51"/>
      <c r="P459" s="25"/>
    </row>
    <row r="460">
      <c r="A460" s="25"/>
      <c r="B460" s="49"/>
      <c r="C460" s="50"/>
      <c r="D460" s="50"/>
      <c r="E460" s="50"/>
      <c r="F460" s="51"/>
      <c r="G460" s="51"/>
      <c r="H460" s="51"/>
      <c r="I460" s="51"/>
      <c r="J460" s="49"/>
      <c r="K460" s="51"/>
      <c r="L460" s="51"/>
      <c r="M460" s="52"/>
      <c r="N460" s="51"/>
      <c r="O460" s="51"/>
      <c r="P460" s="25"/>
    </row>
    <row r="461">
      <c r="A461" s="25"/>
      <c r="B461" s="49"/>
      <c r="C461" s="50"/>
      <c r="D461" s="50"/>
      <c r="E461" s="50"/>
      <c r="F461" s="51"/>
      <c r="G461" s="51"/>
      <c r="H461" s="51"/>
      <c r="I461" s="51"/>
      <c r="J461" s="49"/>
      <c r="K461" s="51"/>
      <c r="L461" s="51"/>
      <c r="M461" s="52"/>
      <c r="N461" s="51"/>
      <c r="O461" s="51"/>
      <c r="P461" s="25"/>
    </row>
    <row r="462">
      <c r="A462" s="25"/>
      <c r="B462" s="49"/>
      <c r="C462" s="50"/>
      <c r="D462" s="50"/>
      <c r="E462" s="50"/>
      <c r="F462" s="51"/>
      <c r="G462" s="51"/>
      <c r="H462" s="51"/>
      <c r="I462" s="51"/>
      <c r="J462" s="49"/>
      <c r="K462" s="51"/>
      <c r="L462" s="51"/>
      <c r="M462" s="52"/>
      <c r="N462" s="51"/>
      <c r="O462" s="51"/>
      <c r="P462" s="25"/>
    </row>
    <row r="463">
      <c r="A463" s="25"/>
      <c r="B463" s="49"/>
      <c r="C463" s="50"/>
      <c r="D463" s="50"/>
      <c r="E463" s="50"/>
      <c r="F463" s="51"/>
      <c r="G463" s="51"/>
      <c r="H463" s="51"/>
      <c r="I463" s="51"/>
      <c r="J463" s="49"/>
      <c r="K463" s="51"/>
      <c r="L463" s="51"/>
      <c r="M463" s="52"/>
      <c r="N463" s="51"/>
      <c r="O463" s="51"/>
      <c r="P463" s="25"/>
    </row>
    <row r="464">
      <c r="A464" s="25"/>
      <c r="B464" s="49"/>
      <c r="C464" s="50"/>
      <c r="D464" s="50"/>
      <c r="E464" s="50"/>
      <c r="F464" s="51"/>
      <c r="G464" s="51"/>
      <c r="H464" s="51"/>
      <c r="I464" s="51"/>
      <c r="J464" s="49"/>
      <c r="K464" s="51"/>
      <c r="L464" s="51"/>
      <c r="M464" s="52"/>
      <c r="N464" s="51"/>
      <c r="O464" s="51"/>
      <c r="P464" s="25"/>
    </row>
    <row r="465">
      <c r="A465" s="25"/>
      <c r="B465" s="49"/>
      <c r="C465" s="50"/>
      <c r="D465" s="50"/>
      <c r="E465" s="50"/>
      <c r="F465" s="51"/>
      <c r="G465" s="51"/>
      <c r="H465" s="51"/>
      <c r="I465" s="51"/>
      <c r="J465" s="49"/>
      <c r="K465" s="51"/>
      <c r="L465" s="51"/>
      <c r="M465" s="52"/>
      <c r="N465" s="51"/>
      <c r="O465" s="51"/>
      <c r="P465" s="25"/>
    </row>
    <row r="466">
      <c r="A466" s="25"/>
      <c r="B466" s="49"/>
      <c r="C466" s="50"/>
      <c r="D466" s="50"/>
      <c r="E466" s="50"/>
      <c r="F466" s="51"/>
      <c r="G466" s="51"/>
      <c r="H466" s="51"/>
      <c r="I466" s="51"/>
      <c r="J466" s="49"/>
      <c r="K466" s="51"/>
      <c r="L466" s="51"/>
      <c r="M466" s="52"/>
      <c r="N466" s="51"/>
      <c r="O466" s="51"/>
      <c r="P466" s="25"/>
    </row>
    <row r="467">
      <c r="A467" s="25"/>
      <c r="B467" s="49"/>
      <c r="C467" s="50"/>
      <c r="D467" s="50"/>
      <c r="E467" s="50"/>
      <c r="F467" s="51"/>
      <c r="G467" s="51"/>
      <c r="H467" s="51"/>
      <c r="I467" s="51"/>
      <c r="J467" s="49"/>
      <c r="K467" s="51"/>
      <c r="L467" s="51"/>
      <c r="M467" s="52"/>
      <c r="N467" s="51"/>
      <c r="O467" s="51"/>
      <c r="P467" s="25"/>
    </row>
    <row r="468">
      <c r="A468" s="25"/>
      <c r="B468" s="49"/>
      <c r="C468" s="50"/>
      <c r="D468" s="50"/>
      <c r="E468" s="50"/>
      <c r="F468" s="51"/>
      <c r="G468" s="51"/>
      <c r="H468" s="51"/>
      <c r="I468" s="51"/>
      <c r="J468" s="49"/>
      <c r="K468" s="51"/>
      <c r="L468" s="51"/>
      <c r="M468" s="52"/>
      <c r="N468" s="51"/>
      <c r="O468" s="51"/>
      <c r="P468" s="25"/>
    </row>
    <row r="469">
      <c r="A469" s="25"/>
      <c r="B469" s="49"/>
      <c r="C469" s="50"/>
      <c r="D469" s="50"/>
      <c r="E469" s="50"/>
      <c r="F469" s="51"/>
      <c r="G469" s="51"/>
      <c r="H469" s="51"/>
      <c r="I469" s="51"/>
      <c r="J469" s="49"/>
      <c r="K469" s="51"/>
      <c r="L469" s="51"/>
      <c r="M469" s="52"/>
      <c r="N469" s="51"/>
      <c r="O469" s="51"/>
      <c r="P469" s="25"/>
    </row>
    <row r="470">
      <c r="A470" s="25"/>
      <c r="B470" s="49"/>
      <c r="C470" s="50"/>
      <c r="D470" s="50"/>
      <c r="E470" s="50"/>
      <c r="F470" s="51"/>
      <c r="G470" s="51"/>
      <c r="H470" s="51"/>
      <c r="I470" s="51"/>
      <c r="J470" s="49"/>
      <c r="K470" s="51"/>
      <c r="L470" s="51"/>
      <c r="M470" s="52"/>
      <c r="N470" s="51"/>
      <c r="O470" s="51"/>
      <c r="P470" s="25"/>
    </row>
    <row r="471">
      <c r="A471" s="25"/>
      <c r="B471" s="49"/>
      <c r="C471" s="50"/>
      <c r="D471" s="50"/>
      <c r="E471" s="50"/>
      <c r="F471" s="51"/>
      <c r="G471" s="51"/>
      <c r="H471" s="51"/>
      <c r="I471" s="51"/>
      <c r="J471" s="49"/>
      <c r="K471" s="51"/>
      <c r="L471" s="51"/>
      <c r="M471" s="52"/>
      <c r="N471" s="51"/>
      <c r="O471" s="51"/>
      <c r="P471" s="25"/>
    </row>
    <row r="472">
      <c r="A472" s="25"/>
      <c r="B472" s="49"/>
      <c r="C472" s="50"/>
      <c r="D472" s="50"/>
      <c r="E472" s="50"/>
      <c r="F472" s="51"/>
      <c r="G472" s="51"/>
      <c r="H472" s="51"/>
      <c r="I472" s="51"/>
      <c r="J472" s="49"/>
      <c r="K472" s="51"/>
      <c r="L472" s="51"/>
      <c r="M472" s="52"/>
      <c r="N472" s="51"/>
      <c r="O472" s="51"/>
      <c r="P472" s="25"/>
    </row>
    <row r="473">
      <c r="A473" s="25"/>
      <c r="B473" s="49"/>
      <c r="C473" s="50"/>
      <c r="D473" s="50"/>
      <c r="E473" s="50"/>
      <c r="F473" s="51"/>
      <c r="G473" s="51"/>
      <c r="H473" s="51"/>
      <c r="I473" s="51"/>
      <c r="J473" s="49"/>
      <c r="K473" s="51"/>
      <c r="L473" s="51"/>
      <c r="M473" s="52"/>
      <c r="N473" s="51"/>
      <c r="O473" s="51"/>
      <c r="P473" s="25"/>
    </row>
    <row r="474">
      <c r="A474" s="25"/>
      <c r="B474" s="49"/>
      <c r="C474" s="50"/>
      <c r="D474" s="50"/>
      <c r="E474" s="50"/>
      <c r="F474" s="51"/>
      <c r="G474" s="51"/>
      <c r="H474" s="51"/>
      <c r="I474" s="51"/>
      <c r="J474" s="49"/>
      <c r="K474" s="51"/>
      <c r="L474" s="51"/>
      <c r="M474" s="52"/>
      <c r="N474" s="51"/>
      <c r="O474" s="51"/>
      <c r="P474" s="25"/>
    </row>
    <row r="475">
      <c r="A475" s="25"/>
      <c r="B475" s="49"/>
      <c r="C475" s="50"/>
      <c r="D475" s="50"/>
      <c r="E475" s="50"/>
      <c r="F475" s="51"/>
      <c r="G475" s="51"/>
      <c r="H475" s="51"/>
      <c r="I475" s="51"/>
      <c r="J475" s="49"/>
      <c r="K475" s="51"/>
      <c r="L475" s="51"/>
      <c r="M475" s="52"/>
      <c r="N475" s="51"/>
      <c r="O475" s="51"/>
      <c r="P475" s="25"/>
    </row>
    <row r="476">
      <c r="A476" s="25"/>
      <c r="B476" s="49"/>
      <c r="C476" s="50"/>
      <c r="D476" s="50"/>
      <c r="E476" s="50"/>
      <c r="F476" s="51"/>
      <c r="G476" s="51"/>
      <c r="H476" s="51"/>
      <c r="I476" s="51"/>
      <c r="J476" s="49"/>
      <c r="K476" s="51"/>
      <c r="L476" s="51"/>
      <c r="M476" s="52"/>
      <c r="N476" s="51"/>
      <c r="O476" s="51"/>
      <c r="P476" s="25"/>
    </row>
    <row r="477">
      <c r="A477" s="25"/>
      <c r="B477" s="49"/>
      <c r="C477" s="50"/>
      <c r="D477" s="50"/>
      <c r="E477" s="50"/>
      <c r="F477" s="51"/>
      <c r="G477" s="51"/>
      <c r="H477" s="51"/>
      <c r="I477" s="51"/>
      <c r="J477" s="49"/>
      <c r="K477" s="51"/>
      <c r="L477" s="51"/>
      <c r="M477" s="52"/>
      <c r="N477" s="51"/>
      <c r="O477" s="51"/>
      <c r="P477" s="25"/>
    </row>
    <row r="478">
      <c r="A478" s="25"/>
      <c r="B478" s="49"/>
      <c r="C478" s="50"/>
      <c r="D478" s="50"/>
      <c r="E478" s="50"/>
      <c r="F478" s="51"/>
      <c r="G478" s="51"/>
      <c r="H478" s="51"/>
      <c r="I478" s="51"/>
      <c r="J478" s="49"/>
      <c r="K478" s="51"/>
      <c r="L478" s="51"/>
      <c r="M478" s="52"/>
      <c r="N478" s="51"/>
      <c r="O478" s="51"/>
      <c r="P478" s="25"/>
    </row>
    <row r="479">
      <c r="A479" s="25"/>
      <c r="B479" s="49"/>
      <c r="C479" s="50"/>
      <c r="D479" s="50"/>
      <c r="E479" s="50"/>
      <c r="F479" s="51"/>
      <c r="G479" s="51"/>
      <c r="H479" s="51"/>
      <c r="I479" s="51"/>
      <c r="J479" s="49"/>
      <c r="K479" s="51"/>
      <c r="L479" s="51"/>
      <c r="M479" s="52"/>
      <c r="N479" s="51"/>
      <c r="O479" s="51"/>
      <c r="P479" s="25"/>
    </row>
    <row r="480">
      <c r="A480" s="25"/>
      <c r="B480" s="49"/>
      <c r="C480" s="50"/>
      <c r="D480" s="50"/>
      <c r="E480" s="50"/>
      <c r="F480" s="51"/>
      <c r="G480" s="51"/>
      <c r="H480" s="51"/>
      <c r="I480" s="51"/>
      <c r="J480" s="49"/>
      <c r="K480" s="51"/>
      <c r="L480" s="51"/>
      <c r="M480" s="52"/>
      <c r="N480" s="51"/>
      <c r="O480" s="51"/>
      <c r="P480" s="25"/>
    </row>
    <row r="481">
      <c r="A481" s="25"/>
      <c r="B481" s="49"/>
      <c r="C481" s="50"/>
      <c r="D481" s="50"/>
      <c r="E481" s="50"/>
      <c r="F481" s="51"/>
      <c r="G481" s="51"/>
      <c r="H481" s="51"/>
      <c r="I481" s="51"/>
      <c r="J481" s="49"/>
      <c r="K481" s="51"/>
      <c r="L481" s="51"/>
      <c r="M481" s="52"/>
      <c r="N481" s="51"/>
      <c r="O481" s="51"/>
      <c r="P481" s="25"/>
    </row>
    <row r="482">
      <c r="A482" s="25"/>
      <c r="B482" s="49"/>
      <c r="C482" s="50"/>
      <c r="D482" s="50"/>
      <c r="E482" s="50"/>
      <c r="F482" s="51"/>
      <c r="G482" s="51"/>
      <c r="H482" s="51"/>
      <c r="I482" s="51"/>
      <c r="J482" s="49"/>
      <c r="K482" s="51"/>
      <c r="L482" s="51"/>
      <c r="M482" s="52"/>
      <c r="N482" s="51"/>
      <c r="O482" s="51"/>
      <c r="P482" s="25"/>
    </row>
    <row r="483">
      <c r="A483" s="25"/>
      <c r="B483" s="49"/>
      <c r="C483" s="50"/>
      <c r="D483" s="50"/>
      <c r="E483" s="50"/>
      <c r="F483" s="51"/>
      <c r="G483" s="51"/>
      <c r="H483" s="51"/>
      <c r="I483" s="51"/>
      <c r="J483" s="49"/>
      <c r="K483" s="51"/>
      <c r="L483" s="51"/>
      <c r="M483" s="52"/>
      <c r="N483" s="51"/>
      <c r="O483" s="51"/>
      <c r="P483" s="25"/>
    </row>
    <row r="484">
      <c r="A484" s="25"/>
      <c r="B484" s="49"/>
      <c r="C484" s="50"/>
      <c r="D484" s="50"/>
      <c r="E484" s="50"/>
      <c r="F484" s="51"/>
      <c r="G484" s="51"/>
      <c r="H484" s="51"/>
      <c r="I484" s="51"/>
      <c r="J484" s="49"/>
      <c r="K484" s="51"/>
      <c r="L484" s="51"/>
      <c r="M484" s="52"/>
      <c r="N484" s="51"/>
      <c r="O484" s="51"/>
      <c r="P484" s="25"/>
    </row>
    <row r="485">
      <c r="A485" s="25"/>
      <c r="B485" s="49"/>
      <c r="C485" s="50"/>
      <c r="D485" s="50"/>
      <c r="E485" s="50"/>
      <c r="F485" s="51"/>
      <c r="G485" s="51"/>
      <c r="H485" s="51"/>
      <c r="I485" s="51"/>
      <c r="J485" s="49"/>
      <c r="K485" s="51"/>
      <c r="L485" s="51"/>
      <c r="M485" s="52"/>
      <c r="N485" s="51"/>
      <c r="O485" s="51"/>
      <c r="P485" s="25"/>
    </row>
    <row r="486">
      <c r="A486" s="25"/>
      <c r="B486" s="49"/>
      <c r="C486" s="50"/>
      <c r="D486" s="50"/>
      <c r="E486" s="50"/>
      <c r="F486" s="51"/>
      <c r="G486" s="51"/>
      <c r="H486" s="51"/>
      <c r="I486" s="51"/>
      <c r="J486" s="49"/>
      <c r="K486" s="51"/>
      <c r="L486" s="51"/>
      <c r="M486" s="52"/>
      <c r="N486" s="51"/>
      <c r="O486" s="51"/>
      <c r="P486" s="25"/>
    </row>
    <row r="487">
      <c r="A487" s="25"/>
      <c r="B487" s="49"/>
      <c r="C487" s="50"/>
      <c r="D487" s="50"/>
      <c r="E487" s="50"/>
      <c r="F487" s="51"/>
      <c r="G487" s="51"/>
      <c r="H487" s="51"/>
      <c r="I487" s="51"/>
      <c r="J487" s="49"/>
      <c r="K487" s="51"/>
      <c r="L487" s="51"/>
      <c r="M487" s="52"/>
      <c r="N487" s="51"/>
      <c r="O487" s="51"/>
      <c r="P487" s="25"/>
    </row>
    <row r="488">
      <c r="A488" s="25"/>
      <c r="B488" s="49"/>
      <c r="C488" s="50"/>
      <c r="D488" s="50"/>
      <c r="E488" s="50"/>
      <c r="F488" s="51"/>
      <c r="G488" s="51"/>
      <c r="H488" s="51"/>
      <c r="I488" s="51"/>
      <c r="J488" s="49"/>
      <c r="K488" s="51"/>
      <c r="L488" s="51"/>
      <c r="M488" s="52"/>
      <c r="N488" s="51"/>
      <c r="O488" s="51"/>
      <c r="P488" s="25"/>
    </row>
    <row r="489">
      <c r="A489" s="25"/>
      <c r="B489" s="49"/>
      <c r="C489" s="50"/>
      <c r="D489" s="50"/>
      <c r="E489" s="50"/>
      <c r="F489" s="51"/>
      <c r="G489" s="51"/>
      <c r="H489" s="51"/>
      <c r="I489" s="51"/>
      <c r="J489" s="49"/>
      <c r="K489" s="51"/>
      <c r="L489" s="51"/>
      <c r="M489" s="52"/>
      <c r="N489" s="51"/>
      <c r="O489" s="51"/>
      <c r="P489" s="25"/>
    </row>
    <row r="490">
      <c r="A490" s="25"/>
      <c r="B490" s="49"/>
      <c r="C490" s="50"/>
      <c r="D490" s="50"/>
      <c r="E490" s="50"/>
      <c r="F490" s="51"/>
      <c r="G490" s="51"/>
      <c r="H490" s="51"/>
      <c r="I490" s="51"/>
      <c r="J490" s="49"/>
      <c r="K490" s="51"/>
      <c r="L490" s="51"/>
      <c r="M490" s="52"/>
      <c r="N490" s="51"/>
      <c r="O490" s="51"/>
      <c r="P490" s="25"/>
    </row>
    <row r="491">
      <c r="A491" s="25"/>
      <c r="B491" s="49"/>
      <c r="C491" s="50"/>
      <c r="D491" s="50"/>
      <c r="E491" s="50"/>
      <c r="F491" s="51"/>
      <c r="G491" s="51"/>
      <c r="H491" s="51"/>
      <c r="I491" s="51"/>
      <c r="J491" s="49"/>
      <c r="K491" s="51"/>
      <c r="L491" s="51"/>
      <c r="M491" s="52"/>
      <c r="N491" s="51"/>
      <c r="O491" s="51"/>
      <c r="P491" s="25"/>
    </row>
    <row r="492">
      <c r="A492" s="25"/>
      <c r="B492" s="49"/>
      <c r="C492" s="50"/>
      <c r="D492" s="50"/>
      <c r="E492" s="50"/>
      <c r="F492" s="51"/>
      <c r="G492" s="51"/>
      <c r="H492" s="51"/>
      <c r="I492" s="51"/>
      <c r="J492" s="49"/>
      <c r="K492" s="51"/>
      <c r="L492" s="51"/>
      <c r="M492" s="52"/>
      <c r="N492" s="51"/>
      <c r="O492" s="51"/>
      <c r="P492" s="25"/>
    </row>
    <row r="493">
      <c r="A493" s="25"/>
      <c r="B493" s="49"/>
      <c r="C493" s="50"/>
      <c r="D493" s="50"/>
      <c r="E493" s="50"/>
      <c r="F493" s="51"/>
      <c r="G493" s="51"/>
      <c r="H493" s="51"/>
      <c r="I493" s="51"/>
      <c r="J493" s="49"/>
      <c r="K493" s="51"/>
      <c r="L493" s="51"/>
      <c r="M493" s="52"/>
      <c r="N493" s="51"/>
      <c r="O493" s="51"/>
      <c r="P493" s="25"/>
    </row>
    <row r="494">
      <c r="A494" s="25"/>
      <c r="B494" s="49"/>
      <c r="C494" s="50"/>
      <c r="D494" s="50"/>
      <c r="E494" s="50"/>
      <c r="F494" s="51"/>
      <c r="G494" s="51"/>
      <c r="H494" s="51"/>
      <c r="I494" s="51"/>
      <c r="J494" s="49"/>
      <c r="K494" s="51"/>
      <c r="L494" s="51"/>
      <c r="M494" s="52"/>
      <c r="N494" s="51"/>
      <c r="O494" s="51"/>
      <c r="P494" s="25"/>
    </row>
    <row r="495">
      <c r="A495" s="25"/>
      <c r="B495" s="49"/>
      <c r="C495" s="50"/>
      <c r="D495" s="50"/>
      <c r="E495" s="50"/>
      <c r="F495" s="51"/>
      <c r="G495" s="51"/>
      <c r="H495" s="51"/>
      <c r="I495" s="51"/>
      <c r="J495" s="49"/>
      <c r="K495" s="51"/>
      <c r="L495" s="51"/>
      <c r="M495" s="52"/>
      <c r="N495" s="51"/>
      <c r="O495" s="51"/>
      <c r="P495" s="25"/>
    </row>
    <row r="496">
      <c r="A496" s="25"/>
      <c r="B496" s="49"/>
      <c r="C496" s="50"/>
      <c r="D496" s="50"/>
      <c r="E496" s="50"/>
      <c r="F496" s="51"/>
      <c r="G496" s="51"/>
      <c r="H496" s="51"/>
      <c r="I496" s="51"/>
      <c r="J496" s="49"/>
      <c r="K496" s="51"/>
      <c r="L496" s="51"/>
      <c r="M496" s="52"/>
      <c r="N496" s="51"/>
      <c r="O496" s="51"/>
      <c r="P496" s="25"/>
    </row>
    <row r="497">
      <c r="A497" s="25"/>
      <c r="B497" s="49"/>
      <c r="C497" s="50"/>
      <c r="D497" s="50"/>
      <c r="E497" s="50"/>
      <c r="F497" s="51"/>
      <c r="G497" s="51"/>
      <c r="H497" s="51"/>
      <c r="I497" s="51"/>
      <c r="J497" s="49"/>
      <c r="K497" s="51"/>
      <c r="L497" s="51"/>
      <c r="M497" s="52"/>
      <c r="N497" s="51"/>
      <c r="O497" s="51"/>
      <c r="P497" s="25"/>
    </row>
    <row r="498">
      <c r="A498" s="25"/>
      <c r="B498" s="49"/>
      <c r="C498" s="50"/>
      <c r="D498" s="50"/>
      <c r="E498" s="50"/>
      <c r="F498" s="51"/>
      <c r="G498" s="51"/>
      <c r="H498" s="51"/>
      <c r="I498" s="51"/>
      <c r="J498" s="49"/>
      <c r="K498" s="51"/>
      <c r="L498" s="51"/>
      <c r="M498" s="52"/>
      <c r="N498" s="51"/>
      <c r="O498" s="51"/>
      <c r="P498" s="25"/>
    </row>
    <row r="499">
      <c r="A499" s="25"/>
      <c r="B499" s="49"/>
      <c r="C499" s="50"/>
      <c r="D499" s="50"/>
      <c r="E499" s="50"/>
      <c r="F499" s="51"/>
      <c r="G499" s="51"/>
      <c r="H499" s="51"/>
      <c r="I499" s="51"/>
      <c r="J499" s="49"/>
      <c r="K499" s="51"/>
      <c r="L499" s="51"/>
      <c r="M499" s="52"/>
      <c r="N499" s="51"/>
      <c r="O499" s="51"/>
      <c r="P499" s="25"/>
    </row>
    <row r="500">
      <c r="A500" s="25"/>
      <c r="B500" s="49"/>
      <c r="C500" s="50"/>
      <c r="D500" s="50"/>
      <c r="E500" s="50"/>
      <c r="F500" s="51"/>
      <c r="G500" s="51"/>
      <c r="H500" s="51"/>
      <c r="I500" s="51"/>
      <c r="J500" s="49"/>
      <c r="K500" s="51"/>
      <c r="L500" s="51"/>
      <c r="M500" s="52"/>
      <c r="N500" s="51"/>
      <c r="O500" s="51"/>
      <c r="P500" s="25"/>
    </row>
    <row r="501">
      <c r="A501" s="25"/>
      <c r="B501" s="49"/>
      <c r="C501" s="50"/>
      <c r="D501" s="50"/>
      <c r="E501" s="50"/>
      <c r="F501" s="51"/>
      <c r="G501" s="51"/>
      <c r="H501" s="51"/>
      <c r="I501" s="51"/>
      <c r="J501" s="49"/>
      <c r="K501" s="51"/>
      <c r="L501" s="51"/>
      <c r="M501" s="52"/>
      <c r="N501" s="51"/>
      <c r="O501" s="51"/>
      <c r="P501" s="25"/>
    </row>
    <row r="502">
      <c r="A502" s="25"/>
      <c r="B502" s="49"/>
      <c r="C502" s="50"/>
      <c r="D502" s="50"/>
      <c r="E502" s="50"/>
      <c r="F502" s="51"/>
      <c r="G502" s="51"/>
      <c r="H502" s="51"/>
      <c r="I502" s="51"/>
      <c r="J502" s="49"/>
      <c r="K502" s="51"/>
      <c r="L502" s="51"/>
      <c r="M502" s="52"/>
      <c r="N502" s="51"/>
      <c r="O502" s="51"/>
      <c r="P502" s="25"/>
    </row>
    <row r="503">
      <c r="A503" s="25"/>
      <c r="B503" s="49"/>
      <c r="C503" s="50"/>
      <c r="D503" s="50"/>
      <c r="E503" s="50"/>
      <c r="F503" s="51"/>
      <c r="G503" s="51"/>
      <c r="H503" s="51"/>
      <c r="I503" s="51"/>
      <c r="J503" s="49"/>
      <c r="K503" s="51"/>
      <c r="L503" s="51"/>
      <c r="M503" s="52"/>
      <c r="N503" s="51"/>
      <c r="O503" s="51"/>
      <c r="P503" s="25"/>
    </row>
    <row r="504">
      <c r="A504" s="25"/>
      <c r="B504" s="49"/>
      <c r="C504" s="50"/>
      <c r="D504" s="50"/>
      <c r="E504" s="50"/>
      <c r="F504" s="51"/>
      <c r="G504" s="51"/>
      <c r="H504" s="51"/>
      <c r="I504" s="51"/>
      <c r="J504" s="49"/>
      <c r="K504" s="51"/>
      <c r="L504" s="51"/>
      <c r="M504" s="52"/>
      <c r="N504" s="51"/>
      <c r="O504" s="51"/>
      <c r="P504" s="25"/>
    </row>
    <row r="505">
      <c r="A505" s="25"/>
      <c r="B505" s="49"/>
      <c r="C505" s="50"/>
      <c r="D505" s="50"/>
      <c r="E505" s="50"/>
      <c r="F505" s="51"/>
      <c r="G505" s="51"/>
      <c r="H505" s="51"/>
      <c r="I505" s="51"/>
      <c r="J505" s="49"/>
      <c r="K505" s="51"/>
      <c r="L505" s="51"/>
      <c r="M505" s="52"/>
      <c r="N505" s="51"/>
      <c r="O505" s="51"/>
      <c r="P505" s="25"/>
    </row>
    <row r="506">
      <c r="A506" s="25"/>
      <c r="B506" s="49"/>
      <c r="C506" s="50"/>
      <c r="D506" s="50"/>
      <c r="E506" s="50"/>
      <c r="F506" s="51"/>
      <c r="G506" s="51"/>
      <c r="H506" s="51"/>
      <c r="I506" s="51"/>
      <c r="J506" s="49"/>
      <c r="K506" s="51"/>
      <c r="L506" s="51"/>
      <c r="M506" s="52"/>
      <c r="N506" s="51"/>
      <c r="O506" s="51"/>
      <c r="P506" s="25"/>
    </row>
    <row r="507">
      <c r="A507" s="25"/>
      <c r="B507" s="49"/>
      <c r="C507" s="50"/>
      <c r="D507" s="50"/>
      <c r="E507" s="50"/>
      <c r="F507" s="51"/>
      <c r="G507" s="51"/>
      <c r="H507" s="51"/>
      <c r="I507" s="51"/>
      <c r="J507" s="49"/>
      <c r="K507" s="51"/>
      <c r="L507" s="51"/>
      <c r="M507" s="52"/>
      <c r="N507" s="51"/>
      <c r="O507" s="51"/>
      <c r="P507" s="25"/>
    </row>
    <row r="508">
      <c r="A508" s="25"/>
      <c r="B508" s="49"/>
      <c r="C508" s="50"/>
      <c r="D508" s="50"/>
      <c r="E508" s="50"/>
      <c r="F508" s="51"/>
      <c r="G508" s="51"/>
      <c r="H508" s="51"/>
      <c r="I508" s="51"/>
      <c r="J508" s="49"/>
      <c r="K508" s="51"/>
      <c r="L508" s="51"/>
      <c r="M508" s="52"/>
      <c r="N508" s="51"/>
      <c r="O508" s="51"/>
      <c r="P508" s="25"/>
    </row>
    <row r="509">
      <c r="A509" s="25"/>
      <c r="B509" s="49"/>
      <c r="C509" s="50"/>
      <c r="D509" s="50"/>
      <c r="E509" s="50"/>
      <c r="F509" s="51"/>
      <c r="G509" s="51"/>
      <c r="H509" s="51"/>
      <c r="I509" s="51"/>
      <c r="J509" s="49"/>
      <c r="K509" s="51"/>
      <c r="L509" s="51"/>
      <c r="M509" s="52"/>
      <c r="N509" s="51"/>
      <c r="O509" s="51"/>
      <c r="P509" s="25"/>
    </row>
    <row r="510">
      <c r="A510" s="25"/>
      <c r="B510" s="49"/>
      <c r="C510" s="50"/>
      <c r="D510" s="50"/>
      <c r="E510" s="50"/>
      <c r="F510" s="51"/>
      <c r="G510" s="51"/>
      <c r="H510" s="51"/>
      <c r="I510" s="51"/>
      <c r="J510" s="49"/>
      <c r="K510" s="51"/>
      <c r="L510" s="51"/>
      <c r="M510" s="52"/>
      <c r="N510" s="51"/>
      <c r="O510" s="51"/>
      <c r="P510" s="25"/>
    </row>
    <row r="511">
      <c r="A511" s="25"/>
      <c r="B511" s="49"/>
      <c r="C511" s="50"/>
      <c r="D511" s="50"/>
      <c r="E511" s="50"/>
      <c r="F511" s="51"/>
      <c r="G511" s="51"/>
      <c r="H511" s="51"/>
      <c r="I511" s="51"/>
      <c r="J511" s="49"/>
      <c r="K511" s="51"/>
      <c r="L511" s="51"/>
      <c r="M511" s="52"/>
      <c r="N511" s="51"/>
      <c r="O511" s="51"/>
      <c r="P511" s="25"/>
    </row>
    <row r="512">
      <c r="A512" s="25"/>
      <c r="B512" s="49"/>
      <c r="C512" s="50"/>
      <c r="D512" s="50"/>
      <c r="E512" s="50"/>
      <c r="F512" s="51"/>
      <c r="G512" s="51"/>
      <c r="H512" s="51"/>
      <c r="I512" s="51"/>
      <c r="J512" s="49"/>
      <c r="K512" s="51"/>
      <c r="L512" s="51"/>
      <c r="M512" s="52"/>
      <c r="N512" s="51"/>
      <c r="O512" s="51"/>
      <c r="P512" s="25"/>
    </row>
    <row r="513">
      <c r="A513" s="25"/>
      <c r="B513" s="49"/>
      <c r="C513" s="50"/>
      <c r="D513" s="50"/>
      <c r="E513" s="50"/>
      <c r="F513" s="51"/>
      <c r="G513" s="51"/>
      <c r="H513" s="51"/>
      <c r="I513" s="51"/>
      <c r="J513" s="49"/>
      <c r="K513" s="51"/>
      <c r="L513" s="51"/>
      <c r="M513" s="52"/>
      <c r="N513" s="51"/>
      <c r="O513" s="51"/>
      <c r="P513" s="25"/>
    </row>
    <row r="514">
      <c r="A514" s="25"/>
      <c r="B514" s="49"/>
      <c r="C514" s="50"/>
      <c r="D514" s="50"/>
      <c r="E514" s="50"/>
      <c r="F514" s="51"/>
      <c r="G514" s="51"/>
      <c r="H514" s="51"/>
      <c r="I514" s="51"/>
      <c r="J514" s="49"/>
      <c r="K514" s="51"/>
      <c r="L514" s="51"/>
      <c r="M514" s="52"/>
      <c r="N514" s="51"/>
      <c r="O514" s="51"/>
      <c r="P514" s="25"/>
    </row>
    <row r="515">
      <c r="A515" s="25"/>
      <c r="B515" s="49"/>
      <c r="C515" s="50"/>
      <c r="D515" s="50"/>
      <c r="E515" s="50"/>
      <c r="F515" s="51"/>
      <c r="G515" s="51"/>
      <c r="H515" s="51"/>
      <c r="I515" s="51"/>
      <c r="J515" s="49"/>
      <c r="K515" s="51"/>
      <c r="L515" s="51"/>
      <c r="M515" s="52"/>
      <c r="N515" s="51"/>
      <c r="O515" s="51"/>
      <c r="P515" s="25"/>
    </row>
    <row r="516">
      <c r="A516" s="25"/>
      <c r="B516" s="49"/>
      <c r="C516" s="50"/>
      <c r="D516" s="50"/>
      <c r="E516" s="50"/>
      <c r="F516" s="51"/>
      <c r="G516" s="51"/>
      <c r="H516" s="51"/>
      <c r="I516" s="51"/>
      <c r="J516" s="49"/>
      <c r="K516" s="51"/>
      <c r="L516" s="51"/>
      <c r="M516" s="52"/>
      <c r="N516" s="51"/>
      <c r="O516" s="51"/>
      <c r="P516" s="25"/>
    </row>
    <row r="517">
      <c r="A517" s="25"/>
      <c r="B517" s="49"/>
      <c r="C517" s="50"/>
      <c r="D517" s="50"/>
      <c r="E517" s="50"/>
      <c r="F517" s="51"/>
      <c r="G517" s="51"/>
      <c r="H517" s="51"/>
      <c r="I517" s="51"/>
      <c r="J517" s="49"/>
      <c r="K517" s="51"/>
      <c r="L517" s="51"/>
      <c r="M517" s="52"/>
      <c r="N517" s="51"/>
      <c r="O517" s="51"/>
      <c r="P517" s="25"/>
    </row>
    <row r="518">
      <c r="A518" s="25"/>
      <c r="B518" s="49"/>
      <c r="C518" s="50"/>
      <c r="D518" s="50"/>
      <c r="E518" s="50"/>
      <c r="F518" s="51"/>
      <c r="G518" s="51"/>
      <c r="H518" s="51"/>
      <c r="I518" s="51"/>
      <c r="J518" s="49"/>
      <c r="K518" s="51"/>
      <c r="L518" s="51"/>
      <c r="M518" s="52"/>
      <c r="N518" s="51"/>
      <c r="O518" s="51"/>
      <c r="P518" s="25"/>
    </row>
    <row r="519">
      <c r="A519" s="25"/>
      <c r="B519" s="49"/>
      <c r="C519" s="50"/>
      <c r="D519" s="50"/>
      <c r="E519" s="50"/>
      <c r="F519" s="51"/>
      <c r="G519" s="51"/>
      <c r="H519" s="51"/>
      <c r="I519" s="51"/>
      <c r="J519" s="49"/>
      <c r="K519" s="51"/>
      <c r="L519" s="51"/>
      <c r="M519" s="52"/>
      <c r="N519" s="51"/>
      <c r="O519" s="51"/>
      <c r="P519" s="25"/>
    </row>
    <row r="520">
      <c r="A520" s="25"/>
      <c r="B520" s="49"/>
      <c r="C520" s="50"/>
      <c r="D520" s="50"/>
      <c r="E520" s="50"/>
      <c r="F520" s="51"/>
      <c r="G520" s="51"/>
      <c r="H520" s="51"/>
      <c r="I520" s="51"/>
      <c r="J520" s="49"/>
      <c r="K520" s="51"/>
      <c r="L520" s="51"/>
      <c r="M520" s="52"/>
      <c r="N520" s="51"/>
      <c r="O520" s="51"/>
      <c r="P520" s="25"/>
    </row>
    <row r="521">
      <c r="A521" s="25"/>
      <c r="B521" s="49"/>
      <c r="C521" s="50"/>
      <c r="D521" s="50"/>
      <c r="E521" s="50"/>
      <c r="F521" s="51"/>
      <c r="G521" s="51"/>
      <c r="H521" s="51"/>
      <c r="I521" s="51"/>
      <c r="J521" s="49"/>
      <c r="K521" s="51"/>
      <c r="L521" s="51"/>
      <c r="M521" s="52"/>
      <c r="N521" s="51"/>
      <c r="O521" s="51"/>
      <c r="P521" s="25"/>
    </row>
    <row r="522">
      <c r="A522" s="25"/>
      <c r="B522" s="49"/>
      <c r="C522" s="50"/>
      <c r="D522" s="50"/>
      <c r="E522" s="50"/>
      <c r="F522" s="51"/>
      <c r="G522" s="51"/>
      <c r="H522" s="51"/>
      <c r="I522" s="51"/>
      <c r="J522" s="49"/>
      <c r="K522" s="51"/>
      <c r="L522" s="51"/>
      <c r="M522" s="52"/>
      <c r="N522" s="51"/>
      <c r="O522" s="51"/>
      <c r="P522" s="25"/>
    </row>
    <row r="523">
      <c r="A523" s="25"/>
      <c r="B523" s="49"/>
      <c r="C523" s="50"/>
      <c r="D523" s="50"/>
      <c r="E523" s="50"/>
      <c r="F523" s="51"/>
      <c r="G523" s="51"/>
      <c r="H523" s="51"/>
      <c r="I523" s="51"/>
      <c r="J523" s="49"/>
      <c r="K523" s="51"/>
      <c r="L523" s="51"/>
      <c r="M523" s="52"/>
      <c r="N523" s="51"/>
      <c r="O523" s="51"/>
      <c r="P523" s="25"/>
    </row>
    <row r="524">
      <c r="A524" s="25"/>
      <c r="B524" s="49"/>
      <c r="C524" s="50"/>
      <c r="D524" s="50"/>
      <c r="E524" s="50"/>
      <c r="F524" s="51"/>
      <c r="G524" s="51"/>
      <c r="H524" s="51"/>
      <c r="I524" s="51"/>
      <c r="J524" s="49"/>
      <c r="K524" s="51"/>
      <c r="L524" s="51"/>
      <c r="M524" s="52"/>
      <c r="N524" s="51"/>
      <c r="O524" s="51"/>
      <c r="P524" s="25"/>
    </row>
    <row r="525">
      <c r="A525" s="25"/>
      <c r="B525" s="49"/>
      <c r="C525" s="50"/>
      <c r="D525" s="50"/>
      <c r="E525" s="50"/>
      <c r="F525" s="51"/>
      <c r="G525" s="51"/>
      <c r="H525" s="51"/>
      <c r="I525" s="51"/>
      <c r="J525" s="49"/>
      <c r="K525" s="51"/>
      <c r="L525" s="51"/>
      <c r="M525" s="52"/>
      <c r="N525" s="51"/>
      <c r="O525" s="51"/>
      <c r="P525" s="25"/>
    </row>
    <row r="526">
      <c r="A526" s="25"/>
      <c r="B526" s="49"/>
      <c r="C526" s="50"/>
      <c r="D526" s="50"/>
      <c r="E526" s="50"/>
      <c r="F526" s="51"/>
      <c r="G526" s="51"/>
      <c r="H526" s="51"/>
      <c r="I526" s="51"/>
      <c r="J526" s="49"/>
      <c r="K526" s="51"/>
      <c r="L526" s="51"/>
      <c r="M526" s="52"/>
      <c r="N526" s="51"/>
      <c r="O526" s="51"/>
      <c r="P526" s="25"/>
    </row>
    <row r="527">
      <c r="A527" s="25"/>
      <c r="B527" s="49"/>
      <c r="C527" s="50"/>
      <c r="D527" s="50"/>
      <c r="E527" s="50"/>
      <c r="F527" s="51"/>
      <c r="G527" s="51"/>
      <c r="H527" s="51"/>
      <c r="I527" s="51"/>
      <c r="J527" s="49"/>
      <c r="K527" s="51"/>
      <c r="L527" s="51"/>
      <c r="M527" s="52"/>
      <c r="N527" s="51"/>
      <c r="O527" s="51"/>
      <c r="P527" s="25"/>
    </row>
    <row r="528">
      <c r="A528" s="25"/>
      <c r="B528" s="49"/>
      <c r="C528" s="50"/>
      <c r="D528" s="50"/>
      <c r="E528" s="50"/>
      <c r="F528" s="51"/>
      <c r="G528" s="51"/>
      <c r="H528" s="51"/>
      <c r="I528" s="51"/>
      <c r="J528" s="49"/>
      <c r="K528" s="51"/>
      <c r="L528" s="51"/>
      <c r="M528" s="52"/>
      <c r="N528" s="51"/>
      <c r="O528" s="51"/>
      <c r="P528" s="25"/>
    </row>
    <row r="529">
      <c r="A529" s="25"/>
      <c r="B529" s="49"/>
      <c r="C529" s="50"/>
      <c r="D529" s="50"/>
      <c r="E529" s="50"/>
      <c r="F529" s="51"/>
      <c r="G529" s="51"/>
      <c r="H529" s="51"/>
      <c r="I529" s="51"/>
      <c r="J529" s="49"/>
      <c r="K529" s="51"/>
      <c r="L529" s="51"/>
      <c r="M529" s="52"/>
      <c r="N529" s="51"/>
      <c r="O529" s="51"/>
      <c r="P529" s="25"/>
    </row>
    <row r="530">
      <c r="A530" s="25"/>
      <c r="B530" s="49"/>
      <c r="C530" s="50"/>
      <c r="D530" s="50"/>
      <c r="E530" s="50"/>
      <c r="F530" s="51"/>
      <c r="G530" s="51"/>
      <c r="H530" s="51"/>
      <c r="I530" s="51"/>
      <c r="J530" s="49"/>
      <c r="K530" s="51"/>
      <c r="L530" s="51"/>
      <c r="M530" s="52"/>
      <c r="N530" s="51"/>
      <c r="O530" s="51"/>
      <c r="P530" s="25"/>
    </row>
    <row r="531">
      <c r="A531" s="25"/>
      <c r="B531" s="49"/>
      <c r="C531" s="50"/>
      <c r="D531" s="50"/>
      <c r="E531" s="50"/>
      <c r="F531" s="51"/>
      <c r="G531" s="51"/>
      <c r="H531" s="51"/>
      <c r="I531" s="51"/>
      <c r="J531" s="49"/>
      <c r="K531" s="51"/>
      <c r="L531" s="51"/>
      <c r="M531" s="52"/>
      <c r="N531" s="51"/>
      <c r="O531" s="51"/>
      <c r="P531" s="25"/>
    </row>
    <row r="532">
      <c r="A532" s="25"/>
      <c r="B532" s="49"/>
      <c r="C532" s="50"/>
      <c r="D532" s="50"/>
      <c r="E532" s="50"/>
      <c r="F532" s="51"/>
      <c r="G532" s="51"/>
      <c r="H532" s="51"/>
      <c r="I532" s="51"/>
      <c r="J532" s="49"/>
      <c r="K532" s="51"/>
      <c r="L532" s="51"/>
      <c r="M532" s="52"/>
      <c r="N532" s="51"/>
      <c r="O532" s="51"/>
      <c r="P532" s="25"/>
    </row>
    <row r="533">
      <c r="A533" s="25"/>
      <c r="B533" s="49"/>
      <c r="C533" s="50"/>
      <c r="D533" s="50"/>
      <c r="E533" s="50"/>
      <c r="F533" s="51"/>
      <c r="G533" s="51"/>
      <c r="H533" s="51"/>
      <c r="I533" s="51"/>
      <c r="J533" s="49"/>
      <c r="K533" s="51"/>
      <c r="L533" s="51"/>
      <c r="M533" s="52"/>
      <c r="N533" s="51"/>
      <c r="O533" s="51"/>
      <c r="P533" s="25"/>
    </row>
    <row r="534">
      <c r="A534" s="25"/>
      <c r="B534" s="49"/>
      <c r="C534" s="50"/>
      <c r="D534" s="50"/>
      <c r="E534" s="50"/>
      <c r="F534" s="51"/>
      <c r="G534" s="51"/>
      <c r="H534" s="51"/>
      <c r="I534" s="51"/>
      <c r="J534" s="49"/>
      <c r="K534" s="51"/>
      <c r="L534" s="51"/>
      <c r="M534" s="52"/>
      <c r="N534" s="51"/>
      <c r="O534" s="51"/>
      <c r="P534" s="25"/>
    </row>
    <row r="535">
      <c r="A535" s="25"/>
      <c r="B535" s="49"/>
      <c r="C535" s="50"/>
      <c r="D535" s="50"/>
      <c r="E535" s="50"/>
      <c r="F535" s="51"/>
      <c r="G535" s="51"/>
      <c r="H535" s="51"/>
      <c r="I535" s="51"/>
      <c r="J535" s="49"/>
      <c r="K535" s="51"/>
      <c r="L535" s="51"/>
      <c r="M535" s="52"/>
      <c r="N535" s="51"/>
      <c r="O535" s="51"/>
      <c r="P535" s="25"/>
    </row>
    <row r="536">
      <c r="A536" s="25"/>
      <c r="B536" s="49"/>
      <c r="C536" s="50"/>
      <c r="D536" s="50"/>
      <c r="E536" s="50"/>
      <c r="F536" s="51"/>
      <c r="G536" s="51"/>
      <c r="H536" s="51"/>
      <c r="I536" s="51"/>
      <c r="J536" s="49"/>
      <c r="K536" s="51"/>
      <c r="L536" s="51"/>
      <c r="M536" s="52"/>
      <c r="N536" s="51"/>
      <c r="O536" s="51"/>
      <c r="P536" s="25"/>
    </row>
    <row r="537">
      <c r="A537" s="25"/>
      <c r="B537" s="49"/>
      <c r="C537" s="50"/>
      <c r="D537" s="50"/>
      <c r="E537" s="50"/>
      <c r="F537" s="51"/>
      <c r="G537" s="51"/>
      <c r="H537" s="51"/>
      <c r="I537" s="51"/>
      <c r="J537" s="49"/>
      <c r="K537" s="51"/>
      <c r="L537" s="51"/>
      <c r="M537" s="52"/>
      <c r="N537" s="51"/>
      <c r="O537" s="51"/>
      <c r="P537" s="25"/>
    </row>
    <row r="538">
      <c r="A538" s="25"/>
      <c r="B538" s="49"/>
      <c r="C538" s="50"/>
      <c r="D538" s="50"/>
      <c r="E538" s="50"/>
      <c r="F538" s="51"/>
      <c r="G538" s="51"/>
      <c r="H538" s="51"/>
      <c r="I538" s="51"/>
      <c r="J538" s="49"/>
      <c r="K538" s="51"/>
      <c r="L538" s="51"/>
      <c r="M538" s="52"/>
      <c r="N538" s="51"/>
      <c r="O538" s="51"/>
      <c r="P538" s="25"/>
    </row>
    <row r="539">
      <c r="A539" s="25"/>
      <c r="B539" s="49"/>
      <c r="C539" s="50"/>
      <c r="D539" s="50"/>
      <c r="E539" s="50"/>
      <c r="F539" s="51"/>
      <c r="G539" s="51"/>
      <c r="H539" s="51"/>
      <c r="I539" s="51"/>
      <c r="J539" s="49"/>
      <c r="K539" s="51"/>
      <c r="L539" s="51"/>
      <c r="M539" s="52"/>
      <c r="N539" s="51"/>
      <c r="O539" s="51"/>
      <c r="P539" s="25"/>
    </row>
    <row r="540">
      <c r="A540" s="25"/>
      <c r="B540" s="49"/>
      <c r="C540" s="50"/>
      <c r="D540" s="50"/>
      <c r="E540" s="50"/>
      <c r="F540" s="51"/>
      <c r="G540" s="51"/>
      <c r="H540" s="51"/>
      <c r="I540" s="51"/>
      <c r="J540" s="49"/>
      <c r="K540" s="51"/>
      <c r="L540" s="51"/>
      <c r="M540" s="52"/>
      <c r="N540" s="51"/>
      <c r="O540" s="51"/>
      <c r="P540" s="25"/>
    </row>
    <row r="541">
      <c r="A541" s="25"/>
      <c r="B541" s="49"/>
      <c r="C541" s="50"/>
      <c r="D541" s="50"/>
      <c r="E541" s="50"/>
      <c r="F541" s="51"/>
      <c r="G541" s="51"/>
      <c r="H541" s="51"/>
      <c r="I541" s="51"/>
      <c r="J541" s="49"/>
      <c r="K541" s="51"/>
      <c r="L541" s="51"/>
      <c r="M541" s="52"/>
      <c r="N541" s="51"/>
      <c r="O541" s="51"/>
      <c r="P541" s="25"/>
    </row>
    <row r="542">
      <c r="A542" s="25"/>
      <c r="B542" s="49"/>
      <c r="C542" s="50"/>
      <c r="D542" s="50"/>
      <c r="E542" s="50"/>
      <c r="F542" s="51"/>
      <c r="G542" s="51"/>
      <c r="H542" s="51"/>
      <c r="I542" s="51"/>
      <c r="J542" s="49"/>
      <c r="K542" s="51"/>
      <c r="L542" s="51"/>
      <c r="M542" s="52"/>
      <c r="N542" s="51"/>
      <c r="O542" s="51"/>
      <c r="P542" s="25"/>
    </row>
    <row r="543">
      <c r="A543" s="25"/>
      <c r="B543" s="49"/>
      <c r="C543" s="50"/>
      <c r="D543" s="50"/>
      <c r="E543" s="50"/>
      <c r="F543" s="51"/>
      <c r="G543" s="51"/>
      <c r="H543" s="51"/>
      <c r="I543" s="51"/>
      <c r="J543" s="49"/>
      <c r="K543" s="51"/>
      <c r="L543" s="51"/>
      <c r="M543" s="52"/>
      <c r="N543" s="51"/>
      <c r="O543" s="51"/>
      <c r="P543" s="25"/>
    </row>
    <row r="544">
      <c r="A544" s="25"/>
      <c r="B544" s="49"/>
      <c r="C544" s="50"/>
      <c r="D544" s="50"/>
      <c r="E544" s="50"/>
      <c r="F544" s="51"/>
      <c r="G544" s="51"/>
      <c r="H544" s="51"/>
      <c r="I544" s="51"/>
      <c r="J544" s="49"/>
      <c r="K544" s="51"/>
      <c r="L544" s="51"/>
      <c r="M544" s="52"/>
      <c r="N544" s="51"/>
      <c r="O544" s="51"/>
      <c r="P544" s="25"/>
    </row>
    <row r="545">
      <c r="A545" s="25"/>
      <c r="B545" s="49"/>
      <c r="C545" s="50"/>
      <c r="D545" s="50"/>
      <c r="E545" s="50"/>
      <c r="F545" s="51"/>
      <c r="G545" s="51"/>
      <c r="H545" s="51"/>
      <c r="I545" s="51"/>
      <c r="J545" s="49"/>
      <c r="K545" s="51"/>
      <c r="L545" s="51"/>
      <c r="M545" s="52"/>
      <c r="N545" s="51"/>
      <c r="O545" s="51"/>
      <c r="P545" s="25"/>
    </row>
    <row r="546">
      <c r="A546" s="25"/>
      <c r="B546" s="49"/>
      <c r="C546" s="50"/>
      <c r="D546" s="50"/>
      <c r="E546" s="50"/>
      <c r="F546" s="51"/>
      <c r="G546" s="51"/>
      <c r="H546" s="51"/>
      <c r="I546" s="51"/>
      <c r="J546" s="49"/>
      <c r="K546" s="51"/>
      <c r="L546" s="51"/>
      <c r="M546" s="52"/>
      <c r="N546" s="51"/>
      <c r="O546" s="51"/>
      <c r="P546" s="25"/>
    </row>
    <row r="547">
      <c r="A547" s="25"/>
      <c r="B547" s="49"/>
      <c r="C547" s="50"/>
      <c r="D547" s="50"/>
      <c r="E547" s="50"/>
      <c r="F547" s="51"/>
      <c r="G547" s="51"/>
      <c r="H547" s="51"/>
      <c r="I547" s="51"/>
      <c r="J547" s="49"/>
      <c r="K547" s="51"/>
      <c r="L547" s="51"/>
      <c r="M547" s="52"/>
      <c r="N547" s="51"/>
      <c r="O547" s="51"/>
      <c r="P547" s="25"/>
    </row>
    <row r="548">
      <c r="A548" s="25"/>
      <c r="B548" s="49"/>
      <c r="C548" s="50"/>
      <c r="D548" s="50"/>
      <c r="E548" s="50"/>
      <c r="F548" s="51"/>
      <c r="G548" s="51"/>
      <c r="H548" s="51"/>
      <c r="I548" s="51"/>
      <c r="J548" s="49"/>
      <c r="K548" s="51"/>
      <c r="L548" s="51"/>
      <c r="M548" s="52"/>
      <c r="N548" s="51"/>
      <c r="O548" s="51"/>
      <c r="P548" s="25"/>
    </row>
    <row r="549">
      <c r="A549" s="25"/>
      <c r="B549" s="49"/>
      <c r="C549" s="50"/>
      <c r="D549" s="50"/>
      <c r="E549" s="50"/>
      <c r="F549" s="51"/>
      <c r="G549" s="51"/>
      <c r="H549" s="51"/>
      <c r="I549" s="51"/>
      <c r="J549" s="49"/>
      <c r="K549" s="51"/>
      <c r="L549" s="51"/>
      <c r="M549" s="52"/>
      <c r="N549" s="51"/>
      <c r="O549" s="51"/>
      <c r="P549" s="25"/>
    </row>
    <row r="550">
      <c r="A550" s="25"/>
      <c r="B550" s="49"/>
      <c r="C550" s="50"/>
      <c r="D550" s="50"/>
      <c r="E550" s="50"/>
      <c r="F550" s="51"/>
      <c r="G550" s="51"/>
      <c r="H550" s="51"/>
      <c r="I550" s="51"/>
      <c r="J550" s="49"/>
      <c r="K550" s="51"/>
      <c r="L550" s="51"/>
      <c r="M550" s="52"/>
      <c r="N550" s="51"/>
      <c r="O550" s="51"/>
      <c r="P550" s="25"/>
    </row>
    <row r="551">
      <c r="A551" s="25"/>
      <c r="B551" s="49"/>
      <c r="C551" s="50"/>
      <c r="D551" s="50"/>
      <c r="E551" s="50"/>
      <c r="F551" s="51"/>
      <c r="G551" s="51"/>
      <c r="H551" s="51"/>
      <c r="I551" s="51"/>
      <c r="J551" s="49"/>
      <c r="K551" s="51"/>
      <c r="L551" s="51"/>
      <c r="M551" s="52"/>
      <c r="N551" s="51"/>
      <c r="O551" s="51"/>
      <c r="P551" s="25"/>
    </row>
    <row r="552">
      <c r="A552" s="25"/>
      <c r="B552" s="49"/>
      <c r="C552" s="50"/>
      <c r="D552" s="50"/>
      <c r="E552" s="50"/>
      <c r="F552" s="51"/>
      <c r="G552" s="51"/>
      <c r="H552" s="51"/>
      <c r="I552" s="51"/>
      <c r="J552" s="49"/>
      <c r="K552" s="51"/>
      <c r="L552" s="51"/>
      <c r="M552" s="52"/>
      <c r="N552" s="51"/>
      <c r="O552" s="51"/>
      <c r="P552" s="25"/>
    </row>
    <row r="553">
      <c r="A553" s="25"/>
      <c r="B553" s="49"/>
      <c r="C553" s="50"/>
      <c r="D553" s="50"/>
      <c r="E553" s="50"/>
      <c r="F553" s="51"/>
      <c r="G553" s="51"/>
      <c r="H553" s="51"/>
      <c r="I553" s="51"/>
      <c r="J553" s="49"/>
      <c r="K553" s="51"/>
      <c r="L553" s="51"/>
      <c r="M553" s="52"/>
      <c r="N553" s="51"/>
      <c r="O553" s="51"/>
      <c r="P553" s="25"/>
    </row>
    <row r="554">
      <c r="A554" s="25"/>
      <c r="B554" s="49"/>
      <c r="C554" s="50"/>
      <c r="D554" s="50"/>
      <c r="E554" s="50"/>
      <c r="F554" s="51"/>
      <c r="G554" s="51"/>
      <c r="H554" s="51"/>
      <c r="I554" s="51"/>
      <c r="J554" s="49"/>
      <c r="K554" s="51"/>
      <c r="L554" s="51"/>
      <c r="M554" s="52"/>
      <c r="N554" s="51"/>
      <c r="O554" s="51"/>
      <c r="P554" s="25"/>
    </row>
    <row r="555">
      <c r="A555" s="25"/>
      <c r="B555" s="49"/>
      <c r="C555" s="50"/>
      <c r="D555" s="50"/>
      <c r="E555" s="50"/>
      <c r="F555" s="51"/>
      <c r="G555" s="51"/>
      <c r="H555" s="51"/>
      <c r="I555" s="51"/>
      <c r="J555" s="49"/>
      <c r="K555" s="51"/>
      <c r="L555" s="51"/>
      <c r="M555" s="52"/>
      <c r="N555" s="51"/>
      <c r="O555" s="51"/>
      <c r="P555" s="25"/>
    </row>
    <row r="556">
      <c r="A556" s="25"/>
      <c r="B556" s="49"/>
      <c r="C556" s="50"/>
      <c r="D556" s="50"/>
      <c r="E556" s="50"/>
      <c r="F556" s="51"/>
      <c r="G556" s="51"/>
      <c r="H556" s="51"/>
      <c r="I556" s="51"/>
      <c r="J556" s="49"/>
      <c r="K556" s="51"/>
      <c r="L556" s="51"/>
      <c r="M556" s="52"/>
      <c r="N556" s="51"/>
      <c r="O556" s="51"/>
      <c r="P556" s="25"/>
    </row>
    <row r="557">
      <c r="A557" s="25"/>
      <c r="B557" s="49"/>
      <c r="C557" s="50"/>
      <c r="D557" s="50"/>
      <c r="E557" s="50"/>
      <c r="F557" s="51"/>
      <c r="G557" s="51"/>
      <c r="H557" s="51"/>
      <c r="I557" s="51"/>
      <c r="J557" s="49"/>
      <c r="K557" s="51"/>
      <c r="L557" s="51"/>
      <c r="M557" s="52"/>
      <c r="N557" s="51"/>
      <c r="O557" s="51"/>
      <c r="P557" s="25"/>
    </row>
    <row r="558">
      <c r="A558" s="25"/>
      <c r="B558" s="49"/>
      <c r="C558" s="50"/>
      <c r="D558" s="50"/>
      <c r="E558" s="50"/>
      <c r="F558" s="51"/>
      <c r="G558" s="51"/>
      <c r="H558" s="51"/>
      <c r="I558" s="51"/>
      <c r="J558" s="49"/>
      <c r="K558" s="51"/>
      <c r="L558" s="51"/>
      <c r="M558" s="52"/>
      <c r="N558" s="51"/>
      <c r="O558" s="51"/>
      <c r="P558" s="25"/>
    </row>
    <row r="559">
      <c r="A559" s="25"/>
      <c r="B559" s="49"/>
      <c r="C559" s="50"/>
      <c r="D559" s="50"/>
      <c r="E559" s="50"/>
      <c r="F559" s="51"/>
      <c r="G559" s="51"/>
      <c r="H559" s="51"/>
      <c r="I559" s="51"/>
      <c r="J559" s="49"/>
      <c r="K559" s="51"/>
      <c r="L559" s="51"/>
      <c r="M559" s="52"/>
      <c r="N559" s="51"/>
      <c r="O559" s="51"/>
      <c r="P559" s="25"/>
    </row>
    <row r="560">
      <c r="A560" s="25"/>
      <c r="B560" s="49"/>
      <c r="C560" s="50"/>
      <c r="D560" s="50"/>
      <c r="E560" s="50"/>
      <c r="F560" s="51"/>
      <c r="G560" s="51"/>
      <c r="H560" s="51"/>
      <c r="I560" s="51"/>
      <c r="J560" s="49"/>
      <c r="K560" s="51"/>
      <c r="L560" s="51"/>
      <c r="M560" s="52"/>
      <c r="N560" s="51"/>
      <c r="O560" s="51"/>
      <c r="P560" s="25"/>
    </row>
    <row r="561">
      <c r="A561" s="25"/>
      <c r="B561" s="49"/>
      <c r="C561" s="50"/>
      <c r="D561" s="50"/>
      <c r="E561" s="50"/>
      <c r="F561" s="51"/>
      <c r="G561" s="51"/>
      <c r="H561" s="51"/>
      <c r="I561" s="51"/>
      <c r="J561" s="49"/>
      <c r="K561" s="51"/>
      <c r="L561" s="51"/>
      <c r="M561" s="52"/>
      <c r="N561" s="51"/>
      <c r="O561" s="51"/>
      <c r="P561" s="25"/>
    </row>
    <row r="562">
      <c r="A562" s="25"/>
      <c r="B562" s="49"/>
      <c r="C562" s="50"/>
      <c r="D562" s="50"/>
      <c r="E562" s="50"/>
      <c r="F562" s="51"/>
      <c r="G562" s="51"/>
      <c r="H562" s="51"/>
      <c r="I562" s="51"/>
      <c r="J562" s="49"/>
      <c r="K562" s="51"/>
      <c r="L562" s="51"/>
      <c r="M562" s="52"/>
      <c r="N562" s="51"/>
      <c r="O562" s="51"/>
      <c r="P562" s="25"/>
    </row>
    <row r="563">
      <c r="A563" s="25"/>
      <c r="B563" s="49"/>
      <c r="C563" s="50"/>
      <c r="D563" s="50"/>
      <c r="E563" s="50"/>
      <c r="F563" s="51"/>
      <c r="G563" s="51"/>
      <c r="H563" s="51"/>
      <c r="I563" s="51"/>
      <c r="J563" s="49"/>
      <c r="K563" s="51"/>
      <c r="L563" s="51"/>
      <c r="M563" s="52"/>
      <c r="N563" s="51"/>
      <c r="O563" s="51"/>
      <c r="P563" s="25"/>
    </row>
    <row r="564">
      <c r="A564" s="25"/>
      <c r="B564" s="49"/>
      <c r="C564" s="50"/>
      <c r="D564" s="50"/>
      <c r="E564" s="50"/>
      <c r="F564" s="51"/>
      <c r="G564" s="51"/>
      <c r="H564" s="51"/>
      <c r="I564" s="51"/>
      <c r="J564" s="49"/>
      <c r="K564" s="51"/>
      <c r="L564" s="51"/>
      <c r="M564" s="52"/>
      <c r="N564" s="51"/>
      <c r="O564" s="51"/>
      <c r="P564" s="25"/>
    </row>
    <row r="565">
      <c r="A565" s="25"/>
      <c r="B565" s="49"/>
      <c r="C565" s="50"/>
      <c r="D565" s="50"/>
      <c r="E565" s="50"/>
      <c r="F565" s="51"/>
      <c r="G565" s="51"/>
      <c r="H565" s="51"/>
      <c r="I565" s="51"/>
      <c r="J565" s="49"/>
      <c r="K565" s="51"/>
      <c r="L565" s="51"/>
      <c r="M565" s="52"/>
      <c r="N565" s="51"/>
      <c r="O565" s="51"/>
      <c r="P565" s="25"/>
    </row>
    <row r="566">
      <c r="A566" s="25"/>
      <c r="B566" s="49"/>
      <c r="C566" s="50"/>
      <c r="D566" s="50"/>
      <c r="E566" s="50"/>
      <c r="F566" s="51"/>
      <c r="G566" s="51"/>
      <c r="H566" s="51"/>
      <c r="I566" s="51"/>
      <c r="J566" s="49"/>
      <c r="K566" s="51"/>
      <c r="L566" s="51"/>
      <c r="M566" s="52"/>
      <c r="N566" s="51"/>
      <c r="O566" s="51"/>
      <c r="P566" s="25"/>
    </row>
    <row r="567">
      <c r="A567" s="25"/>
      <c r="B567" s="49"/>
      <c r="C567" s="50"/>
      <c r="D567" s="50"/>
      <c r="E567" s="50"/>
      <c r="F567" s="51"/>
      <c r="G567" s="51"/>
      <c r="H567" s="51"/>
      <c r="I567" s="51"/>
      <c r="J567" s="49"/>
      <c r="K567" s="51"/>
      <c r="L567" s="51"/>
      <c r="M567" s="52"/>
      <c r="N567" s="51"/>
      <c r="O567" s="51"/>
      <c r="P567" s="25"/>
    </row>
    <row r="568">
      <c r="A568" s="25"/>
      <c r="B568" s="49"/>
      <c r="C568" s="50"/>
      <c r="D568" s="50"/>
      <c r="E568" s="50"/>
      <c r="F568" s="51"/>
      <c r="G568" s="51"/>
      <c r="H568" s="51"/>
      <c r="I568" s="51"/>
      <c r="J568" s="49"/>
      <c r="K568" s="51"/>
      <c r="L568" s="51"/>
      <c r="M568" s="52"/>
      <c r="N568" s="51"/>
      <c r="O568" s="51"/>
      <c r="P568" s="25"/>
    </row>
    <row r="569">
      <c r="A569" s="25"/>
      <c r="B569" s="49"/>
      <c r="C569" s="50"/>
      <c r="D569" s="50"/>
      <c r="E569" s="50"/>
      <c r="F569" s="51"/>
      <c r="G569" s="51"/>
      <c r="H569" s="51"/>
      <c r="I569" s="51"/>
      <c r="J569" s="49"/>
      <c r="K569" s="51"/>
      <c r="L569" s="51"/>
      <c r="M569" s="52"/>
      <c r="N569" s="51"/>
      <c r="O569" s="51"/>
      <c r="P569" s="25"/>
    </row>
    <row r="570">
      <c r="A570" s="25"/>
      <c r="B570" s="49"/>
      <c r="C570" s="50"/>
      <c r="D570" s="50"/>
      <c r="E570" s="50"/>
      <c r="F570" s="51"/>
      <c r="G570" s="51"/>
      <c r="H570" s="51"/>
      <c r="I570" s="51"/>
      <c r="J570" s="49"/>
      <c r="K570" s="51"/>
      <c r="L570" s="51"/>
      <c r="M570" s="52"/>
      <c r="N570" s="51"/>
      <c r="O570" s="51"/>
      <c r="P570" s="25"/>
    </row>
    <row r="571">
      <c r="A571" s="25"/>
      <c r="B571" s="49"/>
      <c r="C571" s="50"/>
      <c r="D571" s="50"/>
      <c r="E571" s="50"/>
      <c r="F571" s="51"/>
      <c r="G571" s="51"/>
      <c r="H571" s="51"/>
      <c r="I571" s="51"/>
      <c r="J571" s="49"/>
      <c r="K571" s="51"/>
      <c r="L571" s="51"/>
      <c r="M571" s="52"/>
      <c r="N571" s="51"/>
      <c r="O571" s="51"/>
      <c r="P571" s="25"/>
    </row>
    <row r="572">
      <c r="A572" s="25"/>
      <c r="B572" s="49"/>
      <c r="C572" s="50"/>
      <c r="D572" s="50"/>
      <c r="E572" s="50"/>
      <c r="F572" s="51"/>
      <c r="G572" s="51"/>
      <c r="H572" s="51"/>
      <c r="I572" s="51"/>
      <c r="J572" s="49"/>
      <c r="K572" s="51"/>
      <c r="L572" s="51"/>
      <c r="M572" s="52"/>
      <c r="N572" s="51"/>
      <c r="O572" s="51"/>
      <c r="P572" s="25"/>
    </row>
    <row r="573">
      <c r="A573" s="25"/>
      <c r="B573" s="49"/>
      <c r="C573" s="50"/>
      <c r="D573" s="50"/>
      <c r="E573" s="50"/>
      <c r="F573" s="51"/>
      <c r="G573" s="51"/>
      <c r="H573" s="51"/>
      <c r="I573" s="51"/>
      <c r="J573" s="49"/>
      <c r="K573" s="51"/>
      <c r="L573" s="51"/>
      <c r="M573" s="52"/>
      <c r="N573" s="51"/>
      <c r="O573" s="51"/>
      <c r="P573" s="25"/>
    </row>
    <row r="574">
      <c r="A574" s="25"/>
      <c r="B574" s="49"/>
      <c r="C574" s="50"/>
      <c r="D574" s="50"/>
      <c r="E574" s="50"/>
      <c r="F574" s="51"/>
      <c r="G574" s="51"/>
      <c r="H574" s="51"/>
      <c r="I574" s="51"/>
      <c r="J574" s="49"/>
      <c r="K574" s="51"/>
      <c r="L574" s="51"/>
      <c r="M574" s="52"/>
      <c r="N574" s="51"/>
      <c r="O574" s="51"/>
      <c r="P574" s="25"/>
    </row>
    <row r="575">
      <c r="A575" s="25"/>
      <c r="B575" s="49"/>
      <c r="C575" s="50"/>
      <c r="D575" s="50"/>
      <c r="E575" s="50"/>
      <c r="F575" s="51"/>
      <c r="G575" s="51"/>
      <c r="H575" s="51"/>
      <c r="I575" s="51"/>
      <c r="J575" s="49"/>
      <c r="K575" s="51"/>
      <c r="L575" s="51"/>
      <c r="M575" s="52"/>
      <c r="N575" s="51"/>
      <c r="O575" s="51"/>
      <c r="P575" s="25"/>
    </row>
    <row r="576">
      <c r="A576" s="25"/>
      <c r="B576" s="49"/>
      <c r="C576" s="50"/>
      <c r="D576" s="50"/>
      <c r="E576" s="50"/>
      <c r="F576" s="51"/>
      <c r="G576" s="51"/>
      <c r="H576" s="51"/>
      <c r="I576" s="51"/>
      <c r="J576" s="49"/>
      <c r="K576" s="51"/>
      <c r="L576" s="51"/>
      <c r="M576" s="52"/>
      <c r="N576" s="51"/>
      <c r="O576" s="51"/>
      <c r="P576" s="25"/>
    </row>
    <row r="577">
      <c r="A577" s="25"/>
      <c r="B577" s="49"/>
      <c r="C577" s="50"/>
      <c r="D577" s="50"/>
      <c r="E577" s="50"/>
      <c r="F577" s="51"/>
      <c r="G577" s="51"/>
      <c r="H577" s="51"/>
      <c r="I577" s="51"/>
      <c r="J577" s="49"/>
      <c r="K577" s="51"/>
      <c r="L577" s="51"/>
      <c r="M577" s="52"/>
      <c r="N577" s="51"/>
      <c r="O577" s="51"/>
      <c r="P577" s="25"/>
    </row>
    <row r="578">
      <c r="A578" s="25"/>
      <c r="B578" s="49"/>
      <c r="C578" s="50"/>
      <c r="D578" s="50"/>
      <c r="E578" s="50"/>
      <c r="F578" s="51"/>
      <c r="G578" s="51"/>
      <c r="H578" s="51"/>
      <c r="I578" s="51"/>
      <c r="J578" s="49"/>
      <c r="K578" s="51"/>
      <c r="L578" s="51"/>
      <c r="M578" s="52"/>
      <c r="N578" s="51"/>
      <c r="O578" s="51"/>
      <c r="P578" s="25"/>
    </row>
    <row r="579">
      <c r="A579" s="25"/>
      <c r="B579" s="49"/>
      <c r="C579" s="50"/>
      <c r="D579" s="50"/>
      <c r="E579" s="50"/>
      <c r="F579" s="51"/>
      <c r="G579" s="51"/>
      <c r="H579" s="51"/>
      <c r="I579" s="51"/>
      <c r="J579" s="49"/>
      <c r="K579" s="51"/>
      <c r="L579" s="51"/>
      <c r="M579" s="52"/>
      <c r="N579" s="51"/>
      <c r="O579" s="51"/>
      <c r="P579" s="25"/>
    </row>
    <row r="580">
      <c r="A580" s="25"/>
      <c r="B580" s="49"/>
      <c r="C580" s="50"/>
      <c r="D580" s="50"/>
      <c r="E580" s="50"/>
      <c r="F580" s="51"/>
      <c r="G580" s="51"/>
      <c r="H580" s="51"/>
      <c r="I580" s="51"/>
      <c r="J580" s="49"/>
      <c r="K580" s="51"/>
      <c r="L580" s="51"/>
      <c r="M580" s="52"/>
      <c r="N580" s="51"/>
      <c r="O580" s="51"/>
      <c r="P580" s="25"/>
    </row>
    <row r="581">
      <c r="A581" s="25"/>
      <c r="B581" s="49"/>
      <c r="C581" s="50"/>
      <c r="D581" s="50"/>
      <c r="E581" s="50"/>
      <c r="F581" s="51"/>
      <c r="G581" s="51"/>
      <c r="H581" s="51"/>
      <c r="I581" s="51"/>
      <c r="J581" s="49"/>
      <c r="K581" s="51"/>
      <c r="L581" s="51"/>
      <c r="M581" s="52"/>
      <c r="N581" s="51"/>
      <c r="O581" s="51"/>
      <c r="P581" s="25"/>
    </row>
    <row r="582">
      <c r="A582" s="25"/>
      <c r="B582" s="49"/>
      <c r="C582" s="50"/>
      <c r="D582" s="50"/>
      <c r="E582" s="50"/>
      <c r="F582" s="51"/>
      <c r="G582" s="51"/>
      <c r="H582" s="51"/>
      <c r="I582" s="51"/>
      <c r="J582" s="49"/>
      <c r="K582" s="51"/>
      <c r="L582" s="51"/>
      <c r="M582" s="52"/>
      <c r="N582" s="51"/>
      <c r="O582" s="51"/>
      <c r="P582" s="25"/>
    </row>
    <row r="583">
      <c r="A583" s="25"/>
      <c r="B583" s="49"/>
      <c r="C583" s="50"/>
      <c r="D583" s="50"/>
      <c r="E583" s="50"/>
      <c r="F583" s="51"/>
      <c r="G583" s="51"/>
      <c r="H583" s="51"/>
      <c r="I583" s="51"/>
      <c r="J583" s="49"/>
      <c r="K583" s="51"/>
      <c r="L583" s="51"/>
      <c r="M583" s="52"/>
      <c r="N583" s="51"/>
      <c r="O583" s="51"/>
      <c r="P583" s="25"/>
    </row>
    <row r="584">
      <c r="A584" s="25"/>
      <c r="B584" s="49"/>
      <c r="C584" s="50"/>
      <c r="D584" s="50"/>
      <c r="E584" s="50"/>
      <c r="F584" s="51"/>
      <c r="G584" s="51"/>
      <c r="H584" s="51"/>
      <c r="I584" s="51"/>
      <c r="J584" s="49"/>
      <c r="K584" s="51"/>
      <c r="L584" s="51"/>
      <c r="M584" s="52"/>
      <c r="N584" s="51"/>
      <c r="O584" s="51"/>
      <c r="P584" s="25"/>
    </row>
    <row r="585">
      <c r="A585" s="25"/>
      <c r="B585" s="49"/>
      <c r="C585" s="50"/>
      <c r="D585" s="50"/>
      <c r="E585" s="50"/>
      <c r="F585" s="51"/>
      <c r="G585" s="51"/>
      <c r="H585" s="51"/>
      <c r="I585" s="51"/>
      <c r="J585" s="49"/>
      <c r="K585" s="51"/>
      <c r="L585" s="51"/>
      <c r="M585" s="52"/>
      <c r="N585" s="51"/>
      <c r="O585" s="51"/>
      <c r="P585" s="25"/>
    </row>
    <row r="586">
      <c r="A586" s="25"/>
      <c r="B586" s="49"/>
      <c r="C586" s="50"/>
      <c r="D586" s="50"/>
      <c r="E586" s="50"/>
      <c r="F586" s="51"/>
      <c r="G586" s="51"/>
      <c r="H586" s="51"/>
      <c r="I586" s="51"/>
      <c r="J586" s="49"/>
      <c r="K586" s="51"/>
      <c r="L586" s="51"/>
      <c r="M586" s="52"/>
      <c r="N586" s="51"/>
      <c r="O586" s="51"/>
      <c r="P586" s="25"/>
    </row>
    <row r="587">
      <c r="A587" s="25"/>
      <c r="B587" s="49"/>
      <c r="C587" s="50"/>
      <c r="D587" s="50"/>
      <c r="E587" s="50"/>
      <c r="F587" s="51"/>
      <c r="G587" s="51"/>
      <c r="H587" s="51"/>
      <c r="I587" s="51"/>
      <c r="J587" s="49"/>
      <c r="K587" s="51"/>
      <c r="L587" s="51"/>
      <c r="M587" s="52"/>
      <c r="N587" s="51"/>
      <c r="O587" s="51"/>
      <c r="P587" s="25"/>
    </row>
    <row r="588">
      <c r="A588" s="25"/>
      <c r="B588" s="49"/>
      <c r="C588" s="50"/>
      <c r="D588" s="50"/>
      <c r="E588" s="50"/>
      <c r="F588" s="51"/>
      <c r="G588" s="51"/>
      <c r="H588" s="51"/>
      <c r="I588" s="51"/>
      <c r="J588" s="49"/>
      <c r="K588" s="51"/>
      <c r="L588" s="51"/>
      <c r="M588" s="52"/>
      <c r="N588" s="51"/>
      <c r="O588" s="51"/>
      <c r="P588" s="25"/>
    </row>
    <row r="589">
      <c r="A589" s="25"/>
      <c r="B589" s="49"/>
      <c r="C589" s="50"/>
      <c r="D589" s="50"/>
      <c r="E589" s="50"/>
      <c r="F589" s="51"/>
      <c r="G589" s="51"/>
      <c r="H589" s="51"/>
      <c r="I589" s="51"/>
      <c r="J589" s="49"/>
      <c r="K589" s="51"/>
      <c r="L589" s="51"/>
      <c r="M589" s="52"/>
      <c r="N589" s="51"/>
      <c r="O589" s="51"/>
      <c r="P589" s="25"/>
    </row>
    <row r="590">
      <c r="A590" s="25"/>
      <c r="B590" s="49"/>
      <c r="C590" s="50"/>
      <c r="D590" s="50"/>
      <c r="E590" s="50"/>
      <c r="F590" s="51"/>
      <c r="G590" s="51"/>
      <c r="H590" s="51"/>
      <c r="I590" s="51"/>
      <c r="J590" s="49"/>
      <c r="K590" s="51"/>
      <c r="L590" s="51"/>
      <c r="M590" s="52"/>
      <c r="N590" s="51"/>
      <c r="O590" s="51"/>
      <c r="P590" s="25"/>
    </row>
    <row r="591">
      <c r="A591" s="25"/>
      <c r="B591" s="49"/>
      <c r="C591" s="50"/>
      <c r="D591" s="50"/>
      <c r="E591" s="50"/>
      <c r="F591" s="51"/>
      <c r="G591" s="51"/>
      <c r="H591" s="51"/>
      <c r="I591" s="51"/>
      <c r="J591" s="49"/>
      <c r="K591" s="51"/>
      <c r="L591" s="51"/>
      <c r="M591" s="52"/>
      <c r="N591" s="51"/>
      <c r="O591" s="51"/>
      <c r="P591" s="25"/>
    </row>
    <row r="592">
      <c r="A592" s="25"/>
      <c r="B592" s="49"/>
      <c r="C592" s="50"/>
      <c r="D592" s="50"/>
      <c r="E592" s="50"/>
      <c r="F592" s="51"/>
      <c r="G592" s="51"/>
      <c r="H592" s="51"/>
      <c r="I592" s="51"/>
      <c r="J592" s="49"/>
      <c r="K592" s="51"/>
      <c r="L592" s="51"/>
      <c r="M592" s="52"/>
      <c r="N592" s="51"/>
      <c r="O592" s="51"/>
      <c r="P592" s="25"/>
    </row>
    <row r="593">
      <c r="A593" s="25"/>
      <c r="B593" s="49"/>
      <c r="C593" s="50"/>
      <c r="D593" s="50"/>
      <c r="E593" s="50"/>
      <c r="F593" s="51"/>
      <c r="G593" s="51"/>
      <c r="H593" s="51"/>
      <c r="I593" s="51"/>
      <c r="J593" s="49"/>
      <c r="K593" s="51"/>
      <c r="L593" s="51"/>
      <c r="M593" s="52"/>
      <c r="N593" s="51"/>
      <c r="O593" s="51"/>
      <c r="P593" s="25"/>
    </row>
    <row r="594">
      <c r="A594" s="25"/>
      <c r="B594" s="49"/>
      <c r="C594" s="50"/>
      <c r="D594" s="50"/>
      <c r="E594" s="50"/>
      <c r="F594" s="51"/>
      <c r="G594" s="51"/>
      <c r="H594" s="51"/>
      <c r="I594" s="51"/>
      <c r="J594" s="49"/>
      <c r="K594" s="51"/>
      <c r="L594" s="51"/>
      <c r="M594" s="52"/>
      <c r="N594" s="51"/>
      <c r="O594" s="51"/>
      <c r="P594" s="25"/>
    </row>
    <row r="595">
      <c r="A595" s="25"/>
      <c r="B595" s="49"/>
      <c r="C595" s="50"/>
      <c r="D595" s="50"/>
      <c r="E595" s="50"/>
      <c r="F595" s="51"/>
      <c r="G595" s="51"/>
      <c r="H595" s="51"/>
      <c r="I595" s="51"/>
      <c r="J595" s="49"/>
      <c r="K595" s="51"/>
      <c r="L595" s="51"/>
      <c r="M595" s="52"/>
      <c r="N595" s="51"/>
      <c r="O595" s="51"/>
      <c r="P595" s="25"/>
    </row>
    <row r="596">
      <c r="A596" s="25"/>
      <c r="B596" s="49"/>
      <c r="C596" s="50"/>
      <c r="D596" s="50"/>
      <c r="E596" s="50"/>
      <c r="F596" s="51"/>
      <c r="G596" s="51"/>
      <c r="H596" s="51"/>
      <c r="I596" s="51"/>
      <c r="J596" s="49"/>
      <c r="K596" s="51"/>
      <c r="L596" s="51"/>
      <c r="M596" s="52"/>
      <c r="N596" s="51"/>
      <c r="O596" s="51"/>
      <c r="P596" s="25"/>
    </row>
    <row r="597">
      <c r="A597" s="25"/>
      <c r="B597" s="49"/>
      <c r="C597" s="50"/>
      <c r="D597" s="50"/>
      <c r="E597" s="50"/>
      <c r="F597" s="51"/>
      <c r="G597" s="51"/>
      <c r="H597" s="51"/>
      <c r="I597" s="51"/>
      <c r="J597" s="49"/>
      <c r="K597" s="51"/>
      <c r="L597" s="51"/>
      <c r="M597" s="52"/>
      <c r="N597" s="51"/>
      <c r="O597" s="51"/>
      <c r="P597" s="25"/>
    </row>
    <row r="598">
      <c r="A598" s="25"/>
      <c r="B598" s="49"/>
      <c r="C598" s="50"/>
      <c r="D598" s="50"/>
      <c r="E598" s="50"/>
      <c r="F598" s="51"/>
      <c r="G598" s="51"/>
      <c r="H598" s="51"/>
      <c r="I598" s="51"/>
      <c r="J598" s="49"/>
      <c r="K598" s="51"/>
      <c r="L598" s="51"/>
      <c r="M598" s="52"/>
      <c r="N598" s="51"/>
      <c r="O598" s="51"/>
      <c r="P598" s="25"/>
    </row>
    <row r="599">
      <c r="A599" s="25"/>
      <c r="B599" s="49"/>
      <c r="C599" s="50"/>
      <c r="D599" s="50"/>
      <c r="E599" s="50"/>
      <c r="F599" s="51"/>
      <c r="G599" s="51"/>
      <c r="H599" s="51"/>
      <c r="I599" s="51"/>
      <c r="J599" s="49"/>
      <c r="K599" s="51"/>
      <c r="L599" s="51"/>
      <c r="M599" s="52"/>
      <c r="N599" s="51"/>
      <c r="O599" s="51"/>
      <c r="P599" s="25"/>
    </row>
    <row r="600">
      <c r="A600" s="25"/>
      <c r="B600" s="49"/>
      <c r="C600" s="50"/>
      <c r="D600" s="50"/>
      <c r="E600" s="50"/>
      <c r="F600" s="51"/>
      <c r="G600" s="51"/>
      <c r="H600" s="51"/>
      <c r="I600" s="51"/>
      <c r="J600" s="49"/>
      <c r="K600" s="51"/>
      <c r="L600" s="51"/>
      <c r="M600" s="52"/>
      <c r="N600" s="51"/>
      <c r="O600" s="51"/>
      <c r="P600" s="25"/>
    </row>
    <row r="601">
      <c r="A601" s="25"/>
      <c r="B601" s="49"/>
      <c r="C601" s="50"/>
      <c r="D601" s="50"/>
      <c r="E601" s="50"/>
      <c r="F601" s="51"/>
      <c r="G601" s="51"/>
      <c r="H601" s="51"/>
      <c r="I601" s="51"/>
      <c r="J601" s="49"/>
      <c r="K601" s="51"/>
      <c r="L601" s="51"/>
      <c r="M601" s="52"/>
      <c r="N601" s="51"/>
      <c r="O601" s="51"/>
      <c r="P601" s="25"/>
    </row>
    <row r="602">
      <c r="A602" s="25"/>
      <c r="B602" s="49"/>
      <c r="C602" s="50"/>
      <c r="D602" s="50"/>
      <c r="E602" s="50"/>
      <c r="F602" s="51"/>
      <c r="G602" s="51"/>
      <c r="H602" s="51"/>
      <c r="I602" s="51"/>
      <c r="J602" s="49"/>
      <c r="K602" s="51"/>
      <c r="L602" s="51"/>
      <c r="M602" s="52"/>
      <c r="N602" s="51"/>
      <c r="O602" s="51"/>
      <c r="P602" s="25"/>
    </row>
    <row r="603">
      <c r="A603" s="25"/>
      <c r="B603" s="49"/>
      <c r="C603" s="50"/>
      <c r="D603" s="50"/>
      <c r="E603" s="50"/>
      <c r="F603" s="51"/>
      <c r="G603" s="51"/>
      <c r="H603" s="51"/>
      <c r="I603" s="51"/>
      <c r="J603" s="49"/>
      <c r="K603" s="51"/>
      <c r="L603" s="51"/>
      <c r="M603" s="52"/>
      <c r="N603" s="51"/>
      <c r="O603" s="51"/>
      <c r="P603" s="25"/>
    </row>
    <row r="604">
      <c r="A604" s="25"/>
      <c r="B604" s="49"/>
      <c r="C604" s="50"/>
      <c r="D604" s="50"/>
      <c r="E604" s="50"/>
      <c r="F604" s="51"/>
      <c r="G604" s="51"/>
      <c r="H604" s="51"/>
      <c r="I604" s="51"/>
      <c r="J604" s="49"/>
      <c r="K604" s="51"/>
      <c r="L604" s="51"/>
      <c r="M604" s="52"/>
      <c r="N604" s="51"/>
      <c r="O604" s="51"/>
      <c r="P604" s="25"/>
    </row>
    <row r="605">
      <c r="A605" s="25"/>
      <c r="B605" s="49"/>
      <c r="C605" s="50"/>
      <c r="D605" s="50"/>
      <c r="E605" s="50"/>
      <c r="F605" s="51"/>
      <c r="G605" s="51"/>
      <c r="H605" s="51"/>
      <c r="I605" s="51"/>
      <c r="J605" s="49"/>
      <c r="K605" s="51"/>
      <c r="L605" s="51"/>
      <c r="M605" s="52"/>
      <c r="N605" s="51"/>
      <c r="O605" s="51"/>
      <c r="P605" s="25"/>
    </row>
    <row r="606">
      <c r="A606" s="25"/>
      <c r="B606" s="49"/>
      <c r="C606" s="50"/>
      <c r="D606" s="50"/>
      <c r="E606" s="50"/>
      <c r="F606" s="51"/>
      <c r="G606" s="51"/>
      <c r="H606" s="51"/>
      <c r="I606" s="51"/>
      <c r="J606" s="49"/>
      <c r="K606" s="51"/>
      <c r="L606" s="51"/>
      <c r="M606" s="52"/>
      <c r="N606" s="51"/>
      <c r="O606" s="51"/>
      <c r="P606" s="25"/>
    </row>
    <row r="607">
      <c r="A607" s="25"/>
      <c r="B607" s="49"/>
      <c r="C607" s="50"/>
      <c r="D607" s="50"/>
      <c r="E607" s="50"/>
      <c r="F607" s="51"/>
      <c r="G607" s="51"/>
      <c r="H607" s="51"/>
      <c r="I607" s="51"/>
      <c r="J607" s="49"/>
      <c r="K607" s="51"/>
      <c r="L607" s="51"/>
      <c r="M607" s="52"/>
      <c r="N607" s="51"/>
      <c r="O607" s="51"/>
      <c r="P607" s="25"/>
    </row>
    <row r="608">
      <c r="A608" s="25"/>
      <c r="B608" s="49"/>
      <c r="C608" s="50"/>
      <c r="D608" s="50"/>
      <c r="E608" s="50"/>
      <c r="F608" s="51"/>
      <c r="G608" s="51"/>
      <c r="H608" s="51"/>
      <c r="I608" s="51"/>
      <c r="J608" s="49"/>
      <c r="K608" s="51"/>
      <c r="L608" s="51"/>
      <c r="M608" s="52"/>
      <c r="N608" s="51"/>
      <c r="O608" s="51"/>
      <c r="P608" s="25"/>
    </row>
    <row r="609">
      <c r="A609" s="25"/>
      <c r="B609" s="49"/>
      <c r="C609" s="50"/>
      <c r="D609" s="50"/>
      <c r="E609" s="50"/>
      <c r="F609" s="51"/>
      <c r="G609" s="51"/>
      <c r="H609" s="51"/>
      <c r="I609" s="51"/>
      <c r="J609" s="49"/>
      <c r="K609" s="51"/>
      <c r="L609" s="51"/>
      <c r="M609" s="52"/>
      <c r="N609" s="51"/>
      <c r="O609" s="51"/>
      <c r="P609" s="25"/>
    </row>
    <row r="610">
      <c r="A610" s="25"/>
      <c r="B610" s="49"/>
      <c r="C610" s="50"/>
      <c r="D610" s="50"/>
      <c r="E610" s="50"/>
      <c r="F610" s="51"/>
      <c r="G610" s="51"/>
      <c r="H610" s="51"/>
      <c r="I610" s="51"/>
      <c r="J610" s="49"/>
      <c r="K610" s="51"/>
      <c r="L610" s="51"/>
      <c r="M610" s="52"/>
      <c r="N610" s="51"/>
      <c r="O610" s="51"/>
      <c r="P610" s="25"/>
    </row>
    <row r="611">
      <c r="A611" s="25"/>
      <c r="B611" s="49"/>
      <c r="C611" s="50"/>
      <c r="D611" s="50"/>
      <c r="E611" s="50"/>
      <c r="F611" s="51"/>
      <c r="G611" s="51"/>
      <c r="H611" s="51"/>
      <c r="I611" s="51"/>
      <c r="J611" s="49"/>
      <c r="K611" s="51"/>
      <c r="L611" s="51"/>
      <c r="M611" s="52"/>
      <c r="N611" s="51"/>
      <c r="O611" s="51"/>
      <c r="P611" s="25"/>
    </row>
    <row r="612">
      <c r="A612" s="25"/>
      <c r="B612" s="49"/>
      <c r="C612" s="50"/>
      <c r="D612" s="50"/>
      <c r="E612" s="50"/>
      <c r="F612" s="51"/>
      <c r="G612" s="51"/>
      <c r="H612" s="51"/>
      <c r="I612" s="51"/>
      <c r="J612" s="49"/>
      <c r="K612" s="51"/>
      <c r="L612" s="51"/>
      <c r="M612" s="52"/>
      <c r="N612" s="51"/>
      <c r="O612" s="51"/>
      <c r="P612" s="25"/>
    </row>
    <row r="613">
      <c r="A613" s="25"/>
      <c r="B613" s="49"/>
      <c r="C613" s="50"/>
      <c r="D613" s="50"/>
      <c r="E613" s="50"/>
      <c r="F613" s="51"/>
      <c r="G613" s="51"/>
      <c r="H613" s="51"/>
      <c r="I613" s="51"/>
      <c r="J613" s="49"/>
      <c r="K613" s="51"/>
      <c r="L613" s="51"/>
      <c r="M613" s="52"/>
      <c r="N613" s="51"/>
      <c r="O613" s="51"/>
      <c r="P613" s="25"/>
    </row>
    <row r="614">
      <c r="A614" s="25"/>
      <c r="B614" s="49"/>
      <c r="C614" s="50"/>
      <c r="D614" s="50"/>
      <c r="E614" s="50"/>
      <c r="F614" s="51"/>
      <c r="G614" s="51"/>
      <c r="H614" s="51"/>
      <c r="I614" s="51"/>
      <c r="J614" s="49"/>
      <c r="K614" s="51"/>
      <c r="L614" s="51"/>
      <c r="M614" s="52"/>
      <c r="N614" s="51"/>
      <c r="O614" s="51"/>
      <c r="P614" s="25"/>
    </row>
    <row r="615">
      <c r="A615" s="25"/>
      <c r="B615" s="49"/>
      <c r="C615" s="50"/>
      <c r="D615" s="50"/>
      <c r="E615" s="50"/>
      <c r="F615" s="51"/>
      <c r="G615" s="51"/>
      <c r="H615" s="51"/>
      <c r="I615" s="51"/>
      <c r="J615" s="49"/>
      <c r="K615" s="51"/>
      <c r="L615" s="51"/>
      <c r="M615" s="52"/>
      <c r="N615" s="51"/>
      <c r="O615" s="51"/>
      <c r="P615" s="25"/>
    </row>
    <row r="616">
      <c r="A616" s="25"/>
      <c r="B616" s="49"/>
      <c r="C616" s="50"/>
      <c r="D616" s="50"/>
      <c r="E616" s="50"/>
      <c r="F616" s="51"/>
      <c r="G616" s="51"/>
      <c r="H616" s="51"/>
      <c r="I616" s="51"/>
      <c r="J616" s="49"/>
      <c r="K616" s="51"/>
      <c r="L616" s="51"/>
      <c r="M616" s="52"/>
      <c r="N616" s="51"/>
      <c r="O616" s="51"/>
      <c r="P616" s="25"/>
    </row>
    <row r="617">
      <c r="A617" s="25"/>
      <c r="B617" s="49"/>
      <c r="C617" s="50"/>
      <c r="D617" s="50"/>
      <c r="E617" s="50"/>
      <c r="F617" s="51"/>
      <c r="G617" s="51"/>
      <c r="H617" s="51"/>
      <c r="I617" s="51"/>
      <c r="J617" s="49"/>
      <c r="K617" s="51"/>
      <c r="L617" s="51"/>
      <c r="M617" s="52"/>
      <c r="N617" s="51"/>
      <c r="O617" s="51"/>
      <c r="P617" s="25"/>
    </row>
    <row r="618">
      <c r="A618" s="25"/>
      <c r="B618" s="49"/>
      <c r="C618" s="50"/>
      <c r="D618" s="50"/>
      <c r="E618" s="50"/>
      <c r="F618" s="51"/>
      <c r="G618" s="51"/>
      <c r="H618" s="51"/>
      <c r="I618" s="51"/>
      <c r="J618" s="49"/>
      <c r="K618" s="51"/>
      <c r="L618" s="51"/>
      <c r="M618" s="52"/>
      <c r="N618" s="51"/>
      <c r="O618" s="51"/>
      <c r="P618" s="25"/>
    </row>
    <row r="619">
      <c r="A619" s="25"/>
      <c r="B619" s="49"/>
      <c r="C619" s="50"/>
      <c r="D619" s="50"/>
      <c r="E619" s="50"/>
      <c r="F619" s="51"/>
      <c r="G619" s="51"/>
      <c r="H619" s="51"/>
      <c r="I619" s="51"/>
      <c r="J619" s="49"/>
      <c r="K619" s="51"/>
      <c r="L619" s="51"/>
      <c r="M619" s="52"/>
      <c r="N619" s="51"/>
      <c r="O619" s="51"/>
      <c r="P619" s="25"/>
    </row>
    <row r="620">
      <c r="A620" s="25"/>
      <c r="B620" s="49"/>
      <c r="C620" s="50"/>
      <c r="D620" s="50"/>
      <c r="E620" s="50"/>
      <c r="F620" s="51"/>
      <c r="G620" s="51"/>
      <c r="H620" s="51"/>
      <c r="I620" s="51"/>
      <c r="J620" s="49"/>
      <c r="K620" s="51"/>
      <c r="L620" s="51"/>
      <c r="M620" s="52"/>
      <c r="N620" s="51"/>
      <c r="O620" s="51"/>
      <c r="P620" s="25"/>
    </row>
    <row r="621">
      <c r="A621" s="25"/>
      <c r="B621" s="49"/>
      <c r="C621" s="50"/>
      <c r="D621" s="50"/>
      <c r="E621" s="50"/>
      <c r="F621" s="51"/>
      <c r="G621" s="51"/>
      <c r="H621" s="51"/>
      <c r="I621" s="51"/>
      <c r="J621" s="49"/>
      <c r="K621" s="51"/>
      <c r="L621" s="51"/>
      <c r="M621" s="52"/>
      <c r="N621" s="51"/>
      <c r="O621" s="51"/>
      <c r="P621" s="25"/>
    </row>
    <row r="622">
      <c r="A622" s="25"/>
      <c r="B622" s="49"/>
      <c r="C622" s="50"/>
      <c r="D622" s="50"/>
      <c r="E622" s="50"/>
      <c r="F622" s="51"/>
      <c r="G622" s="51"/>
      <c r="H622" s="51"/>
      <c r="I622" s="51"/>
      <c r="J622" s="49"/>
      <c r="K622" s="51"/>
      <c r="L622" s="51"/>
      <c r="M622" s="52"/>
      <c r="N622" s="51"/>
      <c r="O622" s="51"/>
      <c r="P622" s="25"/>
    </row>
    <row r="623">
      <c r="A623" s="25"/>
      <c r="B623" s="49"/>
      <c r="C623" s="50"/>
      <c r="D623" s="50"/>
      <c r="E623" s="50"/>
      <c r="F623" s="51"/>
      <c r="G623" s="51"/>
      <c r="H623" s="51"/>
      <c r="I623" s="51"/>
      <c r="J623" s="49"/>
      <c r="K623" s="51"/>
      <c r="L623" s="51"/>
      <c r="M623" s="52"/>
      <c r="N623" s="51"/>
      <c r="O623" s="51"/>
      <c r="P623" s="25"/>
    </row>
    <row r="624">
      <c r="A624" s="25"/>
      <c r="B624" s="49"/>
      <c r="C624" s="50"/>
      <c r="D624" s="50"/>
      <c r="E624" s="50"/>
      <c r="F624" s="51"/>
      <c r="G624" s="51"/>
      <c r="H624" s="51"/>
      <c r="I624" s="51"/>
      <c r="J624" s="49"/>
      <c r="K624" s="51"/>
      <c r="L624" s="51"/>
      <c r="M624" s="52"/>
      <c r="N624" s="51"/>
      <c r="O624" s="51"/>
      <c r="P624" s="25"/>
    </row>
    <row r="625">
      <c r="A625" s="25"/>
      <c r="B625" s="49"/>
      <c r="C625" s="50"/>
      <c r="D625" s="50"/>
      <c r="E625" s="50"/>
      <c r="F625" s="51"/>
      <c r="G625" s="51"/>
      <c r="H625" s="51"/>
      <c r="I625" s="51"/>
      <c r="J625" s="49"/>
      <c r="K625" s="51"/>
      <c r="L625" s="51"/>
      <c r="M625" s="52"/>
      <c r="N625" s="51"/>
      <c r="O625" s="51"/>
      <c r="P625" s="25"/>
    </row>
    <row r="626">
      <c r="A626" s="25"/>
      <c r="B626" s="49"/>
      <c r="C626" s="50"/>
      <c r="D626" s="50"/>
      <c r="E626" s="50"/>
      <c r="F626" s="51"/>
      <c r="G626" s="51"/>
      <c r="H626" s="51"/>
      <c r="I626" s="51"/>
      <c r="J626" s="49"/>
      <c r="K626" s="51"/>
      <c r="L626" s="51"/>
      <c r="M626" s="52"/>
      <c r="N626" s="51"/>
      <c r="O626" s="51"/>
      <c r="P626" s="25"/>
    </row>
    <row r="627">
      <c r="A627" s="25"/>
      <c r="B627" s="49"/>
      <c r="C627" s="50"/>
      <c r="D627" s="50"/>
      <c r="E627" s="50"/>
      <c r="F627" s="51"/>
      <c r="G627" s="51"/>
      <c r="H627" s="51"/>
      <c r="I627" s="51"/>
      <c r="J627" s="49"/>
      <c r="K627" s="51"/>
      <c r="L627" s="51"/>
      <c r="M627" s="52"/>
      <c r="N627" s="51"/>
      <c r="O627" s="51"/>
      <c r="P627" s="25"/>
    </row>
    <row r="628">
      <c r="A628" s="25"/>
      <c r="B628" s="49"/>
      <c r="C628" s="50"/>
      <c r="D628" s="50"/>
      <c r="E628" s="50"/>
      <c r="F628" s="51"/>
      <c r="G628" s="51"/>
      <c r="H628" s="51"/>
      <c r="I628" s="51"/>
      <c r="J628" s="49"/>
      <c r="K628" s="51"/>
      <c r="L628" s="51"/>
      <c r="M628" s="52"/>
      <c r="N628" s="51"/>
      <c r="O628" s="51"/>
      <c r="P628" s="25"/>
    </row>
    <row r="629">
      <c r="A629" s="25"/>
      <c r="B629" s="49"/>
      <c r="C629" s="50"/>
      <c r="D629" s="50"/>
      <c r="E629" s="50"/>
      <c r="F629" s="51"/>
      <c r="G629" s="51"/>
      <c r="H629" s="51"/>
      <c r="I629" s="51"/>
      <c r="J629" s="49"/>
      <c r="K629" s="51"/>
      <c r="L629" s="51"/>
      <c r="M629" s="52"/>
      <c r="N629" s="51"/>
      <c r="O629" s="51"/>
      <c r="P629" s="25"/>
    </row>
    <row r="630">
      <c r="A630" s="25"/>
      <c r="B630" s="49"/>
      <c r="C630" s="50"/>
      <c r="D630" s="50"/>
      <c r="E630" s="50"/>
      <c r="F630" s="51"/>
      <c r="G630" s="51"/>
      <c r="H630" s="51"/>
      <c r="I630" s="51"/>
      <c r="J630" s="49"/>
      <c r="K630" s="51"/>
      <c r="L630" s="51"/>
      <c r="M630" s="52"/>
      <c r="N630" s="51"/>
      <c r="O630" s="51"/>
      <c r="P630" s="25"/>
    </row>
    <row r="631">
      <c r="A631" s="25"/>
      <c r="B631" s="49"/>
      <c r="C631" s="50"/>
      <c r="D631" s="50"/>
      <c r="E631" s="50"/>
      <c r="F631" s="51"/>
      <c r="G631" s="51"/>
      <c r="H631" s="51"/>
      <c r="I631" s="51"/>
      <c r="J631" s="49"/>
      <c r="K631" s="51"/>
      <c r="L631" s="51"/>
      <c r="M631" s="52"/>
      <c r="N631" s="51"/>
      <c r="O631" s="51"/>
      <c r="P631" s="25"/>
    </row>
    <row r="632">
      <c r="A632" s="25"/>
      <c r="B632" s="49"/>
      <c r="C632" s="50"/>
      <c r="D632" s="50"/>
      <c r="E632" s="50"/>
      <c r="F632" s="51"/>
      <c r="G632" s="51"/>
      <c r="H632" s="51"/>
      <c r="I632" s="51"/>
      <c r="J632" s="49"/>
      <c r="K632" s="51"/>
      <c r="L632" s="51"/>
      <c r="M632" s="52"/>
      <c r="N632" s="51"/>
      <c r="O632" s="51"/>
      <c r="P632" s="25"/>
    </row>
    <row r="633">
      <c r="A633" s="25"/>
      <c r="B633" s="49"/>
      <c r="C633" s="50"/>
      <c r="D633" s="50"/>
      <c r="E633" s="50"/>
      <c r="F633" s="51"/>
      <c r="G633" s="51"/>
      <c r="H633" s="51"/>
      <c r="I633" s="51"/>
      <c r="J633" s="49"/>
      <c r="K633" s="51"/>
      <c r="L633" s="51"/>
      <c r="M633" s="52"/>
      <c r="N633" s="51"/>
      <c r="O633" s="51"/>
      <c r="P633" s="25"/>
    </row>
    <row r="634">
      <c r="A634" s="25"/>
      <c r="B634" s="49"/>
      <c r="C634" s="50"/>
      <c r="D634" s="50"/>
      <c r="E634" s="50"/>
      <c r="F634" s="51"/>
      <c r="G634" s="51"/>
      <c r="H634" s="51"/>
      <c r="I634" s="51"/>
      <c r="J634" s="49"/>
      <c r="K634" s="51"/>
      <c r="L634" s="51"/>
      <c r="M634" s="52"/>
      <c r="N634" s="51"/>
      <c r="O634" s="51"/>
      <c r="P634" s="25"/>
    </row>
    <row r="635">
      <c r="A635" s="25"/>
      <c r="B635" s="49"/>
      <c r="C635" s="50"/>
      <c r="D635" s="50"/>
      <c r="E635" s="50"/>
      <c r="F635" s="51"/>
      <c r="G635" s="51"/>
      <c r="H635" s="51"/>
      <c r="I635" s="51"/>
      <c r="J635" s="49"/>
      <c r="K635" s="51"/>
      <c r="L635" s="51"/>
      <c r="M635" s="52"/>
      <c r="N635" s="51"/>
      <c r="O635" s="51"/>
      <c r="P635" s="25"/>
    </row>
    <row r="636">
      <c r="A636" s="25"/>
      <c r="B636" s="49"/>
      <c r="C636" s="50"/>
      <c r="D636" s="50"/>
      <c r="E636" s="50"/>
      <c r="F636" s="51"/>
      <c r="G636" s="51"/>
      <c r="H636" s="51"/>
      <c r="I636" s="51"/>
      <c r="J636" s="49"/>
      <c r="K636" s="51"/>
      <c r="L636" s="51"/>
      <c r="M636" s="52"/>
      <c r="N636" s="51"/>
      <c r="O636" s="51"/>
      <c r="P636" s="25"/>
    </row>
    <row r="637">
      <c r="A637" s="25"/>
      <c r="B637" s="49"/>
      <c r="C637" s="50"/>
      <c r="D637" s="50"/>
      <c r="E637" s="50"/>
      <c r="F637" s="51"/>
      <c r="G637" s="51"/>
      <c r="H637" s="51"/>
      <c r="I637" s="51"/>
      <c r="J637" s="49"/>
      <c r="K637" s="51"/>
      <c r="L637" s="51"/>
      <c r="M637" s="52"/>
      <c r="N637" s="51"/>
      <c r="O637" s="51"/>
      <c r="P637" s="25"/>
    </row>
    <row r="638">
      <c r="A638" s="25"/>
      <c r="B638" s="49"/>
      <c r="C638" s="50"/>
      <c r="D638" s="50"/>
      <c r="E638" s="50"/>
      <c r="F638" s="51"/>
      <c r="G638" s="51"/>
      <c r="H638" s="51"/>
      <c r="I638" s="51"/>
      <c r="J638" s="49"/>
      <c r="K638" s="51"/>
      <c r="L638" s="51"/>
      <c r="M638" s="52"/>
      <c r="N638" s="51"/>
      <c r="O638" s="51"/>
      <c r="P638" s="25"/>
    </row>
    <row r="639">
      <c r="A639" s="25"/>
      <c r="B639" s="49"/>
      <c r="C639" s="50"/>
      <c r="D639" s="50"/>
      <c r="E639" s="50"/>
      <c r="F639" s="51"/>
      <c r="G639" s="51"/>
      <c r="H639" s="51"/>
      <c r="I639" s="51"/>
      <c r="J639" s="49"/>
      <c r="K639" s="51"/>
      <c r="L639" s="51"/>
      <c r="M639" s="52"/>
      <c r="N639" s="51"/>
      <c r="O639" s="51"/>
      <c r="P639" s="25"/>
    </row>
    <row r="640">
      <c r="A640" s="25"/>
      <c r="B640" s="49"/>
      <c r="C640" s="50"/>
      <c r="D640" s="50"/>
      <c r="E640" s="50"/>
      <c r="F640" s="51"/>
      <c r="G640" s="51"/>
      <c r="H640" s="51"/>
      <c r="I640" s="51"/>
      <c r="J640" s="49"/>
      <c r="K640" s="51"/>
      <c r="L640" s="51"/>
      <c r="M640" s="52"/>
      <c r="N640" s="51"/>
      <c r="O640" s="51"/>
      <c r="P640" s="25"/>
    </row>
    <row r="641">
      <c r="A641" s="25"/>
      <c r="B641" s="49"/>
      <c r="C641" s="50"/>
      <c r="D641" s="50"/>
      <c r="E641" s="50"/>
      <c r="F641" s="51"/>
      <c r="G641" s="51"/>
      <c r="H641" s="51"/>
      <c r="I641" s="51"/>
      <c r="J641" s="49"/>
      <c r="K641" s="51"/>
      <c r="L641" s="51"/>
      <c r="M641" s="52"/>
      <c r="N641" s="51"/>
      <c r="O641" s="51"/>
      <c r="P641" s="25"/>
    </row>
    <row r="642">
      <c r="A642" s="25"/>
      <c r="B642" s="49"/>
      <c r="C642" s="50"/>
      <c r="D642" s="50"/>
      <c r="E642" s="50"/>
      <c r="F642" s="51"/>
      <c r="G642" s="51"/>
      <c r="H642" s="51"/>
      <c r="I642" s="51"/>
      <c r="J642" s="49"/>
      <c r="K642" s="51"/>
      <c r="L642" s="51"/>
      <c r="M642" s="52"/>
      <c r="N642" s="51"/>
      <c r="O642" s="51"/>
      <c r="P642" s="25"/>
    </row>
    <row r="643">
      <c r="A643" s="25"/>
      <c r="B643" s="49"/>
      <c r="C643" s="50"/>
      <c r="D643" s="50"/>
      <c r="E643" s="50"/>
      <c r="F643" s="51"/>
      <c r="G643" s="51"/>
      <c r="H643" s="51"/>
      <c r="I643" s="51"/>
      <c r="J643" s="49"/>
      <c r="K643" s="51"/>
      <c r="L643" s="51"/>
      <c r="M643" s="52"/>
      <c r="N643" s="51"/>
      <c r="O643" s="51"/>
      <c r="P643" s="25"/>
    </row>
    <row r="644">
      <c r="A644" s="25"/>
      <c r="B644" s="49"/>
      <c r="C644" s="50"/>
      <c r="D644" s="50"/>
      <c r="E644" s="50"/>
      <c r="F644" s="51"/>
      <c r="G644" s="51"/>
      <c r="H644" s="51"/>
      <c r="I644" s="51"/>
      <c r="J644" s="49"/>
      <c r="K644" s="51"/>
      <c r="L644" s="51"/>
      <c r="M644" s="52"/>
      <c r="N644" s="51"/>
      <c r="O644" s="51"/>
      <c r="P644" s="25"/>
    </row>
    <row r="645">
      <c r="A645" s="25"/>
      <c r="B645" s="49"/>
      <c r="C645" s="50"/>
      <c r="D645" s="50"/>
      <c r="E645" s="50"/>
      <c r="F645" s="51"/>
      <c r="G645" s="51"/>
      <c r="H645" s="51"/>
      <c r="I645" s="51"/>
      <c r="J645" s="49"/>
      <c r="K645" s="51"/>
      <c r="L645" s="51"/>
      <c r="M645" s="52"/>
      <c r="N645" s="51"/>
      <c r="O645" s="51"/>
      <c r="P645" s="25"/>
    </row>
    <row r="646">
      <c r="A646" s="25"/>
      <c r="B646" s="49"/>
      <c r="C646" s="50"/>
      <c r="D646" s="50"/>
      <c r="E646" s="50"/>
      <c r="F646" s="51"/>
      <c r="G646" s="51"/>
      <c r="H646" s="51"/>
      <c r="I646" s="51"/>
      <c r="J646" s="49"/>
      <c r="K646" s="51"/>
      <c r="L646" s="51"/>
      <c r="M646" s="52"/>
      <c r="N646" s="51"/>
      <c r="O646" s="51"/>
      <c r="P646" s="25"/>
    </row>
    <row r="647">
      <c r="A647" s="25"/>
      <c r="B647" s="49"/>
      <c r="C647" s="50"/>
      <c r="D647" s="50"/>
      <c r="E647" s="50"/>
      <c r="F647" s="51"/>
      <c r="G647" s="51"/>
      <c r="H647" s="51"/>
      <c r="I647" s="51"/>
      <c r="J647" s="49"/>
      <c r="K647" s="51"/>
      <c r="L647" s="51"/>
      <c r="M647" s="52"/>
      <c r="N647" s="51"/>
      <c r="O647" s="51"/>
      <c r="P647" s="25"/>
    </row>
    <row r="648">
      <c r="A648" s="25"/>
      <c r="B648" s="49"/>
      <c r="C648" s="50"/>
      <c r="D648" s="50"/>
      <c r="E648" s="50"/>
      <c r="F648" s="51"/>
      <c r="G648" s="51"/>
      <c r="H648" s="51"/>
      <c r="I648" s="51"/>
      <c r="J648" s="49"/>
      <c r="K648" s="51"/>
      <c r="L648" s="51"/>
      <c r="M648" s="52"/>
      <c r="N648" s="51"/>
      <c r="O648" s="51"/>
      <c r="P648" s="25"/>
    </row>
    <row r="649">
      <c r="A649" s="25"/>
      <c r="B649" s="49"/>
      <c r="C649" s="50"/>
      <c r="D649" s="50"/>
      <c r="E649" s="50"/>
      <c r="F649" s="51"/>
      <c r="G649" s="51"/>
      <c r="H649" s="51"/>
      <c r="I649" s="51"/>
      <c r="J649" s="49"/>
      <c r="K649" s="51"/>
      <c r="L649" s="51"/>
      <c r="M649" s="52"/>
      <c r="N649" s="51"/>
      <c r="O649" s="51"/>
      <c r="P649" s="25"/>
    </row>
    <row r="650">
      <c r="A650" s="25"/>
      <c r="B650" s="49"/>
      <c r="C650" s="50"/>
      <c r="D650" s="50"/>
      <c r="E650" s="50"/>
      <c r="F650" s="51"/>
      <c r="G650" s="51"/>
      <c r="H650" s="51"/>
      <c r="I650" s="51"/>
      <c r="J650" s="49"/>
      <c r="K650" s="51"/>
      <c r="L650" s="51"/>
      <c r="M650" s="52"/>
      <c r="N650" s="51"/>
      <c r="O650" s="51"/>
      <c r="P650" s="25"/>
    </row>
    <row r="651">
      <c r="A651" s="25"/>
      <c r="B651" s="49"/>
      <c r="C651" s="50"/>
      <c r="D651" s="50"/>
      <c r="E651" s="50"/>
      <c r="F651" s="51"/>
      <c r="G651" s="51"/>
      <c r="H651" s="51"/>
      <c r="I651" s="51"/>
      <c r="J651" s="49"/>
      <c r="K651" s="51"/>
      <c r="L651" s="51"/>
      <c r="M651" s="52"/>
      <c r="N651" s="51"/>
      <c r="O651" s="51"/>
      <c r="P651" s="25"/>
    </row>
    <row r="652">
      <c r="A652" s="25"/>
      <c r="B652" s="49"/>
      <c r="C652" s="50"/>
      <c r="D652" s="50"/>
      <c r="E652" s="50"/>
      <c r="F652" s="51"/>
      <c r="G652" s="51"/>
      <c r="H652" s="51"/>
      <c r="I652" s="51"/>
      <c r="J652" s="49"/>
      <c r="K652" s="51"/>
      <c r="L652" s="51"/>
      <c r="M652" s="52"/>
      <c r="N652" s="51"/>
      <c r="O652" s="51"/>
      <c r="P652" s="25"/>
    </row>
    <row r="653">
      <c r="A653" s="25"/>
      <c r="B653" s="49"/>
      <c r="C653" s="50"/>
      <c r="D653" s="50"/>
      <c r="E653" s="50"/>
      <c r="F653" s="51"/>
      <c r="G653" s="51"/>
      <c r="H653" s="51"/>
      <c r="I653" s="51"/>
      <c r="J653" s="49"/>
      <c r="K653" s="51"/>
      <c r="L653" s="51"/>
      <c r="M653" s="52"/>
      <c r="N653" s="51"/>
      <c r="O653" s="51"/>
      <c r="P653" s="25"/>
    </row>
    <row r="654">
      <c r="A654" s="25"/>
      <c r="B654" s="49"/>
      <c r="C654" s="50"/>
      <c r="D654" s="50"/>
      <c r="E654" s="50"/>
      <c r="F654" s="51"/>
      <c r="G654" s="51"/>
      <c r="H654" s="51"/>
      <c r="I654" s="51"/>
      <c r="J654" s="49"/>
      <c r="K654" s="51"/>
      <c r="L654" s="51"/>
      <c r="M654" s="52"/>
      <c r="N654" s="51"/>
      <c r="O654" s="51"/>
      <c r="P654" s="25"/>
    </row>
    <row r="655">
      <c r="A655" s="25"/>
      <c r="B655" s="49"/>
      <c r="C655" s="50"/>
      <c r="D655" s="50"/>
      <c r="E655" s="50"/>
      <c r="F655" s="51"/>
      <c r="G655" s="51"/>
      <c r="H655" s="51"/>
      <c r="I655" s="51"/>
      <c r="J655" s="49"/>
      <c r="K655" s="51"/>
      <c r="L655" s="51"/>
      <c r="M655" s="52"/>
      <c r="N655" s="51"/>
      <c r="O655" s="51"/>
      <c r="P655" s="25"/>
    </row>
    <row r="656">
      <c r="A656" s="25"/>
      <c r="B656" s="49"/>
      <c r="C656" s="50"/>
      <c r="D656" s="50"/>
      <c r="E656" s="50"/>
      <c r="F656" s="51"/>
      <c r="G656" s="51"/>
      <c r="H656" s="51"/>
      <c r="I656" s="51"/>
      <c r="J656" s="49"/>
      <c r="K656" s="51"/>
      <c r="L656" s="51"/>
      <c r="M656" s="52"/>
      <c r="N656" s="51"/>
      <c r="O656" s="51"/>
      <c r="P656" s="25"/>
    </row>
    <row r="657">
      <c r="A657" s="25"/>
      <c r="B657" s="49"/>
      <c r="C657" s="50"/>
      <c r="D657" s="50"/>
      <c r="E657" s="50"/>
      <c r="F657" s="51"/>
      <c r="G657" s="51"/>
      <c r="H657" s="51"/>
      <c r="I657" s="51"/>
      <c r="J657" s="49"/>
      <c r="K657" s="51"/>
      <c r="L657" s="51"/>
      <c r="M657" s="52"/>
      <c r="N657" s="51"/>
      <c r="O657" s="51"/>
      <c r="P657" s="25"/>
    </row>
    <row r="658">
      <c r="A658" s="25"/>
      <c r="B658" s="49"/>
      <c r="C658" s="50"/>
      <c r="D658" s="50"/>
      <c r="E658" s="50"/>
      <c r="F658" s="51"/>
      <c r="G658" s="51"/>
      <c r="H658" s="51"/>
      <c r="I658" s="51"/>
      <c r="J658" s="49"/>
      <c r="K658" s="51"/>
      <c r="L658" s="51"/>
      <c r="M658" s="52"/>
      <c r="N658" s="51"/>
      <c r="O658" s="51"/>
      <c r="P658" s="25"/>
    </row>
    <row r="659">
      <c r="A659" s="25"/>
      <c r="B659" s="49"/>
      <c r="C659" s="50"/>
      <c r="D659" s="50"/>
      <c r="E659" s="50"/>
      <c r="F659" s="51"/>
      <c r="G659" s="51"/>
      <c r="H659" s="51"/>
      <c r="I659" s="51"/>
      <c r="J659" s="49"/>
      <c r="K659" s="51"/>
      <c r="L659" s="51"/>
      <c r="M659" s="52"/>
      <c r="N659" s="51"/>
      <c r="O659" s="51"/>
      <c r="P659" s="25"/>
    </row>
    <row r="660">
      <c r="A660" s="25"/>
      <c r="B660" s="49"/>
      <c r="C660" s="50"/>
      <c r="D660" s="50"/>
      <c r="E660" s="50"/>
      <c r="F660" s="51"/>
      <c r="G660" s="51"/>
      <c r="H660" s="51"/>
      <c r="I660" s="51"/>
      <c r="J660" s="49"/>
      <c r="K660" s="51"/>
      <c r="L660" s="51"/>
      <c r="M660" s="52"/>
      <c r="N660" s="51"/>
      <c r="O660" s="51"/>
      <c r="P660" s="25"/>
    </row>
    <row r="661">
      <c r="A661" s="25"/>
      <c r="B661" s="49"/>
      <c r="C661" s="50"/>
      <c r="D661" s="50"/>
      <c r="E661" s="50"/>
      <c r="F661" s="51"/>
      <c r="G661" s="51"/>
      <c r="H661" s="51"/>
      <c r="I661" s="51"/>
      <c r="J661" s="49"/>
      <c r="K661" s="51"/>
      <c r="L661" s="51"/>
      <c r="M661" s="52"/>
      <c r="N661" s="51"/>
      <c r="O661" s="51"/>
      <c r="P661" s="25"/>
    </row>
    <row r="662">
      <c r="A662" s="25"/>
      <c r="B662" s="49"/>
      <c r="C662" s="50"/>
      <c r="D662" s="50"/>
      <c r="E662" s="50"/>
      <c r="F662" s="51"/>
      <c r="G662" s="51"/>
      <c r="H662" s="51"/>
      <c r="I662" s="51"/>
      <c r="J662" s="49"/>
      <c r="K662" s="51"/>
      <c r="L662" s="51"/>
      <c r="M662" s="52"/>
      <c r="N662" s="51"/>
      <c r="O662" s="51"/>
      <c r="P662" s="25"/>
    </row>
    <row r="663">
      <c r="A663" s="25"/>
      <c r="B663" s="49"/>
      <c r="C663" s="50"/>
      <c r="D663" s="50"/>
      <c r="E663" s="50"/>
      <c r="F663" s="51"/>
      <c r="G663" s="51"/>
      <c r="H663" s="51"/>
      <c r="I663" s="51"/>
      <c r="J663" s="49"/>
      <c r="K663" s="51"/>
      <c r="L663" s="51"/>
      <c r="M663" s="52"/>
      <c r="N663" s="51"/>
      <c r="O663" s="51"/>
      <c r="P663" s="25"/>
    </row>
    <row r="664">
      <c r="A664" s="25"/>
      <c r="B664" s="49"/>
      <c r="C664" s="50"/>
      <c r="D664" s="50"/>
      <c r="E664" s="50"/>
      <c r="F664" s="51"/>
      <c r="G664" s="51"/>
      <c r="H664" s="51"/>
      <c r="I664" s="51"/>
      <c r="J664" s="49"/>
      <c r="K664" s="51"/>
      <c r="L664" s="51"/>
      <c r="M664" s="52"/>
      <c r="N664" s="51"/>
      <c r="O664" s="51"/>
      <c r="P664" s="25"/>
    </row>
    <row r="665">
      <c r="A665" s="25"/>
      <c r="B665" s="49"/>
      <c r="C665" s="50"/>
      <c r="D665" s="50"/>
      <c r="E665" s="50"/>
      <c r="F665" s="51"/>
      <c r="G665" s="51"/>
      <c r="H665" s="51"/>
      <c r="I665" s="51"/>
      <c r="J665" s="49"/>
      <c r="K665" s="51"/>
      <c r="L665" s="51"/>
      <c r="M665" s="52"/>
      <c r="N665" s="51"/>
      <c r="O665" s="51"/>
      <c r="P665" s="25"/>
    </row>
    <row r="666">
      <c r="A666" s="25"/>
      <c r="B666" s="49"/>
      <c r="C666" s="50"/>
      <c r="D666" s="50"/>
      <c r="E666" s="50"/>
      <c r="F666" s="51"/>
      <c r="G666" s="51"/>
      <c r="H666" s="51"/>
      <c r="I666" s="51"/>
      <c r="J666" s="49"/>
      <c r="K666" s="51"/>
      <c r="L666" s="51"/>
      <c r="M666" s="52"/>
      <c r="N666" s="51"/>
      <c r="O666" s="51"/>
      <c r="P666" s="25"/>
    </row>
    <row r="667">
      <c r="A667" s="25"/>
      <c r="B667" s="49"/>
      <c r="C667" s="50"/>
      <c r="D667" s="50"/>
      <c r="E667" s="50"/>
      <c r="F667" s="51"/>
      <c r="G667" s="51"/>
      <c r="H667" s="51"/>
      <c r="I667" s="51"/>
      <c r="J667" s="49"/>
      <c r="K667" s="51"/>
      <c r="L667" s="51"/>
      <c r="M667" s="52"/>
      <c r="N667" s="51"/>
      <c r="O667" s="51"/>
      <c r="P667" s="25"/>
    </row>
    <row r="668">
      <c r="A668" s="25"/>
      <c r="B668" s="49"/>
      <c r="C668" s="50"/>
      <c r="D668" s="50"/>
      <c r="E668" s="50"/>
      <c r="F668" s="51"/>
      <c r="G668" s="51"/>
      <c r="H668" s="51"/>
      <c r="I668" s="51"/>
      <c r="J668" s="49"/>
      <c r="K668" s="51"/>
      <c r="L668" s="51"/>
      <c r="M668" s="52"/>
      <c r="N668" s="51"/>
      <c r="O668" s="51"/>
      <c r="P668" s="25"/>
    </row>
    <row r="669">
      <c r="A669" s="25"/>
      <c r="B669" s="49"/>
      <c r="C669" s="50"/>
      <c r="D669" s="50"/>
      <c r="E669" s="50"/>
      <c r="F669" s="51"/>
      <c r="G669" s="51"/>
      <c r="H669" s="51"/>
      <c r="I669" s="51"/>
      <c r="J669" s="49"/>
      <c r="K669" s="51"/>
      <c r="L669" s="51"/>
      <c r="M669" s="52"/>
      <c r="N669" s="51"/>
      <c r="O669" s="51"/>
      <c r="P669" s="25"/>
    </row>
    <row r="670">
      <c r="A670" s="25"/>
      <c r="B670" s="49"/>
      <c r="C670" s="50"/>
      <c r="D670" s="50"/>
      <c r="E670" s="50"/>
      <c r="F670" s="51"/>
      <c r="G670" s="51"/>
      <c r="H670" s="51"/>
      <c r="I670" s="51"/>
      <c r="J670" s="49"/>
      <c r="K670" s="51"/>
      <c r="L670" s="51"/>
      <c r="M670" s="52"/>
      <c r="N670" s="51"/>
      <c r="O670" s="51"/>
      <c r="P670" s="25"/>
    </row>
    <row r="671">
      <c r="A671" s="25"/>
      <c r="B671" s="49"/>
      <c r="C671" s="50"/>
      <c r="D671" s="50"/>
      <c r="E671" s="50"/>
      <c r="F671" s="51"/>
      <c r="G671" s="51"/>
      <c r="H671" s="51"/>
      <c r="I671" s="51"/>
      <c r="J671" s="49"/>
      <c r="K671" s="51"/>
      <c r="L671" s="51"/>
      <c r="M671" s="52"/>
      <c r="N671" s="51"/>
      <c r="O671" s="51"/>
      <c r="P671" s="25"/>
    </row>
    <row r="672">
      <c r="A672" s="25"/>
      <c r="B672" s="49"/>
      <c r="C672" s="50"/>
      <c r="D672" s="50"/>
      <c r="E672" s="50"/>
      <c r="F672" s="51"/>
      <c r="G672" s="51"/>
      <c r="H672" s="51"/>
      <c r="I672" s="51"/>
      <c r="J672" s="49"/>
      <c r="K672" s="51"/>
      <c r="L672" s="51"/>
      <c r="M672" s="52"/>
      <c r="N672" s="51"/>
      <c r="O672" s="51"/>
      <c r="P672" s="25"/>
    </row>
    <row r="673">
      <c r="A673" s="25"/>
      <c r="B673" s="49"/>
      <c r="C673" s="50"/>
      <c r="D673" s="50"/>
      <c r="E673" s="50"/>
      <c r="F673" s="51"/>
      <c r="G673" s="51"/>
      <c r="H673" s="51"/>
      <c r="I673" s="51"/>
      <c r="J673" s="49"/>
      <c r="K673" s="51"/>
      <c r="L673" s="51"/>
      <c r="M673" s="52"/>
      <c r="N673" s="51"/>
      <c r="O673" s="51"/>
      <c r="P673" s="25"/>
    </row>
    <row r="674">
      <c r="A674" s="25"/>
      <c r="B674" s="49"/>
      <c r="C674" s="50"/>
      <c r="D674" s="50"/>
      <c r="E674" s="50"/>
      <c r="F674" s="51"/>
      <c r="G674" s="51"/>
      <c r="H674" s="51"/>
      <c r="I674" s="51"/>
      <c r="J674" s="49"/>
      <c r="K674" s="51"/>
      <c r="L674" s="51"/>
      <c r="M674" s="52"/>
      <c r="N674" s="51"/>
      <c r="O674" s="51"/>
      <c r="P674" s="25"/>
    </row>
    <row r="675">
      <c r="A675" s="25"/>
      <c r="B675" s="49"/>
      <c r="C675" s="50"/>
      <c r="D675" s="50"/>
      <c r="E675" s="50"/>
      <c r="F675" s="51"/>
      <c r="G675" s="51"/>
      <c r="H675" s="51"/>
      <c r="I675" s="51"/>
      <c r="J675" s="49"/>
      <c r="K675" s="51"/>
      <c r="L675" s="51"/>
      <c r="M675" s="52"/>
      <c r="N675" s="51"/>
      <c r="O675" s="51"/>
      <c r="P675" s="25"/>
    </row>
    <row r="676">
      <c r="A676" s="25"/>
      <c r="B676" s="49"/>
      <c r="C676" s="50"/>
      <c r="D676" s="50"/>
      <c r="E676" s="50"/>
      <c r="F676" s="51"/>
      <c r="G676" s="51"/>
      <c r="H676" s="51"/>
      <c r="I676" s="51"/>
      <c r="J676" s="49"/>
      <c r="K676" s="51"/>
      <c r="L676" s="51"/>
      <c r="M676" s="52"/>
      <c r="N676" s="51"/>
      <c r="O676" s="51"/>
      <c r="P676" s="25"/>
    </row>
    <row r="677">
      <c r="A677" s="25"/>
      <c r="B677" s="49"/>
      <c r="C677" s="50"/>
      <c r="D677" s="50"/>
      <c r="E677" s="50"/>
      <c r="F677" s="51"/>
      <c r="G677" s="51"/>
      <c r="H677" s="51"/>
      <c r="I677" s="51"/>
      <c r="J677" s="49"/>
      <c r="K677" s="51"/>
      <c r="L677" s="51"/>
      <c r="M677" s="52"/>
      <c r="N677" s="51"/>
      <c r="O677" s="51"/>
      <c r="P677" s="25"/>
    </row>
    <row r="678">
      <c r="A678" s="25"/>
      <c r="B678" s="49"/>
      <c r="C678" s="50"/>
      <c r="D678" s="50"/>
      <c r="E678" s="50"/>
      <c r="F678" s="51"/>
      <c r="G678" s="51"/>
      <c r="H678" s="51"/>
      <c r="I678" s="51"/>
      <c r="J678" s="49"/>
      <c r="K678" s="51"/>
      <c r="L678" s="51"/>
      <c r="M678" s="52"/>
      <c r="N678" s="51"/>
      <c r="O678" s="51"/>
      <c r="P678" s="25"/>
    </row>
    <row r="679">
      <c r="A679" s="25"/>
      <c r="B679" s="49"/>
      <c r="C679" s="50"/>
      <c r="D679" s="50"/>
      <c r="E679" s="50"/>
      <c r="F679" s="51"/>
      <c r="G679" s="51"/>
      <c r="H679" s="51"/>
      <c r="I679" s="51"/>
      <c r="J679" s="49"/>
      <c r="K679" s="51"/>
      <c r="L679" s="51"/>
      <c r="M679" s="52"/>
      <c r="N679" s="51"/>
      <c r="O679" s="51"/>
      <c r="P679" s="25"/>
    </row>
    <row r="680">
      <c r="A680" s="25"/>
      <c r="B680" s="49"/>
      <c r="C680" s="50"/>
      <c r="D680" s="50"/>
      <c r="E680" s="50"/>
      <c r="F680" s="51"/>
      <c r="G680" s="51"/>
      <c r="H680" s="51"/>
      <c r="I680" s="51"/>
      <c r="J680" s="49"/>
      <c r="K680" s="51"/>
      <c r="L680" s="51"/>
      <c r="M680" s="52"/>
      <c r="N680" s="51"/>
      <c r="O680" s="51"/>
      <c r="P680" s="25"/>
    </row>
    <row r="681">
      <c r="A681" s="25"/>
      <c r="B681" s="49"/>
      <c r="C681" s="50"/>
      <c r="D681" s="50"/>
      <c r="E681" s="50"/>
      <c r="F681" s="51"/>
      <c r="G681" s="51"/>
      <c r="H681" s="51"/>
      <c r="I681" s="51"/>
      <c r="J681" s="49"/>
      <c r="K681" s="51"/>
      <c r="L681" s="51"/>
      <c r="M681" s="52"/>
      <c r="N681" s="51"/>
      <c r="O681" s="51"/>
      <c r="P681" s="25"/>
    </row>
    <row r="682">
      <c r="A682" s="25"/>
      <c r="B682" s="49"/>
      <c r="C682" s="50"/>
      <c r="D682" s="50"/>
      <c r="E682" s="50"/>
      <c r="F682" s="51"/>
      <c r="G682" s="51"/>
      <c r="H682" s="51"/>
      <c r="I682" s="51"/>
      <c r="J682" s="49"/>
      <c r="K682" s="51"/>
      <c r="L682" s="51"/>
      <c r="M682" s="52"/>
      <c r="N682" s="51"/>
      <c r="O682" s="51"/>
      <c r="P682" s="25"/>
    </row>
    <row r="683">
      <c r="A683" s="25"/>
      <c r="B683" s="49"/>
      <c r="C683" s="50"/>
      <c r="D683" s="50"/>
      <c r="E683" s="50"/>
      <c r="F683" s="51"/>
      <c r="G683" s="51"/>
      <c r="H683" s="51"/>
      <c r="I683" s="51"/>
      <c r="J683" s="49"/>
      <c r="K683" s="51"/>
      <c r="L683" s="51"/>
      <c r="M683" s="52"/>
      <c r="N683" s="51"/>
      <c r="O683" s="51"/>
      <c r="P683" s="25"/>
    </row>
    <row r="684">
      <c r="A684" s="25"/>
      <c r="B684" s="49"/>
      <c r="C684" s="50"/>
      <c r="D684" s="50"/>
      <c r="E684" s="50"/>
      <c r="F684" s="51"/>
      <c r="G684" s="51"/>
      <c r="H684" s="51"/>
      <c r="I684" s="51"/>
      <c r="J684" s="49"/>
      <c r="K684" s="51"/>
      <c r="L684" s="51"/>
      <c r="M684" s="52"/>
      <c r="N684" s="51"/>
      <c r="O684" s="51"/>
      <c r="P684" s="25"/>
    </row>
    <row r="685">
      <c r="A685" s="25"/>
      <c r="B685" s="49"/>
      <c r="C685" s="50"/>
      <c r="D685" s="50"/>
      <c r="E685" s="50"/>
      <c r="F685" s="51"/>
      <c r="G685" s="51"/>
      <c r="H685" s="51"/>
      <c r="I685" s="51"/>
      <c r="J685" s="49"/>
      <c r="K685" s="51"/>
      <c r="L685" s="51"/>
      <c r="M685" s="52"/>
      <c r="N685" s="51"/>
      <c r="O685" s="51"/>
      <c r="P685" s="25"/>
    </row>
    <row r="686">
      <c r="A686" s="25"/>
      <c r="B686" s="49"/>
      <c r="C686" s="50"/>
      <c r="D686" s="50"/>
      <c r="E686" s="50"/>
      <c r="F686" s="51"/>
      <c r="G686" s="51"/>
      <c r="H686" s="51"/>
      <c r="I686" s="51"/>
      <c r="J686" s="49"/>
      <c r="K686" s="51"/>
      <c r="L686" s="51"/>
      <c r="M686" s="52"/>
      <c r="N686" s="51"/>
      <c r="O686" s="51"/>
      <c r="P686" s="25"/>
    </row>
    <row r="687">
      <c r="A687" s="25"/>
      <c r="B687" s="49"/>
      <c r="C687" s="50"/>
      <c r="D687" s="50"/>
      <c r="E687" s="50"/>
      <c r="F687" s="51"/>
      <c r="G687" s="51"/>
      <c r="H687" s="51"/>
      <c r="I687" s="51"/>
      <c r="J687" s="49"/>
      <c r="K687" s="51"/>
      <c r="L687" s="51"/>
      <c r="M687" s="52"/>
      <c r="N687" s="51"/>
      <c r="O687" s="51"/>
      <c r="P687" s="25"/>
    </row>
    <row r="688">
      <c r="A688" s="25"/>
      <c r="B688" s="49"/>
      <c r="C688" s="50"/>
      <c r="D688" s="50"/>
      <c r="E688" s="50"/>
      <c r="F688" s="51"/>
      <c r="G688" s="51"/>
      <c r="H688" s="51"/>
      <c r="I688" s="51"/>
      <c r="J688" s="49"/>
      <c r="K688" s="51"/>
      <c r="L688" s="51"/>
      <c r="M688" s="52"/>
      <c r="N688" s="51"/>
      <c r="O688" s="51"/>
      <c r="P688" s="25"/>
    </row>
    <row r="689">
      <c r="A689" s="25"/>
      <c r="B689" s="49"/>
      <c r="C689" s="50"/>
      <c r="D689" s="50"/>
      <c r="E689" s="50"/>
      <c r="F689" s="51"/>
      <c r="G689" s="51"/>
      <c r="H689" s="51"/>
      <c r="I689" s="51"/>
      <c r="J689" s="49"/>
      <c r="K689" s="51"/>
      <c r="L689" s="51"/>
      <c r="M689" s="52"/>
      <c r="N689" s="51"/>
      <c r="O689" s="51"/>
      <c r="P689" s="25"/>
    </row>
    <row r="690">
      <c r="A690" s="25"/>
      <c r="B690" s="49"/>
      <c r="C690" s="50"/>
      <c r="D690" s="50"/>
      <c r="E690" s="50"/>
      <c r="F690" s="51"/>
      <c r="G690" s="51"/>
      <c r="H690" s="51"/>
      <c r="I690" s="51"/>
      <c r="J690" s="49"/>
      <c r="K690" s="51"/>
      <c r="L690" s="51"/>
      <c r="M690" s="52"/>
      <c r="N690" s="51"/>
      <c r="O690" s="51"/>
      <c r="P690" s="25"/>
    </row>
    <row r="691">
      <c r="A691" s="25"/>
      <c r="B691" s="49"/>
      <c r="C691" s="50"/>
      <c r="D691" s="50"/>
      <c r="E691" s="50"/>
      <c r="F691" s="51"/>
      <c r="G691" s="51"/>
      <c r="H691" s="51"/>
      <c r="I691" s="51"/>
      <c r="J691" s="49"/>
      <c r="K691" s="51"/>
      <c r="L691" s="51"/>
      <c r="M691" s="52"/>
      <c r="N691" s="51"/>
      <c r="O691" s="51"/>
      <c r="P691" s="25"/>
    </row>
    <row r="692">
      <c r="A692" s="25"/>
      <c r="B692" s="49"/>
      <c r="C692" s="50"/>
      <c r="D692" s="50"/>
      <c r="E692" s="50"/>
      <c r="F692" s="51"/>
      <c r="G692" s="51"/>
      <c r="H692" s="51"/>
      <c r="I692" s="51"/>
      <c r="J692" s="49"/>
      <c r="K692" s="51"/>
      <c r="L692" s="51"/>
      <c r="M692" s="52"/>
      <c r="N692" s="51"/>
      <c r="O692" s="51"/>
      <c r="P692" s="25"/>
    </row>
    <row r="693">
      <c r="A693" s="25"/>
      <c r="B693" s="49"/>
      <c r="C693" s="50"/>
      <c r="D693" s="50"/>
      <c r="E693" s="50"/>
      <c r="F693" s="51"/>
      <c r="G693" s="51"/>
      <c r="H693" s="51"/>
      <c r="I693" s="51"/>
      <c r="J693" s="49"/>
      <c r="K693" s="51"/>
      <c r="L693" s="51"/>
      <c r="M693" s="52"/>
      <c r="N693" s="51"/>
      <c r="O693" s="51"/>
      <c r="P693" s="25"/>
    </row>
    <row r="694">
      <c r="A694" s="25"/>
      <c r="B694" s="49"/>
      <c r="C694" s="50"/>
      <c r="D694" s="50"/>
      <c r="E694" s="50"/>
      <c r="F694" s="51"/>
      <c r="G694" s="51"/>
      <c r="H694" s="51"/>
      <c r="I694" s="51"/>
      <c r="J694" s="49"/>
      <c r="K694" s="51"/>
      <c r="L694" s="51"/>
      <c r="M694" s="52"/>
      <c r="N694" s="51"/>
      <c r="O694" s="51"/>
      <c r="P694" s="25"/>
    </row>
    <row r="695">
      <c r="A695" s="25"/>
      <c r="B695" s="49"/>
      <c r="C695" s="50"/>
      <c r="D695" s="50"/>
      <c r="E695" s="50"/>
      <c r="F695" s="51"/>
      <c r="G695" s="51"/>
      <c r="H695" s="51"/>
      <c r="I695" s="51"/>
      <c r="J695" s="49"/>
      <c r="K695" s="51"/>
      <c r="L695" s="51"/>
      <c r="M695" s="52"/>
      <c r="N695" s="51"/>
      <c r="O695" s="51"/>
      <c r="P695" s="25"/>
    </row>
    <row r="696">
      <c r="A696" s="25"/>
      <c r="B696" s="49"/>
      <c r="C696" s="50"/>
      <c r="D696" s="50"/>
      <c r="E696" s="50"/>
      <c r="F696" s="51"/>
      <c r="G696" s="51"/>
      <c r="H696" s="51"/>
      <c r="I696" s="51"/>
      <c r="J696" s="49"/>
      <c r="K696" s="51"/>
      <c r="L696" s="51"/>
      <c r="M696" s="52"/>
      <c r="N696" s="51"/>
      <c r="O696" s="51"/>
      <c r="P696" s="25"/>
    </row>
    <row r="697">
      <c r="A697" s="25"/>
      <c r="B697" s="49"/>
      <c r="C697" s="50"/>
      <c r="D697" s="50"/>
      <c r="E697" s="50"/>
      <c r="F697" s="51"/>
      <c r="G697" s="51"/>
      <c r="H697" s="51"/>
      <c r="I697" s="51"/>
      <c r="J697" s="49"/>
      <c r="K697" s="51"/>
      <c r="L697" s="51"/>
      <c r="M697" s="52"/>
      <c r="N697" s="51"/>
      <c r="O697" s="51"/>
      <c r="P697" s="25"/>
    </row>
    <row r="698">
      <c r="A698" s="25"/>
      <c r="B698" s="49"/>
      <c r="C698" s="50"/>
      <c r="D698" s="50"/>
      <c r="E698" s="50"/>
      <c r="F698" s="51"/>
      <c r="G698" s="51"/>
      <c r="H698" s="51"/>
      <c r="I698" s="51"/>
      <c r="J698" s="49"/>
      <c r="K698" s="51"/>
      <c r="L698" s="51"/>
      <c r="M698" s="52"/>
      <c r="N698" s="51"/>
      <c r="O698" s="51"/>
      <c r="P698" s="25"/>
    </row>
    <row r="699">
      <c r="A699" s="25"/>
      <c r="B699" s="49"/>
      <c r="C699" s="50"/>
      <c r="D699" s="50"/>
      <c r="E699" s="50"/>
      <c r="F699" s="51"/>
      <c r="G699" s="51"/>
      <c r="H699" s="51"/>
      <c r="I699" s="51"/>
      <c r="J699" s="49"/>
      <c r="K699" s="51"/>
      <c r="L699" s="51"/>
      <c r="M699" s="52"/>
      <c r="N699" s="51"/>
      <c r="O699" s="51"/>
      <c r="P699" s="25"/>
    </row>
    <row r="700">
      <c r="A700" s="25"/>
      <c r="B700" s="49"/>
      <c r="C700" s="50"/>
      <c r="D700" s="50"/>
      <c r="E700" s="50"/>
      <c r="F700" s="51"/>
      <c r="G700" s="51"/>
      <c r="H700" s="51"/>
      <c r="I700" s="51"/>
      <c r="J700" s="49"/>
      <c r="K700" s="51"/>
      <c r="L700" s="51"/>
      <c r="M700" s="52"/>
      <c r="N700" s="51"/>
      <c r="O700" s="51"/>
      <c r="P700" s="25"/>
    </row>
    <row r="701">
      <c r="A701" s="25"/>
      <c r="B701" s="49"/>
      <c r="C701" s="50"/>
      <c r="D701" s="50"/>
      <c r="E701" s="50"/>
      <c r="F701" s="51"/>
      <c r="G701" s="51"/>
      <c r="H701" s="51"/>
      <c r="I701" s="51"/>
      <c r="J701" s="49"/>
      <c r="K701" s="51"/>
      <c r="L701" s="51"/>
      <c r="M701" s="52"/>
      <c r="N701" s="51"/>
      <c r="O701" s="51"/>
      <c r="P701" s="25"/>
    </row>
    <row r="702">
      <c r="A702" s="25"/>
      <c r="B702" s="49"/>
      <c r="C702" s="50"/>
      <c r="D702" s="50"/>
      <c r="E702" s="50"/>
      <c r="F702" s="51"/>
      <c r="G702" s="51"/>
      <c r="H702" s="51"/>
      <c r="I702" s="51"/>
      <c r="J702" s="49"/>
      <c r="K702" s="51"/>
      <c r="L702" s="51"/>
      <c r="M702" s="52"/>
      <c r="N702" s="51"/>
      <c r="O702" s="51"/>
      <c r="P702" s="25"/>
    </row>
    <row r="703">
      <c r="A703" s="25"/>
      <c r="B703" s="49"/>
      <c r="C703" s="50"/>
      <c r="D703" s="50"/>
      <c r="E703" s="50"/>
      <c r="F703" s="51"/>
      <c r="G703" s="51"/>
      <c r="H703" s="51"/>
      <c r="I703" s="51"/>
      <c r="J703" s="49"/>
      <c r="K703" s="51"/>
      <c r="L703" s="51"/>
      <c r="M703" s="52"/>
      <c r="N703" s="51"/>
      <c r="O703" s="51"/>
      <c r="P703" s="25"/>
    </row>
    <row r="704">
      <c r="A704" s="25"/>
      <c r="B704" s="49"/>
      <c r="C704" s="50"/>
      <c r="D704" s="50"/>
      <c r="E704" s="50"/>
      <c r="F704" s="51"/>
      <c r="G704" s="51"/>
      <c r="H704" s="51"/>
      <c r="I704" s="51"/>
      <c r="J704" s="49"/>
      <c r="K704" s="51"/>
      <c r="L704" s="51"/>
      <c r="M704" s="52"/>
      <c r="N704" s="51"/>
      <c r="O704" s="51"/>
      <c r="P704" s="25"/>
    </row>
    <row r="705">
      <c r="A705" s="25"/>
      <c r="B705" s="49"/>
      <c r="C705" s="50"/>
      <c r="D705" s="50"/>
      <c r="E705" s="50"/>
      <c r="F705" s="51"/>
      <c r="G705" s="51"/>
      <c r="H705" s="51"/>
      <c r="I705" s="51"/>
      <c r="J705" s="49"/>
      <c r="K705" s="51"/>
      <c r="L705" s="51"/>
      <c r="M705" s="52"/>
      <c r="N705" s="51"/>
      <c r="O705" s="51"/>
      <c r="P705" s="25"/>
    </row>
    <row r="706">
      <c r="A706" s="25"/>
      <c r="B706" s="49"/>
      <c r="C706" s="50"/>
      <c r="D706" s="50"/>
      <c r="E706" s="50"/>
      <c r="F706" s="51"/>
      <c r="G706" s="51"/>
      <c r="H706" s="51"/>
      <c r="I706" s="51"/>
      <c r="J706" s="49"/>
      <c r="K706" s="51"/>
      <c r="L706" s="51"/>
      <c r="M706" s="52"/>
      <c r="N706" s="51"/>
      <c r="O706" s="51"/>
      <c r="P706" s="25"/>
    </row>
    <row r="707">
      <c r="A707" s="25"/>
      <c r="B707" s="49"/>
      <c r="C707" s="50"/>
      <c r="D707" s="50"/>
      <c r="E707" s="50"/>
      <c r="F707" s="51"/>
      <c r="G707" s="51"/>
      <c r="H707" s="51"/>
      <c r="I707" s="51"/>
      <c r="J707" s="49"/>
      <c r="K707" s="51"/>
      <c r="L707" s="51"/>
      <c r="M707" s="52"/>
      <c r="N707" s="51"/>
      <c r="O707" s="51"/>
      <c r="P707" s="25"/>
    </row>
    <row r="708">
      <c r="A708" s="25"/>
      <c r="B708" s="49"/>
      <c r="C708" s="50"/>
      <c r="D708" s="50"/>
      <c r="E708" s="50"/>
      <c r="F708" s="51"/>
      <c r="G708" s="51"/>
      <c r="H708" s="51"/>
      <c r="I708" s="51"/>
      <c r="J708" s="49"/>
      <c r="K708" s="51"/>
      <c r="L708" s="51"/>
      <c r="M708" s="52"/>
      <c r="N708" s="51"/>
      <c r="O708" s="51"/>
      <c r="P708" s="25"/>
    </row>
    <row r="709">
      <c r="A709" s="25"/>
      <c r="B709" s="49"/>
      <c r="C709" s="50"/>
      <c r="D709" s="50"/>
      <c r="E709" s="50"/>
      <c r="F709" s="51"/>
      <c r="G709" s="51"/>
      <c r="H709" s="51"/>
      <c r="I709" s="51"/>
      <c r="J709" s="49"/>
      <c r="K709" s="51"/>
      <c r="L709" s="51"/>
      <c r="M709" s="52"/>
      <c r="N709" s="51"/>
      <c r="O709" s="51"/>
      <c r="P709" s="25"/>
    </row>
    <row r="710">
      <c r="A710" s="25"/>
      <c r="B710" s="49"/>
      <c r="C710" s="50"/>
      <c r="D710" s="50"/>
      <c r="E710" s="50"/>
      <c r="F710" s="51"/>
      <c r="G710" s="51"/>
      <c r="H710" s="51"/>
      <c r="I710" s="51"/>
      <c r="J710" s="49"/>
      <c r="K710" s="51"/>
      <c r="L710" s="51"/>
      <c r="M710" s="52"/>
      <c r="N710" s="51"/>
      <c r="O710" s="51"/>
      <c r="P710" s="25"/>
    </row>
    <row r="711">
      <c r="A711" s="25"/>
      <c r="B711" s="49"/>
      <c r="C711" s="50"/>
      <c r="D711" s="50"/>
      <c r="E711" s="50"/>
      <c r="F711" s="51"/>
      <c r="G711" s="51"/>
      <c r="H711" s="51"/>
      <c r="I711" s="51"/>
      <c r="J711" s="49"/>
      <c r="K711" s="51"/>
      <c r="L711" s="51"/>
      <c r="M711" s="52"/>
      <c r="N711" s="51"/>
      <c r="O711" s="51"/>
      <c r="P711" s="25"/>
    </row>
    <row r="712">
      <c r="A712" s="25"/>
      <c r="B712" s="49"/>
      <c r="C712" s="50"/>
      <c r="D712" s="50"/>
      <c r="E712" s="50"/>
      <c r="F712" s="51"/>
      <c r="G712" s="51"/>
      <c r="H712" s="51"/>
      <c r="I712" s="51"/>
      <c r="J712" s="49"/>
      <c r="K712" s="51"/>
      <c r="L712" s="51"/>
      <c r="M712" s="52"/>
      <c r="N712" s="51"/>
      <c r="O712" s="51"/>
      <c r="P712" s="25"/>
    </row>
    <row r="713">
      <c r="A713" s="25"/>
      <c r="B713" s="49"/>
      <c r="C713" s="50"/>
      <c r="D713" s="50"/>
      <c r="E713" s="50"/>
      <c r="F713" s="51"/>
      <c r="G713" s="51"/>
      <c r="H713" s="51"/>
      <c r="I713" s="51"/>
      <c r="J713" s="49"/>
      <c r="K713" s="51"/>
      <c r="L713" s="51"/>
      <c r="M713" s="52"/>
      <c r="N713" s="51"/>
      <c r="O713" s="51"/>
      <c r="P713" s="25"/>
    </row>
    <row r="714">
      <c r="A714" s="25"/>
      <c r="B714" s="49"/>
      <c r="C714" s="50"/>
      <c r="D714" s="50"/>
      <c r="E714" s="50"/>
      <c r="F714" s="51"/>
      <c r="G714" s="51"/>
      <c r="H714" s="51"/>
      <c r="I714" s="51"/>
      <c r="J714" s="49"/>
      <c r="K714" s="51"/>
      <c r="L714" s="51"/>
      <c r="M714" s="52"/>
      <c r="N714" s="51"/>
      <c r="O714" s="51"/>
      <c r="P714" s="25"/>
    </row>
    <row r="715">
      <c r="A715" s="25"/>
      <c r="B715" s="49"/>
      <c r="C715" s="50"/>
      <c r="D715" s="50"/>
      <c r="E715" s="50"/>
      <c r="F715" s="51"/>
      <c r="G715" s="51"/>
      <c r="H715" s="51"/>
      <c r="I715" s="51"/>
      <c r="J715" s="49"/>
      <c r="K715" s="51"/>
      <c r="L715" s="51"/>
      <c r="M715" s="52"/>
      <c r="N715" s="51"/>
      <c r="O715" s="51"/>
      <c r="P715" s="25"/>
    </row>
    <row r="716">
      <c r="A716" s="25"/>
      <c r="B716" s="49"/>
      <c r="C716" s="50"/>
      <c r="D716" s="50"/>
      <c r="E716" s="50"/>
      <c r="F716" s="51"/>
      <c r="G716" s="51"/>
      <c r="H716" s="51"/>
      <c r="I716" s="51"/>
      <c r="J716" s="49"/>
      <c r="K716" s="51"/>
      <c r="L716" s="51"/>
      <c r="M716" s="52"/>
      <c r="N716" s="51"/>
      <c r="O716" s="51"/>
      <c r="P716" s="25"/>
    </row>
    <row r="717">
      <c r="A717" s="25"/>
      <c r="B717" s="49"/>
      <c r="C717" s="50"/>
      <c r="D717" s="50"/>
      <c r="E717" s="50"/>
      <c r="F717" s="51"/>
      <c r="G717" s="51"/>
      <c r="H717" s="51"/>
      <c r="I717" s="51"/>
      <c r="J717" s="49"/>
      <c r="K717" s="51"/>
      <c r="L717" s="51"/>
      <c r="M717" s="52"/>
      <c r="N717" s="51"/>
      <c r="O717" s="51"/>
      <c r="P717" s="25"/>
    </row>
    <row r="718">
      <c r="A718" s="25"/>
      <c r="B718" s="49"/>
      <c r="C718" s="50"/>
      <c r="D718" s="50"/>
      <c r="E718" s="50"/>
      <c r="F718" s="51"/>
      <c r="G718" s="51"/>
      <c r="H718" s="51"/>
      <c r="I718" s="51"/>
      <c r="J718" s="49"/>
      <c r="K718" s="51"/>
      <c r="L718" s="51"/>
      <c r="M718" s="52"/>
      <c r="N718" s="51"/>
      <c r="O718" s="51"/>
      <c r="P718" s="25"/>
    </row>
    <row r="719">
      <c r="A719" s="25"/>
      <c r="B719" s="49"/>
      <c r="C719" s="50"/>
      <c r="D719" s="50"/>
      <c r="E719" s="50"/>
      <c r="F719" s="51"/>
      <c r="G719" s="51"/>
      <c r="H719" s="51"/>
      <c r="I719" s="51"/>
      <c r="J719" s="49"/>
      <c r="K719" s="51"/>
      <c r="L719" s="51"/>
      <c r="M719" s="52"/>
      <c r="N719" s="51"/>
      <c r="O719" s="51"/>
      <c r="P719" s="25"/>
    </row>
    <row r="720">
      <c r="A720" s="25"/>
      <c r="B720" s="49"/>
      <c r="C720" s="50"/>
      <c r="D720" s="50"/>
      <c r="E720" s="50"/>
      <c r="F720" s="51"/>
      <c r="G720" s="51"/>
      <c r="H720" s="51"/>
      <c r="I720" s="51"/>
      <c r="J720" s="49"/>
      <c r="K720" s="51"/>
      <c r="L720" s="51"/>
      <c r="M720" s="52"/>
      <c r="N720" s="51"/>
      <c r="O720" s="51"/>
      <c r="P720" s="25"/>
    </row>
    <row r="721">
      <c r="A721" s="25"/>
      <c r="B721" s="49"/>
      <c r="C721" s="50"/>
      <c r="D721" s="50"/>
      <c r="E721" s="50"/>
      <c r="F721" s="51"/>
      <c r="G721" s="51"/>
      <c r="H721" s="51"/>
      <c r="I721" s="51"/>
      <c r="J721" s="49"/>
      <c r="K721" s="51"/>
      <c r="L721" s="51"/>
      <c r="M721" s="52"/>
      <c r="N721" s="51"/>
      <c r="O721" s="51"/>
      <c r="P721" s="25"/>
    </row>
    <row r="722">
      <c r="A722" s="25"/>
      <c r="B722" s="49"/>
      <c r="C722" s="50"/>
      <c r="D722" s="50"/>
      <c r="E722" s="50"/>
      <c r="F722" s="51"/>
      <c r="G722" s="51"/>
      <c r="H722" s="51"/>
      <c r="I722" s="51"/>
      <c r="J722" s="49"/>
      <c r="K722" s="51"/>
      <c r="L722" s="51"/>
      <c r="M722" s="52"/>
      <c r="N722" s="51"/>
      <c r="O722" s="51"/>
      <c r="P722" s="25"/>
    </row>
    <row r="723">
      <c r="A723" s="25"/>
      <c r="B723" s="49"/>
      <c r="C723" s="50"/>
      <c r="D723" s="50"/>
      <c r="E723" s="50"/>
      <c r="F723" s="51"/>
      <c r="G723" s="51"/>
      <c r="H723" s="51"/>
      <c r="I723" s="51"/>
      <c r="J723" s="49"/>
      <c r="K723" s="51"/>
      <c r="L723" s="51"/>
      <c r="M723" s="52"/>
      <c r="N723" s="51"/>
      <c r="O723" s="51"/>
      <c r="P723" s="25"/>
    </row>
    <row r="724">
      <c r="A724" s="25"/>
      <c r="B724" s="49"/>
      <c r="C724" s="50"/>
      <c r="D724" s="50"/>
      <c r="E724" s="50"/>
      <c r="F724" s="51"/>
      <c r="G724" s="51"/>
      <c r="H724" s="51"/>
      <c r="I724" s="51"/>
      <c r="J724" s="49"/>
      <c r="K724" s="51"/>
      <c r="L724" s="51"/>
      <c r="M724" s="52"/>
      <c r="N724" s="51"/>
      <c r="O724" s="51"/>
      <c r="P724" s="25"/>
    </row>
    <row r="725">
      <c r="A725" s="25"/>
      <c r="B725" s="49"/>
      <c r="C725" s="50"/>
      <c r="D725" s="50"/>
      <c r="E725" s="50"/>
      <c r="F725" s="51"/>
      <c r="G725" s="51"/>
      <c r="H725" s="51"/>
      <c r="I725" s="51"/>
      <c r="J725" s="49"/>
      <c r="K725" s="51"/>
      <c r="L725" s="51"/>
      <c r="M725" s="52"/>
      <c r="N725" s="51"/>
      <c r="O725" s="51"/>
      <c r="P725" s="25"/>
    </row>
    <row r="726">
      <c r="A726" s="25"/>
      <c r="B726" s="49"/>
      <c r="C726" s="50"/>
      <c r="D726" s="50"/>
      <c r="E726" s="50"/>
      <c r="F726" s="51"/>
      <c r="G726" s="51"/>
      <c r="H726" s="51"/>
      <c r="I726" s="51"/>
      <c r="J726" s="49"/>
      <c r="K726" s="51"/>
      <c r="L726" s="51"/>
      <c r="M726" s="52"/>
      <c r="N726" s="51"/>
      <c r="O726" s="51"/>
      <c r="P726" s="25"/>
    </row>
    <row r="727">
      <c r="A727" s="25"/>
      <c r="B727" s="49"/>
      <c r="C727" s="50"/>
      <c r="D727" s="50"/>
      <c r="E727" s="50"/>
      <c r="F727" s="51"/>
      <c r="G727" s="51"/>
      <c r="H727" s="51"/>
      <c r="I727" s="51"/>
      <c r="J727" s="49"/>
      <c r="K727" s="51"/>
      <c r="L727" s="51"/>
      <c r="M727" s="52"/>
      <c r="N727" s="51"/>
      <c r="O727" s="51"/>
      <c r="P727" s="25"/>
    </row>
    <row r="728">
      <c r="A728" s="25"/>
      <c r="B728" s="49"/>
      <c r="C728" s="50"/>
      <c r="D728" s="50"/>
      <c r="E728" s="50"/>
      <c r="F728" s="51"/>
      <c r="G728" s="51"/>
      <c r="H728" s="51"/>
      <c r="I728" s="51"/>
      <c r="J728" s="49"/>
      <c r="K728" s="51"/>
      <c r="L728" s="51"/>
      <c r="M728" s="52"/>
      <c r="N728" s="51"/>
      <c r="O728" s="51"/>
      <c r="P728" s="25"/>
    </row>
    <row r="729">
      <c r="A729" s="25"/>
      <c r="B729" s="49"/>
      <c r="C729" s="50"/>
      <c r="D729" s="50"/>
      <c r="E729" s="50"/>
      <c r="F729" s="51"/>
      <c r="G729" s="51"/>
      <c r="H729" s="51"/>
      <c r="I729" s="51"/>
      <c r="J729" s="49"/>
      <c r="K729" s="51"/>
      <c r="L729" s="51"/>
      <c r="M729" s="52"/>
      <c r="N729" s="51"/>
      <c r="O729" s="51"/>
      <c r="P729" s="25"/>
    </row>
    <row r="730">
      <c r="A730" s="25"/>
      <c r="B730" s="49"/>
      <c r="C730" s="50"/>
      <c r="D730" s="50"/>
      <c r="E730" s="50"/>
      <c r="F730" s="51"/>
      <c r="G730" s="51"/>
      <c r="H730" s="51"/>
      <c r="I730" s="51"/>
      <c r="J730" s="49"/>
      <c r="K730" s="51"/>
      <c r="L730" s="51"/>
      <c r="M730" s="52"/>
      <c r="N730" s="51"/>
      <c r="O730" s="51"/>
      <c r="P730" s="25"/>
    </row>
    <row r="731">
      <c r="A731" s="25"/>
      <c r="B731" s="49"/>
      <c r="C731" s="50"/>
      <c r="D731" s="50"/>
      <c r="E731" s="50"/>
      <c r="F731" s="51"/>
      <c r="G731" s="51"/>
      <c r="H731" s="51"/>
      <c r="I731" s="51"/>
      <c r="J731" s="49"/>
      <c r="K731" s="51"/>
      <c r="L731" s="51"/>
      <c r="M731" s="52"/>
      <c r="N731" s="51"/>
      <c r="O731" s="51"/>
      <c r="P731" s="25"/>
    </row>
    <row r="732">
      <c r="A732" s="25"/>
      <c r="B732" s="49"/>
      <c r="C732" s="50"/>
      <c r="D732" s="50"/>
      <c r="E732" s="50"/>
      <c r="F732" s="51"/>
      <c r="G732" s="51"/>
      <c r="H732" s="51"/>
      <c r="I732" s="51"/>
      <c r="J732" s="49"/>
      <c r="K732" s="51"/>
      <c r="L732" s="51"/>
      <c r="M732" s="52"/>
      <c r="N732" s="51"/>
      <c r="O732" s="51"/>
      <c r="P732" s="25"/>
    </row>
    <row r="733">
      <c r="A733" s="25"/>
      <c r="B733" s="49"/>
      <c r="C733" s="50"/>
      <c r="D733" s="50"/>
      <c r="E733" s="50"/>
      <c r="F733" s="51"/>
      <c r="G733" s="51"/>
      <c r="H733" s="51"/>
      <c r="I733" s="51"/>
      <c r="J733" s="49"/>
      <c r="K733" s="51"/>
      <c r="L733" s="51"/>
      <c r="M733" s="52"/>
      <c r="N733" s="51"/>
      <c r="O733" s="51"/>
      <c r="P733" s="25"/>
    </row>
    <row r="734">
      <c r="A734" s="25"/>
      <c r="B734" s="49"/>
      <c r="C734" s="50"/>
      <c r="D734" s="50"/>
      <c r="E734" s="50"/>
      <c r="F734" s="51"/>
      <c r="G734" s="51"/>
      <c r="H734" s="51"/>
      <c r="I734" s="51"/>
      <c r="J734" s="49"/>
      <c r="K734" s="51"/>
      <c r="L734" s="51"/>
      <c r="M734" s="52"/>
      <c r="N734" s="51"/>
      <c r="O734" s="51"/>
      <c r="P734" s="25"/>
    </row>
    <row r="735">
      <c r="A735" s="25"/>
      <c r="B735" s="49"/>
      <c r="C735" s="50"/>
      <c r="D735" s="50"/>
      <c r="E735" s="50"/>
      <c r="F735" s="51"/>
      <c r="G735" s="51"/>
      <c r="H735" s="51"/>
      <c r="I735" s="51"/>
      <c r="J735" s="49"/>
      <c r="K735" s="51"/>
      <c r="L735" s="51"/>
      <c r="M735" s="52"/>
      <c r="N735" s="51"/>
      <c r="O735" s="51"/>
      <c r="P735" s="25"/>
    </row>
    <row r="736">
      <c r="A736" s="25"/>
      <c r="B736" s="49"/>
      <c r="C736" s="50"/>
      <c r="D736" s="50"/>
      <c r="E736" s="50"/>
      <c r="F736" s="51"/>
      <c r="G736" s="51"/>
      <c r="H736" s="51"/>
      <c r="I736" s="51"/>
      <c r="J736" s="49"/>
      <c r="K736" s="51"/>
      <c r="L736" s="51"/>
      <c r="M736" s="52"/>
      <c r="N736" s="51"/>
      <c r="O736" s="51"/>
      <c r="P736" s="25"/>
    </row>
    <row r="737">
      <c r="A737" s="25"/>
      <c r="B737" s="49"/>
      <c r="C737" s="50"/>
      <c r="D737" s="50"/>
      <c r="E737" s="50"/>
      <c r="F737" s="51"/>
      <c r="G737" s="51"/>
      <c r="H737" s="51"/>
      <c r="I737" s="51"/>
      <c r="J737" s="49"/>
      <c r="K737" s="51"/>
      <c r="L737" s="51"/>
      <c r="M737" s="52"/>
      <c r="N737" s="51"/>
      <c r="O737" s="51"/>
      <c r="P737" s="25"/>
    </row>
    <row r="738">
      <c r="A738" s="25"/>
      <c r="B738" s="49"/>
      <c r="C738" s="50"/>
      <c r="D738" s="50"/>
      <c r="E738" s="50"/>
      <c r="F738" s="51"/>
      <c r="G738" s="51"/>
      <c r="H738" s="51"/>
      <c r="I738" s="51"/>
      <c r="J738" s="49"/>
      <c r="K738" s="51"/>
      <c r="L738" s="51"/>
      <c r="M738" s="52"/>
      <c r="N738" s="51"/>
      <c r="O738" s="51"/>
      <c r="P738" s="25"/>
    </row>
    <row r="739">
      <c r="A739" s="25"/>
      <c r="B739" s="49"/>
      <c r="C739" s="50"/>
      <c r="D739" s="50"/>
      <c r="E739" s="50"/>
      <c r="F739" s="51"/>
      <c r="G739" s="51"/>
      <c r="H739" s="51"/>
      <c r="I739" s="51"/>
      <c r="J739" s="49"/>
      <c r="K739" s="51"/>
      <c r="L739" s="51"/>
      <c r="M739" s="52"/>
      <c r="N739" s="51"/>
      <c r="O739" s="51"/>
      <c r="P739" s="25"/>
    </row>
    <row r="740">
      <c r="A740" s="25"/>
      <c r="B740" s="49"/>
      <c r="C740" s="50"/>
      <c r="D740" s="50"/>
      <c r="E740" s="50"/>
      <c r="F740" s="51"/>
      <c r="G740" s="51"/>
      <c r="H740" s="51"/>
      <c r="I740" s="51"/>
      <c r="J740" s="49"/>
      <c r="K740" s="51"/>
      <c r="L740" s="51"/>
      <c r="M740" s="52"/>
      <c r="N740" s="51"/>
      <c r="O740" s="51"/>
      <c r="P740" s="25"/>
    </row>
    <row r="741">
      <c r="A741" s="25"/>
      <c r="B741" s="49"/>
      <c r="C741" s="50"/>
      <c r="D741" s="50"/>
      <c r="E741" s="50"/>
      <c r="F741" s="51"/>
      <c r="G741" s="51"/>
      <c r="H741" s="51"/>
      <c r="I741" s="51"/>
      <c r="J741" s="49"/>
      <c r="K741" s="51"/>
      <c r="L741" s="51"/>
      <c r="M741" s="52"/>
      <c r="N741" s="51"/>
      <c r="O741" s="51"/>
      <c r="P741" s="25"/>
    </row>
    <row r="742">
      <c r="A742" s="25"/>
      <c r="B742" s="49"/>
      <c r="C742" s="50"/>
      <c r="D742" s="50"/>
      <c r="E742" s="50"/>
      <c r="F742" s="51"/>
      <c r="G742" s="51"/>
      <c r="H742" s="51"/>
      <c r="I742" s="51"/>
      <c r="J742" s="49"/>
      <c r="K742" s="51"/>
      <c r="L742" s="51"/>
      <c r="M742" s="52"/>
      <c r="N742" s="51"/>
      <c r="O742" s="51"/>
      <c r="P742" s="25"/>
    </row>
    <row r="743">
      <c r="A743" s="25"/>
      <c r="B743" s="49"/>
      <c r="C743" s="50"/>
      <c r="D743" s="50"/>
      <c r="E743" s="50"/>
      <c r="F743" s="51"/>
      <c r="G743" s="51"/>
      <c r="H743" s="51"/>
      <c r="I743" s="51"/>
      <c r="J743" s="49"/>
      <c r="K743" s="51"/>
      <c r="L743" s="51"/>
      <c r="M743" s="52"/>
      <c r="N743" s="51"/>
      <c r="O743" s="51"/>
      <c r="P743" s="25"/>
    </row>
    <row r="744">
      <c r="A744" s="25"/>
      <c r="B744" s="49"/>
      <c r="C744" s="50"/>
      <c r="D744" s="50"/>
      <c r="E744" s="50"/>
      <c r="F744" s="51"/>
      <c r="G744" s="51"/>
      <c r="H744" s="51"/>
      <c r="I744" s="51"/>
      <c r="J744" s="49"/>
      <c r="K744" s="51"/>
      <c r="L744" s="51"/>
      <c r="M744" s="52"/>
      <c r="N744" s="51"/>
      <c r="O744" s="51"/>
      <c r="P744" s="25"/>
    </row>
    <row r="745">
      <c r="A745" s="25"/>
      <c r="B745" s="49"/>
      <c r="C745" s="50"/>
      <c r="D745" s="50"/>
      <c r="E745" s="50"/>
      <c r="F745" s="51"/>
      <c r="G745" s="51"/>
      <c r="H745" s="51"/>
      <c r="I745" s="51"/>
      <c r="J745" s="49"/>
      <c r="K745" s="51"/>
      <c r="L745" s="51"/>
      <c r="M745" s="52"/>
      <c r="N745" s="51"/>
      <c r="O745" s="51"/>
      <c r="P745" s="25"/>
    </row>
    <row r="746">
      <c r="A746" s="25"/>
      <c r="B746" s="49"/>
      <c r="C746" s="50"/>
      <c r="D746" s="50"/>
      <c r="E746" s="50"/>
      <c r="F746" s="51"/>
      <c r="G746" s="51"/>
      <c r="H746" s="51"/>
      <c r="I746" s="51"/>
      <c r="J746" s="49"/>
      <c r="K746" s="51"/>
      <c r="L746" s="51"/>
      <c r="M746" s="52"/>
      <c r="N746" s="51"/>
      <c r="O746" s="51"/>
      <c r="P746" s="25"/>
    </row>
    <row r="747">
      <c r="A747" s="25"/>
      <c r="B747" s="49"/>
      <c r="C747" s="50"/>
      <c r="D747" s="50"/>
      <c r="E747" s="50"/>
      <c r="F747" s="51"/>
      <c r="G747" s="51"/>
      <c r="H747" s="51"/>
      <c r="I747" s="51"/>
      <c r="J747" s="49"/>
      <c r="K747" s="51"/>
      <c r="L747" s="51"/>
      <c r="M747" s="52"/>
      <c r="N747" s="51"/>
      <c r="O747" s="51"/>
      <c r="P747" s="25"/>
    </row>
    <row r="748">
      <c r="A748" s="25"/>
      <c r="B748" s="49"/>
      <c r="C748" s="50"/>
      <c r="D748" s="50"/>
      <c r="E748" s="50"/>
      <c r="F748" s="51"/>
      <c r="G748" s="51"/>
      <c r="H748" s="51"/>
      <c r="I748" s="51"/>
      <c r="J748" s="49"/>
      <c r="K748" s="51"/>
      <c r="L748" s="51"/>
      <c r="M748" s="52"/>
      <c r="N748" s="51"/>
      <c r="O748" s="51"/>
      <c r="P748" s="25"/>
    </row>
    <row r="749">
      <c r="A749" s="25"/>
      <c r="B749" s="49"/>
      <c r="C749" s="50"/>
      <c r="D749" s="50"/>
      <c r="E749" s="50"/>
      <c r="F749" s="51"/>
      <c r="G749" s="51"/>
      <c r="H749" s="51"/>
      <c r="I749" s="51"/>
      <c r="J749" s="49"/>
      <c r="K749" s="51"/>
      <c r="L749" s="51"/>
      <c r="M749" s="52"/>
      <c r="N749" s="51"/>
      <c r="O749" s="51"/>
      <c r="P749" s="25"/>
    </row>
    <row r="750">
      <c r="A750" s="25"/>
      <c r="B750" s="49"/>
      <c r="C750" s="50"/>
      <c r="D750" s="50"/>
      <c r="E750" s="50"/>
      <c r="F750" s="51"/>
      <c r="G750" s="51"/>
      <c r="H750" s="51"/>
      <c r="I750" s="51"/>
      <c r="J750" s="49"/>
      <c r="K750" s="51"/>
      <c r="L750" s="51"/>
      <c r="M750" s="52"/>
      <c r="N750" s="51"/>
      <c r="O750" s="51"/>
      <c r="P750" s="25"/>
    </row>
    <row r="751">
      <c r="A751" s="25"/>
      <c r="B751" s="49"/>
      <c r="C751" s="50"/>
      <c r="D751" s="50"/>
      <c r="E751" s="50"/>
      <c r="F751" s="51"/>
      <c r="G751" s="51"/>
      <c r="H751" s="51"/>
      <c r="I751" s="51"/>
      <c r="J751" s="49"/>
      <c r="K751" s="51"/>
      <c r="L751" s="51"/>
      <c r="M751" s="52"/>
      <c r="N751" s="51"/>
      <c r="O751" s="51"/>
      <c r="P751" s="25"/>
    </row>
    <row r="752">
      <c r="A752" s="25"/>
      <c r="B752" s="49"/>
      <c r="C752" s="50"/>
      <c r="D752" s="50"/>
      <c r="E752" s="50"/>
      <c r="F752" s="51"/>
      <c r="G752" s="51"/>
      <c r="H752" s="51"/>
      <c r="I752" s="51"/>
      <c r="J752" s="49"/>
      <c r="K752" s="51"/>
      <c r="L752" s="51"/>
      <c r="M752" s="52"/>
      <c r="N752" s="51"/>
      <c r="O752" s="51"/>
      <c r="P752" s="25"/>
    </row>
    <row r="753">
      <c r="A753" s="25"/>
      <c r="B753" s="49"/>
      <c r="C753" s="50"/>
      <c r="D753" s="50"/>
      <c r="E753" s="50"/>
      <c r="F753" s="51"/>
      <c r="G753" s="51"/>
      <c r="H753" s="51"/>
      <c r="I753" s="51"/>
      <c r="J753" s="49"/>
      <c r="K753" s="51"/>
      <c r="L753" s="51"/>
      <c r="M753" s="52"/>
      <c r="N753" s="51"/>
      <c r="O753" s="51"/>
      <c r="P753" s="25"/>
    </row>
    <row r="754">
      <c r="A754" s="25"/>
      <c r="B754" s="49"/>
      <c r="C754" s="50"/>
      <c r="D754" s="50"/>
      <c r="E754" s="50"/>
      <c r="F754" s="51"/>
      <c r="G754" s="51"/>
      <c r="H754" s="51"/>
      <c r="I754" s="51"/>
      <c r="J754" s="49"/>
      <c r="K754" s="51"/>
      <c r="L754" s="51"/>
      <c r="M754" s="52"/>
      <c r="N754" s="51"/>
      <c r="O754" s="51"/>
      <c r="P754" s="25"/>
    </row>
    <row r="755">
      <c r="A755" s="25"/>
      <c r="B755" s="49"/>
      <c r="C755" s="50"/>
      <c r="D755" s="50"/>
      <c r="E755" s="50"/>
      <c r="F755" s="51"/>
      <c r="G755" s="51"/>
      <c r="H755" s="51"/>
      <c r="I755" s="51"/>
      <c r="J755" s="49"/>
      <c r="K755" s="51"/>
      <c r="L755" s="51"/>
      <c r="M755" s="52"/>
      <c r="N755" s="51"/>
      <c r="O755" s="51"/>
      <c r="P755" s="25"/>
    </row>
    <row r="756">
      <c r="A756" s="25"/>
      <c r="B756" s="49"/>
      <c r="C756" s="50"/>
      <c r="D756" s="50"/>
      <c r="E756" s="50"/>
      <c r="F756" s="51"/>
      <c r="G756" s="51"/>
      <c r="H756" s="51"/>
      <c r="I756" s="51"/>
      <c r="J756" s="49"/>
      <c r="K756" s="51"/>
      <c r="L756" s="51"/>
      <c r="M756" s="52"/>
      <c r="N756" s="51"/>
      <c r="O756" s="51"/>
      <c r="P756" s="25"/>
    </row>
    <row r="757">
      <c r="A757" s="25"/>
      <c r="B757" s="49"/>
      <c r="C757" s="50"/>
      <c r="D757" s="50"/>
      <c r="E757" s="50"/>
      <c r="F757" s="51"/>
      <c r="G757" s="51"/>
      <c r="H757" s="51"/>
      <c r="I757" s="51"/>
      <c r="J757" s="49"/>
      <c r="K757" s="51"/>
      <c r="L757" s="51"/>
      <c r="M757" s="52"/>
      <c r="N757" s="51"/>
      <c r="O757" s="51"/>
      <c r="P757" s="25"/>
    </row>
    <row r="758">
      <c r="A758" s="25"/>
      <c r="B758" s="49"/>
      <c r="C758" s="50"/>
      <c r="D758" s="50"/>
      <c r="E758" s="50"/>
      <c r="F758" s="51"/>
      <c r="G758" s="51"/>
      <c r="H758" s="51"/>
      <c r="I758" s="51"/>
      <c r="J758" s="49"/>
      <c r="K758" s="51"/>
      <c r="L758" s="51"/>
      <c r="M758" s="52"/>
      <c r="N758" s="51"/>
      <c r="O758" s="51"/>
      <c r="P758" s="25"/>
    </row>
    <row r="759">
      <c r="A759" s="25"/>
      <c r="B759" s="49"/>
      <c r="C759" s="50"/>
      <c r="D759" s="50"/>
      <c r="E759" s="50"/>
      <c r="F759" s="51"/>
      <c r="G759" s="51"/>
      <c r="H759" s="51"/>
      <c r="I759" s="51"/>
      <c r="J759" s="49"/>
      <c r="K759" s="51"/>
      <c r="L759" s="51"/>
      <c r="M759" s="52"/>
      <c r="N759" s="51"/>
      <c r="O759" s="51"/>
      <c r="P759" s="25"/>
    </row>
    <row r="760">
      <c r="A760" s="25"/>
      <c r="B760" s="49"/>
      <c r="C760" s="50"/>
      <c r="D760" s="50"/>
      <c r="E760" s="50"/>
      <c r="F760" s="51"/>
      <c r="G760" s="51"/>
      <c r="H760" s="51"/>
      <c r="I760" s="51"/>
      <c r="J760" s="49"/>
      <c r="K760" s="51"/>
      <c r="L760" s="51"/>
      <c r="M760" s="52"/>
      <c r="N760" s="51"/>
      <c r="O760" s="51"/>
      <c r="P760" s="25"/>
    </row>
    <row r="761">
      <c r="A761" s="25"/>
      <c r="B761" s="49"/>
      <c r="C761" s="50"/>
      <c r="D761" s="50"/>
      <c r="E761" s="50"/>
      <c r="F761" s="51"/>
      <c r="G761" s="51"/>
      <c r="H761" s="51"/>
      <c r="I761" s="51"/>
      <c r="J761" s="49"/>
      <c r="K761" s="51"/>
      <c r="L761" s="51"/>
      <c r="M761" s="52"/>
      <c r="N761" s="51"/>
      <c r="O761" s="51"/>
      <c r="P761" s="25"/>
    </row>
    <row r="762">
      <c r="A762" s="25"/>
      <c r="B762" s="49"/>
      <c r="C762" s="50"/>
      <c r="D762" s="50"/>
      <c r="E762" s="50"/>
      <c r="F762" s="51"/>
      <c r="G762" s="51"/>
      <c r="H762" s="51"/>
      <c r="I762" s="51"/>
      <c r="J762" s="49"/>
      <c r="K762" s="51"/>
      <c r="L762" s="51"/>
      <c r="M762" s="52"/>
      <c r="N762" s="51"/>
      <c r="O762" s="51"/>
      <c r="P762" s="25"/>
    </row>
    <row r="763">
      <c r="A763" s="25"/>
      <c r="B763" s="49"/>
      <c r="C763" s="50"/>
      <c r="D763" s="50"/>
      <c r="E763" s="50"/>
      <c r="F763" s="51"/>
      <c r="G763" s="51"/>
      <c r="H763" s="51"/>
      <c r="I763" s="51"/>
      <c r="J763" s="49"/>
      <c r="K763" s="51"/>
      <c r="L763" s="51"/>
      <c r="M763" s="52"/>
      <c r="N763" s="51"/>
      <c r="O763" s="51"/>
      <c r="P763" s="25"/>
    </row>
    <row r="764">
      <c r="A764" s="25"/>
      <c r="B764" s="49"/>
      <c r="C764" s="50"/>
      <c r="D764" s="50"/>
      <c r="E764" s="50"/>
      <c r="F764" s="51"/>
      <c r="G764" s="51"/>
      <c r="H764" s="51"/>
      <c r="I764" s="51"/>
      <c r="J764" s="49"/>
      <c r="K764" s="51"/>
      <c r="L764" s="51"/>
      <c r="M764" s="52"/>
      <c r="N764" s="51"/>
      <c r="O764" s="51"/>
      <c r="P764" s="25"/>
    </row>
    <row r="765">
      <c r="A765" s="25"/>
      <c r="B765" s="49"/>
      <c r="C765" s="50"/>
      <c r="D765" s="50"/>
      <c r="E765" s="50"/>
      <c r="F765" s="51"/>
      <c r="G765" s="51"/>
      <c r="H765" s="51"/>
      <c r="I765" s="51"/>
      <c r="J765" s="49"/>
      <c r="K765" s="51"/>
      <c r="L765" s="51"/>
      <c r="M765" s="52"/>
      <c r="N765" s="51"/>
      <c r="O765" s="51"/>
      <c r="P765" s="25"/>
    </row>
    <row r="766">
      <c r="A766" s="25"/>
      <c r="B766" s="49"/>
      <c r="C766" s="50"/>
      <c r="D766" s="50"/>
      <c r="E766" s="50"/>
      <c r="F766" s="51"/>
      <c r="G766" s="51"/>
      <c r="H766" s="51"/>
      <c r="I766" s="51"/>
      <c r="J766" s="49"/>
      <c r="K766" s="51"/>
      <c r="L766" s="51"/>
      <c r="M766" s="52"/>
      <c r="N766" s="51"/>
      <c r="O766" s="51"/>
      <c r="P766" s="25"/>
    </row>
    <row r="767">
      <c r="A767" s="25"/>
      <c r="B767" s="49"/>
      <c r="C767" s="50"/>
      <c r="D767" s="50"/>
      <c r="E767" s="50"/>
      <c r="F767" s="51"/>
      <c r="G767" s="51"/>
      <c r="H767" s="51"/>
      <c r="I767" s="51"/>
      <c r="J767" s="49"/>
      <c r="K767" s="51"/>
      <c r="L767" s="51"/>
      <c r="M767" s="52"/>
      <c r="N767" s="51"/>
      <c r="O767" s="51"/>
      <c r="P767" s="25"/>
    </row>
    <row r="768">
      <c r="A768" s="25"/>
      <c r="B768" s="49"/>
      <c r="C768" s="50"/>
      <c r="D768" s="50"/>
      <c r="E768" s="50"/>
      <c r="F768" s="51"/>
      <c r="G768" s="51"/>
      <c r="H768" s="51"/>
      <c r="I768" s="51"/>
      <c r="J768" s="49"/>
      <c r="K768" s="51"/>
      <c r="L768" s="51"/>
      <c r="M768" s="52"/>
      <c r="N768" s="51"/>
      <c r="O768" s="51"/>
      <c r="P768" s="25"/>
    </row>
    <row r="769">
      <c r="A769" s="25"/>
      <c r="B769" s="49"/>
      <c r="C769" s="50"/>
      <c r="D769" s="50"/>
      <c r="E769" s="50"/>
      <c r="F769" s="51"/>
      <c r="G769" s="51"/>
      <c r="H769" s="51"/>
      <c r="I769" s="51"/>
      <c r="J769" s="49"/>
      <c r="K769" s="51"/>
      <c r="L769" s="51"/>
      <c r="M769" s="52"/>
      <c r="N769" s="51"/>
      <c r="O769" s="51"/>
      <c r="P769" s="25"/>
    </row>
    <row r="770">
      <c r="A770" s="25"/>
      <c r="B770" s="49"/>
      <c r="C770" s="50"/>
      <c r="D770" s="50"/>
      <c r="E770" s="50"/>
      <c r="F770" s="51"/>
      <c r="G770" s="51"/>
      <c r="H770" s="51"/>
      <c r="I770" s="51"/>
      <c r="J770" s="49"/>
      <c r="K770" s="51"/>
      <c r="L770" s="51"/>
      <c r="M770" s="52"/>
      <c r="N770" s="51"/>
      <c r="O770" s="51"/>
      <c r="P770" s="25"/>
    </row>
    <row r="771">
      <c r="A771" s="25"/>
      <c r="B771" s="49"/>
      <c r="C771" s="50"/>
      <c r="D771" s="50"/>
      <c r="E771" s="50"/>
      <c r="F771" s="51"/>
      <c r="G771" s="51"/>
      <c r="H771" s="51"/>
      <c r="I771" s="51"/>
      <c r="J771" s="49"/>
      <c r="K771" s="51"/>
      <c r="L771" s="51"/>
      <c r="M771" s="52"/>
      <c r="N771" s="51"/>
      <c r="O771" s="51"/>
      <c r="P771" s="25"/>
    </row>
    <row r="772">
      <c r="A772" s="25"/>
      <c r="B772" s="49"/>
      <c r="C772" s="50"/>
      <c r="D772" s="50"/>
      <c r="E772" s="50"/>
      <c r="F772" s="51"/>
      <c r="G772" s="51"/>
      <c r="H772" s="51"/>
      <c r="I772" s="51"/>
      <c r="J772" s="49"/>
      <c r="K772" s="51"/>
      <c r="L772" s="51"/>
      <c r="M772" s="52"/>
      <c r="N772" s="51"/>
      <c r="O772" s="51"/>
      <c r="P772" s="25"/>
    </row>
    <row r="773">
      <c r="A773" s="25"/>
      <c r="B773" s="49"/>
      <c r="C773" s="50"/>
      <c r="D773" s="50"/>
      <c r="E773" s="50"/>
      <c r="F773" s="51"/>
      <c r="G773" s="51"/>
      <c r="H773" s="51"/>
      <c r="I773" s="51"/>
      <c r="J773" s="49"/>
      <c r="K773" s="51"/>
      <c r="L773" s="51"/>
      <c r="M773" s="52"/>
      <c r="N773" s="51"/>
      <c r="O773" s="51"/>
      <c r="P773" s="25"/>
    </row>
    <row r="774">
      <c r="A774" s="25"/>
      <c r="B774" s="49"/>
      <c r="C774" s="50"/>
      <c r="D774" s="50"/>
      <c r="E774" s="50"/>
      <c r="F774" s="51"/>
      <c r="G774" s="51"/>
      <c r="H774" s="51"/>
      <c r="I774" s="51"/>
      <c r="J774" s="49"/>
      <c r="K774" s="51"/>
      <c r="L774" s="51"/>
      <c r="M774" s="52"/>
      <c r="N774" s="51"/>
      <c r="O774" s="51"/>
      <c r="P774" s="25"/>
    </row>
    <row r="775">
      <c r="A775" s="25"/>
      <c r="B775" s="49"/>
      <c r="C775" s="50"/>
      <c r="D775" s="50"/>
      <c r="E775" s="50"/>
      <c r="F775" s="51"/>
      <c r="G775" s="51"/>
      <c r="H775" s="51"/>
      <c r="I775" s="51"/>
      <c r="J775" s="49"/>
      <c r="K775" s="51"/>
      <c r="L775" s="51"/>
      <c r="M775" s="52"/>
      <c r="N775" s="51"/>
      <c r="O775" s="51"/>
      <c r="P775" s="25"/>
    </row>
    <row r="776">
      <c r="A776" s="25"/>
      <c r="B776" s="49"/>
      <c r="C776" s="50"/>
      <c r="D776" s="50"/>
      <c r="E776" s="50"/>
      <c r="F776" s="51"/>
      <c r="G776" s="51"/>
      <c r="H776" s="51"/>
      <c r="I776" s="51"/>
      <c r="J776" s="49"/>
      <c r="K776" s="51"/>
      <c r="L776" s="51"/>
      <c r="M776" s="52"/>
      <c r="N776" s="51"/>
      <c r="O776" s="51"/>
      <c r="P776" s="25"/>
    </row>
    <row r="777">
      <c r="A777" s="25"/>
      <c r="B777" s="49"/>
      <c r="C777" s="50"/>
      <c r="D777" s="50"/>
      <c r="E777" s="50"/>
      <c r="F777" s="51"/>
      <c r="G777" s="51"/>
      <c r="H777" s="51"/>
      <c r="I777" s="51"/>
      <c r="J777" s="49"/>
      <c r="K777" s="51"/>
      <c r="L777" s="51"/>
      <c r="M777" s="52"/>
      <c r="N777" s="51"/>
      <c r="O777" s="51"/>
      <c r="P777" s="25"/>
    </row>
    <row r="778">
      <c r="A778" s="25"/>
      <c r="B778" s="49"/>
      <c r="C778" s="50"/>
      <c r="D778" s="50"/>
      <c r="E778" s="50"/>
      <c r="F778" s="51"/>
      <c r="G778" s="51"/>
      <c r="H778" s="51"/>
      <c r="I778" s="51"/>
      <c r="J778" s="49"/>
      <c r="K778" s="51"/>
      <c r="L778" s="51"/>
      <c r="M778" s="52"/>
      <c r="N778" s="51"/>
      <c r="O778" s="51"/>
      <c r="P778" s="25"/>
    </row>
    <row r="779">
      <c r="A779" s="25"/>
      <c r="B779" s="49"/>
      <c r="C779" s="50"/>
      <c r="D779" s="50"/>
      <c r="E779" s="50"/>
      <c r="F779" s="51"/>
      <c r="G779" s="51"/>
      <c r="H779" s="51"/>
      <c r="I779" s="51"/>
      <c r="J779" s="49"/>
      <c r="K779" s="51"/>
      <c r="L779" s="51"/>
      <c r="M779" s="52"/>
      <c r="N779" s="51"/>
      <c r="O779" s="51"/>
      <c r="P779" s="25"/>
    </row>
    <row r="780">
      <c r="A780" s="25"/>
      <c r="B780" s="49"/>
      <c r="C780" s="50"/>
      <c r="D780" s="50"/>
      <c r="E780" s="50"/>
      <c r="F780" s="51"/>
      <c r="G780" s="51"/>
      <c r="H780" s="51"/>
      <c r="I780" s="51"/>
      <c r="J780" s="49"/>
      <c r="K780" s="51"/>
      <c r="L780" s="51"/>
      <c r="M780" s="52"/>
      <c r="N780" s="51"/>
      <c r="O780" s="51"/>
      <c r="P780" s="25"/>
    </row>
    <row r="781">
      <c r="A781" s="25"/>
      <c r="B781" s="49"/>
      <c r="C781" s="50"/>
      <c r="D781" s="50"/>
      <c r="E781" s="50"/>
      <c r="F781" s="51"/>
      <c r="G781" s="51"/>
      <c r="H781" s="51"/>
      <c r="I781" s="51"/>
      <c r="J781" s="49"/>
      <c r="K781" s="51"/>
      <c r="L781" s="51"/>
      <c r="M781" s="52"/>
      <c r="N781" s="51"/>
      <c r="O781" s="51"/>
      <c r="P781" s="25"/>
    </row>
    <row r="782">
      <c r="A782" s="25"/>
      <c r="B782" s="49"/>
      <c r="C782" s="50"/>
      <c r="D782" s="50"/>
      <c r="E782" s="50"/>
      <c r="F782" s="51"/>
      <c r="G782" s="51"/>
      <c r="H782" s="51"/>
      <c r="I782" s="51"/>
      <c r="J782" s="49"/>
      <c r="K782" s="51"/>
      <c r="L782" s="51"/>
      <c r="M782" s="52"/>
      <c r="N782" s="51"/>
      <c r="O782" s="51"/>
      <c r="P782" s="25"/>
    </row>
    <row r="783">
      <c r="A783" s="25"/>
      <c r="B783" s="49"/>
      <c r="C783" s="50"/>
      <c r="D783" s="50"/>
      <c r="E783" s="50"/>
      <c r="F783" s="51"/>
      <c r="G783" s="51"/>
      <c r="H783" s="51"/>
      <c r="I783" s="51"/>
      <c r="J783" s="49"/>
      <c r="K783" s="51"/>
      <c r="L783" s="51"/>
      <c r="M783" s="52"/>
      <c r="N783" s="51"/>
      <c r="O783" s="51"/>
      <c r="P783" s="25"/>
    </row>
    <row r="784">
      <c r="A784" s="25"/>
      <c r="B784" s="49"/>
      <c r="C784" s="50"/>
      <c r="D784" s="50"/>
      <c r="E784" s="50"/>
      <c r="F784" s="51"/>
      <c r="G784" s="51"/>
      <c r="H784" s="51"/>
      <c r="I784" s="51"/>
      <c r="J784" s="49"/>
      <c r="K784" s="51"/>
      <c r="L784" s="51"/>
      <c r="M784" s="52"/>
      <c r="N784" s="51"/>
      <c r="O784" s="51"/>
      <c r="P784" s="25"/>
    </row>
    <row r="785">
      <c r="A785" s="25"/>
      <c r="B785" s="49"/>
      <c r="C785" s="50"/>
      <c r="D785" s="50"/>
      <c r="E785" s="50"/>
      <c r="F785" s="51"/>
      <c r="G785" s="51"/>
      <c r="H785" s="51"/>
      <c r="I785" s="51"/>
      <c r="J785" s="49"/>
      <c r="K785" s="51"/>
      <c r="L785" s="51"/>
      <c r="M785" s="52"/>
      <c r="N785" s="51"/>
      <c r="O785" s="51"/>
      <c r="P785" s="25"/>
    </row>
    <row r="786">
      <c r="A786" s="25"/>
      <c r="B786" s="49"/>
      <c r="C786" s="50"/>
      <c r="D786" s="50"/>
      <c r="E786" s="50"/>
      <c r="F786" s="51"/>
      <c r="G786" s="51"/>
      <c r="H786" s="51"/>
      <c r="I786" s="51"/>
      <c r="J786" s="49"/>
      <c r="K786" s="51"/>
      <c r="L786" s="51"/>
      <c r="M786" s="52"/>
      <c r="N786" s="51"/>
      <c r="O786" s="51"/>
      <c r="P786" s="25"/>
    </row>
    <row r="787">
      <c r="A787" s="25"/>
      <c r="B787" s="49"/>
      <c r="C787" s="50"/>
      <c r="D787" s="50"/>
      <c r="E787" s="50"/>
      <c r="F787" s="51"/>
      <c r="G787" s="51"/>
      <c r="H787" s="51"/>
      <c r="I787" s="51"/>
      <c r="J787" s="49"/>
      <c r="K787" s="51"/>
      <c r="L787" s="51"/>
      <c r="M787" s="52"/>
      <c r="N787" s="51"/>
      <c r="O787" s="51"/>
      <c r="P787" s="25"/>
    </row>
    <row r="788">
      <c r="A788" s="25"/>
      <c r="B788" s="49"/>
      <c r="C788" s="50"/>
      <c r="D788" s="50"/>
      <c r="E788" s="50"/>
      <c r="F788" s="51"/>
      <c r="G788" s="51"/>
      <c r="H788" s="51"/>
      <c r="I788" s="51"/>
      <c r="J788" s="49"/>
      <c r="K788" s="51"/>
      <c r="L788" s="51"/>
      <c r="M788" s="52"/>
      <c r="N788" s="51"/>
      <c r="O788" s="51"/>
      <c r="P788" s="25"/>
    </row>
    <row r="789">
      <c r="A789" s="25"/>
      <c r="B789" s="49"/>
      <c r="C789" s="50"/>
      <c r="D789" s="50"/>
      <c r="E789" s="50"/>
      <c r="F789" s="51"/>
      <c r="G789" s="51"/>
      <c r="H789" s="51"/>
      <c r="I789" s="51"/>
      <c r="J789" s="49"/>
      <c r="K789" s="51"/>
      <c r="L789" s="51"/>
      <c r="M789" s="52"/>
      <c r="N789" s="51"/>
      <c r="O789" s="51"/>
      <c r="P789" s="25"/>
    </row>
    <row r="790">
      <c r="A790" s="25"/>
      <c r="B790" s="49"/>
      <c r="C790" s="50"/>
      <c r="D790" s="50"/>
      <c r="E790" s="50"/>
      <c r="F790" s="51"/>
      <c r="G790" s="51"/>
      <c r="H790" s="51"/>
      <c r="I790" s="51"/>
      <c r="J790" s="49"/>
      <c r="K790" s="51"/>
      <c r="L790" s="51"/>
      <c r="M790" s="52"/>
      <c r="N790" s="51"/>
      <c r="O790" s="51"/>
      <c r="P790" s="25"/>
    </row>
    <row r="791">
      <c r="A791" s="25"/>
      <c r="B791" s="49"/>
      <c r="C791" s="50"/>
      <c r="D791" s="50"/>
      <c r="E791" s="50"/>
      <c r="F791" s="51"/>
      <c r="G791" s="51"/>
      <c r="H791" s="51"/>
      <c r="I791" s="51"/>
      <c r="J791" s="49"/>
      <c r="K791" s="51"/>
      <c r="L791" s="51"/>
      <c r="M791" s="52"/>
      <c r="N791" s="51"/>
      <c r="O791" s="51"/>
      <c r="P791" s="25"/>
    </row>
    <row r="792">
      <c r="A792" s="25"/>
      <c r="B792" s="49"/>
      <c r="C792" s="50"/>
      <c r="D792" s="50"/>
      <c r="E792" s="50"/>
      <c r="F792" s="51"/>
      <c r="G792" s="51"/>
      <c r="H792" s="51"/>
      <c r="I792" s="51"/>
      <c r="J792" s="49"/>
      <c r="K792" s="51"/>
      <c r="L792" s="51"/>
      <c r="M792" s="52"/>
      <c r="N792" s="51"/>
      <c r="O792" s="51"/>
      <c r="P792" s="25"/>
    </row>
    <row r="793">
      <c r="A793" s="25"/>
      <c r="B793" s="49"/>
      <c r="C793" s="50"/>
      <c r="D793" s="50"/>
      <c r="E793" s="50"/>
      <c r="F793" s="51"/>
      <c r="G793" s="51"/>
      <c r="H793" s="51"/>
      <c r="I793" s="51"/>
      <c r="J793" s="49"/>
      <c r="K793" s="51"/>
      <c r="L793" s="51"/>
      <c r="M793" s="52"/>
      <c r="N793" s="51"/>
      <c r="O793" s="51"/>
      <c r="P793" s="25"/>
    </row>
    <row r="794">
      <c r="A794" s="25"/>
      <c r="B794" s="49"/>
      <c r="C794" s="50"/>
      <c r="D794" s="50"/>
      <c r="E794" s="50"/>
      <c r="F794" s="51"/>
      <c r="G794" s="51"/>
      <c r="H794" s="51"/>
      <c r="I794" s="51"/>
      <c r="J794" s="49"/>
      <c r="K794" s="51"/>
      <c r="L794" s="51"/>
      <c r="M794" s="52"/>
      <c r="N794" s="51"/>
      <c r="O794" s="51"/>
      <c r="P794" s="25"/>
    </row>
    <row r="795">
      <c r="A795" s="25"/>
      <c r="B795" s="49"/>
      <c r="C795" s="50"/>
      <c r="D795" s="50"/>
      <c r="E795" s="50"/>
      <c r="F795" s="51"/>
      <c r="G795" s="51"/>
      <c r="H795" s="51"/>
      <c r="I795" s="51"/>
      <c r="J795" s="49"/>
      <c r="K795" s="51"/>
      <c r="L795" s="51"/>
      <c r="M795" s="52"/>
      <c r="N795" s="51"/>
      <c r="O795" s="51"/>
      <c r="P795" s="25"/>
    </row>
    <row r="796">
      <c r="A796" s="25"/>
      <c r="B796" s="49"/>
      <c r="C796" s="50"/>
      <c r="D796" s="50"/>
      <c r="E796" s="50"/>
      <c r="F796" s="51"/>
      <c r="G796" s="51"/>
      <c r="H796" s="51"/>
      <c r="I796" s="51"/>
      <c r="J796" s="49"/>
      <c r="K796" s="51"/>
      <c r="L796" s="51"/>
      <c r="M796" s="52"/>
      <c r="N796" s="51"/>
      <c r="O796" s="51"/>
      <c r="P796" s="25"/>
    </row>
    <row r="797">
      <c r="A797" s="25"/>
      <c r="B797" s="49"/>
      <c r="C797" s="50"/>
      <c r="D797" s="50"/>
      <c r="E797" s="50"/>
      <c r="F797" s="51"/>
      <c r="G797" s="51"/>
      <c r="H797" s="51"/>
      <c r="I797" s="51"/>
      <c r="J797" s="49"/>
      <c r="K797" s="51"/>
      <c r="L797" s="51"/>
      <c r="M797" s="52"/>
      <c r="N797" s="51"/>
      <c r="O797" s="51"/>
      <c r="P797" s="25"/>
    </row>
    <row r="798">
      <c r="A798" s="25"/>
      <c r="B798" s="49"/>
      <c r="C798" s="50"/>
      <c r="D798" s="50"/>
      <c r="E798" s="50"/>
      <c r="F798" s="51"/>
      <c r="G798" s="51"/>
      <c r="H798" s="51"/>
      <c r="I798" s="51"/>
      <c r="J798" s="49"/>
      <c r="K798" s="51"/>
      <c r="L798" s="51"/>
      <c r="M798" s="52"/>
      <c r="N798" s="51"/>
      <c r="O798" s="51"/>
      <c r="P798" s="25"/>
    </row>
    <row r="799">
      <c r="A799" s="25"/>
      <c r="B799" s="49"/>
      <c r="C799" s="50"/>
      <c r="D799" s="50"/>
      <c r="E799" s="50"/>
      <c r="F799" s="51"/>
      <c r="G799" s="51"/>
      <c r="H799" s="51"/>
      <c r="I799" s="51"/>
      <c r="J799" s="49"/>
      <c r="K799" s="51"/>
      <c r="L799" s="51"/>
      <c r="M799" s="52"/>
      <c r="N799" s="51"/>
      <c r="O799" s="51"/>
      <c r="P799" s="25"/>
    </row>
    <row r="800">
      <c r="A800" s="25"/>
      <c r="B800" s="49"/>
      <c r="C800" s="50"/>
      <c r="D800" s="50"/>
      <c r="E800" s="50"/>
      <c r="F800" s="51"/>
      <c r="G800" s="51"/>
      <c r="H800" s="51"/>
      <c r="I800" s="51"/>
      <c r="J800" s="49"/>
      <c r="K800" s="51"/>
      <c r="L800" s="51"/>
      <c r="M800" s="52"/>
      <c r="N800" s="51"/>
      <c r="O800" s="51"/>
      <c r="P800" s="25"/>
    </row>
    <row r="801">
      <c r="A801" s="25"/>
      <c r="B801" s="49"/>
      <c r="C801" s="50"/>
      <c r="D801" s="50"/>
      <c r="E801" s="50"/>
      <c r="F801" s="51"/>
      <c r="G801" s="51"/>
      <c r="H801" s="51"/>
      <c r="I801" s="51"/>
      <c r="J801" s="49"/>
      <c r="K801" s="51"/>
      <c r="L801" s="51"/>
      <c r="M801" s="52"/>
      <c r="N801" s="51"/>
      <c r="O801" s="51"/>
      <c r="P801" s="25"/>
    </row>
    <row r="802">
      <c r="A802" s="25"/>
      <c r="B802" s="49"/>
      <c r="C802" s="50"/>
      <c r="D802" s="50"/>
      <c r="E802" s="50"/>
      <c r="F802" s="51"/>
      <c r="G802" s="51"/>
      <c r="H802" s="51"/>
      <c r="I802" s="51"/>
      <c r="J802" s="49"/>
      <c r="K802" s="51"/>
      <c r="L802" s="51"/>
      <c r="M802" s="52"/>
      <c r="N802" s="51"/>
      <c r="O802" s="51"/>
      <c r="P802" s="25"/>
    </row>
    <row r="803">
      <c r="A803" s="25"/>
      <c r="B803" s="49"/>
      <c r="C803" s="50"/>
      <c r="D803" s="50"/>
      <c r="E803" s="50"/>
      <c r="F803" s="51"/>
      <c r="G803" s="51"/>
      <c r="H803" s="51"/>
      <c r="I803" s="51"/>
      <c r="J803" s="49"/>
      <c r="K803" s="51"/>
      <c r="L803" s="51"/>
      <c r="M803" s="52"/>
      <c r="N803" s="51"/>
      <c r="O803" s="51"/>
      <c r="P803" s="25"/>
    </row>
    <row r="804">
      <c r="A804" s="25"/>
      <c r="B804" s="49"/>
      <c r="C804" s="50"/>
      <c r="D804" s="50"/>
      <c r="E804" s="50"/>
      <c r="F804" s="51"/>
      <c r="G804" s="51"/>
      <c r="H804" s="51"/>
      <c r="I804" s="51"/>
      <c r="J804" s="49"/>
      <c r="K804" s="51"/>
      <c r="L804" s="51"/>
      <c r="M804" s="52"/>
      <c r="N804" s="51"/>
      <c r="O804" s="51"/>
      <c r="P804" s="25"/>
    </row>
    <row r="805">
      <c r="A805" s="25"/>
      <c r="B805" s="49"/>
      <c r="C805" s="50"/>
      <c r="D805" s="50"/>
      <c r="E805" s="50"/>
      <c r="F805" s="51"/>
      <c r="G805" s="51"/>
      <c r="H805" s="51"/>
      <c r="I805" s="51"/>
      <c r="J805" s="49"/>
      <c r="K805" s="51"/>
      <c r="L805" s="51"/>
      <c r="M805" s="52"/>
      <c r="N805" s="51"/>
      <c r="O805" s="51"/>
      <c r="P805" s="25"/>
    </row>
    <row r="806">
      <c r="A806" s="25"/>
      <c r="B806" s="49"/>
      <c r="C806" s="50"/>
      <c r="D806" s="50"/>
      <c r="E806" s="50"/>
      <c r="F806" s="51"/>
      <c r="G806" s="51"/>
      <c r="H806" s="51"/>
      <c r="I806" s="51"/>
      <c r="J806" s="49"/>
      <c r="K806" s="51"/>
      <c r="L806" s="51"/>
      <c r="M806" s="52"/>
      <c r="N806" s="51"/>
      <c r="O806" s="51"/>
      <c r="P806" s="25"/>
    </row>
    <row r="807">
      <c r="A807" s="25"/>
      <c r="B807" s="49"/>
      <c r="C807" s="50"/>
      <c r="D807" s="50"/>
      <c r="E807" s="50"/>
      <c r="F807" s="51"/>
      <c r="G807" s="51"/>
      <c r="H807" s="51"/>
      <c r="I807" s="51"/>
      <c r="J807" s="49"/>
      <c r="K807" s="51"/>
      <c r="L807" s="51"/>
      <c r="M807" s="52"/>
      <c r="N807" s="51"/>
      <c r="O807" s="51"/>
      <c r="P807" s="25"/>
    </row>
    <row r="808">
      <c r="A808" s="25"/>
      <c r="B808" s="49"/>
      <c r="C808" s="50"/>
      <c r="D808" s="50"/>
      <c r="E808" s="50"/>
      <c r="F808" s="51"/>
      <c r="G808" s="51"/>
      <c r="H808" s="51"/>
      <c r="I808" s="51"/>
      <c r="J808" s="49"/>
      <c r="K808" s="51"/>
      <c r="L808" s="51"/>
      <c r="M808" s="52"/>
      <c r="N808" s="51"/>
      <c r="O808" s="51"/>
      <c r="P808" s="25"/>
    </row>
    <row r="809">
      <c r="A809" s="25"/>
      <c r="B809" s="49"/>
      <c r="C809" s="50"/>
      <c r="D809" s="50"/>
      <c r="E809" s="50"/>
      <c r="F809" s="51"/>
      <c r="G809" s="51"/>
      <c r="H809" s="51"/>
      <c r="I809" s="51"/>
      <c r="J809" s="49"/>
      <c r="K809" s="51"/>
      <c r="L809" s="51"/>
      <c r="M809" s="52"/>
      <c r="N809" s="51"/>
      <c r="O809" s="51"/>
      <c r="P809" s="25"/>
    </row>
    <row r="810">
      <c r="A810" s="25"/>
      <c r="B810" s="49"/>
      <c r="C810" s="50"/>
      <c r="D810" s="50"/>
      <c r="E810" s="50"/>
      <c r="F810" s="51"/>
      <c r="G810" s="51"/>
      <c r="H810" s="51"/>
      <c r="I810" s="51"/>
      <c r="J810" s="49"/>
      <c r="K810" s="51"/>
      <c r="L810" s="51"/>
      <c r="M810" s="52"/>
      <c r="N810" s="51"/>
      <c r="O810" s="51"/>
      <c r="P810" s="25"/>
    </row>
    <row r="811">
      <c r="A811" s="25"/>
      <c r="B811" s="49"/>
      <c r="C811" s="50"/>
      <c r="D811" s="50"/>
      <c r="E811" s="50"/>
      <c r="F811" s="51"/>
      <c r="G811" s="51"/>
      <c r="H811" s="51"/>
      <c r="I811" s="51"/>
      <c r="J811" s="49"/>
      <c r="K811" s="51"/>
      <c r="L811" s="51"/>
      <c r="M811" s="52"/>
      <c r="N811" s="51"/>
      <c r="O811" s="51"/>
      <c r="P811" s="25"/>
    </row>
    <row r="812">
      <c r="A812" s="25"/>
      <c r="B812" s="49"/>
      <c r="C812" s="50"/>
      <c r="D812" s="50"/>
      <c r="E812" s="50"/>
      <c r="F812" s="51"/>
      <c r="G812" s="51"/>
      <c r="H812" s="51"/>
      <c r="I812" s="51"/>
      <c r="J812" s="49"/>
      <c r="K812" s="51"/>
      <c r="L812" s="51"/>
      <c r="M812" s="52"/>
      <c r="N812" s="51"/>
      <c r="O812" s="51"/>
      <c r="P812" s="25"/>
    </row>
    <row r="813">
      <c r="A813" s="25"/>
      <c r="B813" s="49"/>
      <c r="C813" s="50"/>
      <c r="D813" s="50"/>
      <c r="E813" s="50"/>
      <c r="F813" s="51"/>
      <c r="G813" s="51"/>
      <c r="H813" s="51"/>
      <c r="I813" s="51"/>
      <c r="J813" s="49"/>
      <c r="K813" s="51"/>
      <c r="L813" s="51"/>
      <c r="M813" s="52"/>
      <c r="N813" s="51"/>
      <c r="O813" s="51"/>
      <c r="P813" s="25"/>
    </row>
    <row r="814">
      <c r="A814" s="25"/>
      <c r="B814" s="49"/>
      <c r="C814" s="50"/>
      <c r="D814" s="50"/>
      <c r="E814" s="50"/>
      <c r="F814" s="51"/>
      <c r="G814" s="51"/>
      <c r="H814" s="51"/>
      <c r="I814" s="51"/>
      <c r="J814" s="49"/>
      <c r="K814" s="51"/>
      <c r="L814" s="51"/>
      <c r="M814" s="52"/>
      <c r="N814" s="51"/>
      <c r="O814" s="51"/>
      <c r="P814" s="25"/>
    </row>
    <row r="815">
      <c r="A815" s="25"/>
      <c r="B815" s="49"/>
      <c r="C815" s="50"/>
      <c r="D815" s="50"/>
      <c r="E815" s="50"/>
      <c r="F815" s="51"/>
      <c r="G815" s="51"/>
      <c r="H815" s="51"/>
      <c r="I815" s="51"/>
      <c r="J815" s="49"/>
      <c r="K815" s="51"/>
      <c r="L815" s="51"/>
      <c r="M815" s="52"/>
      <c r="N815" s="51"/>
      <c r="O815" s="51"/>
      <c r="P815" s="25"/>
    </row>
    <row r="816">
      <c r="A816" s="25"/>
      <c r="B816" s="49"/>
      <c r="C816" s="50"/>
      <c r="D816" s="50"/>
      <c r="E816" s="50"/>
      <c r="F816" s="51"/>
      <c r="G816" s="51"/>
      <c r="H816" s="51"/>
      <c r="I816" s="51"/>
      <c r="J816" s="49"/>
      <c r="K816" s="51"/>
      <c r="L816" s="51"/>
      <c r="M816" s="52"/>
      <c r="N816" s="51"/>
      <c r="O816" s="51"/>
      <c r="P816" s="25"/>
    </row>
    <row r="817">
      <c r="A817" s="25"/>
      <c r="B817" s="49"/>
      <c r="C817" s="50"/>
      <c r="D817" s="50"/>
      <c r="E817" s="50"/>
      <c r="F817" s="51"/>
      <c r="G817" s="51"/>
      <c r="H817" s="51"/>
      <c r="I817" s="51"/>
      <c r="J817" s="49"/>
      <c r="K817" s="51"/>
      <c r="L817" s="51"/>
      <c r="M817" s="52"/>
      <c r="N817" s="51"/>
      <c r="O817" s="51"/>
      <c r="P817" s="25"/>
    </row>
    <row r="818">
      <c r="A818" s="25"/>
      <c r="B818" s="49"/>
      <c r="C818" s="50"/>
      <c r="D818" s="50"/>
      <c r="E818" s="50"/>
      <c r="F818" s="51"/>
      <c r="G818" s="51"/>
      <c r="H818" s="51"/>
      <c r="I818" s="51"/>
      <c r="J818" s="49"/>
      <c r="K818" s="51"/>
      <c r="L818" s="51"/>
      <c r="M818" s="52"/>
      <c r="N818" s="51"/>
      <c r="O818" s="51"/>
      <c r="P818" s="25"/>
    </row>
    <row r="819">
      <c r="A819" s="25"/>
      <c r="B819" s="49"/>
      <c r="C819" s="50"/>
      <c r="D819" s="50"/>
      <c r="E819" s="50"/>
      <c r="F819" s="51"/>
      <c r="G819" s="51"/>
      <c r="H819" s="51"/>
      <c r="I819" s="51"/>
      <c r="J819" s="49"/>
      <c r="K819" s="51"/>
      <c r="L819" s="51"/>
      <c r="M819" s="52"/>
      <c r="N819" s="51"/>
      <c r="O819" s="51"/>
      <c r="P819" s="25"/>
    </row>
    <row r="820">
      <c r="A820" s="25"/>
      <c r="B820" s="49"/>
      <c r="C820" s="50"/>
      <c r="D820" s="50"/>
      <c r="E820" s="50"/>
      <c r="F820" s="51"/>
      <c r="G820" s="51"/>
      <c r="H820" s="51"/>
      <c r="I820" s="51"/>
      <c r="J820" s="49"/>
      <c r="K820" s="51"/>
      <c r="L820" s="51"/>
      <c r="M820" s="52"/>
      <c r="N820" s="51"/>
      <c r="O820" s="51"/>
      <c r="P820" s="25"/>
    </row>
    <row r="821">
      <c r="A821" s="25"/>
      <c r="B821" s="49"/>
      <c r="C821" s="50"/>
      <c r="D821" s="50"/>
      <c r="E821" s="50"/>
      <c r="F821" s="51"/>
      <c r="G821" s="51"/>
      <c r="H821" s="51"/>
      <c r="I821" s="51"/>
      <c r="J821" s="49"/>
      <c r="K821" s="51"/>
      <c r="L821" s="51"/>
      <c r="M821" s="52"/>
      <c r="N821" s="51"/>
      <c r="O821" s="51"/>
      <c r="P821" s="25"/>
    </row>
    <row r="822">
      <c r="A822" s="25"/>
      <c r="B822" s="49"/>
      <c r="C822" s="50"/>
      <c r="D822" s="50"/>
      <c r="E822" s="50"/>
      <c r="F822" s="51"/>
      <c r="G822" s="51"/>
      <c r="H822" s="51"/>
      <c r="I822" s="51"/>
      <c r="J822" s="49"/>
      <c r="K822" s="51"/>
      <c r="L822" s="51"/>
      <c r="M822" s="52"/>
      <c r="N822" s="51"/>
      <c r="O822" s="51"/>
      <c r="P822" s="25"/>
    </row>
    <row r="823">
      <c r="A823" s="25"/>
      <c r="B823" s="49"/>
      <c r="C823" s="50"/>
      <c r="D823" s="50"/>
      <c r="E823" s="50"/>
      <c r="F823" s="51"/>
      <c r="G823" s="51"/>
      <c r="H823" s="51"/>
      <c r="I823" s="51"/>
      <c r="J823" s="49"/>
      <c r="K823" s="51"/>
      <c r="L823" s="51"/>
      <c r="M823" s="52"/>
      <c r="N823" s="51"/>
      <c r="O823" s="51"/>
      <c r="P823" s="25"/>
    </row>
    <row r="824">
      <c r="A824" s="25"/>
      <c r="B824" s="49"/>
      <c r="C824" s="50"/>
      <c r="D824" s="50"/>
      <c r="E824" s="50"/>
      <c r="F824" s="51"/>
      <c r="G824" s="51"/>
      <c r="H824" s="51"/>
      <c r="I824" s="51"/>
      <c r="J824" s="49"/>
      <c r="K824" s="51"/>
      <c r="L824" s="51"/>
      <c r="M824" s="52"/>
      <c r="N824" s="51"/>
      <c r="O824" s="51"/>
      <c r="P824" s="25"/>
    </row>
    <row r="825">
      <c r="A825" s="25"/>
      <c r="B825" s="49"/>
      <c r="C825" s="50"/>
      <c r="D825" s="50"/>
      <c r="E825" s="50"/>
      <c r="F825" s="51"/>
      <c r="G825" s="51"/>
      <c r="H825" s="51"/>
      <c r="I825" s="51"/>
      <c r="J825" s="49"/>
      <c r="K825" s="51"/>
      <c r="L825" s="51"/>
      <c r="M825" s="52"/>
      <c r="N825" s="51"/>
      <c r="O825" s="51"/>
      <c r="P825" s="25"/>
    </row>
    <row r="826">
      <c r="A826" s="25"/>
      <c r="B826" s="49"/>
      <c r="C826" s="50"/>
      <c r="D826" s="50"/>
      <c r="E826" s="50"/>
      <c r="F826" s="51"/>
      <c r="G826" s="51"/>
      <c r="H826" s="51"/>
      <c r="I826" s="51"/>
      <c r="J826" s="49"/>
      <c r="K826" s="51"/>
      <c r="L826" s="51"/>
      <c r="M826" s="52"/>
      <c r="N826" s="51"/>
      <c r="O826" s="51"/>
      <c r="P826" s="25"/>
    </row>
    <row r="827">
      <c r="A827" s="25"/>
      <c r="B827" s="49"/>
      <c r="C827" s="50"/>
      <c r="D827" s="50"/>
      <c r="E827" s="50"/>
      <c r="F827" s="51"/>
      <c r="G827" s="51"/>
      <c r="H827" s="51"/>
      <c r="I827" s="51"/>
      <c r="J827" s="49"/>
      <c r="K827" s="51"/>
      <c r="L827" s="51"/>
      <c r="M827" s="52"/>
      <c r="N827" s="51"/>
      <c r="O827" s="51"/>
      <c r="P827" s="25"/>
    </row>
    <row r="828">
      <c r="A828" s="25"/>
      <c r="B828" s="49"/>
      <c r="C828" s="50"/>
      <c r="D828" s="50"/>
      <c r="E828" s="50"/>
      <c r="F828" s="51"/>
      <c r="G828" s="51"/>
      <c r="H828" s="51"/>
      <c r="I828" s="51"/>
      <c r="J828" s="49"/>
      <c r="K828" s="51"/>
      <c r="L828" s="51"/>
      <c r="M828" s="52"/>
      <c r="N828" s="51"/>
      <c r="O828" s="51"/>
      <c r="P828" s="25"/>
    </row>
    <row r="829">
      <c r="A829" s="25"/>
      <c r="B829" s="49"/>
      <c r="C829" s="50"/>
      <c r="D829" s="50"/>
      <c r="E829" s="50"/>
      <c r="F829" s="51"/>
      <c r="G829" s="51"/>
      <c r="H829" s="51"/>
      <c r="I829" s="51"/>
      <c r="J829" s="49"/>
      <c r="K829" s="51"/>
      <c r="L829" s="51"/>
      <c r="M829" s="52"/>
      <c r="N829" s="51"/>
      <c r="O829" s="51"/>
      <c r="P829" s="25"/>
    </row>
    <row r="830">
      <c r="A830" s="25"/>
      <c r="B830" s="49"/>
      <c r="C830" s="50"/>
      <c r="D830" s="50"/>
      <c r="E830" s="50"/>
      <c r="F830" s="51"/>
      <c r="G830" s="51"/>
      <c r="H830" s="51"/>
      <c r="I830" s="51"/>
      <c r="J830" s="49"/>
      <c r="K830" s="51"/>
      <c r="L830" s="51"/>
      <c r="M830" s="52"/>
      <c r="N830" s="51"/>
      <c r="O830" s="51"/>
      <c r="P830" s="25"/>
    </row>
    <row r="831">
      <c r="A831" s="25"/>
      <c r="B831" s="49"/>
      <c r="C831" s="50"/>
      <c r="D831" s="50"/>
      <c r="E831" s="50"/>
      <c r="F831" s="51"/>
      <c r="G831" s="51"/>
      <c r="H831" s="51"/>
      <c r="I831" s="51"/>
      <c r="J831" s="49"/>
      <c r="K831" s="51"/>
      <c r="L831" s="51"/>
      <c r="M831" s="52"/>
      <c r="N831" s="51"/>
      <c r="O831" s="51"/>
      <c r="P831" s="25"/>
    </row>
    <row r="832">
      <c r="A832" s="25"/>
      <c r="B832" s="49"/>
      <c r="C832" s="50"/>
      <c r="D832" s="50"/>
      <c r="E832" s="50"/>
      <c r="F832" s="51"/>
      <c r="G832" s="51"/>
      <c r="H832" s="51"/>
      <c r="I832" s="51"/>
      <c r="J832" s="49"/>
      <c r="K832" s="51"/>
      <c r="L832" s="51"/>
      <c r="M832" s="52"/>
      <c r="N832" s="51"/>
      <c r="O832" s="51"/>
      <c r="P832" s="25"/>
    </row>
    <row r="833">
      <c r="A833" s="25"/>
      <c r="B833" s="49"/>
      <c r="C833" s="50"/>
      <c r="D833" s="50"/>
      <c r="E833" s="50"/>
      <c r="F833" s="51"/>
      <c r="G833" s="51"/>
      <c r="H833" s="51"/>
      <c r="I833" s="51"/>
      <c r="J833" s="49"/>
      <c r="K833" s="51"/>
      <c r="L833" s="51"/>
      <c r="M833" s="52"/>
      <c r="N833" s="51"/>
      <c r="O833" s="51"/>
      <c r="P833" s="25"/>
    </row>
    <row r="834">
      <c r="A834" s="25"/>
      <c r="B834" s="49"/>
      <c r="C834" s="50"/>
      <c r="D834" s="50"/>
      <c r="E834" s="50"/>
      <c r="F834" s="51"/>
      <c r="G834" s="51"/>
      <c r="H834" s="51"/>
      <c r="I834" s="51"/>
      <c r="J834" s="49"/>
      <c r="K834" s="51"/>
      <c r="L834" s="51"/>
      <c r="M834" s="52"/>
      <c r="N834" s="51"/>
      <c r="O834" s="51"/>
      <c r="P834" s="25"/>
    </row>
    <row r="835">
      <c r="A835" s="25"/>
      <c r="B835" s="49"/>
      <c r="C835" s="50"/>
      <c r="D835" s="50"/>
      <c r="E835" s="50"/>
      <c r="F835" s="51"/>
      <c r="G835" s="51"/>
      <c r="H835" s="51"/>
      <c r="I835" s="51"/>
      <c r="J835" s="49"/>
      <c r="K835" s="51"/>
      <c r="L835" s="51"/>
      <c r="M835" s="52"/>
      <c r="N835" s="51"/>
      <c r="O835" s="51"/>
      <c r="P835" s="25"/>
    </row>
    <row r="836">
      <c r="A836" s="25"/>
      <c r="B836" s="49"/>
      <c r="C836" s="50"/>
      <c r="D836" s="50"/>
      <c r="E836" s="50"/>
      <c r="F836" s="51"/>
      <c r="G836" s="51"/>
      <c r="H836" s="51"/>
      <c r="I836" s="51"/>
      <c r="J836" s="49"/>
      <c r="K836" s="51"/>
      <c r="L836" s="51"/>
      <c r="M836" s="52"/>
      <c r="N836" s="51"/>
      <c r="O836" s="51"/>
      <c r="P836" s="25"/>
    </row>
    <row r="837">
      <c r="A837" s="25"/>
      <c r="B837" s="49"/>
      <c r="C837" s="50"/>
      <c r="D837" s="50"/>
      <c r="E837" s="50"/>
      <c r="F837" s="51"/>
      <c r="G837" s="51"/>
      <c r="H837" s="51"/>
      <c r="I837" s="51"/>
      <c r="J837" s="49"/>
      <c r="K837" s="51"/>
      <c r="L837" s="51"/>
      <c r="M837" s="52"/>
      <c r="N837" s="51"/>
      <c r="O837" s="51"/>
      <c r="P837" s="25"/>
    </row>
    <row r="838">
      <c r="A838" s="25"/>
      <c r="B838" s="49"/>
      <c r="C838" s="50"/>
      <c r="D838" s="50"/>
      <c r="E838" s="50"/>
      <c r="F838" s="51"/>
      <c r="G838" s="51"/>
      <c r="H838" s="51"/>
      <c r="I838" s="51"/>
      <c r="J838" s="49"/>
      <c r="K838" s="51"/>
      <c r="L838" s="51"/>
      <c r="M838" s="52"/>
      <c r="N838" s="51"/>
      <c r="O838" s="51"/>
      <c r="P838" s="25"/>
    </row>
    <row r="839">
      <c r="A839" s="25"/>
      <c r="B839" s="49"/>
      <c r="C839" s="50"/>
      <c r="D839" s="50"/>
      <c r="E839" s="50"/>
      <c r="F839" s="51"/>
      <c r="G839" s="51"/>
      <c r="H839" s="51"/>
      <c r="I839" s="51"/>
      <c r="J839" s="49"/>
      <c r="K839" s="51"/>
      <c r="L839" s="51"/>
      <c r="M839" s="52"/>
      <c r="N839" s="51"/>
      <c r="O839" s="51"/>
      <c r="P839" s="25"/>
    </row>
    <row r="840">
      <c r="A840" s="25"/>
      <c r="B840" s="49"/>
      <c r="C840" s="50"/>
      <c r="D840" s="50"/>
      <c r="E840" s="50"/>
      <c r="F840" s="51"/>
      <c r="G840" s="51"/>
      <c r="H840" s="51"/>
      <c r="I840" s="51"/>
      <c r="J840" s="49"/>
      <c r="K840" s="51"/>
      <c r="L840" s="51"/>
      <c r="M840" s="52"/>
      <c r="N840" s="51"/>
      <c r="O840" s="51"/>
      <c r="P840" s="25"/>
    </row>
    <row r="841">
      <c r="A841" s="25"/>
      <c r="B841" s="49"/>
      <c r="C841" s="50"/>
      <c r="D841" s="50"/>
      <c r="E841" s="50"/>
      <c r="F841" s="51"/>
      <c r="G841" s="51"/>
      <c r="H841" s="51"/>
      <c r="I841" s="51"/>
      <c r="J841" s="49"/>
      <c r="K841" s="51"/>
      <c r="L841" s="51"/>
      <c r="M841" s="52"/>
      <c r="N841" s="51"/>
      <c r="O841" s="51"/>
      <c r="P841" s="25"/>
    </row>
    <row r="842">
      <c r="A842" s="25"/>
      <c r="B842" s="49"/>
      <c r="C842" s="50"/>
      <c r="D842" s="50"/>
      <c r="E842" s="50"/>
      <c r="F842" s="51"/>
      <c r="G842" s="51"/>
      <c r="H842" s="51"/>
      <c r="I842" s="51"/>
      <c r="J842" s="49"/>
      <c r="K842" s="51"/>
      <c r="L842" s="51"/>
      <c r="M842" s="52"/>
      <c r="N842" s="51"/>
      <c r="O842" s="51"/>
      <c r="P842" s="25"/>
    </row>
    <row r="843">
      <c r="A843" s="25"/>
      <c r="B843" s="49"/>
      <c r="C843" s="50"/>
      <c r="D843" s="50"/>
      <c r="E843" s="50"/>
      <c r="F843" s="51"/>
      <c r="G843" s="51"/>
      <c r="H843" s="51"/>
      <c r="I843" s="51"/>
      <c r="J843" s="49"/>
      <c r="K843" s="51"/>
      <c r="L843" s="51"/>
      <c r="M843" s="52"/>
      <c r="N843" s="51"/>
      <c r="O843" s="51"/>
      <c r="P843" s="25"/>
    </row>
    <row r="844">
      <c r="A844" s="25"/>
      <c r="B844" s="49"/>
      <c r="C844" s="50"/>
      <c r="D844" s="50"/>
      <c r="E844" s="50"/>
      <c r="F844" s="51"/>
      <c r="G844" s="51"/>
      <c r="H844" s="51"/>
      <c r="I844" s="51"/>
      <c r="J844" s="49"/>
      <c r="K844" s="51"/>
      <c r="L844" s="51"/>
      <c r="M844" s="52"/>
      <c r="N844" s="51"/>
      <c r="O844" s="51"/>
      <c r="P844" s="25"/>
    </row>
    <row r="845">
      <c r="A845" s="25"/>
      <c r="B845" s="49"/>
      <c r="C845" s="50"/>
      <c r="D845" s="50"/>
      <c r="E845" s="50"/>
      <c r="F845" s="51"/>
      <c r="G845" s="51"/>
      <c r="H845" s="51"/>
      <c r="I845" s="51"/>
      <c r="J845" s="49"/>
      <c r="K845" s="51"/>
      <c r="L845" s="51"/>
      <c r="M845" s="52"/>
      <c r="N845" s="51"/>
      <c r="O845" s="51"/>
      <c r="P845" s="25"/>
    </row>
    <row r="846">
      <c r="A846" s="25"/>
      <c r="B846" s="49"/>
      <c r="C846" s="50"/>
      <c r="D846" s="50"/>
      <c r="E846" s="50"/>
      <c r="F846" s="51"/>
      <c r="G846" s="51"/>
      <c r="H846" s="51"/>
      <c r="I846" s="51"/>
      <c r="J846" s="49"/>
      <c r="K846" s="51"/>
      <c r="L846" s="51"/>
      <c r="M846" s="52"/>
      <c r="N846" s="51"/>
      <c r="O846" s="51"/>
      <c r="P846" s="25"/>
    </row>
    <row r="847">
      <c r="A847" s="25"/>
      <c r="B847" s="49"/>
      <c r="C847" s="50"/>
      <c r="D847" s="50"/>
      <c r="E847" s="50"/>
      <c r="F847" s="51"/>
      <c r="G847" s="51"/>
      <c r="H847" s="51"/>
      <c r="I847" s="51"/>
      <c r="J847" s="49"/>
      <c r="K847" s="51"/>
      <c r="L847" s="51"/>
      <c r="M847" s="52"/>
      <c r="N847" s="51"/>
      <c r="O847" s="51"/>
      <c r="P847" s="25"/>
    </row>
    <row r="848">
      <c r="A848" s="25"/>
      <c r="B848" s="49"/>
      <c r="C848" s="50"/>
      <c r="D848" s="50"/>
      <c r="E848" s="50"/>
      <c r="F848" s="51"/>
      <c r="G848" s="51"/>
      <c r="H848" s="51"/>
      <c r="I848" s="51"/>
      <c r="J848" s="49"/>
      <c r="K848" s="51"/>
      <c r="L848" s="51"/>
      <c r="M848" s="52"/>
      <c r="N848" s="51"/>
      <c r="O848" s="51"/>
      <c r="P848" s="25"/>
    </row>
    <row r="849">
      <c r="A849" s="25"/>
      <c r="B849" s="49"/>
      <c r="C849" s="50"/>
      <c r="D849" s="50"/>
      <c r="E849" s="50"/>
      <c r="F849" s="51"/>
      <c r="G849" s="51"/>
      <c r="H849" s="51"/>
      <c r="I849" s="51"/>
      <c r="J849" s="49"/>
      <c r="K849" s="51"/>
      <c r="L849" s="51"/>
      <c r="M849" s="52"/>
      <c r="N849" s="51"/>
      <c r="O849" s="51"/>
      <c r="P849" s="25"/>
    </row>
    <row r="850">
      <c r="A850" s="25"/>
      <c r="B850" s="49"/>
      <c r="C850" s="50"/>
      <c r="D850" s="50"/>
      <c r="E850" s="50"/>
      <c r="F850" s="51"/>
      <c r="G850" s="51"/>
      <c r="H850" s="51"/>
      <c r="I850" s="51"/>
      <c r="J850" s="49"/>
      <c r="K850" s="51"/>
      <c r="L850" s="51"/>
      <c r="M850" s="52"/>
      <c r="N850" s="51"/>
      <c r="O850" s="51"/>
      <c r="P850" s="25"/>
    </row>
    <row r="851">
      <c r="A851" s="25"/>
      <c r="B851" s="49"/>
      <c r="C851" s="50"/>
      <c r="D851" s="50"/>
      <c r="E851" s="50"/>
      <c r="F851" s="51"/>
      <c r="G851" s="51"/>
      <c r="H851" s="51"/>
      <c r="I851" s="51"/>
      <c r="J851" s="49"/>
      <c r="K851" s="51"/>
      <c r="L851" s="51"/>
      <c r="M851" s="52"/>
      <c r="N851" s="51"/>
      <c r="O851" s="51"/>
      <c r="P851" s="25"/>
    </row>
    <row r="852">
      <c r="A852" s="25"/>
      <c r="B852" s="49"/>
      <c r="C852" s="50"/>
      <c r="D852" s="50"/>
      <c r="E852" s="50"/>
      <c r="F852" s="51"/>
      <c r="G852" s="51"/>
      <c r="H852" s="51"/>
      <c r="I852" s="51"/>
      <c r="J852" s="49"/>
      <c r="K852" s="51"/>
      <c r="L852" s="51"/>
      <c r="M852" s="52"/>
      <c r="N852" s="51"/>
      <c r="O852" s="51"/>
      <c r="P852" s="25"/>
    </row>
    <row r="853">
      <c r="A853" s="25"/>
      <c r="B853" s="49"/>
      <c r="C853" s="50"/>
      <c r="D853" s="50"/>
      <c r="E853" s="50"/>
      <c r="F853" s="51"/>
      <c r="G853" s="51"/>
      <c r="H853" s="51"/>
      <c r="I853" s="51"/>
      <c r="J853" s="49"/>
      <c r="K853" s="51"/>
      <c r="L853" s="51"/>
      <c r="M853" s="52"/>
      <c r="N853" s="51"/>
      <c r="O853" s="51"/>
      <c r="P853" s="25"/>
    </row>
    <row r="854">
      <c r="A854" s="25"/>
      <c r="B854" s="49"/>
      <c r="C854" s="50"/>
      <c r="D854" s="50"/>
      <c r="E854" s="50"/>
      <c r="F854" s="51"/>
      <c r="G854" s="51"/>
      <c r="H854" s="51"/>
      <c r="I854" s="51"/>
      <c r="J854" s="49"/>
      <c r="K854" s="51"/>
      <c r="L854" s="51"/>
      <c r="M854" s="52"/>
      <c r="N854" s="51"/>
      <c r="O854" s="51"/>
      <c r="P854" s="25"/>
    </row>
    <row r="855">
      <c r="A855" s="25"/>
      <c r="B855" s="49"/>
      <c r="C855" s="50"/>
      <c r="D855" s="50"/>
      <c r="E855" s="50"/>
      <c r="F855" s="51"/>
      <c r="G855" s="51"/>
      <c r="H855" s="51"/>
      <c r="I855" s="51"/>
      <c r="J855" s="49"/>
      <c r="K855" s="51"/>
      <c r="L855" s="51"/>
      <c r="M855" s="52"/>
      <c r="N855" s="51"/>
      <c r="O855" s="51"/>
      <c r="P855" s="25"/>
    </row>
    <row r="856">
      <c r="A856" s="25"/>
      <c r="B856" s="49"/>
      <c r="C856" s="50"/>
      <c r="D856" s="50"/>
      <c r="E856" s="50"/>
      <c r="F856" s="51"/>
      <c r="G856" s="51"/>
      <c r="H856" s="51"/>
      <c r="I856" s="51"/>
      <c r="J856" s="49"/>
      <c r="K856" s="51"/>
      <c r="L856" s="51"/>
      <c r="M856" s="52"/>
      <c r="N856" s="51"/>
      <c r="O856" s="51"/>
      <c r="P856" s="25"/>
    </row>
    <row r="857">
      <c r="A857" s="25"/>
      <c r="B857" s="49"/>
      <c r="C857" s="50"/>
      <c r="D857" s="50"/>
      <c r="E857" s="50"/>
      <c r="F857" s="51"/>
      <c r="G857" s="51"/>
      <c r="H857" s="51"/>
      <c r="I857" s="51"/>
      <c r="J857" s="49"/>
      <c r="K857" s="51"/>
      <c r="L857" s="51"/>
      <c r="M857" s="52"/>
      <c r="N857" s="51"/>
      <c r="O857" s="51"/>
      <c r="P857" s="25"/>
    </row>
    <row r="858">
      <c r="A858" s="25"/>
      <c r="B858" s="49"/>
      <c r="C858" s="50"/>
      <c r="D858" s="50"/>
      <c r="E858" s="50"/>
      <c r="F858" s="51"/>
      <c r="G858" s="51"/>
      <c r="H858" s="51"/>
      <c r="I858" s="51"/>
      <c r="J858" s="49"/>
      <c r="K858" s="51"/>
      <c r="L858" s="51"/>
      <c r="M858" s="52"/>
      <c r="N858" s="51"/>
      <c r="O858" s="51"/>
      <c r="P858" s="25"/>
    </row>
    <row r="859">
      <c r="A859" s="25"/>
      <c r="B859" s="49"/>
      <c r="C859" s="50"/>
      <c r="D859" s="50"/>
      <c r="E859" s="50"/>
      <c r="F859" s="51"/>
      <c r="G859" s="51"/>
      <c r="H859" s="51"/>
      <c r="I859" s="51"/>
      <c r="J859" s="49"/>
      <c r="K859" s="51"/>
      <c r="L859" s="51"/>
      <c r="M859" s="52"/>
      <c r="N859" s="51"/>
      <c r="O859" s="51"/>
      <c r="P859" s="25"/>
    </row>
    <row r="860">
      <c r="A860" s="25"/>
      <c r="B860" s="49"/>
      <c r="C860" s="50"/>
      <c r="D860" s="50"/>
      <c r="E860" s="50"/>
      <c r="F860" s="51"/>
      <c r="G860" s="51"/>
      <c r="H860" s="51"/>
      <c r="I860" s="51"/>
      <c r="J860" s="49"/>
      <c r="K860" s="51"/>
      <c r="L860" s="51"/>
      <c r="M860" s="52"/>
      <c r="N860" s="51"/>
      <c r="O860" s="51"/>
      <c r="P860" s="25"/>
    </row>
    <row r="861">
      <c r="A861" s="25"/>
      <c r="B861" s="49"/>
      <c r="C861" s="50"/>
      <c r="D861" s="50"/>
      <c r="E861" s="50"/>
      <c r="F861" s="51"/>
      <c r="G861" s="51"/>
      <c r="H861" s="51"/>
      <c r="I861" s="51"/>
      <c r="J861" s="49"/>
      <c r="K861" s="51"/>
      <c r="L861" s="51"/>
      <c r="M861" s="52"/>
      <c r="N861" s="51"/>
      <c r="O861" s="51"/>
      <c r="P861" s="25"/>
    </row>
    <row r="862">
      <c r="A862" s="25"/>
      <c r="B862" s="49"/>
      <c r="C862" s="50"/>
      <c r="D862" s="50"/>
      <c r="E862" s="50"/>
      <c r="F862" s="51"/>
      <c r="G862" s="51"/>
      <c r="H862" s="51"/>
      <c r="I862" s="51"/>
      <c r="J862" s="49"/>
      <c r="K862" s="51"/>
      <c r="L862" s="51"/>
      <c r="M862" s="52"/>
      <c r="N862" s="51"/>
      <c r="O862" s="51"/>
      <c r="P862" s="25"/>
    </row>
    <row r="863">
      <c r="A863" s="25"/>
      <c r="B863" s="49"/>
      <c r="C863" s="50"/>
      <c r="D863" s="50"/>
      <c r="E863" s="50"/>
      <c r="F863" s="51"/>
      <c r="G863" s="51"/>
      <c r="H863" s="51"/>
      <c r="I863" s="51"/>
      <c r="J863" s="49"/>
      <c r="K863" s="51"/>
      <c r="L863" s="51"/>
      <c r="M863" s="52"/>
      <c r="N863" s="51"/>
      <c r="O863" s="51"/>
      <c r="P863" s="25"/>
    </row>
    <row r="864">
      <c r="A864" s="25"/>
      <c r="B864" s="49"/>
      <c r="C864" s="50"/>
      <c r="D864" s="50"/>
      <c r="E864" s="50"/>
      <c r="F864" s="51"/>
      <c r="G864" s="51"/>
      <c r="H864" s="51"/>
      <c r="I864" s="51"/>
      <c r="J864" s="49"/>
      <c r="K864" s="51"/>
      <c r="L864" s="51"/>
      <c r="M864" s="52"/>
      <c r="N864" s="51"/>
      <c r="O864" s="51"/>
      <c r="P864" s="25"/>
    </row>
    <row r="865">
      <c r="A865" s="25"/>
      <c r="B865" s="49"/>
      <c r="C865" s="50"/>
      <c r="D865" s="50"/>
      <c r="E865" s="50"/>
      <c r="F865" s="51"/>
      <c r="G865" s="51"/>
      <c r="H865" s="51"/>
      <c r="I865" s="51"/>
      <c r="J865" s="49"/>
      <c r="K865" s="51"/>
      <c r="L865" s="51"/>
      <c r="M865" s="52"/>
      <c r="N865" s="51"/>
      <c r="O865" s="51"/>
      <c r="P865" s="25"/>
    </row>
    <row r="866">
      <c r="A866" s="25"/>
      <c r="B866" s="49"/>
      <c r="C866" s="50"/>
      <c r="D866" s="50"/>
      <c r="E866" s="50"/>
      <c r="F866" s="51"/>
      <c r="G866" s="51"/>
      <c r="H866" s="51"/>
      <c r="I866" s="51"/>
      <c r="J866" s="49"/>
      <c r="K866" s="51"/>
      <c r="L866" s="51"/>
      <c r="M866" s="52"/>
      <c r="N866" s="51"/>
      <c r="O866" s="51"/>
      <c r="P866" s="25"/>
    </row>
    <row r="867">
      <c r="A867" s="25"/>
      <c r="B867" s="49"/>
      <c r="C867" s="50"/>
      <c r="D867" s="50"/>
      <c r="E867" s="50"/>
      <c r="F867" s="51"/>
      <c r="G867" s="51"/>
      <c r="H867" s="51"/>
      <c r="I867" s="51"/>
      <c r="J867" s="49"/>
      <c r="K867" s="51"/>
      <c r="L867" s="51"/>
      <c r="M867" s="52"/>
      <c r="N867" s="51"/>
      <c r="O867" s="51"/>
      <c r="P867" s="25"/>
    </row>
    <row r="868">
      <c r="A868" s="25"/>
      <c r="B868" s="49"/>
      <c r="C868" s="50"/>
      <c r="D868" s="50"/>
      <c r="E868" s="50"/>
      <c r="F868" s="51"/>
      <c r="G868" s="51"/>
      <c r="H868" s="51"/>
      <c r="I868" s="51"/>
      <c r="J868" s="49"/>
      <c r="K868" s="51"/>
      <c r="L868" s="51"/>
      <c r="M868" s="52"/>
      <c r="N868" s="51"/>
      <c r="O868" s="51"/>
      <c r="P868" s="25"/>
    </row>
    <row r="869">
      <c r="A869" s="25"/>
      <c r="B869" s="49"/>
      <c r="C869" s="50"/>
      <c r="D869" s="50"/>
      <c r="E869" s="50"/>
      <c r="F869" s="51"/>
      <c r="G869" s="51"/>
      <c r="H869" s="51"/>
      <c r="I869" s="51"/>
      <c r="J869" s="49"/>
      <c r="K869" s="51"/>
      <c r="L869" s="51"/>
      <c r="M869" s="52"/>
      <c r="N869" s="51"/>
      <c r="O869" s="51"/>
      <c r="P869" s="25"/>
    </row>
    <row r="870">
      <c r="A870" s="25"/>
      <c r="B870" s="49"/>
      <c r="C870" s="50"/>
      <c r="D870" s="50"/>
      <c r="E870" s="50"/>
      <c r="F870" s="51"/>
      <c r="G870" s="51"/>
      <c r="H870" s="51"/>
      <c r="I870" s="51"/>
      <c r="J870" s="49"/>
      <c r="K870" s="51"/>
      <c r="L870" s="51"/>
      <c r="M870" s="52"/>
      <c r="N870" s="51"/>
      <c r="O870" s="51"/>
      <c r="P870" s="25"/>
    </row>
    <row r="871">
      <c r="A871" s="25"/>
      <c r="B871" s="49"/>
      <c r="C871" s="50"/>
      <c r="D871" s="50"/>
      <c r="E871" s="50"/>
      <c r="F871" s="51"/>
      <c r="G871" s="51"/>
      <c r="H871" s="51"/>
      <c r="I871" s="51"/>
      <c r="J871" s="49"/>
      <c r="K871" s="51"/>
      <c r="L871" s="51"/>
      <c r="M871" s="52"/>
      <c r="N871" s="51"/>
      <c r="O871" s="51"/>
      <c r="P871" s="25"/>
    </row>
    <row r="872">
      <c r="A872" s="25"/>
      <c r="B872" s="49"/>
      <c r="C872" s="50"/>
      <c r="D872" s="50"/>
      <c r="E872" s="50"/>
      <c r="F872" s="51"/>
      <c r="G872" s="51"/>
      <c r="H872" s="51"/>
      <c r="I872" s="51"/>
      <c r="J872" s="49"/>
      <c r="K872" s="51"/>
      <c r="L872" s="51"/>
      <c r="M872" s="52"/>
      <c r="N872" s="51"/>
      <c r="O872" s="51"/>
      <c r="P872" s="25"/>
    </row>
    <row r="873">
      <c r="A873" s="25"/>
      <c r="B873" s="49"/>
      <c r="C873" s="50"/>
      <c r="D873" s="50"/>
      <c r="E873" s="50"/>
      <c r="F873" s="51"/>
      <c r="G873" s="51"/>
      <c r="H873" s="51"/>
      <c r="I873" s="51"/>
      <c r="J873" s="49"/>
      <c r="K873" s="51"/>
      <c r="L873" s="51"/>
      <c r="M873" s="52"/>
      <c r="N873" s="51"/>
      <c r="O873" s="51"/>
      <c r="P873" s="25"/>
    </row>
    <row r="874">
      <c r="A874" s="25"/>
      <c r="B874" s="49"/>
      <c r="C874" s="50"/>
      <c r="D874" s="50"/>
      <c r="E874" s="50"/>
      <c r="F874" s="51"/>
      <c r="G874" s="51"/>
      <c r="H874" s="51"/>
      <c r="I874" s="51"/>
      <c r="J874" s="49"/>
      <c r="K874" s="51"/>
      <c r="L874" s="51"/>
      <c r="M874" s="52"/>
      <c r="N874" s="51"/>
      <c r="O874" s="51"/>
      <c r="P874" s="25"/>
    </row>
    <row r="875">
      <c r="A875" s="25"/>
      <c r="B875" s="49"/>
      <c r="C875" s="50"/>
      <c r="D875" s="50"/>
      <c r="E875" s="50"/>
      <c r="F875" s="51"/>
      <c r="G875" s="51"/>
      <c r="H875" s="51"/>
      <c r="I875" s="51"/>
      <c r="J875" s="49"/>
      <c r="K875" s="51"/>
      <c r="L875" s="51"/>
      <c r="M875" s="52"/>
      <c r="N875" s="51"/>
      <c r="O875" s="51"/>
      <c r="P875" s="25"/>
    </row>
    <row r="876">
      <c r="A876" s="25"/>
      <c r="B876" s="49"/>
      <c r="C876" s="50"/>
      <c r="D876" s="50"/>
      <c r="E876" s="50"/>
      <c r="F876" s="51"/>
      <c r="G876" s="51"/>
      <c r="H876" s="51"/>
      <c r="I876" s="51"/>
      <c r="J876" s="49"/>
      <c r="K876" s="51"/>
      <c r="L876" s="51"/>
      <c r="M876" s="52"/>
      <c r="N876" s="51"/>
      <c r="O876" s="51"/>
      <c r="P876" s="25"/>
    </row>
    <row r="877">
      <c r="A877" s="25"/>
      <c r="B877" s="49"/>
      <c r="C877" s="50"/>
      <c r="D877" s="50"/>
      <c r="E877" s="50"/>
      <c r="F877" s="51"/>
      <c r="G877" s="51"/>
      <c r="H877" s="51"/>
      <c r="I877" s="51"/>
      <c r="J877" s="49"/>
      <c r="K877" s="51"/>
      <c r="L877" s="51"/>
      <c r="M877" s="52"/>
      <c r="N877" s="51"/>
      <c r="O877" s="51"/>
      <c r="P877" s="25"/>
    </row>
    <row r="878">
      <c r="A878" s="25"/>
      <c r="B878" s="49"/>
      <c r="C878" s="50"/>
      <c r="D878" s="50"/>
      <c r="E878" s="50"/>
      <c r="F878" s="51"/>
      <c r="G878" s="51"/>
      <c r="H878" s="51"/>
      <c r="I878" s="51"/>
      <c r="J878" s="49"/>
      <c r="K878" s="51"/>
      <c r="L878" s="51"/>
      <c r="M878" s="52"/>
      <c r="N878" s="51"/>
      <c r="O878" s="51"/>
      <c r="P878" s="25"/>
    </row>
    <row r="879">
      <c r="A879" s="25"/>
      <c r="B879" s="49"/>
      <c r="C879" s="50"/>
      <c r="D879" s="50"/>
      <c r="E879" s="50"/>
      <c r="F879" s="51"/>
      <c r="G879" s="51"/>
      <c r="H879" s="51"/>
      <c r="I879" s="51"/>
      <c r="J879" s="49"/>
      <c r="K879" s="51"/>
      <c r="L879" s="51"/>
      <c r="M879" s="52"/>
      <c r="N879" s="51"/>
      <c r="O879" s="51"/>
      <c r="P879" s="25"/>
    </row>
    <row r="880">
      <c r="A880" s="25"/>
      <c r="B880" s="49"/>
      <c r="C880" s="50"/>
      <c r="D880" s="50"/>
      <c r="E880" s="50"/>
      <c r="F880" s="51"/>
      <c r="G880" s="51"/>
      <c r="H880" s="51"/>
      <c r="I880" s="51"/>
      <c r="J880" s="49"/>
      <c r="K880" s="51"/>
      <c r="L880" s="51"/>
      <c r="M880" s="52"/>
      <c r="N880" s="51"/>
      <c r="O880" s="51"/>
      <c r="P880" s="25"/>
    </row>
    <row r="881">
      <c r="A881" s="25"/>
      <c r="B881" s="49"/>
      <c r="C881" s="50"/>
      <c r="D881" s="50"/>
      <c r="E881" s="50"/>
      <c r="F881" s="51"/>
      <c r="G881" s="51"/>
      <c r="H881" s="51"/>
      <c r="I881" s="51"/>
      <c r="J881" s="49"/>
      <c r="K881" s="51"/>
      <c r="L881" s="51"/>
      <c r="M881" s="52"/>
      <c r="N881" s="51"/>
      <c r="O881" s="51"/>
      <c r="P881" s="25"/>
    </row>
    <row r="882">
      <c r="A882" s="25"/>
      <c r="B882" s="49"/>
      <c r="C882" s="50"/>
      <c r="D882" s="50"/>
      <c r="E882" s="50"/>
      <c r="F882" s="51"/>
      <c r="G882" s="51"/>
      <c r="H882" s="51"/>
      <c r="I882" s="51"/>
      <c r="J882" s="49"/>
      <c r="K882" s="51"/>
      <c r="L882" s="51"/>
      <c r="M882" s="52"/>
      <c r="N882" s="51"/>
      <c r="O882" s="51"/>
      <c r="P882" s="25"/>
    </row>
    <row r="883">
      <c r="A883" s="25"/>
      <c r="B883" s="49"/>
      <c r="C883" s="50"/>
      <c r="D883" s="50"/>
      <c r="E883" s="50"/>
      <c r="F883" s="51"/>
      <c r="G883" s="51"/>
      <c r="H883" s="51"/>
      <c r="I883" s="51"/>
      <c r="J883" s="49"/>
      <c r="K883" s="51"/>
      <c r="L883" s="51"/>
      <c r="M883" s="52"/>
      <c r="N883" s="51"/>
      <c r="O883" s="51"/>
      <c r="P883" s="25"/>
    </row>
    <row r="884">
      <c r="A884" s="25"/>
      <c r="B884" s="49"/>
      <c r="C884" s="50"/>
      <c r="D884" s="50"/>
      <c r="E884" s="50"/>
      <c r="F884" s="51"/>
      <c r="G884" s="51"/>
      <c r="H884" s="51"/>
      <c r="I884" s="51"/>
      <c r="J884" s="49"/>
      <c r="K884" s="51"/>
      <c r="L884" s="51"/>
      <c r="M884" s="52"/>
      <c r="N884" s="51"/>
      <c r="O884" s="51"/>
      <c r="P884" s="25"/>
    </row>
    <row r="885">
      <c r="A885" s="25"/>
      <c r="B885" s="49"/>
      <c r="C885" s="50"/>
      <c r="D885" s="50"/>
      <c r="E885" s="50"/>
      <c r="F885" s="51"/>
      <c r="G885" s="51"/>
      <c r="H885" s="51"/>
      <c r="I885" s="51"/>
      <c r="J885" s="49"/>
      <c r="K885" s="51"/>
      <c r="L885" s="51"/>
      <c r="M885" s="52"/>
      <c r="N885" s="51"/>
      <c r="O885" s="51"/>
      <c r="P885" s="25"/>
    </row>
    <row r="886">
      <c r="A886" s="25"/>
      <c r="B886" s="49"/>
      <c r="C886" s="50"/>
      <c r="D886" s="50"/>
      <c r="E886" s="50"/>
      <c r="F886" s="51"/>
      <c r="G886" s="51"/>
      <c r="H886" s="51"/>
      <c r="I886" s="51"/>
      <c r="J886" s="49"/>
      <c r="K886" s="51"/>
      <c r="L886" s="51"/>
      <c r="M886" s="52"/>
      <c r="N886" s="51"/>
      <c r="O886" s="51"/>
      <c r="P886" s="25"/>
    </row>
    <row r="887">
      <c r="A887" s="25"/>
      <c r="B887" s="49"/>
      <c r="C887" s="50"/>
      <c r="D887" s="50"/>
      <c r="E887" s="50"/>
      <c r="F887" s="51"/>
      <c r="G887" s="51"/>
      <c r="H887" s="51"/>
      <c r="I887" s="51"/>
      <c r="J887" s="49"/>
      <c r="K887" s="51"/>
      <c r="L887" s="51"/>
      <c r="M887" s="52"/>
      <c r="N887" s="51"/>
      <c r="O887" s="51"/>
      <c r="P887" s="25"/>
    </row>
    <row r="888">
      <c r="A888" s="25"/>
      <c r="B888" s="49"/>
      <c r="C888" s="50"/>
      <c r="D888" s="50"/>
      <c r="E888" s="50"/>
      <c r="F888" s="51"/>
      <c r="G888" s="51"/>
      <c r="H888" s="51"/>
      <c r="I888" s="51"/>
      <c r="J888" s="49"/>
      <c r="K888" s="51"/>
      <c r="L888" s="51"/>
      <c r="M888" s="52"/>
      <c r="N888" s="51"/>
      <c r="O888" s="51"/>
      <c r="P888" s="25"/>
    </row>
    <row r="889">
      <c r="A889" s="25"/>
      <c r="B889" s="49"/>
      <c r="C889" s="50"/>
      <c r="D889" s="50"/>
      <c r="E889" s="50"/>
      <c r="F889" s="51"/>
      <c r="G889" s="51"/>
      <c r="H889" s="51"/>
      <c r="I889" s="51"/>
      <c r="J889" s="49"/>
      <c r="K889" s="51"/>
      <c r="L889" s="51"/>
      <c r="M889" s="52"/>
      <c r="N889" s="51"/>
      <c r="O889" s="51"/>
      <c r="P889" s="25"/>
    </row>
    <row r="890">
      <c r="A890" s="25"/>
      <c r="B890" s="49"/>
      <c r="C890" s="50"/>
      <c r="D890" s="50"/>
      <c r="E890" s="50"/>
      <c r="F890" s="51"/>
      <c r="G890" s="51"/>
      <c r="H890" s="51"/>
      <c r="I890" s="51"/>
      <c r="J890" s="49"/>
      <c r="K890" s="51"/>
      <c r="L890" s="51"/>
      <c r="M890" s="52"/>
      <c r="N890" s="51"/>
      <c r="O890" s="51"/>
      <c r="P890" s="25"/>
    </row>
    <row r="891">
      <c r="A891" s="25"/>
      <c r="B891" s="49"/>
      <c r="C891" s="50"/>
      <c r="D891" s="50"/>
      <c r="E891" s="50"/>
      <c r="F891" s="51"/>
      <c r="G891" s="51"/>
      <c r="H891" s="51"/>
      <c r="I891" s="51"/>
      <c r="J891" s="49"/>
      <c r="K891" s="51"/>
      <c r="L891" s="51"/>
      <c r="M891" s="52"/>
      <c r="N891" s="51"/>
      <c r="O891" s="51"/>
      <c r="P891" s="25"/>
    </row>
    <row r="892">
      <c r="A892" s="25"/>
      <c r="B892" s="49"/>
      <c r="C892" s="50"/>
      <c r="D892" s="50"/>
      <c r="E892" s="50"/>
      <c r="F892" s="51"/>
      <c r="G892" s="51"/>
      <c r="H892" s="51"/>
      <c r="I892" s="51"/>
      <c r="J892" s="49"/>
      <c r="K892" s="51"/>
      <c r="L892" s="51"/>
      <c r="M892" s="52"/>
      <c r="N892" s="51"/>
      <c r="O892" s="51"/>
      <c r="P892" s="25"/>
    </row>
    <row r="893">
      <c r="A893" s="25"/>
      <c r="B893" s="49"/>
      <c r="C893" s="50"/>
      <c r="D893" s="50"/>
      <c r="E893" s="50"/>
      <c r="F893" s="51"/>
      <c r="G893" s="51"/>
      <c r="H893" s="51"/>
      <c r="I893" s="51"/>
      <c r="J893" s="49"/>
      <c r="K893" s="51"/>
      <c r="L893" s="51"/>
      <c r="M893" s="52"/>
      <c r="N893" s="51"/>
      <c r="O893" s="51"/>
      <c r="P893" s="25"/>
    </row>
    <row r="894">
      <c r="A894" s="25"/>
      <c r="B894" s="49"/>
      <c r="C894" s="50"/>
      <c r="D894" s="50"/>
      <c r="E894" s="50"/>
      <c r="F894" s="51"/>
      <c r="G894" s="51"/>
      <c r="H894" s="51"/>
      <c r="I894" s="51"/>
      <c r="J894" s="49"/>
      <c r="K894" s="51"/>
      <c r="L894" s="51"/>
      <c r="M894" s="52"/>
      <c r="N894" s="51"/>
      <c r="O894" s="51"/>
      <c r="P894" s="25"/>
    </row>
    <row r="895">
      <c r="A895" s="25"/>
      <c r="B895" s="49"/>
      <c r="C895" s="50"/>
      <c r="D895" s="50"/>
      <c r="E895" s="50"/>
      <c r="F895" s="51"/>
      <c r="G895" s="51"/>
      <c r="H895" s="51"/>
      <c r="I895" s="51"/>
      <c r="J895" s="49"/>
      <c r="K895" s="51"/>
      <c r="L895" s="51"/>
      <c r="M895" s="52"/>
      <c r="N895" s="51"/>
      <c r="O895" s="51"/>
      <c r="P895" s="25"/>
    </row>
    <row r="896">
      <c r="A896" s="25"/>
      <c r="B896" s="49"/>
      <c r="C896" s="50"/>
      <c r="D896" s="50"/>
      <c r="E896" s="50"/>
      <c r="F896" s="51"/>
      <c r="G896" s="51"/>
      <c r="H896" s="51"/>
      <c r="I896" s="51"/>
      <c r="J896" s="49"/>
      <c r="K896" s="51"/>
      <c r="L896" s="51"/>
      <c r="M896" s="52"/>
      <c r="N896" s="51"/>
      <c r="O896" s="51"/>
      <c r="P896" s="25"/>
    </row>
    <row r="897">
      <c r="A897" s="25"/>
      <c r="B897" s="49"/>
      <c r="C897" s="50"/>
      <c r="D897" s="50"/>
      <c r="E897" s="50"/>
      <c r="F897" s="51"/>
      <c r="G897" s="51"/>
      <c r="H897" s="51"/>
      <c r="I897" s="51"/>
      <c r="J897" s="49"/>
      <c r="K897" s="51"/>
      <c r="L897" s="51"/>
      <c r="M897" s="52"/>
      <c r="N897" s="51"/>
      <c r="O897" s="51"/>
      <c r="P897" s="25"/>
    </row>
    <row r="898">
      <c r="A898" s="25"/>
      <c r="B898" s="49"/>
      <c r="C898" s="50"/>
      <c r="D898" s="50"/>
      <c r="E898" s="50"/>
      <c r="F898" s="51"/>
      <c r="G898" s="51"/>
      <c r="H898" s="51"/>
      <c r="I898" s="51"/>
      <c r="J898" s="49"/>
      <c r="K898" s="51"/>
      <c r="L898" s="51"/>
      <c r="M898" s="52"/>
      <c r="N898" s="51"/>
      <c r="O898" s="51"/>
      <c r="P898" s="25"/>
    </row>
    <row r="899">
      <c r="A899" s="25"/>
      <c r="B899" s="49"/>
      <c r="C899" s="50"/>
      <c r="D899" s="50"/>
      <c r="E899" s="50"/>
      <c r="F899" s="51"/>
      <c r="G899" s="51"/>
      <c r="H899" s="51"/>
      <c r="I899" s="51"/>
      <c r="J899" s="49"/>
      <c r="K899" s="51"/>
      <c r="L899" s="51"/>
      <c r="M899" s="52"/>
      <c r="N899" s="51"/>
      <c r="O899" s="51"/>
      <c r="P899" s="25"/>
    </row>
    <row r="900">
      <c r="A900" s="25"/>
      <c r="B900" s="49"/>
      <c r="C900" s="50"/>
      <c r="D900" s="50"/>
      <c r="E900" s="50"/>
      <c r="F900" s="51"/>
      <c r="G900" s="51"/>
      <c r="H900" s="51"/>
      <c r="I900" s="51"/>
      <c r="J900" s="49"/>
      <c r="K900" s="51"/>
      <c r="L900" s="51"/>
      <c r="M900" s="52"/>
      <c r="N900" s="51"/>
      <c r="O900" s="51"/>
      <c r="P900" s="25"/>
    </row>
    <row r="901">
      <c r="A901" s="25"/>
      <c r="B901" s="49"/>
      <c r="C901" s="50"/>
      <c r="D901" s="50"/>
      <c r="E901" s="50"/>
      <c r="F901" s="51"/>
      <c r="G901" s="51"/>
      <c r="H901" s="51"/>
      <c r="I901" s="51"/>
      <c r="J901" s="49"/>
      <c r="K901" s="51"/>
      <c r="L901" s="51"/>
      <c r="M901" s="52"/>
      <c r="N901" s="51"/>
      <c r="O901" s="51"/>
      <c r="P901" s="25"/>
    </row>
    <row r="902">
      <c r="A902" s="25"/>
      <c r="B902" s="49"/>
      <c r="C902" s="50"/>
      <c r="D902" s="50"/>
      <c r="E902" s="50"/>
      <c r="F902" s="51"/>
      <c r="G902" s="51"/>
      <c r="H902" s="51"/>
      <c r="I902" s="51"/>
      <c r="J902" s="49"/>
      <c r="K902" s="51"/>
      <c r="L902" s="51"/>
      <c r="M902" s="52"/>
      <c r="N902" s="51"/>
      <c r="O902" s="51"/>
      <c r="P902" s="25"/>
    </row>
    <row r="903">
      <c r="A903" s="25"/>
      <c r="B903" s="49"/>
      <c r="C903" s="50"/>
      <c r="D903" s="50"/>
      <c r="E903" s="50"/>
      <c r="F903" s="51"/>
      <c r="G903" s="51"/>
      <c r="H903" s="51"/>
      <c r="I903" s="51"/>
      <c r="J903" s="49"/>
      <c r="K903" s="51"/>
      <c r="L903" s="51"/>
      <c r="M903" s="52"/>
      <c r="N903" s="51"/>
      <c r="O903" s="51"/>
      <c r="P903" s="25"/>
    </row>
    <row r="904">
      <c r="A904" s="25"/>
      <c r="B904" s="49"/>
      <c r="C904" s="50"/>
      <c r="D904" s="50"/>
      <c r="E904" s="50"/>
      <c r="F904" s="51"/>
      <c r="G904" s="51"/>
      <c r="H904" s="51"/>
      <c r="I904" s="51"/>
      <c r="J904" s="49"/>
      <c r="K904" s="51"/>
      <c r="L904" s="51"/>
      <c r="M904" s="52"/>
      <c r="N904" s="51"/>
      <c r="O904" s="51"/>
      <c r="P904" s="25"/>
    </row>
    <row r="905">
      <c r="A905" s="25"/>
      <c r="B905" s="49"/>
      <c r="C905" s="50"/>
      <c r="D905" s="50"/>
      <c r="E905" s="50"/>
      <c r="F905" s="51"/>
      <c r="G905" s="51"/>
      <c r="H905" s="51"/>
      <c r="I905" s="51"/>
      <c r="J905" s="49"/>
      <c r="K905" s="51"/>
      <c r="L905" s="51"/>
      <c r="M905" s="52"/>
      <c r="N905" s="51"/>
      <c r="O905" s="51"/>
      <c r="P905" s="25"/>
    </row>
    <row r="906">
      <c r="A906" s="25"/>
      <c r="B906" s="49"/>
      <c r="C906" s="50"/>
      <c r="D906" s="50"/>
      <c r="E906" s="50"/>
      <c r="F906" s="51"/>
      <c r="G906" s="51"/>
      <c r="H906" s="51"/>
      <c r="I906" s="51"/>
      <c r="J906" s="49"/>
      <c r="K906" s="51"/>
      <c r="L906" s="51"/>
      <c r="M906" s="52"/>
      <c r="N906" s="51"/>
      <c r="O906" s="51"/>
      <c r="P906" s="25"/>
    </row>
    <row r="907">
      <c r="A907" s="25"/>
      <c r="B907" s="49"/>
      <c r="C907" s="50"/>
      <c r="D907" s="50"/>
      <c r="E907" s="50"/>
      <c r="F907" s="51"/>
      <c r="G907" s="51"/>
      <c r="H907" s="51"/>
      <c r="I907" s="51"/>
      <c r="J907" s="49"/>
      <c r="K907" s="51"/>
      <c r="L907" s="51"/>
      <c r="M907" s="52"/>
      <c r="N907" s="51"/>
      <c r="O907" s="51"/>
      <c r="P907" s="25"/>
    </row>
    <row r="908">
      <c r="A908" s="25"/>
      <c r="B908" s="49"/>
      <c r="C908" s="50"/>
      <c r="D908" s="50"/>
      <c r="E908" s="50"/>
      <c r="F908" s="51"/>
      <c r="G908" s="51"/>
      <c r="H908" s="51"/>
      <c r="I908" s="51"/>
      <c r="J908" s="49"/>
      <c r="K908" s="51"/>
      <c r="L908" s="51"/>
      <c r="M908" s="52"/>
      <c r="N908" s="51"/>
      <c r="O908" s="51"/>
      <c r="P908" s="25"/>
    </row>
    <row r="909">
      <c r="A909" s="25"/>
      <c r="B909" s="49"/>
      <c r="C909" s="50"/>
      <c r="D909" s="50"/>
      <c r="E909" s="50"/>
      <c r="F909" s="51"/>
      <c r="G909" s="51"/>
      <c r="H909" s="51"/>
      <c r="I909" s="51"/>
      <c r="J909" s="49"/>
      <c r="K909" s="51"/>
      <c r="L909" s="51"/>
      <c r="M909" s="52"/>
      <c r="N909" s="51"/>
      <c r="O909" s="51"/>
      <c r="P909" s="25"/>
    </row>
    <row r="910">
      <c r="A910" s="25"/>
      <c r="B910" s="49"/>
      <c r="C910" s="50"/>
      <c r="D910" s="50"/>
      <c r="E910" s="50"/>
      <c r="F910" s="51"/>
      <c r="G910" s="51"/>
      <c r="H910" s="51"/>
      <c r="I910" s="51"/>
      <c r="J910" s="49"/>
      <c r="K910" s="51"/>
      <c r="L910" s="51"/>
      <c r="M910" s="52"/>
      <c r="N910" s="51"/>
      <c r="O910" s="51"/>
      <c r="P910" s="25"/>
    </row>
    <row r="911">
      <c r="A911" s="25"/>
      <c r="B911" s="49"/>
      <c r="C911" s="50"/>
      <c r="D911" s="50"/>
      <c r="E911" s="50"/>
      <c r="F911" s="51"/>
      <c r="G911" s="51"/>
      <c r="H911" s="51"/>
      <c r="I911" s="51"/>
      <c r="J911" s="49"/>
      <c r="K911" s="51"/>
      <c r="L911" s="51"/>
      <c r="M911" s="52"/>
      <c r="N911" s="51"/>
      <c r="O911" s="51"/>
      <c r="P911" s="25"/>
    </row>
    <row r="912">
      <c r="A912" s="25"/>
      <c r="B912" s="49"/>
      <c r="C912" s="50"/>
      <c r="D912" s="50"/>
      <c r="E912" s="50"/>
      <c r="F912" s="51"/>
      <c r="G912" s="51"/>
      <c r="H912" s="51"/>
      <c r="I912" s="51"/>
      <c r="J912" s="49"/>
      <c r="K912" s="51"/>
      <c r="L912" s="51"/>
      <c r="M912" s="52"/>
      <c r="N912" s="51"/>
      <c r="O912" s="51"/>
      <c r="P912" s="25"/>
    </row>
    <row r="913">
      <c r="A913" s="25"/>
      <c r="B913" s="49"/>
      <c r="C913" s="50"/>
      <c r="D913" s="50"/>
      <c r="E913" s="50"/>
      <c r="F913" s="51"/>
      <c r="G913" s="51"/>
      <c r="H913" s="51"/>
      <c r="I913" s="51"/>
      <c r="J913" s="49"/>
      <c r="K913" s="51"/>
      <c r="L913" s="51"/>
      <c r="M913" s="52"/>
      <c r="N913" s="51"/>
      <c r="O913" s="51"/>
      <c r="P913" s="25"/>
    </row>
    <row r="914">
      <c r="A914" s="25"/>
      <c r="B914" s="49"/>
      <c r="C914" s="50"/>
      <c r="D914" s="50"/>
      <c r="E914" s="50"/>
      <c r="F914" s="51"/>
      <c r="G914" s="51"/>
      <c r="H914" s="51"/>
      <c r="I914" s="51"/>
      <c r="J914" s="49"/>
      <c r="K914" s="51"/>
      <c r="L914" s="51"/>
      <c r="M914" s="52"/>
      <c r="N914" s="51"/>
      <c r="O914" s="51"/>
      <c r="P914" s="25"/>
    </row>
    <row r="915">
      <c r="A915" s="25"/>
      <c r="B915" s="49"/>
      <c r="C915" s="50"/>
      <c r="D915" s="50"/>
      <c r="E915" s="50"/>
      <c r="F915" s="51"/>
      <c r="G915" s="51"/>
      <c r="H915" s="51"/>
      <c r="I915" s="51"/>
      <c r="J915" s="49"/>
      <c r="K915" s="51"/>
      <c r="L915" s="51"/>
      <c r="M915" s="52"/>
      <c r="N915" s="51"/>
      <c r="O915" s="51"/>
      <c r="P915" s="25"/>
    </row>
    <row r="916">
      <c r="A916" s="25"/>
      <c r="B916" s="49"/>
      <c r="C916" s="50"/>
      <c r="D916" s="50"/>
      <c r="E916" s="50"/>
      <c r="F916" s="51"/>
      <c r="G916" s="51"/>
      <c r="H916" s="51"/>
      <c r="I916" s="51"/>
      <c r="J916" s="49"/>
      <c r="K916" s="51"/>
      <c r="L916" s="51"/>
      <c r="M916" s="52"/>
      <c r="N916" s="51"/>
      <c r="O916" s="51"/>
      <c r="P916" s="25"/>
    </row>
    <row r="917">
      <c r="A917" s="25"/>
      <c r="B917" s="49"/>
      <c r="C917" s="50"/>
      <c r="D917" s="50"/>
      <c r="E917" s="50"/>
      <c r="F917" s="51"/>
      <c r="G917" s="51"/>
      <c r="H917" s="51"/>
      <c r="I917" s="51"/>
      <c r="J917" s="49"/>
      <c r="K917" s="51"/>
      <c r="L917" s="51"/>
      <c r="M917" s="52"/>
      <c r="N917" s="51"/>
      <c r="O917" s="51"/>
      <c r="P917" s="25"/>
    </row>
    <row r="918">
      <c r="A918" s="25"/>
      <c r="B918" s="49"/>
      <c r="C918" s="50"/>
      <c r="D918" s="50"/>
      <c r="E918" s="50"/>
      <c r="F918" s="51"/>
      <c r="G918" s="51"/>
      <c r="H918" s="51"/>
      <c r="I918" s="51"/>
      <c r="J918" s="49"/>
      <c r="K918" s="51"/>
      <c r="L918" s="51"/>
      <c r="M918" s="52"/>
      <c r="N918" s="51"/>
      <c r="O918" s="51"/>
      <c r="P918" s="25"/>
    </row>
    <row r="919">
      <c r="A919" s="25"/>
      <c r="B919" s="49"/>
      <c r="C919" s="50"/>
      <c r="D919" s="50"/>
      <c r="E919" s="50"/>
      <c r="F919" s="51"/>
      <c r="G919" s="51"/>
      <c r="H919" s="51"/>
      <c r="I919" s="51"/>
      <c r="J919" s="49"/>
      <c r="K919" s="51"/>
      <c r="L919" s="51"/>
      <c r="M919" s="52"/>
      <c r="N919" s="51"/>
      <c r="O919" s="51"/>
      <c r="P919" s="25"/>
    </row>
    <row r="920">
      <c r="A920" s="25"/>
      <c r="B920" s="49"/>
      <c r="C920" s="50"/>
      <c r="D920" s="50"/>
      <c r="E920" s="50"/>
      <c r="F920" s="51"/>
      <c r="G920" s="51"/>
      <c r="H920" s="51"/>
      <c r="I920" s="51"/>
      <c r="J920" s="49"/>
      <c r="K920" s="51"/>
      <c r="L920" s="51"/>
      <c r="M920" s="52"/>
      <c r="N920" s="51"/>
      <c r="O920" s="51"/>
      <c r="P920" s="25"/>
    </row>
    <row r="921">
      <c r="A921" s="25"/>
      <c r="B921" s="49"/>
      <c r="C921" s="50"/>
      <c r="D921" s="50"/>
      <c r="E921" s="50"/>
      <c r="F921" s="51"/>
      <c r="G921" s="51"/>
      <c r="H921" s="51"/>
      <c r="I921" s="51"/>
      <c r="J921" s="49"/>
      <c r="K921" s="51"/>
      <c r="L921" s="51"/>
      <c r="M921" s="52"/>
      <c r="N921" s="51"/>
      <c r="O921" s="51"/>
      <c r="P921" s="25"/>
    </row>
    <row r="922">
      <c r="A922" s="25"/>
      <c r="B922" s="49"/>
      <c r="C922" s="50"/>
      <c r="D922" s="50"/>
      <c r="E922" s="50"/>
      <c r="F922" s="51"/>
      <c r="G922" s="51"/>
      <c r="H922" s="51"/>
      <c r="I922" s="51"/>
      <c r="J922" s="49"/>
      <c r="K922" s="51"/>
      <c r="L922" s="51"/>
      <c r="M922" s="52"/>
      <c r="N922" s="51"/>
      <c r="O922" s="51"/>
      <c r="P922" s="25"/>
    </row>
    <row r="923">
      <c r="A923" s="25"/>
      <c r="B923" s="49"/>
      <c r="C923" s="50"/>
      <c r="D923" s="50"/>
      <c r="E923" s="50"/>
      <c r="F923" s="51"/>
      <c r="G923" s="51"/>
      <c r="H923" s="51"/>
      <c r="I923" s="51"/>
      <c r="J923" s="49"/>
      <c r="K923" s="51"/>
      <c r="L923" s="51"/>
      <c r="M923" s="52"/>
      <c r="N923" s="51"/>
      <c r="O923" s="51"/>
      <c r="P923" s="25"/>
    </row>
    <row r="924">
      <c r="A924" s="25"/>
      <c r="B924" s="49"/>
      <c r="C924" s="50"/>
      <c r="D924" s="50"/>
      <c r="E924" s="50"/>
      <c r="F924" s="51"/>
      <c r="G924" s="51"/>
      <c r="H924" s="51"/>
      <c r="I924" s="51"/>
      <c r="J924" s="49"/>
      <c r="K924" s="51"/>
      <c r="L924" s="51"/>
      <c r="M924" s="52"/>
      <c r="N924" s="51"/>
      <c r="O924" s="51"/>
      <c r="P924" s="25"/>
    </row>
    <row r="925">
      <c r="A925" s="25"/>
      <c r="B925" s="49"/>
      <c r="C925" s="50"/>
      <c r="D925" s="50"/>
      <c r="E925" s="50"/>
      <c r="F925" s="51"/>
      <c r="G925" s="51"/>
      <c r="H925" s="51"/>
      <c r="I925" s="51"/>
      <c r="J925" s="49"/>
      <c r="K925" s="51"/>
      <c r="L925" s="51"/>
      <c r="M925" s="52"/>
      <c r="N925" s="51"/>
      <c r="O925" s="51"/>
      <c r="P925" s="25"/>
    </row>
    <row r="926">
      <c r="A926" s="25"/>
      <c r="B926" s="49"/>
      <c r="C926" s="50"/>
      <c r="D926" s="50"/>
      <c r="E926" s="50"/>
      <c r="F926" s="51"/>
      <c r="G926" s="51"/>
      <c r="H926" s="51"/>
      <c r="I926" s="51"/>
      <c r="J926" s="49"/>
      <c r="K926" s="51"/>
      <c r="L926" s="51"/>
      <c r="M926" s="52"/>
      <c r="N926" s="51"/>
      <c r="O926" s="51"/>
      <c r="P926" s="25"/>
    </row>
    <row r="927">
      <c r="A927" s="25"/>
      <c r="B927" s="49"/>
      <c r="C927" s="50"/>
      <c r="D927" s="50"/>
      <c r="E927" s="50"/>
      <c r="F927" s="51"/>
      <c r="G927" s="51"/>
      <c r="H927" s="51"/>
      <c r="I927" s="51"/>
      <c r="J927" s="49"/>
      <c r="K927" s="51"/>
      <c r="L927" s="51"/>
      <c r="M927" s="52"/>
      <c r="N927" s="51"/>
      <c r="O927" s="51"/>
      <c r="P927" s="25"/>
    </row>
    <row r="928">
      <c r="A928" s="25"/>
      <c r="B928" s="49"/>
      <c r="C928" s="50"/>
      <c r="D928" s="50"/>
      <c r="E928" s="50"/>
      <c r="F928" s="51"/>
      <c r="G928" s="51"/>
      <c r="H928" s="51"/>
      <c r="I928" s="51"/>
      <c r="J928" s="49"/>
      <c r="K928" s="51"/>
      <c r="L928" s="51"/>
      <c r="M928" s="52"/>
      <c r="N928" s="51"/>
      <c r="O928" s="51"/>
      <c r="P928" s="25"/>
    </row>
    <row r="929">
      <c r="A929" s="25"/>
      <c r="B929" s="49"/>
      <c r="C929" s="50"/>
      <c r="D929" s="50"/>
      <c r="E929" s="50"/>
      <c r="F929" s="51"/>
      <c r="G929" s="51"/>
      <c r="H929" s="51"/>
      <c r="I929" s="51"/>
      <c r="J929" s="49"/>
      <c r="K929" s="51"/>
      <c r="L929" s="51"/>
      <c r="M929" s="52"/>
      <c r="N929" s="51"/>
      <c r="O929" s="51"/>
      <c r="P929" s="25"/>
    </row>
    <row r="930">
      <c r="A930" s="25"/>
      <c r="B930" s="49"/>
      <c r="C930" s="50"/>
      <c r="D930" s="50"/>
      <c r="E930" s="50"/>
      <c r="F930" s="51"/>
      <c r="G930" s="51"/>
      <c r="H930" s="51"/>
      <c r="I930" s="51"/>
      <c r="J930" s="49"/>
      <c r="K930" s="51"/>
      <c r="L930" s="51"/>
      <c r="M930" s="52"/>
      <c r="N930" s="51"/>
      <c r="O930" s="51"/>
      <c r="P930" s="25"/>
    </row>
    <row r="931">
      <c r="A931" s="25"/>
      <c r="B931" s="49"/>
      <c r="C931" s="50"/>
      <c r="D931" s="50"/>
      <c r="E931" s="50"/>
      <c r="F931" s="51"/>
      <c r="G931" s="51"/>
      <c r="H931" s="51"/>
      <c r="I931" s="51"/>
      <c r="J931" s="49"/>
      <c r="K931" s="51"/>
      <c r="L931" s="51"/>
      <c r="M931" s="52"/>
      <c r="N931" s="51"/>
      <c r="O931" s="51"/>
      <c r="P931" s="25"/>
    </row>
    <row r="932">
      <c r="A932" s="25"/>
      <c r="B932" s="49"/>
      <c r="C932" s="50"/>
      <c r="D932" s="50"/>
      <c r="E932" s="50"/>
      <c r="F932" s="51"/>
      <c r="G932" s="51"/>
      <c r="H932" s="51"/>
      <c r="I932" s="51"/>
      <c r="J932" s="49"/>
      <c r="K932" s="51"/>
      <c r="L932" s="51"/>
      <c r="M932" s="52"/>
      <c r="N932" s="51"/>
      <c r="O932" s="51"/>
      <c r="P932" s="25"/>
    </row>
    <row r="933">
      <c r="A933" s="25"/>
      <c r="B933" s="49"/>
      <c r="C933" s="50"/>
      <c r="D933" s="50"/>
      <c r="E933" s="50"/>
      <c r="F933" s="51"/>
      <c r="G933" s="51"/>
      <c r="H933" s="51"/>
      <c r="I933" s="51"/>
      <c r="J933" s="49"/>
      <c r="K933" s="51"/>
      <c r="L933" s="51"/>
      <c r="M933" s="52"/>
      <c r="N933" s="51"/>
      <c r="O933" s="51"/>
      <c r="P933" s="25"/>
    </row>
    <row r="934">
      <c r="A934" s="25"/>
      <c r="B934" s="49"/>
      <c r="C934" s="50"/>
      <c r="D934" s="50"/>
      <c r="E934" s="50"/>
      <c r="F934" s="51"/>
      <c r="G934" s="51"/>
      <c r="H934" s="51"/>
      <c r="I934" s="51"/>
      <c r="J934" s="49"/>
      <c r="K934" s="51"/>
      <c r="L934" s="51"/>
      <c r="M934" s="52"/>
      <c r="N934" s="51"/>
      <c r="O934" s="51"/>
      <c r="P934" s="25"/>
    </row>
    <row r="935">
      <c r="A935" s="25"/>
      <c r="B935" s="49"/>
      <c r="C935" s="50"/>
      <c r="D935" s="50"/>
      <c r="E935" s="50"/>
      <c r="F935" s="51"/>
      <c r="G935" s="51"/>
      <c r="H935" s="51"/>
      <c r="I935" s="51"/>
      <c r="J935" s="49"/>
      <c r="K935" s="51"/>
      <c r="L935" s="51"/>
      <c r="M935" s="52"/>
      <c r="N935" s="51"/>
      <c r="O935" s="51"/>
      <c r="P935" s="25"/>
    </row>
    <row r="936">
      <c r="A936" s="25"/>
      <c r="B936" s="49"/>
      <c r="C936" s="50"/>
      <c r="D936" s="50"/>
      <c r="E936" s="50"/>
      <c r="F936" s="51"/>
      <c r="G936" s="51"/>
      <c r="H936" s="51"/>
      <c r="I936" s="51"/>
      <c r="J936" s="49"/>
      <c r="K936" s="51"/>
      <c r="L936" s="51"/>
      <c r="M936" s="52"/>
      <c r="N936" s="51"/>
      <c r="O936" s="51"/>
      <c r="P936" s="25"/>
    </row>
    <row r="937">
      <c r="A937" s="25"/>
      <c r="B937" s="49"/>
      <c r="C937" s="50"/>
      <c r="D937" s="50"/>
      <c r="E937" s="50"/>
      <c r="F937" s="51"/>
      <c r="G937" s="51"/>
      <c r="H937" s="51"/>
      <c r="I937" s="51"/>
      <c r="J937" s="49"/>
      <c r="K937" s="51"/>
      <c r="L937" s="51"/>
      <c r="M937" s="52"/>
      <c r="N937" s="51"/>
      <c r="O937" s="51"/>
      <c r="P937" s="25"/>
    </row>
    <row r="938">
      <c r="A938" s="25"/>
      <c r="B938" s="49"/>
      <c r="C938" s="50"/>
      <c r="D938" s="50"/>
      <c r="E938" s="50"/>
      <c r="F938" s="51"/>
      <c r="G938" s="51"/>
      <c r="H938" s="51"/>
      <c r="I938" s="51"/>
      <c r="J938" s="49"/>
      <c r="K938" s="51"/>
      <c r="L938" s="51"/>
      <c r="M938" s="52"/>
      <c r="N938" s="51"/>
      <c r="O938" s="51"/>
      <c r="P938" s="25"/>
    </row>
    <row r="939">
      <c r="A939" s="25"/>
      <c r="B939" s="49"/>
      <c r="C939" s="50"/>
      <c r="D939" s="50"/>
      <c r="E939" s="50"/>
      <c r="F939" s="51"/>
      <c r="G939" s="51"/>
      <c r="H939" s="51"/>
      <c r="I939" s="51"/>
      <c r="J939" s="49"/>
      <c r="K939" s="51"/>
      <c r="L939" s="51"/>
      <c r="M939" s="52"/>
      <c r="N939" s="51"/>
      <c r="O939" s="51"/>
      <c r="P939" s="25"/>
    </row>
    <row r="940">
      <c r="A940" s="25"/>
      <c r="B940" s="49"/>
      <c r="C940" s="50"/>
      <c r="D940" s="50"/>
      <c r="E940" s="50"/>
      <c r="F940" s="51"/>
      <c r="G940" s="51"/>
      <c r="H940" s="51"/>
      <c r="I940" s="51"/>
      <c r="J940" s="49"/>
      <c r="K940" s="51"/>
      <c r="L940" s="51"/>
      <c r="M940" s="52"/>
      <c r="N940" s="51"/>
      <c r="O940" s="51"/>
      <c r="P940" s="25"/>
    </row>
    <row r="941">
      <c r="A941" s="25"/>
      <c r="B941" s="49"/>
      <c r="C941" s="50"/>
      <c r="D941" s="50"/>
      <c r="E941" s="50"/>
      <c r="F941" s="51"/>
      <c r="G941" s="51"/>
      <c r="H941" s="51"/>
      <c r="I941" s="51"/>
      <c r="J941" s="49"/>
      <c r="K941" s="51"/>
      <c r="L941" s="51"/>
      <c r="M941" s="52"/>
      <c r="N941" s="51"/>
      <c r="O941" s="51"/>
      <c r="P941" s="25"/>
    </row>
    <row r="942">
      <c r="A942" s="25"/>
      <c r="B942" s="49"/>
      <c r="C942" s="50"/>
      <c r="D942" s="50"/>
      <c r="E942" s="50"/>
      <c r="F942" s="51"/>
      <c r="G942" s="51"/>
      <c r="H942" s="51"/>
      <c r="I942" s="51"/>
      <c r="J942" s="49"/>
      <c r="K942" s="51"/>
      <c r="L942" s="51"/>
      <c r="M942" s="52"/>
      <c r="N942" s="51"/>
      <c r="O942" s="51"/>
      <c r="P942" s="25"/>
    </row>
    <row r="943">
      <c r="A943" s="25"/>
      <c r="B943" s="49"/>
      <c r="C943" s="50"/>
      <c r="D943" s="50"/>
      <c r="E943" s="50"/>
      <c r="F943" s="51"/>
      <c r="G943" s="51"/>
      <c r="H943" s="51"/>
      <c r="I943" s="51"/>
      <c r="J943" s="49"/>
      <c r="K943" s="51"/>
      <c r="L943" s="51"/>
      <c r="M943" s="52"/>
      <c r="N943" s="51"/>
      <c r="O943" s="51"/>
      <c r="P943" s="25"/>
    </row>
    <row r="944">
      <c r="A944" s="25"/>
      <c r="B944" s="49"/>
      <c r="C944" s="50"/>
      <c r="D944" s="50"/>
      <c r="E944" s="50"/>
      <c r="F944" s="51"/>
      <c r="G944" s="51"/>
      <c r="H944" s="51"/>
      <c r="I944" s="51"/>
      <c r="J944" s="49"/>
      <c r="K944" s="51"/>
      <c r="L944" s="51"/>
      <c r="M944" s="52"/>
      <c r="N944" s="51"/>
      <c r="O944" s="51"/>
      <c r="P944" s="25"/>
    </row>
    <row r="945">
      <c r="A945" s="25"/>
      <c r="B945" s="49"/>
      <c r="C945" s="50"/>
      <c r="D945" s="50"/>
      <c r="E945" s="50"/>
      <c r="F945" s="51"/>
      <c r="G945" s="51"/>
      <c r="H945" s="51"/>
      <c r="I945" s="51"/>
      <c r="J945" s="49"/>
      <c r="K945" s="51"/>
      <c r="L945" s="51"/>
      <c r="M945" s="52"/>
      <c r="N945" s="51"/>
      <c r="O945" s="51"/>
      <c r="P945" s="25"/>
    </row>
    <row r="946">
      <c r="A946" s="25"/>
      <c r="B946" s="49"/>
      <c r="C946" s="50"/>
      <c r="D946" s="50"/>
      <c r="E946" s="50"/>
      <c r="F946" s="51"/>
      <c r="G946" s="51"/>
      <c r="H946" s="51"/>
      <c r="I946" s="51"/>
      <c r="J946" s="49"/>
      <c r="K946" s="51"/>
      <c r="L946" s="51"/>
      <c r="M946" s="52"/>
      <c r="N946" s="51"/>
      <c r="O946" s="51"/>
      <c r="P946" s="25"/>
    </row>
    <row r="947">
      <c r="A947" s="25"/>
      <c r="B947" s="49"/>
      <c r="C947" s="50"/>
      <c r="D947" s="50"/>
      <c r="E947" s="50"/>
      <c r="F947" s="51"/>
      <c r="G947" s="51"/>
      <c r="H947" s="51"/>
      <c r="I947" s="51"/>
      <c r="J947" s="49"/>
      <c r="K947" s="51"/>
      <c r="L947" s="51"/>
      <c r="M947" s="52"/>
      <c r="N947" s="51"/>
      <c r="O947" s="51"/>
      <c r="P947" s="25"/>
    </row>
    <row r="948">
      <c r="A948" s="25"/>
      <c r="B948" s="49"/>
      <c r="C948" s="50"/>
      <c r="D948" s="50"/>
      <c r="E948" s="50"/>
      <c r="F948" s="51"/>
      <c r="G948" s="51"/>
      <c r="H948" s="51"/>
      <c r="I948" s="51"/>
      <c r="J948" s="49"/>
      <c r="K948" s="51"/>
      <c r="L948" s="51"/>
      <c r="M948" s="52"/>
      <c r="N948" s="51"/>
      <c r="O948" s="51"/>
      <c r="P948" s="25"/>
    </row>
    <row r="949">
      <c r="A949" s="25"/>
      <c r="B949" s="49"/>
      <c r="C949" s="50"/>
      <c r="D949" s="50"/>
      <c r="E949" s="50"/>
      <c r="F949" s="51"/>
      <c r="G949" s="51"/>
      <c r="H949" s="51"/>
      <c r="I949" s="51"/>
      <c r="J949" s="49"/>
      <c r="K949" s="51"/>
      <c r="L949" s="51"/>
      <c r="M949" s="52"/>
      <c r="N949" s="51"/>
      <c r="O949" s="51"/>
      <c r="P949" s="25"/>
    </row>
    <row r="950">
      <c r="A950" s="25"/>
      <c r="B950" s="49"/>
      <c r="C950" s="50"/>
      <c r="D950" s="50"/>
      <c r="E950" s="50"/>
      <c r="F950" s="51"/>
      <c r="G950" s="51"/>
      <c r="H950" s="51"/>
      <c r="I950" s="51"/>
      <c r="J950" s="49"/>
      <c r="K950" s="51"/>
      <c r="L950" s="51"/>
      <c r="M950" s="52"/>
      <c r="N950" s="51"/>
      <c r="O950" s="51"/>
      <c r="P950" s="25"/>
    </row>
    <row r="951">
      <c r="A951" s="25"/>
      <c r="B951" s="49"/>
      <c r="C951" s="50"/>
      <c r="D951" s="50"/>
      <c r="E951" s="50"/>
      <c r="F951" s="51"/>
      <c r="G951" s="51"/>
      <c r="H951" s="51"/>
      <c r="I951" s="51"/>
      <c r="J951" s="49"/>
      <c r="K951" s="51"/>
      <c r="L951" s="51"/>
      <c r="M951" s="52"/>
      <c r="N951" s="51"/>
      <c r="O951" s="51"/>
      <c r="P951" s="25"/>
    </row>
    <row r="952">
      <c r="A952" s="25"/>
      <c r="B952" s="49"/>
      <c r="C952" s="50"/>
      <c r="D952" s="50"/>
      <c r="E952" s="50"/>
      <c r="F952" s="51"/>
      <c r="G952" s="51"/>
      <c r="H952" s="51"/>
      <c r="I952" s="51"/>
      <c r="J952" s="49"/>
      <c r="K952" s="51"/>
      <c r="L952" s="51"/>
      <c r="M952" s="52"/>
      <c r="N952" s="51"/>
      <c r="O952" s="51"/>
      <c r="P952" s="25"/>
    </row>
    <row r="953">
      <c r="A953" s="25"/>
      <c r="B953" s="49"/>
      <c r="C953" s="50"/>
      <c r="D953" s="50"/>
      <c r="E953" s="50"/>
      <c r="F953" s="51"/>
      <c r="G953" s="51"/>
      <c r="H953" s="51"/>
      <c r="I953" s="51"/>
      <c r="J953" s="49"/>
      <c r="K953" s="51"/>
      <c r="L953" s="51"/>
      <c r="M953" s="52"/>
      <c r="N953" s="51"/>
      <c r="O953" s="51"/>
      <c r="P953" s="25"/>
    </row>
    <row r="954">
      <c r="A954" s="25"/>
      <c r="B954" s="49"/>
      <c r="C954" s="50"/>
      <c r="D954" s="50"/>
      <c r="E954" s="50"/>
      <c r="F954" s="51"/>
      <c r="G954" s="51"/>
      <c r="H954" s="51"/>
      <c r="I954" s="51"/>
      <c r="J954" s="49"/>
      <c r="K954" s="51"/>
      <c r="L954" s="51"/>
      <c r="M954" s="52"/>
      <c r="N954" s="51"/>
      <c r="O954" s="51"/>
      <c r="P954" s="25"/>
    </row>
    <row r="955">
      <c r="A955" s="25"/>
      <c r="B955" s="49"/>
      <c r="C955" s="50"/>
      <c r="D955" s="50"/>
      <c r="E955" s="50"/>
      <c r="F955" s="51"/>
      <c r="G955" s="51"/>
      <c r="H955" s="51"/>
      <c r="I955" s="51"/>
      <c r="J955" s="49"/>
      <c r="K955" s="51"/>
      <c r="L955" s="51"/>
      <c r="M955" s="52"/>
      <c r="N955" s="51"/>
      <c r="O955" s="51"/>
      <c r="P955" s="25"/>
    </row>
    <row r="956">
      <c r="A956" s="25"/>
      <c r="B956" s="49"/>
      <c r="C956" s="50"/>
      <c r="D956" s="50"/>
      <c r="E956" s="50"/>
      <c r="F956" s="51"/>
      <c r="G956" s="51"/>
      <c r="H956" s="51"/>
      <c r="I956" s="51"/>
      <c r="J956" s="49"/>
      <c r="K956" s="51"/>
      <c r="L956" s="51"/>
      <c r="M956" s="52"/>
      <c r="N956" s="51"/>
      <c r="O956" s="51"/>
      <c r="P956" s="25"/>
    </row>
    <row r="957">
      <c r="A957" s="25"/>
      <c r="B957" s="49"/>
      <c r="C957" s="50"/>
      <c r="D957" s="50"/>
      <c r="E957" s="50"/>
      <c r="F957" s="51"/>
      <c r="G957" s="51"/>
      <c r="H957" s="51"/>
      <c r="I957" s="51"/>
      <c r="J957" s="49"/>
      <c r="K957" s="51"/>
      <c r="L957" s="51"/>
      <c r="M957" s="52"/>
      <c r="N957" s="51"/>
      <c r="O957" s="51"/>
      <c r="P957" s="25"/>
    </row>
    <row r="958">
      <c r="A958" s="25"/>
      <c r="B958" s="49"/>
      <c r="C958" s="50"/>
      <c r="D958" s="50"/>
      <c r="E958" s="50"/>
      <c r="F958" s="51"/>
      <c r="G958" s="51"/>
      <c r="H958" s="51"/>
      <c r="I958" s="51"/>
      <c r="J958" s="49"/>
      <c r="K958" s="51"/>
      <c r="L958" s="51"/>
      <c r="M958" s="52"/>
      <c r="N958" s="51"/>
      <c r="O958" s="51"/>
      <c r="P958" s="25"/>
    </row>
    <row r="959">
      <c r="A959" s="25"/>
      <c r="B959" s="49"/>
      <c r="C959" s="50"/>
      <c r="D959" s="50"/>
      <c r="E959" s="50"/>
      <c r="F959" s="51"/>
      <c r="G959" s="51"/>
      <c r="H959" s="51"/>
      <c r="I959" s="51"/>
      <c r="J959" s="49"/>
      <c r="K959" s="51"/>
      <c r="L959" s="51"/>
      <c r="M959" s="52"/>
      <c r="N959" s="51"/>
      <c r="O959" s="51"/>
      <c r="P959" s="25"/>
    </row>
    <row r="960">
      <c r="A960" s="25"/>
      <c r="B960" s="49"/>
      <c r="C960" s="50"/>
      <c r="D960" s="50"/>
      <c r="E960" s="50"/>
      <c r="F960" s="51"/>
      <c r="G960" s="51"/>
      <c r="H960" s="51"/>
      <c r="I960" s="51"/>
      <c r="J960" s="49"/>
      <c r="K960" s="51"/>
      <c r="L960" s="51"/>
      <c r="M960" s="52"/>
      <c r="N960" s="51"/>
      <c r="O960" s="51"/>
      <c r="P960" s="25"/>
    </row>
    <row r="961">
      <c r="A961" s="25"/>
      <c r="B961" s="49"/>
      <c r="C961" s="50"/>
      <c r="D961" s="50"/>
      <c r="E961" s="50"/>
      <c r="F961" s="51"/>
      <c r="G961" s="51"/>
      <c r="H961" s="51"/>
      <c r="I961" s="51"/>
      <c r="J961" s="49"/>
      <c r="K961" s="51"/>
      <c r="L961" s="51"/>
      <c r="M961" s="52"/>
      <c r="N961" s="51"/>
      <c r="O961" s="51"/>
      <c r="P961" s="25"/>
    </row>
    <row r="962">
      <c r="A962" s="25"/>
      <c r="B962" s="49"/>
      <c r="C962" s="50"/>
      <c r="D962" s="50"/>
      <c r="E962" s="50"/>
      <c r="F962" s="51"/>
      <c r="G962" s="51"/>
      <c r="H962" s="51"/>
      <c r="I962" s="51"/>
      <c r="J962" s="49"/>
      <c r="K962" s="51"/>
      <c r="L962" s="51"/>
      <c r="M962" s="52"/>
      <c r="N962" s="51"/>
      <c r="O962" s="51"/>
      <c r="P962" s="25"/>
    </row>
    <row r="963">
      <c r="A963" s="25"/>
      <c r="B963" s="49"/>
      <c r="C963" s="50"/>
      <c r="D963" s="50"/>
      <c r="E963" s="50"/>
      <c r="F963" s="51"/>
      <c r="G963" s="51"/>
      <c r="H963" s="51"/>
      <c r="I963" s="51"/>
      <c r="J963" s="49"/>
      <c r="K963" s="51"/>
      <c r="L963" s="51"/>
      <c r="M963" s="52"/>
      <c r="N963" s="51"/>
      <c r="O963" s="51"/>
      <c r="P963" s="25"/>
    </row>
    <row r="964">
      <c r="A964" s="25"/>
      <c r="B964" s="49"/>
      <c r="C964" s="50"/>
      <c r="D964" s="50"/>
      <c r="E964" s="50"/>
      <c r="F964" s="51"/>
      <c r="G964" s="51"/>
      <c r="H964" s="51"/>
      <c r="I964" s="51"/>
      <c r="J964" s="49"/>
      <c r="K964" s="51"/>
      <c r="L964" s="51"/>
      <c r="M964" s="52"/>
      <c r="N964" s="51"/>
      <c r="O964" s="51"/>
      <c r="P964" s="25"/>
    </row>
    <row r="965">
      <c r="A965" s="25"/>
      <c r="B965" s="49"/>
      <c r="C965" s="50"/>
      <c r="D965" s="50"/>
      <c r="E965" s="50"/>
      <c r="F965" s="51"/>
      <c r="G965" s="51"/>
      <c r="H965" s="51"/>
      <c r="I965" s="51"/>
      <c r="J965" s="49"/>
      <c r="K965" s="51"/>
      <c r="L965" s="51"/>
      <c r="M965" s="52"/>
      <c r="N965" s="51"/>
      <c r="O965" s="51"/>
      <c r="P965" s="25"/>
    </row>
    <row r="966">
      <c r="A966" s="25"/>
      <c r="B966" s="49"/>
      <c r="C966" s="50"/>
      <c r="D966" s="50"/>
      <c r="E966" s="50"/>
      <c r="F966" s="51"/>
      <c r="G966" s="51"/>
      <c r="H966" s="51"/>
      <c r="I966" s="51"/>
      <c r="J966" s="49"/>
      <c r="K966" s="51"/>
      <c r="L966" s="51"/>
      <c r="M966" s="52"/>
      <c r="N966" s="51"/>
      <c r="O966" s="51"/>
      <c r="P966" s="25"/>
    </row>
    <row r="967">
      <c r="A967" s="25"/>
      <c r="B967" s="49"/>
      <c r="C967" s="50"/>
      <c r="D967" s="50"/>
      <c r="E967" s="50"/>
      <c r="F967" s="51"/>
      <c r="G967" s="51"/>
      <c r="H967" s="51"/>
      <c r="I967" s="51"/>
      <c r="J967" s="49"/>
      <c r="K967" s="51"/>
      <c r="L967" s="51"/>
      <c r="M967" s="52"/>
      <c r="N967" s="51"/>
      <c r="O967" s="51"/>
      <c r="P967" s="25"/>
    </row>
    <row r="968">
      <c r="A968" s="25"/>
      <c r="B968" s="49"/>
      <c r="C968" s="50"/>
      <c r="D968" s="50"/>
      <c r="E968" s="50"/>
      <c r="F968" s="51"/>
      <c r="G968" s="51"/>
      <c r="H968" s="51"/>
      <c r="I968" s="51"/>
      <c r="J968" s="49"/>
      <c r="K968" s="51"/>
      <c r="L968" s="51"/>
      <c r="M968" s="52"/>
      <c r="N968" s="51"/>
      <c r="O968" s="51"/>
      <c r="P968" s="25"/>
    </row>
    <row r="969">
      <c r="A969" s="25"/>
      <c r="B969" s="49"/>
      <c r="C969" s="50"/>
      <c r="D969" s="50"/>
      <c r="E969" s="50"/>
      <c r="F969" s="51"/>
      <c r="G969" s="51"/>
      <c r="H969" s="51"/>
      <c r="I969" s="51"/>
      <c r="J969" s="49"/>
      <c r="K969" s="51"/>
      <c r="L969" s="51"/>
      <c r="M969" s="52"/>
      <c r="N969" s="51"/>
      <c r="O969" s="51"/>
      <c r="P969" s="25"/>
    </row>
    <row r="970">
      <c r="A970" s="25"/>
      <c r="B970" s="49"/>
      <c r="C970" s="50"/>
      <c r="D970" s="50"/>
      <c r="E970" s="50"/>
      <c r="F970" s="51"/>
      <c r="G970" s="51"/>
      <c r="H970" s="51"/>
      <c r="I970" s="51"/>
      <c r="J970" s="49"/>
      <c r="K970" s="51"/>
      <c r="L970" s="51"/>
      <c r="M970" s="52"/>
      <c r="N970" s="51"/>
      <c r="O970" s="51"/>
      <c r="P970" s="25"/>
    </row>
    <row r="971">
      <c r="A971" s="25"/>
      <c r="B971" s="49"/>
      <c r="C971" s="50"/>
      <c r="D971" s="50"/>
      <c r="E971" s="50"/>
      <c r="F971" s="51"/>
      <c r="G971" s="51"/>
      <c r="H971" s="51"/>
      <c r="I971" s="51"/>
      <c r="J971" s="49"/>
      <c r="K971" s="51"/>
      <c r="L971" s="51"/>
      <c r="M971" s="52"/>
      <c r="N971" s="51"/>
      <c r="O971" s="51"/>
      <c r="P971" s="25"/>
    </row>
    <row r="972">
      <c r="A972" s="25"/>
      <c r="B972" s="49"/>
      <c r="C972" s="50"/>
      <c r="D972" s="50"/>
      <c r="E972" s="50"/>
      <c r="F972" s="51"/>
      <c r="G972" s="51"/>
      <c r="H972" s="51"/>
      <c r="I972" s="51"/>
      <c r="J972" s="49"/>
      <c r="K972" s="51"/>
      <c r="L972" s="51"/>
      <c r="M972" s="52"/>
      <c r="N972" s="51"/>
      <c r="O972" s="51"/>
      <c r="P972" s="25"/>
    </row>
    <row r="973">
      <c r="A973" s="25"/>
      <c r="B973" s="49"/>
      <c r="C973" s="50"/>
      <c r="D973" s="50"/>
      <c r="E973" s="50"/>
      <c r="F973" s="51"/>
      <c r="G973" s="51"/>
      <c r="H973" s="51"/>
      <c r="I973" s="51"/>
      <c r="J973" s="49"/>
      <c r="K973" s="51"/>
      <c r="L973" s="51"/>
      <c r="M973" s="52"/>
      <c r="N973" s="51"/>
      <c r="O973" s="51"/>
      <c r="P973" s="25"/>
    </row>
    <row r="974">
      <c r="A974" s="25"/>
      <c r="B974" s="49"/>
      <c r="C974" s="50"/>
      <c r="D974" s="50"/>
      <c r="E974" s="50"/>
      <c r="F974" s="51"/>
      <c r="G974" s="51"/>
      <c r="H974" s="51"/>
      <c r="I974" s="51"/>
      <c r="J974" s="49"/>
      <c r="K974" s="51"/>
      <c r="L974" s="51"/>
      <c r="M974" s="52"/>
      <c r="N974" s="51"/>
      <c r="O974" s="51"/>
      <c r="P974" s="25"/>
    </row>
    <row r="975">
      <c r="A975" s="25"/>
      <c r="B975" s="49"/>
      <c r="C975" s="50"/>
      <c r="D975" s="50"/>
      <c r="E975" s="50"/>
      <c r="F975" s="51"/>
      <c r="G975" s="51"/>
      <c r="H975" s="51"/>
      <c r="I975" s="51"/>
      <c r="J975" s="49"/>
      <c r="K975" s="51"/>
      <c r="L975" s="51"/>
      <c r="M975" s="52"/>
      <c r="N975" s="51"/>
      <c r="O975" s="51"/>
      <c r="P975" s="25"/>
    </row>
    <row r="976">
      <c r="A976" s="25"/>
      <c r="B976" s="49"/>
      <c r="C976" s="50"/>
      <c r="D976" s="50"/>
      <c r="E976" s="50"/>
      <c r="F976" s="51"/>
      <c r="G976" s="51"/>
      <c r="H976" s="51"/>
      <c r="I976" s="51"/>
      <c r="J976" s="49"/>
      <c r="K976" s="51"/>
      <c r="L976" s="51"/>
      <c r="M976" s="52"/>
      <c r="N976" s="51"/>
      <c r="O976" s="51"/>
      <c r="P976" s="25"/>
    </row>
    <row r="977">
      <c r="A977" s="25"/>
      <c r="B977" s="49"/>
      <c r="C977" s="50"/>
      <c r="D977" s="50"/>
      <c r="E977" s="50"/>
      <c r="F977" s="51"/>
      <c r="G977" s="51"/>
      <c r="H977" s="51"/>
      <c r="I977" s="51"/>
      <c r="J977" s="49"/>
      <c r="K977" s="51"/>
      <c r="L977" s="51"/>
      <c r="M977" s="52"/>
      <c r="N977" s="51"/>
      <c r="O977" s="51"/>
      <c r="P977" s="25"/>
    </row>
    <row r="978">
      <c r="A978" s="25"/>
      <c r="B978" s="49"/>
      <c r="C978" s="50"/>
      <c r="D978" s="50"/>
      <c r="E978" s="50"/>
      <c r="F978" s="51"/>
      <c r="G978" s="51"/>
      <c r="H978" s="51"/>
      <c r="I978" s="51"/>
      <c r="J978" s="49"/>
      <c r="K978" s="51"/>
      <c r="L978" s="51"/>
      <c r="M978" s="52"/>
      <c r="N978" s="51"/>
      <c r="O978" s="51"/>
      <c r="P978" s="25"/>
    </row>
    <row r="979">
      <c r="A979" s="25"/>
      <c r="B979" s="49"/>
      <c r="C979" s="50"/>
      <c r="D979" s="50"/>
      <c r="E979" s="50"/>
      <c r="F979" s="51"/>
      <c r="G979" s="51"/>
      <c r="H979" s="51"/>
      <c r="I979" s="51"/>
      <c r="J979" s="49"/>
      <c r="K979" s="51"/>
      <c r="L979" s="51"/>
      <c r="M979" s="52"/>
      <c r="N979" s="51"/>
      <c r="O979" s="51"/>
      <c r="P979" s="25"/>
    </row>
    <row r="980">
      <c r="A980" s="25"/>
      <c r="B980" s="49"/>
      <c r="C980" s="50"/>
      <c r="D980" s="50"/>
      <c r="E980" s="50"/>
      <c r="F980" s="51"/>
      <c r="G980" s="51"/>
      <c r="H980" s="51"/>
      <c r="I980" s="51"/>
      <c r="J980" s="49"/>
      <c r="K980" s="51"/>
      <c r="L980" s="51"/>
      <c r="M980" s="52"/>
      <c r="N980" s="51"/>
      <c r="O980" s="51"/>
      <c r="P980" s="25"/>
    </row>
    <row r="981">
      <c r="A981" s="25"/>
      <c r="B981" s="49"/>
      <c r="C981" s="50"/>
      <c r="D981" s="50"/>
      <c r="E981" s="50"/>
      <c r="F981" s="51"/>
      <c r="G981" s="51"/>
      <c r="H981" s="51"/>
      <c r="I981" s="51"/>
      <c r="J981" s="49"/>
      <c r="K981" s="51"/>
      <c r="L981" s="51"/>
      <c r="M981" s="52"/>
      <c r="N981" s="51"/>
      <c r="O981" s="51"/>
      <c r="P981" s="25"/>
    </row>
    <row r="982">
      <c r="A982" s="25"/>
      <c r="B982" s="49"/>
      <c r="C982" s="50"/>
      <c r="D982" s="50"/>
      <c r="E982" s="50"/>
      <c r="F982" s="51"/>
      <c r="G982" s="51"/>
      <c r="H982" s="51"/>
      <c r="I982" s="51"/>
      <c r="J982" s="49"/>
      <c r="K982" s="51"/>
      <c r="L982" s="51"/>
      <c r="M982" s="52"/>
      <c r="N982" s="51"/>
      <c r="O982" s="51"/>
      <c r="P982" s="25"/>
    </row>
    <row r="983">
      <c r="A983" s="25"/>
      <c r="B983" s="49"/>
      <c r="C983" s="50"/>
      <c r="D983" s="50"/>
      <c r="E983" s="50"/>
      <c r="F983" s="51"/>
      <c r="G983" s="51"/>
      <c r="H983" s="51"/>
      <c r="I983" s="51"/>
      <c r="J983" s="49"/>
      <c r="K983" s="51"/>
      <c r="L983" s="51"/>
      <c r="M983" s="52"/>
      <c r="N983" s="51"/>
      <c r="O983" s="51"/>
      <c r="P983" s="25"/>
    </row>
    <row r="984">
      <c r="A984" s="25"/>
      <c r="B984" s="49"/>
      <c r="C984" s="50"/>
      <c r="D984" s="50"/>
      <c r="E984" s="50"/>
      <c r="F984" s="51"/>
      <c r="G984" s="51"/>
      <c r="H984" s="51"/>
      <c r="I984" s="51"/>
      <c r="J984" s="49"/>
      <c r="K984" s="51"/>
      <c r="L984" s="51"/>
      <c r="M984" s="52"/>
      <c r="N984" s="51"/>
      <c r="O984" s="51"/>
      <c r="P984" s="25"/>
    </row>
    <row r="985">
      <c r="A985" s="25"/>
      <c r="B985" s="49"/>
      <c r="C985" s="50"/>
      <c r="D985" s="50"/>
      <c r="E985" s="50"/>
      <c r="F985" s="51"/>
      <c r="G985" s="51"/>
      <c r="H985" s="51"/>
      <c r="I985" s="51"/>
      <c r="J985" s="49"/>
      <c r="K985" s="51"/>
      <c r="L985" s="51"/>
      <c r="M985" s="52"/>
      <c r="N985" s="51"/>
      <c r="O985" s="51"/>
      <c r="P985" s="25"/>
    </row>
    <row r="986">
      <c r="A986" s="25"/>
      <c r="B986" s="49"/>
      <c r="C986" s="50"/>
      <c r="D986" s="50"/>
      <c r="E986" s="50"/>
      <c r="F986" s="51"/>
      <c r="G986" s="51"/>
      <c r="H986" s="51"/>
      <c r="I986" s="51"/>
      <c r="J986" s="49"/>
      <c r="K986" s="51"/>
      <c r="L986" s="51"/>
      <c r="M986" s="52"/>
      <c r="N986" s="51"/>
      <c r="O986" s="51"/>
      <c r="P986" s="25"/>
    </row>
    <row r="987">
      <c r="A987" s="25"/>
      <c r="B987" s="49"/>
      <c r="C987" s="50"/>
      <c r="D987" s="50"/>
      <c r="E987" s="50"/>
      <c r="F987" s="51"/>
      <c r="G987" s="51"/>
      <c r="H987" s="51"/>
      <c r="I987" s="51"/>
      <c r="J987" s="49"/>
      <c r="K987" s="51"/>
      <c r="L987" s="51"/>
      <c r="M987" s="52"/>
      <c r="N987" s="51"/>
      <c r="O987" s="51"/>
      <c r="P987" s="25"/>
    </row>
    <row r="988">
      <c r="A988" s="25"/>
      <c r="B988" s="49"/>
      <c r="C988" s="50"/>
      <c r="D988" s="50"/>
      <c r="E988" s="50"/>
      <c r="F988" s="51"/>
      <c r="G988" s="51"/>
      <c r="H988" s="51"/>
      <c r="I988" s="51"/>
      <c r="J988" s="49"/>
      <c r="K988" s="51"/>
      <c r="L988" s="51"/>
      <c r="M988" s="52"/>
      <c r="N988" s="51"/>
      <c r="O988" s="51"/>
      <c r="P988" s="25"/>
    </row>
    <row r="989">
      <c r="A989" s="25"/>
      <c r="B989" s="49"/>
      <c r="C989" s="50"/>
      <c r="D989" s="50"/>
      <c r="E989" s="50"/>
      <c r="F989" s="51"/>
      <c r="G989" s="51"/>
      <c r="H989" s="51"/>
      <c r="I989" s="51"/>
      <c r="J989" s="49"/>
      <c r="K989" s="51"/>
      <c r="L989" s="51"/>
      <c r="M989" s="52"/>
      <c r="N989" s="51"/>
      <c r="O989" s="51"/>
      <c r="P989" s="25"/>
    </row>
    <row r="990">
      <c r="A990" s="25"/>
      <c r="B990" s="49"/>
      <c r="C990" s="50"/>
      <c r="D990" s="50"/>
      <c r="E990" s="50"/>
      <c r="F990" s="51"/>
      <c r="G990" s="51"/>
      <c r="H990" s="51"/>
      <c r="I990" s="51"/>
      <c r="J990" s="49"/>
      <c r="K990" s="51"/>
      <c r="L990" s="51"/>
      <c r="M990" s="52"/>
      <c r="N990" s="51"/>
      <c r="O990" s="51"/>
      <c r="P990" s="25"/>
    </row>
    <row r="991">
      <c r="A991" s="25"/>
      <c r="B991" s="49"/>
      <c r="C991" s="50"/>
      <c r="D991" s="50"/>
      <c r="E991" s="50"/>
      <c r="F991" s="51"/>
      <c r="G991" s="51"/>
      <c r="H991" s="51"/>
      <c r="I991" s="51"/>
      <c r="J991" s="49"/>
      <c r="K991" s="51"/>
      <c r="L991" s="51"/>
      <c r="M991" s="52"/>
      <c r="N991" s="51"/>
      <c r="O991" s="51"/>
      <c r="P991" s="25"/>
    </row>
    <row r="992">
      <c r="A992" s="25"/>
      <c r="B992" s="49"/>
      <c r="C992" s="50"/>
      <c r="D992" s="50"/>
      <c r="E992" s="50"/>
      <c r="F992" s="51"/>
      <c r="G992" s="51"/>
      <c r="H992" s="51"/>
      <c r="I992" s="51"/>
      <c r="J992" s="49"/>
      <c r="K992" s="51"/>
      <c r="L992" s="51"/>
      <c r="M992" s="52"/>
      <c r="N992" s="51"/>
      <c r="O992" s="51"/>
      <c r="P992" s="25"/>
    </row>
    <row r="993">
      <c r="A993" s="25"/>
      <c r="B993" s="49"/>
      <c r="C993" s="50"/>
      <c r="D993" s="50"/>
      <c r="E993" s="50"/>
      <c r="F993" s="51"/>
      <c r="G993" s="51"/>
      <c r="H993" s="51"/>
      <c r="I993" s="51"/>
      <c r="J993" s="49"/>
      <c r="K993" s="51"/>
      <c r="L993" s="51"/>
      <c r="M993" s="52"/>
      <c r="N993" s="51"/>
      <c r="O993" s="51"/>
      <c r="P993" s="25"/>
    </row>
    <row r="994">
      <c r="A994" s="25"/>
      <c r="B994" s="49"/>
      <c r="C994" s="50"/>
      <c r="D994" s="50"/>
      <c r="E994" s="50"/>
      <c r="F994" s="51"/>
      <c r="G994" s="51"/>
      <c r="H994" s="51"/>
      <c r="I994" s="51"/>
      <c r="J994" s="49"/>
      <c r="K994" s="51"/>
      <c r="L994" s="51"/>
      <c r="M994" s="52"/>
      <c r="N994" s="51"/>
      <c r="O994" s="51"/>
      <c r="P994" s="25"/>
    </row>
    <row r="995">
      <c r="A995" s="25"/>
      <c r="B995" s="49"/>
      <c r="C995" s="50"/>
      <c r="D995" s="50"/>
      <c r="E995" s="50"/>
      <c r="F995" s="51"/>
      <c r="G995" s="51"/>
      <c r="H995" s="51"/>
      <c r="I995" s="51"/>
      <c r="J995" s="49"/>
      <c r="K995" s="51"/>
      <c r="L995" s="51"/>
      <c r="M995" s="52"/>
      <c r="N995" s="51"/>
      <c r="O995" s="51"/>
      <c r="P995" s="25"/>
    </row>
    <row r="996">
      <c r="A996" s="25"/>
      <c r="B996" s="49"/>
      <c r="C996" s="50"/>
      <c r="D996" s="50"/>
      <c r="E996" s="50"/>
      <c r="F996" s="51"/>
      <c r="G996" s="51"/>
      <c r="H996" s="51"/>
      <c r="I996" s="51"/>
      <c r="J996" s="49"/>
      <c r="K996" s="51"/>
      <c r="L996" s="51"/>
      <c r="M996" s="52"/>
      <c r="N996" s="51"/>
      <c r="O996" s="51"/>
      <c r="P996" s="25"/>
    </row>
    <row r="997">
      <c r="A997" s="25"/>
      <c r="B997" s="49"/>
      <c r="C997" s="50"/>
      <c r="D997" s="50"/>
      <c r="E997" s="50"/>
      <c r="F997" s="51"/>
      <c r="G997" s="51"/>
      <c r="H997" s="51"/>
      <c r="I997" s="51"/>
      <c r="J997" s="49"/>
      <c r="K997" s="51"/>
      <c r="L997" s="51"/>
      <c r="M997" s="52"/>
      <c r="N997" s="51"/>
      <c r="O997" s="51"/>
      <c r="P997" s="25"/>
    </row>
    <row r="998">
      <c r="A998" s="25"/>
      <c r="B998" s="49"/>
      <c r="C998" s="50"/>
      <c r="D998" s="50"/>
      <c r="E998" s="50"/>
      <c r="F998" s="51"/>
      <c r="G998" s="51"/>
      <c r="H998" s="51"/>
      <c r="I998" s="51"/>
      <c r="J998" s="49"/>
      <c r="K998" s="51"/>
      <c r="L998" s="51"/>
      <c r="M998" s="52"/>
      <c r="N998" s="51"/>
      <c r="O998" s="51"/>
      <c r="P998" s="25"/>
    </row>
    <row r="999">
      <c r="A999" s="25"/>
      <c r="B999" s="49"/>
      <c r="C999" s="50"/>
      <c r="D999" s="50"/>
      <c r="E999" s="50"/>
      <c r="F999" s="51"/>
      <c r="G999" s="51"/>
      <c r="H999" s="51"/>
      <c r="I999" s="51"/>
      <c r="J999" s="49"/>
      <c r="K999" s="51"/>
      <c r="L999" s="51"/>
      <c r="M999" s="52"/>
      <c r="N999" s="51"/>
      <c r="O999" s="51"/>
      <c r="P999" s="25"/>
    </row>
    <row r="1000">
      <c r="A1000" s="25"/>
      <c r="B1000" s="49"/>
      <c r="C1000" s="50"/>
      <c r="D1000" s="50"/>
      <c r="E1000" s="50"/>
      <c r="F1000" s="51"/>
      <c r="G1000" s="51"/>
      <c r="H1000" s="51"/>
      <c r="I1000" s="51"/>
      <c r="J1000" s="49"/>
      <c r="K1000" s="51"/>
      <c r="L1000" s="51"/>
      <c r="M1000" s="52"/>
      <c r="N1000" s="51"/>
      <c r="O1000" s="51"/>
      <c r="P1000" s="25"/>
    </row>
    <row r="1001">
      <c r="A1001" s="25"/>
      <c r="B1001" s="49"/>
      <c r="C1001" s="50"/>
      <c r="D1001" s="50"/>
      <c r="E1001" s="50"/>
      <c r="F1001" s="51"/>
      <c r="G1001" s="51"/>
      <c r="H1001" s="51"/>
      <c r="I1001" s="51"/>
      <c r="J1001" s="49"/>
      <c r="K1001" s="51"/>
      <c r="L1001" s="51"/>
      <c r="M1001" s="52"/>
      <c r="N1001" s="51"/>
      <c r="O1001" s="51"/>
      <c r="P1001" s="25"/>
    </row>
    <row r="1002">
      <c r="A1002" s="25"/>
      <c r="B1002" s="49"/>
      <c r="C1002" s="50"/>
      <c r="D1002" s="50"/>
      <c r="E1002" s="50"/>
      <c r="F1002" s="51"/>
      <c r="G1002" s="51"/>
      <c r="H1002" s="51"/>
      <c r="I1002" s="51"/>
      <c r="J1002" s="49"/>
      <c r="K1002" s="51"/>
      <c r="L1002" s="51"/>
      <c r="M1002" s="52"/>
      <c r="N1002" s="51"/>
      <c r="O1002" s="51"/>
      <c r="P1002" s="25"/>
    </row>
    <row r="1003">
      <c r="A1003" s="25"/>
      <c r="B1003" s="49"/>
      <c r="C1003" s="50"/>
      <c r="D1003" s="50"/>
      <c r="E1003" s="50"/>
      <c r="F1003" s="51"/>
      <c r="G1003" s="51"/>
      <c r="H1003" s="51"/>
      <c r="I1003" s="51"/>
      <c r="J1003" s="49"/>
      <c r="K1003" s="51"/>
      <c r="L1003" s="51"/>
      <c r="M1003" s="52"/>
      <c r="N1003" s="51"/>
      <c r="O1003" s="51"/>
      <c r="P1003" s="25"/>
    </row>
    <row r="1004">
      <c r="A1004" s="25"/>
      <c r="B1004" s="49"/>
      <c r="C1004" s="50"/>
      <c r="D1004" s="50"/>
      <c r="E1004" s="50"/>
      <c r="F1004" s="51"/>
      <c r="G1004" s="51"/>
      <c r="H1004" s="51"/>
      <c r="I1004" s="51"/>
      <c r="J1004" s="49"/>
      <c r="K1004" s="51"/>
      <c r="L1004" s="51"/>
      <c r="M1004" s="52"/>
      <c r="N1004" s="51"/>
      <c r="O1004" s="51"/>
      <c r="P1004" s="25"/>
    </row>
    <row r="1005">
      <c r="A1005" s="25"/>
      <c r="B1005" s="49"/>
      <c r="C1005" s="50"/>
      <c r="D1005" s="50"/>
      <c r="E1005" s="50"/>
      <c r="F1005" s="51"/>
      <c r="G1005" s="51"/>
      <c r="H1005" s="51"/>
      <c r="I1005" s="51"/>
      <c r="J1005" s="49"/>
      <c r="K1005" s="51"/>
      <c r="L1005" s="51"/>
      <c r="M1005" s="52"/>
      <c r="N1005" s="51"/>
      <c r="O1005" s="51"/>
      <c r="P1005" s="25"/>
    </row>
    <row r="1006">
      <c r="A1006" s="25"/>
      <c r="B1006" s="49"/>
      <c r="C1006" s="50"/>
      <c r="D1006" s="50"/>
      <c r="E1006" s="50"/>
      <c r="F1006" s="51"/>
      <c r="G1006" s="51"/>
      <c r="H1006" s="51"/>
      <c r="I1006" s="51"/>
      <c r="J1006" s="49"/>
      <c r="K1006" s="51"/>
      <c r="L1006" s="51"/>
      <c r="M1006" s="52"/>
      <c r="N1006" s="51"/>
      <c r="O1006" s="51"/>
      <c r="P1006" s="25"/>
    </row>
    <row r="1007">
      <c r="A1007" s="25"/>
      <c r="B1007" s="49"/>
      <c r="C1007" s="50"/>
      <c r="D1007" s="50"/>
      <c r="E1007" s="50"/>
      <c r="F1007" s="51"/>
      <c r="G1007" s="51"/>
      <c r="H1007" s="51"/>
      <c r="I1007" s="51"/>
      <c r="J1007" s="49"/>
      <c r="K1007" s="51"/>
      <c r="L1007" s="51"/>
      <c r="M1007" s="52"/>
      <c r="N1007" s="51"/>
      <c r="O1007" s="51"/>
      <c r="P1007" s="25"/>
    </row>
    <row r="1008">
      <c r="A1008" s="25"/>
      <c r="B1008" s="49"/>
      <c r="C1008" s="50"/>
      <c r="D1008" s="50"/>
      <c r="E1008" s="50"/>
      <c r="F1008" s="51"/>
      <c r="G1008" s="51"/>
      <c r="H1008" s="51"/>
      <c r="I1008" s="51"/>
      <c r="J1008" s="49"/>
      <c r="K1008" s="51"/>
      <c r="L1008" s="51"/>
      <c r="M1008" s="52"/>
      <c r="N1008" s="51"/>
      <c r="O1008" s="51"/>
      <c r="P1008" s="25"/>
    </row>
    <row r="1009">
      <c r="A1009" s="25"/>
      <c r="B1009" s="49"/>
      <c r="C1009" s="50"/>
      <c r="D1009" s="50"/>
      <c r="E1009" s="50"/>
      <c r="F1009" s="51"/>
      <c r="G1009" s="51"/>
      <c r="H1009" s="51"/>
      <c r="I1009" s="51"/>
      <c r="J1009" s="49"/>
      <c r="K1009" s="51"/>
      <c r="L1009" s="51"/>
      <c r="M1009" s="52"/>
      <c r="N1009" s="51"/>
      <c r="O1009" s="51"/>
      <c r="P1009" s="25"/>
    </row>
    <row r="1010">
      <c r="A1010" s="25"/>
      <c r="B1010" s="49"/>
      <c r="C1010" s="50"/>
      <c r="D1010" s="50"/>
      <c r="E1010" s="50"/>
      <c r="F1010" s="51"/>
      <c r="G1010" s="51"/>
      <c r="H1010" s="51"/>
      <c r="I1010" s="51"/>
      <c r="J1010" s="49"/>
      <c r="K1010" s="51"/>
      <c r="L1010" s="51"/>
      <c r="M1010" s="52"/>
      <c r="N1010" s="51"/>
      <c r="O1010" s="51"/>
      <c r="P1010" s="25"/>
    </row>
    <row r="1011">
      <c r="A1011" s="25"/>
      <c r="B1011" s="49"/>
      <c r="C1011" s="50"/>
      <c r="D1011" s="50"/>
      <c r="E1011" s="50"/>
      <c r="F1011" s="51"/>
      <c r="G1011" s="51"/>
      <c r="H1011" s="51"/>
      <c r="I1011" s="51"/>
      <c r="J1011" s="49"/>
      <c r="K1011" s="51"/>
      <c r="L1011" s="51"/>
      <c r="M1011" s="52"/>
      <c r="N1011" s="51"/>
      <c r="O1011" s="51"/>
      <c r="P1011" s="25"/>
    </row>
    <row r="1012">
      <c r="A1012" s="25"/>
      <c r="B1012" s="49"/>
      <c r="C1012" s="50"/>
      <c r="D1012" s="50"/>
      <c r="E1012" s="50"/>
      <c r="F1012" s="51"/>
      <c r="G1012" s="51"/>
      <c r="H1012" s="51"/>
      <c r="I1012" s="51"/>
      <c r="J1012" s="49"/>
      <c r="K1012" s="51"/>
      <c r="L1012" s="51"/>
      <c r="M1012" s="52"/>
      <c r="N1012" s="51"/>
      <c r="O1012" s="51"/>
      <c r="P1012" s="25"/>
    </row>
    <row r="1013">
      <c r="A1013" s="25"/>
      <c r="B1013" s="49"/>
      <c r="C1013" s="50"/>
      <c r="D1013" s="50"/>
      <c r="E1013" s="50"/>
      <c r="F1013" s="51"/>
      <c r="G1013" s="51"/>
      <c r="H1013" s="51"/>
      <c r="I1013" s="51"/>
      <c r="J1013" s="49"/>
      <c r="K1013" s="51"/>
      <c r="L1013" s="51"/>
      <c r="M1013" s="52"/>
      <c r="N1013" s="51"/>
      <c r="O1013" s="51"/>
      <c r="P1013" s="25"/>
    </row>
    <row r="1014">
      <c r="A1014" s="25"/>
      <c r="B1014" s="49"/>
      <c r="C1014" s="50"/>
      <c r="D1014" s="50"/>
      <c r="E1014" s="50"/>
      <c r="F1014" s="51"/>
      <c r="G1014" s="51"/>
      <c r="H1014" s="51"/>
      <c r="I1014" s="51"/>
      <c r="J1014" s="49"/>
      <c r="K1014" s="51"/>
      <c r="L1014" s="51"/>
      <c r="M1014" s="52"/>
      <c r="N1014" s="51"/>
      <c r="O1014" s="51"/>
      <c r="P1014" s="25"/>
    </row>
    <row r="1015">
      <c r="A1015" s="25"/>
      <c r="B1015" s="49"/>
      <c r="C1015" s="50"/>
      <c r="D1015" s="50"/>
      <c r="E1015" s="50"/>
      <c r="F1015" s="51"/>
      <c r="G1015" s="51"/>
      <c r="H1015" s="51"/>
      <c r="I1015" s="51"/>
      <c r="J1015" s="49"/>
      <c r="K1015" s="51"/>
      <c r="L1015" s="51"/>
      <c r="M1015" s="52"/>
      <c r="N1015" s="51"/>
      <c r="O1015" s="51"/>
      <c r="P1015" s="25"/>
    </row>
    <row r="1016">
      <c r="A1016" s="25"/>
      <c r="B1016" s="49"/>
      <c r="C1016" s="50"/>
      <c r="D1016" s="50"/>
      <c r="E1016" s="50"/>
      <c r="F1016" s="51"/>
      <c r="G1016" s="51"/>
      <c r="H1016" s="51"/>
      <c r="I1016" s="51"/>
      <c r="J1016" s="49"/>
      <c r="K1016" s="51"/>
      <c r="L1016" s="51"/>
      <c r="M1016" s="52"/>
      <c r="N1016" s="51"/>
      <c r="O1016" s="51"/>
      <c r="P1016" s="25"/>
    </row>
    <row r="1017">
      <c r="A1017" s="25"/>
      <c r="B1017" s="49"/>
      <c r="C1017" s="50"/>
      <c r="D1017" s="50"/>
      <c r="E1017" s="50"/>
      <c r="F1017" s="51"/>
      <c r="G1017" s="51"/>
      <c r="H1017" s="51"/>
      <c r="I1017" s="51"/>
      <c r="J1017" s="49"/>
      <c r="K1017" s="51"/>
      <c r="L1017" s="51"/>
      <c r="M1017" s="52"/>
      <c r="N1017" s="51"/>
      <c r="O1017" s="51"/>
      <c r="P1017" s="25"/>
    </row>
    <row r="1018">
      <c r="A1018" s="25"/>
      <c r="B1018" s="49"/>
      <c r="C1018" s="50"/>
      <c r="D1018" s="50"/>
      <c r="E1018" s="50"/>
      <c r="F1018" s="51"/>
      <c r="G1018" s="51"/>
      <c r="H1018" s="51"/>
      <c r="I1018" s="51"/>
      <c r="J1018" s="49"/>
      <c r="K1018" s="51"/>
      <c r="L1018" s="51"/>
      <c r="M1018" s="52"/>
      <c r="N1018" s="51"/>
      <c r="O1018" s="51"/>
      <c r="P1018" s="25"/>
    </row>
    <row r="1019">
      <c r="A1019" s="25"/>
      <c r="B1019" s="49"/>
      <c r="C1019" s="50"/>
      <c r="D1019" s="50"/>
      <c r="E1019" s="50"/>
      <c r="F1019" s="51"/>
      <c r="G1019" s="51"/>
      <c r="H1019" s="51"/>
      <c r="I1019" s="51"/>
      <c r="J1019" s="49"/>
      <c r="K1019" s="51"/>
      <c r="L1019" s="51"/>
      <c r="M1019" s="52"/>
      <c r="N1019" s="51"/>
      <c r="O1019" s="51"/>
      <c r="P1019" s="25"/>
    </row>
    <row r="1020">
      <c r="A1020" s="25"/>
      <c r="B1020" s="49"/>
      <c r="C1020" s="50"/>
      <c r="D1020" s="50"/>
      <c r="E1020" s="50"/>
      <c r="F1020" s="51"/>
      <c r="G1020" s="51"/>
      <c r="H1020" s="51"/>
      <c r="I1020" s="51"/>
      <c r="J1020" s="49"/>
      <c r="K1020" s="51"/>
      <c r="L1020" s="51"/>
      <c r="M1020" s="52"/>
      <c r="N1020" s="51"/>
      <c r="O1020" s="51"/>
      <c r="P1020" s="25"/>
    </row>
    <row r="1021">
      <c r="A1021" s="25"/>
      <c r="B1021" s="49"/>
      <c r="C1021" s="50"/>
      <c r="D1021" s="50"/>
      <c r="E1021" s="50"/>
      <c r="F1021" s="51"/>
      <c r="G1021" s="51"/>
      <c r="H1021" s="51"/>
      <c r="I1021" s="51"/>
      <c r="J1021" s="49"/>
      <c r="K1021" s="51"/>
      <c r="L1021" s="51"/>
      <c r="M1021" s="52"/>
      <c r="N1021" s="51"/>
      <c r="O1021" s="51"/>
      <c r="P1021" s="25"/>
    </row>
    <row r="1022">
      <c r="A1022" s="25"/>
      <c r="B1022" s="49"/>
      <c r="C1022" s="50"/>
      <c r="D1022" s="50"/>
      <c r="E1022" s="50"/>
      <c r="F1022" s="51"/>
      <c r="G1022" s="51"/>
      <c r="H1022" s="51"/>
      <c r="I1022" s="51"/>
      <c r="J1022" s="49"/>
      <c r="K1022" s="51"/>
      <c r="L1022" s="51"/>
      <c r="M1022" s="52"/>
      <c r="N1022" s="51"/>
      <c r="O1022" s="51"/>
      <c r="P1022" s="25"/>
    </row>
    <row r="1023">
      <c r="A1023" s="25"/>
      <c r="B1023" s="49"/>
      <c r="C1023" s="50"/>
      <c r="D1023" s="50"/>
      <c r="E1023" s="50"/>
      <c r="F1023" s="51"/>
      <c r="G1023" s="51"/>
      <c r="H1023" s="51"/>
      <c r="I1023" s="51"/>
      <c r="J1023" s="49"/>
      <c r="K1023" s="51"/>
      <c r="L1023" s="51"/>
      <c r="M1023" s="52"/>
      <c r="N1023" s="51"/>
      <c r="O1023" s="51"/>
      <c r="P1023" s="25"/>
    </row>
    <row r="1024">
      <c r="A1024" s="25"/>
      <c r="B1024" s="49"/>
      <c r="C1024" s="50"/>
      <c r="D1024" s="50"/>
      <c r="E1024" s="50"/>
      <c r="F1024" s="51"/>
      <c r="G1024" s="51"/>
      <c r="H1024" s="51"/>
      <c r="I1024" s="51"/>
      <c r="J1024" s="49"/>
      <c r="K1024" s="51"/>
      <c r="L1024" s="51"/>
      <c r="M1024" s="52"/>
      <c r="N1024" s="51"/>
      <c r="O1024" s="51"/>
      <c r="P1024" s="25"/>
    </row>
    <row r="1025">
      <c r="A1025" s="25"/>
      <c r="B1025" s="49"/>
      <c r="C1025" s="50"/>
      <c r="D1025" s="50"/>
      <c r="E1025" s="50"/>
      <c r="F1025" s="51"/>
      <c r="G1025" s="51"/>
      <c r="H1025" s="51"/>
      <c r="I1025" s="51"/>
      <c r="J1025" s="49"/>
      <c r="K1025" s="51"/>
      <c r="L1025" s="51"/>
      <c r="M1025" s="52"/>
      <c r="N1025" s="51"/>
      <c r="O1025" s="51"/>
      <c r="P1025" s="25"/>
    </row>
    <row r="1026">
      <c r="A1026" s="25"/>
      <c r="B1026" s="49"/>
      <c r="C1026" s="50"/>
      <c r="D1026" s="50"/>
      <c r="E1026" s="50"/>
      <c r="F1026" s="51"/>
      <c r="G1026" s="51"/>
      <c r="H1026" s="51"/>
      <c r="I1026" s="51"/>
      <c r="J1026" s="49"/>
      <c r="K1026" s="51"/>
      <c r="L1026" s="51"/>
      <c r="M1026" s="52"/>
      <c r="N1026" s="51"/>
      <c r="O1026" s="51"/>
      <c r="P1026" s="25"/>
    </row>
    <row r="1027">
      <c r="A1027" s="25"/>
      <c r="B1027" s="49"/>
      <c r="C1027" s="50"/>
      <c r="D1027" s="50"/>
      <c r="E1027" s="50"/>
      <c r="F1027" s="51"/>
      <c r="G1027" s="51"/>
      <c r="H1027" s="51"/>
      <c r="I1027" s="51"/>
      <c r="J1027" s="49"/>
      <c r="K1027" s="51"/>
      <c r="L1027" s="51"/>
      <c r="M1027" s="52"/>
      <c r="N1027" s="51"/>
      <c r="O1027" s="51"/>
      <c r="P1027" s="25"/>
    </row>
    <row r="1028">
      <c r="A1028" s="25"/>
      <c r="B1028" s="49"/>
      <c r="C1028" s="50"/>
      <c r="D1028" s="50"/>
      <c r="E1028" s="50"/>
      <c r="F1028" s="51"/>
      <c r="G1028" s="51"/>
      <c r="H1028" s="51"/>
      <c r="I1028" s="51"/>
      <c r="J1028" s="49"/>
      <c r="K1028" s="51"/>
      <c r="L1028" s="51"/>
      <c r="M1028" s="52"/>
      <c r="N1028" s="51"/>
      <c r="O1028" s="51"/>
      <c r="P1028" s="25"/>
    </row>
    <row r="1029">
      <c r="A1029" s="25"/>
      <c r="B1029" s="49"/>
      <c r="C1029" s="50"/>
      <c r="D1029" s="50"/>
      <c r="E1029" s="50"/>
      <c r="F1029" s="51"/>
      <c r="G1029" s="51"/>
      <c r="H1029" s="51"/>
      <c r="I1029" s="51"/>
      <c r="J1029" s="49"/>
      <c r="K1029" s="51"/>
      <c r="L1029" s="51"/>
      <c r="M1029" s="52"/>
      <c r="N1029" s="51"/>
      <c r="O1029" s="51"/>
      <c r="P1029" s="25"/>
    </row>
    <row r="1030">
      <c r="A1030" s="25"/>
      <c r="B1030" s="49"/>
      <c r="C1030" s="50"/>
      <c r="D1030" s="50"/>
      <c r="E1030" s="50"/>
      <c r="F1030" s="51"/>
      <c r="G1030" s="51"/>
      <c r="H1030" s="51"/>
      <c r="I1030" s="51"/>
      <c r="J1030" s="49"/>
      <c r="K1030" s="51"/>
      <c r="L1030" s="51"/>
      <c r="M1030" s="52"/>
      <c r="N1030" s="51"/>
      <c r="O1030" s="51"/>
      <c r="P1030" s="25"/>
    </row>
    <row r="1031">
      <c r="A1031" s="25"/>
      <c r="B1031" s="49"/>
      <c r="C1031" s="50"/>
      <c r="D1031" s="50"/>
      <c r="E1031" s="50"/>
      <c r="F1031" s="51"/>
      <c r="G1031" s="51"/>
      <c r="H1031" s="51"/>
      <c r="I1031" s="51"/>
      <c r="J1031" s="49"/>
      <c r="K1031" s="51"/>
      <c r="L1031" s="51"/>
      <c r="M1031" s="52"/>
      <c r="N1031" s="51"/>
      <c r="O1031" s="51"/>
      <c r="P1031" s="25"/>
    </row>
    <row r="1032">
      <c r="A1032" s="25"/>
      <c r="B1032" s="49"/>
      <c r="C1032" s="50"/>
      <c r="D1032" s="50"/>
      <c r="E1032" s="50"/>
      <c r="F1032" s="51"/>
      <c r="G1032" s="51"/>
      <c r="H1032" s="51"/>
      <c r="I1032" s="51"/>
      <c r="J1032" s="49"/>
      <c r="K1032" s="51"/>
      <c r="L1032" s="51"/>
      <c r="M1032" s="52"/>
      <c r="N1032" s="51"/>
      <c r="O1032" s="51"/>
      <c r="P1032" s="25"/>
    </row>
    <row r="1033">
      <c r="A1033" s="25"/>
      <c r="B1033" s="49"/>
      <c r="C1033" s="50"/>
      <c r="D1033" s="50"/>
      <c r="E1033" s="50"/>
      <c r="F1033" s="51"/>
      <c r="G1033" s="51"/>
      <c r="H1033" s="51"/>
      <c r="I1033" s="51"/>
      <c r="J1033" s="49"/>
      <c r="K1033" s="51"/>
      <c r="L1033" s="51"/>
      <c r="M1033" s="52"/>
      <c r="N1033" s="51"/>
      <c r="O1033" s="51"/>
      <c r="P1033" s="25"/>
    </row>
    <row r="1034">
      <c r="A1034" s="25"/>
      <c r="B1034" s="49"/>
      <c r="C1034" s="50"/>
      <c r="D1034" s="50"/>
      <c r="E1034" s="50"/>
      <c r="F1034" s="51"/>
      <c r="G1034" s="51"/>
      <c r="H1034" s="51"/>
      <c r="I1034" s="51"/>
      <c r="J1034" s="49"/>
      <c r="K1034" s="51"/>
      <c r="L1034" s="51"/>
      <c r="M1034" s="52"/>
      <c r="N1034" s="51"/>
      <c r="O1034" s="51"/>
      <c r="P1034" s="25"/>
    </row>
    <row r="1035">
      <c r="A1035" s="25"/>
      <c r="B1035" s="49"/>
      <c r="C1035" s="50"/>
      <c r="D1035" s="50"/>
      <c r="E1035" s="50"/>
      <c r="F1035" s="51"/>
      <c r="G1035" s="51"/>
      <c r="H1035" s="51"/>
      <c r="I1035" s="51"/>
      <c r="J1035" s="49"/>
      <c r="K1035" s="51"/>
      <c r="L1035" s="51"/>
      <c r="M1035" s="52"/>
      <c r="N1035" s="51"/>
      <c r="O1035" s="51"/>
      <c r="P1035" s="25"/>
    </row>
    <row r="1036">
      <c r="A1036" s="25"/>
      <c r="B1036" s="49"/>
      <c r="C1036" s="50"/>
      <c r="D1036" s="50"/>
      <c r="E1036" s="50"/>
      <c r="F1036" s="51"/>
      <c r="G1036" s="51"/>
      <c r="H1036" s="51"/>
      <c r="I1036" s="51"/>
      <c r="J1036" s="49"/>
      <c r="K1036" s="51"/>
      <c r="L1036" s="51"/>
      <c r="M1036" s="52"/>
      <c r="N1036" s="51"/>
      <c r="O1036" s="51"/>
      <c r="P1036" s="25"/>
    </row>
    <row r="1037">
      <c r="A1037" s="25"/>
      <c r="B1037" s="49"/>
      <c r="C1037" s="50"/>
      <c r="D1037" s="50"/>
      <c r="E1037" s="50"/>
      <c r="F1037" s="51"/>
      <c r="G1037" s="51"/>
      <c r="H1037" s="51"/>
      <c r="I1037" s="51"/>
      <c r="J1037" s="49"/>
      <c r="K1037" s="51"/>
      <c r="L1037" s="51"/>
      <c r="M1037" s="52"/>
      <c r="N1037" s="51"/>
      <c r="O1037" s="51"/>
      <c r="P1037" s="25"/>
    </row>
    <row r="1038">
      <c r="A1038" s="25"/>
      <c r="B1038" s="49"/>
      <c r="C1038" s="50"/>
      <c r="D1038" s="50"/>
      <c r="E1038" s="50"/>
      <c r="F1038" s="51"/>
      <c r="G1038" s="51"/>
      <c r="H1038" s="51"/>
      <c r="I1038" s="51"/>
      <c r="J1038" s="49"/>
      <c r="K1038" s="51"/>
      <c r="L1038" s="51"/>
      <c r="M1038" s="52"/>
      <c r="N1038" s="51"/>
      <c r="O1038" s="51"/>
      <c r="P1038" s="25"/>
    </row>
    <row r="1039">
      <c r="A1039" s="25"/>
      <c r="B1039" s="49"/>
      <c r="C1039" s="50"/>
      <c r="D1039" s="50"/>
      <c r="E1039" s="50"/>
      <c r="F1039" s="51"/>
      <c r="G1039" s="51"/>
      <c r="H1039" s="51"/>
      <c r="I1039" s="51"/>
      <c r="J1039" s="49"/>
      <c r="K1039" s="51"/>
      <c r="L1039" s="51"/>
      <c r="M1039" s="52"/>
      <c r="N1039" s="51"/>
      <c r="O1039" s="51"/>
      <c r="P1039" s="25"/>
    </row>
    <row r="1040">
      <c r="A1040" s="25"/>
      <c r="B1040" s="49"/>
      <c r="C1040" s="50"/>
      <c r="D1040" s="50"/>
      <c r="E1040" s="50"/>
      <c r="F1040" s="51"/>
      <c r="G1040" s="51"/>
      <c r="H1040" s="51"/>
      <c r="I1040" s="51"/>
      <c r="J1040" s="49"/>
      <c r="K1040" s="51"/>
      <c r="L1040" s="51"/>
      <c r="M1040" s="52"/>
      <c r="N1040" s="51"/>
      <c r="O1040" s="51"/>
      <c r="P1040" s="25"/>
    </row>
    <row r="1041">
      <c r="A1041" s="25"/>
      <c r="B1041" s="49"/>
      <c r="C1041" s="50"/>
      <c r="D1041" s="50"/>
      <c r="E1041" s="50"/>
      <c r="F1041" s="51"/>
      <c r="G1041" s="51"/>
      <c r="H1041" s="51"/>
      <c r="I1041" s="51"/>
      <c r="J1041" s="49"/>
      <c r="K1041" s="51"/>
      <c r="L1041" s="51"/>
      <c r="M1041" s="52"/>
      <c r="N1041" s="51"/>
      <c r="O1041" s="51"/>
      <c r="P1041" s="25"/>
    </row>
    <row r="1042">
      <c r="A1042" s="25"/>
      <c r="B1042" s="49"/>
      <c r="C1042" s="50"/>
      <c r="D1042" s="50"/>
      <c r="E1042" s="50"/>
      <c r="F1042" s="51"/>
      <c r="G1042" s="51"/>
      <c r="H1042" s="51"/>
      <c r="I1042" s="51"/>
      <c r="J1042" s="49"/>
      <c r="K1042" s="51"/>
      <c r="L1042" s="51"/>
      <c r="M1042" s="52"/>
      <c r="N1042" s="51"/>
      <c r="O1042" s="51"/>
      <c r="P1042" s="25"/>
    </row>
    <row r="1043">
      <c r="A1043" s="25"/>
      <c r="B1043" s="49"/>
      <c r="C1043" s="50"/>
      <c r="D1043" s="50"/>
      <c r="E1043" s="50"/>
      <c r="F1043" s="51"/>
      <c r="G1043" s="51"/>
      <c r="H1043" s="51"/>
      <c r="I1043" s="51"/>
      <c r="J1043" s="49"/>
      <c r="K1043" s="51"/>
      <c r="L1043" s="51"/>
      <c r="M1043" s="52"/>
      <c r="N1043" s="51"/>
      <c r="O1043" s="51"/>
      <c r="P1043" s="25"/>
    </row>
    <row r="1044">
      <c r="A1044" s="25"/>
      <c r="B1044" s="49"/>
      <c r="C1044" s="50"/>
      <c r="D1044" s="50"/>
      <c r="E1044" s="50"/>
      <c r="F1044" s="51"/>
      <c r="G1044" s="51"/>
      <c r="H1044" s="51"/>
      <c r="I1044" s="51"/>
      <c r="J1044" s="49"/>
      <c r="K1044" s="51"/>
      <c r="L1044" s="51"/>
      <c r="M1044" s="52"/>
      <c r="N1044" s="51"/>
      <c r="O1044" s="51"/>
      <c r="P1044" s="25"/>
    </row>
    <row r="1045">
      <c r="A1045" s="25"/>
      <c r="B1045" s="49"/>
      <c r="C1045" s="50"/>
      <c r="D1045" s="50"/>
      <c r="E1045" s="50"/>
      <c r="F1045" s="51"/>
      <c r="G1045" s="51"/>
      <c r="H1045" s="51"/>
      <c r="I1045" s="51"/>
      <c r="J1045" s="49"/>
      <c r="K1045" s="51"/>
      <c r="L1045" s="51"/>
      <c r="M1045" s="52"/>
      <c r="N1045" s="51"/>
      <c r="O1045" s="51"/>
      <c r="P1045" s="25"/>
    </row>
    <row r="1046">
      <c r="A1046" s="25"/>
      <c r="B1046" s="49"/>
      <c r="C1046" s="50"/>
      <c r="D1046" s="50"/>
      <c r="E1046" s="50"/>
      <c r="F1046" s="51"/>
      <c r="G1046" s="51"/>
      <c r="H1046" s="51"/>
      <c r="I1046" s="51"/>
      <c r="J1046" s="49"/>
      <c r="K1046" s="51"/>
      <c r="L1046" s="51"/>
      <c r="M1046" s="52"/>
      <c r="N1046" s="51"/>
      <c r="O1046" s="51"/>
      <c r="P1046" s="25"/>
    </row>
    <row r="1047">
      <c r="A1047" s="25"/>
      <c r="B1047" s="49"/>
      <c r="C1047" s="50"/>
      <c r="D1047" s="50"/>
      <c r="E1047" s="50"/>
      <c r="F1047" s="51"/>
      <c r="G1047" s="51"/>
      <c r="H1047" s="51"/>
      <c r="I1047" s="51"/>
      <c r="J1047" s="49"/>
      <c r="K1047" s="51"/>
      <c r="L1047" s="51"/>
      <c r="M1047" s="52"/>
      <c r="N1047" s="51"/>
      <c r="O1047" s="51"/>
      <c r="P1047" s="25"/>
    </row>
    <row r="1048">
      <c r="A1048" s="25"/>
      <c r="B1048" s="49"/>
      <c r="C1048" s="50"/>
      <c r="D1048" s="50"/>
      <c r="E1048" s="50"/>
      <c r="F1048" s="51"/>
      <c r="G1048" s="51"/>
      <c r="H1048" s="51"/>
      <c r="I1048" s="51"/>
      <c r="J1048" s="49"/>
      <c r="K1048" s="51"/>
      <c r="L1048" s="51"/>
      <c r="M1048" s="52"/>
      <c r="N1048" s="51"/>
      <c r="O1048" s="51"/>
      <c r="P1048" s="25"/>
    </row>
    <row r="1049">
      <c r="A1049" s="25"/>
      <c r="B1049" s="49"/>
      <c r="C1049" s="50"/>
      <c r="D1049" s="50"/>
      <c r="E1049" s="50"/>
      <c r="F1049" s="51"/>
      <c r="G1049" s="51"/>
      <c r="H1049" s="51"/>
      <c r="I1049" s="51"/>
      <c r="J1049" s="49"/>
      <c r="K1049" s="51"/>
      <c r="L1049" s="51"/>
      <c r="M1049" s="52"/>
      <c r="N1049" s="51"/>
      <c r="O1049" s="51"/>
      <c r="P1049" s="25"/>
    </row>
    <row r="1050">
      <c r="A1050" s="25"/>
      <c r="B1050" s="49"/>
      <c r="C1050" s="50"/>
      <c r="D1050" s="50"/>
      <c r="E1050" s="50"/>
      <c r="F1050" s="51"/>
      <c r="G1050" s="51"/>
      <c r="H1050" s="51"/>
      <c r="I1050" s="51"/>
      <c r="J1050" s="49"/>
      <c r="K1050" s="51"/>
      <c r="L1050" s="51"/>
      <c r="M1050" s="52"/>
      <c r="N1050" s="51"/>
      <c r="O1050" s="51"/>
      <c r="P1050" s="25"/>
    </row>
    <row r="1051">
      <c r="A1051" s="25"/>
      <c r="B1051" s="49"/>
      <c r="C1051" s="50"/>
      <c r="D1051" s="50"/>
      <c r="E1051" s="50"/>
      <c r="F1051" s="51"/>
      <c r="G1051" s="51"/>
      <c r="H1051" s="51"/>
      <c r="I1051" s="51"/>
      <c r="J1051" s="49"/>
      <c r="K1051" s="51"/>
      <c r="L1051" s="51"/>
      <c r="M1051" s="52"/>
      <c r="N1051" s="51"/>
      <c r="O1051" s="51"/>
      <c r="P1051" s="25"/>
    </row>
    <row r="1052">
      <c r="A1052" s="25"/>
      <c r="B1052" s="49"/>
      <c r="C1052" s="50"/>
      <c r="D1052" s="50"/>
      <c r="E1052" s="50"/>
      <c r="F1052" s="51"/>
      <c r="G1052" s="51"/>
      <c r="H1052" s="51"/>
      <c r="I1052" s="51"/>
      <c r="J1052" s="49"/>
      <c r="K1052" s="51"/>
      <c r="L1052" s="51"/>
      <c r="M1052" s="52"/>
      <c r="N1052" s="51"/>
      <c r="O1052" s="51"/>
      <c r="P1052" s="25"/>
    </row>
    <row r="1053">
      <c r="A1053" s="25"/>
      <c r="B1053" s="49"/>
      <c r="C1053" s="50"/>
      <c r="D1053" s="50"/>
      <c r="E1053" s="50"/>
      <c r="F1053" s="51"/>
      <c r="G1053" s="51"/>
      <c r="H1053" s="51"/>
      <c r="I1053" s="51"/>
      <c r="J1053" s="49"/>
      <c r="K1053" s="51"/>
      <c r="L1053" s="51"/>
      <c r="M1053" s="52"/>
      <c r="N1053" s="51"/>
      <c r="O1053" s="51"/>
      <c r="P1053" s="25"/>
    </row>
    <row r="1054">
      <c r="A1054" s="25"/>
      <c r="B1054" s="49"/>
      <c r="C1054" s="50"/>
      <c r="D1054" s="50"/>
      <c r="E1054" s="50"/>
      <c r="F1054" s="51"/>
      <c r="G1054" s="51"/>
      <c r="H1054" s="51"/>
      <c r="I1054" s="51"/>
      <c r="J1054" s="49"/>
      <c r="K1054" s="51"/>
      <c r="L1054" s="51"/>
      <c r="M1054" s="52"/>
      <c r="N1054" s="51"/>
      <c r="O1054" s="51"/>
      <c r="P1054" s="25"/>
    </row>
    <row r="1055">
      <c r="A1055" s="25"/>
      <c r="B1055" s="49"/>
      <c r="C1055" s="50"/>
      <c r="D1055" s="50"/>
      <c r="E1055" s="50"/>
      <c r="F1055" s="51"/>
      <c r="G1055" s="51"/>
      <c r="H1055" s="51"/>
      <c r="I1055" s="51"/>
      <c r="J1055" s="49"/>
      <c r="K1055" s="51"/>
      <c r="L1055" s="51"/>
      <c r="M1055" s="52"/>
      <c r="N1055" s="51"/>
      <c r="O1055" s="51"/>
      <c r="P1055" s="25"/>
    </row>
    <row r="1056">
      <c r="A1056" s="25"/>
      <c r="B1056" s="49"/>
      <c r="C1056" s="50"/>
      <c r="D1056" s="50"/>
      <c r="E1056" s="50"/>
      <c r="F1056" s="51"/>
      <c r="G1056" s="51"/>
      <c r="H1056" s="51"/>
      <c r="I1056" s="51"/>
      <c r="J1056" s="49"/>
      <c r="K1056" s="51"/>
      <c r="L1056" s="51"/>
      <c r="M1056" s="52"/>
      <c r="N1056" s="51"/>
      <c r="O1056" s="51"/>
      <c r="P1056" s="25"/>
    </row>
    <row r="1057">
      <c r="A1057" s="25"/>
      <c r="B1057" s="49"/>
      <c r="C1057" s="50"/>
      <c r="D1057" s="50"/>
      <c r="E1057" s="50"/>
      <c r="F1057" s="51"/>
      <c r="G1057" s="51"/>
      <c r="H1057" s="51"/>
      <c r="I1057" s="51"/>
      <c r="J1057" s="49"/>
      <c r="K1057" s="51"/>
      <c r="L1057" s="51"/>
      <c r="M1057" s="52"/>
      <c r="N1057" s="51"/>
      <c r="O1057" s="51"/>
      <c r="P1057" s="25"/>
    </row>
    <row r="1058">
      <c r="A1058" s="25"/>
      <c r="B1058" s="49"/>
      <c r="C1058" s="50"/>
      <c r="D1058" s="50"/>
      <c r="E1058" s="50"/>
      <c r="F1058" s="51"/>
      <c r="G1058" s="51"/>
      <c r="H1058" s="51"/>
      <c r="I1058" s="51"/>
      <c r="J1058" s="49"/>
      <c r="K1058" s="51"/>
      <c r="L1058" s="51"/>
      <c r="M1058" s="52"/>
      <c r="N1058" s="51"/>
      <c r="O1058" s="51"/>
      <c r="P1058" s="25"/>
    </row>
    <row r="1059">
      <c r="A1059" s="25"/>
      <c r="B1059" s="49"/>
      <c r="C1059" s="50"/>
      <c r="D1059" s="50"/>
      <c r="E1059" s="50"/>
      <c r="F1059" s="51"/>
      <c r="G1059" s="51"/>
      <c r="H1059" s="51"/>
      <c r="I1059" s="51"/>
      <c r="J1059" s="49"/>
      <c r="K1059" s="51"/>
      <c r="L1059" s="51"/>
      <c r="M1059" s="52"/>
      <c r="N1059" s="51"/>
      <c r="O1059" s="51"/>
      <c r="P1059" s="25"/>
    </row>
    <row r="1060">
      <c r="A1060" s="25"/>
      <c r="B1060" s="49"/>
      <c r="C1060" s="50"/>
      <c r="D1060" s="50"/>
      <c r="E1060" s="50"/>
      <c r="F1060" s="51"/>
      <c r="G1060" s="51"/>
      <c r="H1060" s="51"/>
      <c r="I1060" s="51"/>
      <c r="J1060" s="49"/>
      <c r="K1060" s="51"/>
      <c r="L1060" s="51"/>
      <c r="M1060" s="52"/>
      <c r="N1060" s="51"/>
      <c r="O1060" s="51"/>
      <c r="P1060" s="25"/>
    </row>
    <row r="1061">
      <c r="A1061" s="25"/>
      <c r="B1061" s="49"/>
      <c r="C1061" s="50"/>
      <c r="D1061" s="50"/>
      <c r="E1061" s="50"/>
      <c r="F1061" s="51"/>
      <c r="G1061" s="51"/>
      <c r="H1061" s="51"/>
      <c r="I1061" s="51"/>
      <c r="J1061" s="49"/>
      <c r="K1061" s="51"/>
      <c r="L1061" s="51"/>
      <c r="M1061" s="52"/>
      <c r="N1061" s="51"/>
      <c r="O1061" s="51"/>
      <c r="P1061" s="25"/>
    </row>
    <row r="1062">
      <c r="A1062" s="25"/>
      <c r="B1062" s="49"/>
      <c r="C1062" s="50"/>
      <c r="D1062" s="50"/>
      <c r="E1062" s="50"/>
      <c r="F1062" s="51"/>
      <c r="G1062" s="51"/>
      <c r="H1062" s="51"/>
      <c r="I1062" s="51"/>
      <c r="J1062" s="49"/>
      <c r="K1062" s="51"/>
      <c r="L1062" s="51"/>
      <c r="M1062" s="52"/>
      <c r="N1062" s="51"/>
      <c r="O1062" s="51"/>
      <c r="P1062" s="25"/>
    </row>
    <row r="1063">
      <c r="A1063" s="25"/>
      <c r="B1063" s="49"/>
      <c r="C1063" s="50"/>
      <c r="D1063" s="50"/>
      <c r="E1063" s="50"/>
      <c r="F1063" s="51"/>
      <c r="G1063" s="51"/>
      <c r="H1063" s="51"/>
      <c r="I1063" s="51"/>
      <c r="J1063" s="49"/>
      <c r="K1063" s="51"/>
      <c r="L1063" s="51"/>
      <c r="M1063" s="52"/>
      <c r="N1063" s="51"/>
      <c r="O1063" s="51"/>
      <c r="P1063" s="25"/>
    </row>
    <row r="1064">
      <c r="A1064" s="25"/>
      <c r="B1064" s="49"/>
      <c r="C1064" s="50"/>
      <c r="D1064" s="50"/>
      <c r="E1064" s="50"/>
      <c r="F1064" s="51"/>
      <c r="G1064" s="51"/>
      <c r="H1064" s="51"/>
      <c r="I1064" s="51"/>
      <c r="J1064" s="49"/>
      <c r="K1064" s="51"/>
      <c r="L1064" s="51"/>
      <c r="M1064" s="52"/>
      <c r="N1064" s="51"/>
      <c r="O1064" s="51"/>
      <c r="P1064" s="25"/>
    </row>
    <row r="1065">
      <c r="A1065" s="25"/>
      <c r="B1065" s="49"/>
      <c r="C1065" s="50"/>
      <c r="D1065" s="50"/>
      <c r="E1065" s="50"/>
      <c r="F1065" s="51"/>
      <c r="G1065" s="51"/>
      <c r="H1065" s="51"/>
      <c r="I1065" s="51"/>
      <c r="J1065" s="49"/>
      <c r="K1065" s="51"/>
      <c r="L1065" s="51"/>
      <c r="M1065" s="52"/>
      <c r="N1065" s="51"/>
      <c r="O1065" s="51"/>
      <c r="P1065" s="25"/>
    </row>
    <row r="1066">
      <c r="A1066" s="25"/>
      <c r="B1066" s="49"/>
      <c r="C1066" s="50"/>
      <c r="D1066" s="50"/>
      <c r="E1066" s="50"/>
      <c r="F1066" s="51"/>
      <c r="G1066" s="51"/>
      <c r="H1066" s="51"/>
      <c r="I1066" s="51"/>
      <c r="J1066" s="49"/>
      <c r="K1066" s="51"/>
      <c r="L1066" s="51"/>
      <c r="M1066" s="52"/>
      <c r="N1066" s="51"/>
      <c r="O1066" s="51"/>
      <c r="P1066" s="25"/>
    </row>
    <row r="1067">
      <c r="A1067" s="25"/>
      <c r="B1067" s="49"/>
      <c r="C1067" s="50"/>
      <c r="D1067" s="50"/>
      <c r="E1067" s="50"/>
      <c r="F1067" s="51"/>
      <c r="G1067" s="51"/>
      <c r="H1067" s="51"/>
      <c r="I1067" s="51"/>
      <c r="J1067" s="49"/>
      <c r="K1067" s="51"/>
      <c r="L1067" s="51"/>
      <c r="M1067" s="52"/>
      <c r="N1067" s="51"/>
      <c r="O1067" s="51"/>
      <c r="P1067" s="25"/>
    </row>
    <row r="1068">
      <c r="A1068" s="25"/>
      <c r="B1068" s="49"/>
      <c r="C1068" s="50"/>
      <c r="D1068" s="50"/>
      <c r="E1068" s="50"/>
      <c r="F1068" s="51"/>
      <c r="G1068" s="51"/>
      <c r="H1068" s="51"/>
      <c r="I1068" s="51"/>
      <c r="J1068" s="49"/>
      <c r="K1068" s="51"/>
      <c r="L1068" s="51"/>
      <c r="M1068" s="52"/>
      <c r="N1068" s="51"/>
      <c r="O1068" s="51"/>
      <c r="P1068" s="25"/>
    </row>
    <row r="1069">
      <c r="A1069" s="25"/>
      <c r="B1069" s="49"/>
      <c r="C1069" s="50"/>
      <c r="D1069" s="50"/>
      <c r="E1069" s="50"/>
      <c r="F1069" s="51"/>
      <c r="G1069" s="51"/>
      <c r="H1069" s="51"/>
      <c r="I1069" s="51"/>
      <c r="J1069" s="49"/>
      <c r="K1069" s="51"/>
      <c r="L1069" s="51"/>
      <c r="M1069" s="52"/>
      <c r="N1069" s="51"/>
      <c r="O1069" s="51"/>
      <c r="P1069" s="25"/>
    </row>
    <row r="1070">
      <c r="A1070" s="25"/>
      <c r="B1070" s="49"/>
      <c r="C1070" s="50"/>
      <c r="D1070" s="50"/>
      <c r="E1070" s="50"/>
      <c r="F1070" s="51"/>
      <c r="G1070" s="51"/>
      <c r="H1070" s="51"/>
      <c r="I1070" s="51"/>
      <c r="J1070" s="49"/>
      <c r="K1070" s="51"/>
      <c r="L1070" s="51"/>
      <c r="M1070" s="52"/>
      <c r="N1070" s="51"/>
      <c r="O1070" s="51"/>
      <c r="P1070" s="25"/>
    </row>
    <row r="1071">
      <c r="A1071" s="25"/>
      <c r="B1071" s="49"/>
      <c r="C1071" s="50"/>
      <c r="D1071" s="50"/>
      <c r="E1071" s="50"/>
      <c r="F1071" s="51"/>
      <c r="G1071" s="51"/>
      <c r="H1071" s="51"/>
      <c r="I1071" s="51"/>
      <c r="J1071" s="49"/>
      <c r="K1071" s="51"/>
      <c r="L1071" s="51"/>
      <c r="M1071" s="52"/>
      <c r="N1071" s="51"/>
      <c r="O1071" s="51"/>
      <c r="P1071" s="25"/>
    </row>
    <row r="1072">
      <c r="A1072" s="25"/>
      <c r="B1072" s="49"/>
      <c r="C1072" s="50"/>
      <c r="D1072" s="50"/>
      <c r="E1072" s="50"/>
      <c r="F1072" s="51"/>
      <c r="G1072" s="51"/>
      <c r="H1072" s="51"/>
      <c r="I1072" s="51"/>
      <c r="J1072" s="49"/>
      <c r="K1072" s="51"/>
      <c r="L1072" s="51"/>
      <c r="M1072" s="52"/>
      <c r="N1072" s="51"/>
      <c r="O1072" s="51"/>
      <c r="P1072" s="25"/>
    </row>
    <row r="1073">
      <c r="A1073" s="25"/>
      <c r="B1073" s="49"/>
      <c r="C1073" s="50"/>
      <c r="D1073" s="50"/>
      <c r="E1073" s="50"/>
      <c r="F1073" s="51"/>
      <c r="G1073" s="51"/>
      <c r="H1073" s="51"/>
      <c r="I1073" s="51"/>
      <c r="J1073" s="49"/>
      <c r="K1073" s="51"/>
      <c r="L1073" s="51"/>
      <c r="M1073" s="52"/>
      <c r="N1073" s="51"/>
      <c r="O1073" s="51"/>
      <c r="P1073" s="25"/>
    </row>
    <row r="1074">
      <c r="A1074" s="25"/>
      <c r="B1074" s="49"/>
      <c r="C1074" s="50"/>
      <c r="D1074" s="50"/>
      <c r="E1074" s="50"/>
      <c r="F1074" s="51"/>
      <c r="G1074" s="51"/>
      <c r="H1074" s="51"/>
      <c r="I1074" s="51"/>
      <c r="J1074" s="49"/>
      <c r="K1074" s="51"/>
      <c r="L1074" s="51"/>
      <c r="M1074" s="52"/>
      <c r="N1074" s="51"/>
      <c r="O1074" s="51"/>
      <c r="P1074" s="25"/>
    </row>
    <row r="1075">
      <c r="A1075" s="25"/>
      <c r="B1075" s="49"/>
      <c r="C1075" s="50"/>
      <c r="D1075" s="50"/>
      <c r="E1075" s="50"/>
      <c r="F1075" s="51"/>
      <c r="G1075" s="51"/>
      <c r="H1075" s="51"/>
      <c r="I1075" s="51"/>
      <c r="J1075" s="49"/>
      <c r="K1075" s="51"/>
      <c r="L1075" s="51"/>
      <c r="M1075" s="52"/>
      <c r="N1075" s="51"/>
      <c r="O1075" s="51"/>
      <c r="P1075" s="25"/>
    </row>
    <row r="1076">
      <c r="A1076" s="25"/>
      <c r="B1076" s="49"/>
      <c r="C1076" s="50"/>
      <c r="D1076" s="50"/>
      <c r="E1076" s="50"/>
      <c r="F1076" s="51"/>
      <c r="G1076" s="51"/>
      <c r="H1076" s="51"/>
      <c r="I1076" s="51"/>
      <c r="J1076" s="49"/>
      <c r="K1076" s="51"/>
      <c r="L1076" s="51"/>
      <c r="M1076" s="52"/>
      <c r="N1076" s="51"/>
      <c r="O1076" s="51"/>
      <c r="P1076" s="25"/>
    </row>
    <row r="1077">
      <c r="A1077" s="25"/>
      <c r="B1077" s="49"/>
      <c r="C1077" s="50"/>
      <c r="D1077" s="50"/>
      <c r="E1077" s="50"/>
      <c r="F1077" s="51"/>
      <c r="G1077" s="51"/>
      <c r="H1077" s="51"/>
      <c r="I1077" s="51"/>
      <c r="J1077" s="49"/>
      <c r="K1077" s="51"/>
      <c r="L1077" s="51"/>
      <c r="M1077" s="52"/>
      <c r="N1077" s="51"/>
      <c r="O1077" s="51"/>
      <c r="P1077" s="25"/>
    </row>
    <row r="1078">
      <c r="A1078" s="25"/>
      <c r="B1078" s="49"/>
      <c r="C1078" s="50"/>
      <c r="D1078" s="50"/>
      <c r="E1078" s="50"/>
      <c r="F1078" s="51"/>
      <c r="G1078" s="51"/>
      <c r="H1078" s="51"/>
      <c r="I1078" s="51"/>
      <c r="J1078" s="49"/>
      <c r="K1078" s="51"/>
      <c r="L1078" s="51"/>
      <c r="M1078" s="52"/>
      <c r="N1078" s="51"/>
      <c r="O1078" s="51"/>
      <c r="P1078" s="25"/>
    </row>
    <row r="1079">
      <c r="A1079" s="25"/>
      <c r="B1079" s="49"/>
      <c r="C1079" s="50"/>
      <c r="D1079" s="50"/>
      <c r="E1079" s="50"/>
      <c r="F1079" s="51"/>
      <c r="G1079" s="51"/>
      <c r="H1079" s="51"/>
      <c r="I1079" s="51"/>
      <c r="J1079" s="49"/>
      <c r="K1079" s="51"/>
      <c r="L1079" s="51"/>
      <c r="M1079" s="52"/>
      <c r="N1079" s="51"/>
      <c r="O1079" s="51"/>
      <c r="P1079" s="25"/>
    </row>
    <row r="1080">
      <c r="A1080" s="25"/>
      <c r="B1080" s="49"/>
      <c r="C1080" s="50"/>
      <c r="D1080" s="50"/>
      <c r="E1080" s="50"/>
      <c r="F1080" s="51"/>
      <c r="G1080" s="51"/>
      <c r="H1080" s="51"/>
      <c r="I1080" s="51"/>
      <c r="J1080" s="49"/>
      <c r="K1080" s="51"/>
      <c r="L1080" s="51"/>
      <c r="M1080" s="52"/>
      <c r="N1080" s="51"/>
      <c r="O1080" s="51"/>
      <c r="P1080" s="25"/>
    </row>
    <row r="1081">
      <c r="A1081" s="25"/>
      <c r="B1081" s="49"/>
      <c r="C1081" s="50"/>
      <c r="D1081" s="50"/>
      <c r="E1081" s="50"/>
      <c r="F1081" s="51"/>
      <c r="G1081" s="51"/>
      <c r="H1081" s="51"/>
      <c r="I1081" s="51"/>
      <c r="J1081" s="49"/>
      <c r="K1081" s="51"/>
      <c r="L1081" s="51"/>
      <c r="M1081" s="52"/>
      <c r="N1081" s="51"/>
      <c r="O1081" s="51"/>
      <c r="P1081" s="25"/>
    </row>
    <row r="1082">
      <c r="A1082" s="25"/>
      <c r="B1082" s="49"/>
      <c r="C1082" s="50"/>
      <c r="D1082" s="50"/>
      <c r="E1082" s="50"/>
      <c r="F1082" s="51"/>
      <c r="G1082" s="51"/>
      <c r="H1082" s="51"/>
      <c r="I1082" s="51"/>
      <c r="J1082" s="49"/>
      <c r="K1082" s="51"/>
      <c r="L1082" s="51"/>
      <c r="M1082" s="52"/>
      <c r="N1082" s="51"/>
      <c r="O1082" s="51"/>
      <c r="P1082" s="25"/>
    </row>
    <row r="1083">
      <c r="A1083" s="25"/>
      <c r="B1083" s="49"/>
      <c r="C1083" s="50"/>
      <c r="D1083" s="50"/>
      <c r="E1083" s="50"/>
      <c r="F1083" s="51"/>
      <c r="G1083" s="51"/>
      <c r="H1083" s="51"/>
      <c r="I1083" s="51"/>
      <c r="J1083" s="49"/>
      <c r="K1083" s="51"/>
      <c r="L1083" s="51"/>
      <c r="M1083" s="52"/>
      <c r="N1083" s="51"/>
      <c r="O1083" s="51"/>
      <c r="P1083" s="25"/>
    </row>
    <row r="1084">
      <c r="A1084" s="25"/>
      <c r="B1084" s="49"/>
      <c r="C1084" s="50"/>
      <c r="D1084" s="50"/>
      <c r="E1084" s="50"/>
      <c r="F1084" s="51"/>
      <c r="G1084" s="51"/>
      <c r="H1084" s="51"/>
      <c r="I1084" s="51"/>
      <c r="J1084" s="49"/>
      <c r="K1084" s="51"/>
      <c r="L1084" s="51"/>
      <c r="M1084" s="52"/>
      <c r="N1084" s="51"/>
      <c r="O1084" s="51"/>
      <c r="P1084" s="25"/>
    </row>
    <row r="1085">
      <c r="A1085" s="25"/>
      <c r="B1085" s="49"/>
      <c r="C1085" s="50"/>
      <c r="D1085" s="50"/>
      <c r="E1085" s="50"/>
      <c r="F1085" s="51"/>
      <c r="G1085" s="51"/>
      <c r="H1085" s="51"/>
      <c r="I1085" s="51"/>
      <c r="J1085" s="49"/>
      <c r="K1085" s="51"/>
      <c r="L1085" s="51"/>
      <c r="M1085" s="52"/>
      <c r="N1085" s="51"/>
      <c r="O1085" s="51"/>
      <c r="P1085" s="25"/>
    </row>
    <row r="1086">
      <c r="A1086" s="25"/>
      <c r="B1086" s="49"/>
      <c r="C1086" s="50"/>
      <c r="D1086" s="50"/>
      <c r="E1086" s="50"/>
      <c r="F1086" s="51"/>
      <c r="G1086" s="51"/>
      <c r="H1086" s="51"/>
      <c r="I1086" s="51"/>
      <c r="J1086" s="49"/>
      <c r="K1086" s="51"/>
      <c r="L1086" s="51"/>
      <c r="M1086" s="52"/>
      <c r="N1086" s="51"/>
      <c r="O1086" s="51"/>
      <c r="P1086" s="25"/>
    </row>
    <row r="1087">
      <c r="A1087" s="25"/>
      <c r="B1087" s="49"/>
      <c r="C1087" s="50"/>
      <c r="D1087" s="50"/>
      <c r="E1087" s="50"/>
      <c r="F1087" s="51"/>
      <c r="G1087" s="51"/>
      <c r="H1087" s="51"/>
      <c r="I1087" s="51"/>
      <c r="J1087" s="49"/>
      <c r="K1087" s="51"/>
      <c r="L1087" s="51"/>
      <c r="M1087" s="52"/>
      <c r="N1087" s="51"/>
      <c r="O1087" s="51"/>
      <c r="P1087" s="25"/>
    </row>
    <row r="1088">
      <c r="A1088" s="25"/>
      <c r="B1088" s="49"/>
      <c r="C1088" s="50"/>
      <c r="D1088" s="50"/>
      <c r="E1088" s="50"/>
      <c r="F1088" s="51"/>
      <c r="G1088" s="51"/>
      <c r="H1088" s="51"/>
      <c r="I1088" s="51"/>
      <c r="J1088" s="49"/>
      <c r="K1088" s="51"/>
      <c r="L1088" s="51"/>
      <c r="M1088" s="52"/>
      <c r="N1088" s="51"/>
      <c r="O1088" s="51"/>
      <c r="P1088" s="25"/>
    </row>
    <row r="1089">
      <c r="A1089" s="25"/>
      <c r="B1089" s="49"/>
      <c r="C1089" s="50"/>
      <c r="D1089" s="50"/>
      <c r="E1089" s="50"/>
      <c r="F1089" s="51"/>
      <c r="G1089" s="51"/>
      <c r="H1089" s="51"/>
      <c r="I1089" s="51"/>
      <c r="J1089" s="49"/>
      <c r="K1089" s="51"/>
      <c r="L1089" s="51"/>
      <c r="M1089" s="52"/>
      <c r="N1089" s="51"/>
      <c r="O1089" s="51"/>
      <c r="P1089" s="25"/>
    </row>
    <row r="1090">
      <c r="A1090" s="25"/>
      <c r="B1090" s="49"/>
      <c r="C1090" s="50"/>
      <c r="D1090" s="50"/>
      <c r="E1090" s="50"/>
      <c r="F1090" s="51"/>
      <c r="G1090" s="51"/>
      <c r="H1090" s="51"/>
      <c r="I1090" s="51"/>
      <c r="J1090" s="49"/>
      <c r="K1090" s="51"/>
      <c r="L1090" s="51"/>
      <c r="M1090" s="52"/>
      <c r="N1090" s="51"/>
      <c r="O1090" s="51"/>
      <c r="P1090" s="25"/>
    </row>
    <row r="1091">
      <c r="A1091" s="25"/>
      <c r="B1091" s="49"/>
      <c r="C1091" s="50"/>
      <c r="D1091" s="50"/>
      <c r="E1091" s="50"/>
      <c r="F1091" s="51"/>
      <c r="G1091" s="51"/>
      <c r="H1091" s="51"/>
      <c r="I1091" s="51"/>
      <c r="J1091" s="49"/>
      <c r="K1091" s="51"/>
      <c r="L1091" s="51"/>
      <c r="M1091" s="52"/>
      <c r="N1091" s="51"/>
      <c r="O1091" s="51"/>
      <c r="P1091" s="25"/>
    </row>
    <row r="1092">
      <c r="A1092" s="25"/>
      <c r="B1092" s="49"/>
      <c r="C1092" s="50"/>
      <c r="D1092" s="50"/>
      <c r="E1092" s="50"/>
      <c r="F1092" s="51"/>
      <c r="G1092" s="51"/>
      <c r="H1092" s="51"/>
      <c r="I1092" s="51"/>
      <c r="J1092" s="49"/>
      <c r="K1092" s="51"/>
      <c r="L1092" s="51"/>
      <c r="M1092" s="52"/>
      <c r="N1092" s="51"/>
      <c r="O1092" s="51"/>
      <c r="P1092" s="25"/>
    </row>
    <row r="1093">
      <c r="A1093" s="25"/>
      <c r="B1093" s="49"/>
      <c r="C1093" s="50"/>
      <c r="D1093" s="50"/>
      <c r="E1093" s="50"/>
      <c r="F1093" s="51"/>
      <c r="G1093" s="51"/>
      <c r="H1093" s="51"/>
      <c r="I1093" s="51"/>
      <c r="J1093" s="49"/>
      <c r="K1093" s="51"/>
      <c r="L1093" s="51"/>
      <c r="M1093" s="52"/>
      <c r="N1093" s="51"/>
      <c r="O1093" s="51"/>
      <c r="P1093" s="25"/>
    </row>
    <row r="1094">
      <c r="A1094" s="25"/>
      <c r="B1094" s="49"/>
      <c r="C1094" s="50"/>
      <c r="D1094" s="50"/>
      <c r="E1094" s="50"/>
      <c r="F1094" s="51"/>
      <c r="G1094" s="51"/>
      <c r="H1094" s="51"/>
      <c r="I1094" s="51"/>
      <c r="J1094" s="49"/>
      <c r="K1094" s="51"/>
      <c r="L1094" s="51"/>
      <c r="M1094" s="52"/>
      <c r="N1094" s="51"/>
      <c r="O1094" s="51"/>
      <c r="P1094" s="25"/>
    </row>
    <row r="1095">
      <c r="A1095" s="25"/>
      <c r="B1095" s="49"/>
      <c r="C1095" s="50"/>
      <c r="D1095" s="50"/>
      <c r="E1095" s="50"/>
      <c r="F1095" s="51"/>
      <c r="G1095" s="51"/>
      <c r="H1095" s="51"/>
      <c r="I1095" s="51"/>
      <c r="J1095" s="49"/>
      <c r="K1095" s="51"/>
      <c r="L1095" s="51"/>
      <c r="M1095" s="52"/>
      <c r="N1095" s="51"/>
      <c r="O1095" s="51"/>
      <c r="P1095" s="25"/>
    </row>
    <row r="1096">
      <c r="A1096" s="25"/>
      <c r="B1096" s="49"/>
      <c r="C1096" s="50"/>
      <c r="D1096" s="50"/>
      <c r="E1096" s="50"/>
      <c r="F1096" s="51"/>
      <c r="G1096" s="51"/>
      <c r="H1096" s="51"/>
      <c r="I1096" s="51"/>
      <c r="J1096" s="49"/>
      <c r="K1096" s="51"/>
      <c r="L1096" s="51"/>
      <c r="M1096" s="52"/>
      <c r="N1096" s="51"/>
      <c r="O1096" s="51"/>
      <c r="P1096" s="25"/>
    </row>
    <row r="1097">
      <c r="A1097" s="25"/>
      <c r="B1097" s="49"/>
      <c r="C1097" s="50"/>
      <c r="D1097" s="50"/>
      <c r="E1097" s="50"/>
      <c r="F1097" s="51"/>
      <c r="G1097" s="51"/>
      <c r="H1097" s="51"/>
      <c r="I1097" s="51"/>
      <c r="J1097" s="49"/>
      <c r="K1097" s="51"/>
      <c r="L1097" s="51"/>
      <c r="M1097" s="52"/>
      <c r="N1097" s="51"/>
      <c r="O1097" s="51"/>
      <c r="P1097" s="25"/>
    </row>
    <row r="1098">
      <c r="A1098" s="25"/>
      <c r="B1098" s="49"/>
      <c r="C1098" s="50"/>
      <c r="D1098" s="50"/>
      <c r="E1098" s="50"/>
      <c r="F1098" s="51"/>
      <c r="G1098" s="51"/>
      <c r="H1098" s="51"/>
      <c r="I1098" s="51"/>
      <c r="J1098" s="49"/>
      <c r="K1098" s="51"/>
      <c r="L1098" s="51"/>
      <c r="M1098" s="52"/>
      <c r="N1098" s="51"/>
      <c r="O1098" s="51"/>
      <c r="P1098" s="25"/>
    </row>
    <row r="1099">
      <c r="A1099" s="25"/>
      <c r="B1099" s="49"/>
      <c r="C1099" s="50"/>
      <c r="D1099" s="50"/>
      <c r="E1099" s="50"/>
      <c r="F1099" s="51"/>
      <c r="G1099" s="51"/>
      <c r="H1099" s="51"/>
      <c r="I1099" s="51"/>
      <c r="J1099" s="49"/>
      <c r="K1099" s="51"/>
      <c r="L1099" s="51"/>
      <c r="M1099" s="52"/>
      <c r="N1099" s="51"/>
      <c r="O1099" s="51"/>
      <c r="P1099" s="25"/>
    </row>
    <row r="1100">
      <c r="A1100" s="25"/>
      <c r="B1100" s="49"/>
      <c r="C1100" s="50"/>
      <c r="D1100" s="50"/>
      <c r="E1100" s="50"/>
      <c r="F1100" s="51"/>
      <c r="G1100" s="51"/>
      <c r="H1100" s="51"/>
      <c r="I1100" s="51"/>
      <c r="J1100" s="49"/>
      <c r="K1100" s="51"/>
      <c r="L1100" s="51"/>
      <c r="M1100" s="52"/>
      <c r="N1100" s="51"/>
      <c r="O1100" s="51"/>
      <c r="P1100" s="25"/>
    </row>
    <row r="1101">
      <c r="A1101" s="25"/>
      <c r="B1101" s="49"/>
      <c r="C1101" s="50"/>
      <c r="D1101" s="50"/>
      <c r="E1101" s="50"/>
      <c r="F1101" s="51"/>
      <c r="G1101" s="51"/>
      <c r="H1101" s="51"/>
      <c r="I1101" s="51"/>
      <c r="J1101" s="49"/>
      <c r="K1101" s="51"/>
      <c r="L1101" s="51"/>
      <c r="M1101" s="52"/>
      <c r="N1101" s="51"/>
      <c r="O1101" s="51"/>
      <c r="P1101" s="25"/>
    </row>
    <row r="1102">
      <c r="A1102" s="25"/>
      <c r="B1102" s="49"/>
      <c r="C1102" s="50"/>
      <c r="D1102" s="50"/>
      <c r="E1102" s="50"/>
      <c r="F1102" s="51"/>
      <c r="G1102" s="51"/>
      <c r="H1102" s="51"/>
      <c r="I1102" s="51"/>
      <c r="J1102" s="49"/>
      <c r="K1102" s="51"/>
      <c r="L1102" s="51"/>
      <c r="M1102" s="52"/>
      <c r="N1102" s="51"/>
      <c r="O1102" s="51"/>
      <c r="P1102" s="25"/>
    </row>
    <row r="1103">
      <c r="A1103" s="25"/>
      <c r="B1103" s="49"/>
      <c r="C1103" s="50"/>
      <c r="D1103" s="50"/>
      <c r="E1103" s="50"/>
      <c r="F1103" s="51"/>
      <c r="G1103" s="51"/>
      <c r="H1103" s="51"/>
      <c r="I1103" s="51"/>
      <c r="J1103" s="49"/>
      <c r="K1103" s="51"/>
      <c r="L1103" s="51"/>
      <c r="M1103" s="52"/>
      <c r="N1103" s="51"/>
      <c r="O1103" s="51"/>
      <c r="P1103" s="25"/>
    </row>
    <row r="1104">
      <c r="A1104" s="25"/>
      <c r="B1104" s="49"/>
      <c r="C1104" s="50"/>
      <c r="D1104" s="50"/>
      <c r="E1104" s="50"/>
      <c r="F1104" s="51"/>
      <c r="G1104" s="51"/>
      <c r="H1104" s="51"/>
      <c r="I1104" s="51"/>
      <c r="J1104" s="49"/>
      <c r="K1104" s="51"/>
      <c r="L1104" s="51"/>
      <c r="M1104" s="52"/>
      <c r="N1104" s="51"/>
      <c r="O1104" s="51"/>
      <c r="P1104" s="25"/>
    </row>
    <row r="1105">
      <c r="A1105" s="25"/>
      <c r="B1105" s="49"/>
      <c r="C1105" s="50"/>
      <c r="D1105" s="50"/>
      <c r="E1105" s="50"/>
      <c r="F1105" s="51"/>
      <c r="G1105" s="51"/>
      <c r="H1105" s="51"/>
      <c r="I1105" s="51"/>
      <c r="J1105" s="49"/>
      <c r="K1105" s="51"/>
      <c r="L1105" s="51"/>
      <c r="M1105" s="52"/>
      <c r="N1105" s="51"/>
      <c r="O1105" s="51"/>
      <c r="P1105" s="25"/>
    </row>
    <row r="1106">
      <c r="A1106" s="25"/>
      <c r="B1106" s="49"/>
      <c r="C1106" s="50"/>
      <c r="D1106" s="50"/>
      <c r="E1106" s="50"/>
      <c r="F1106" s="51"/>
      <c r="G1106" s="51"/>
      <c r="H1106" s="51"/>
      <c r="I1106" s="51"/>
      <c r="J1106" s="49"/>
      <c r="K1106" s="51"/>
      <c r="L1106" s="51"/>
      <c r="M1106" s="52"/>
      <c r="N1106" s="51"/>
      <c r="O1106" s="51"/>
      <c r="P1106" s="25"/>
    </row>
    <row r="1107">
      <c r="A1107" s="25"/>
      <c r="B1107" s="49"/>
      <c r="C1107" s="50"/>
      <c r="D1107" s="50"/>
      <c r="E1107" s="50"/>
      <c r="F1107" s="51"/>
      <c r="G1107" s="51"/>
      <c r="H1107" s="51"/>
      <c r="I1107" s="51"/>
      <c r="J1107" s="49"/>
      <c r="K1107" s="51"/>
      <c r="L1107" s="51"/>
      <c r="M1107" s="52"/>
      <c r="N1107" s="51"/>
      <c r="O1107" s="51"/>
      <c r="P1107" s="25"/>
    </row>
    <row r="1108">
      <c r="A1108" s="25"/>
      <c r="B1108" s="49"/>
      <c r="C1108" s="50"/>
      <c r="D1108" s="50"/>
      <c r="E1108" s="50"/>
      <c r="F1108" s="51"/>
      <c r="G1108" s="51"/>
      <c r="H1108" s="51"/>
      <c r="I1108" s="51"/>
      <c r="J1108" s="49"/>
      <c r="K1108" s="51"/>
      <c r="L1108" s="51"/>
      <c r="M1108" s="52"/>
      <c r="N1108" s="51"/>
      <c r="O1108" s="51"/>
      <c r="P1108" s="25"/>
    </row>
    <row r="1109">
      <c r="A1109" s="25"/>
      <c r="B1109" s="49"/>
      <c r="C1109" s="50"/>
      <c r="D1109" s="50"/>
      <c r="E1109" s="50"/>
      <c r="F1109" s="51"/>
      <c r="G1109" s="51"/>
      <c r="H1109" s="51"/>
      <c r="I1109" s="51"/>
      <c r="J1109" s="49"/>
      <c r="K1109" s="51"/>
      <c r="L1109" s="51"/>
      <c r="M1109" s="52"/>
      <c r="N1109" s="51"/>
      <c r="O1109" s="51"/>
      <c r="P1109" s="25"/>
    </row>
    <row r="1110">
      <c r="A1110" s="25"/>
      <c r="B1110" s="49"/>
      <c r="C1110" s="50"/>
      <c r="D1110" s="50"/>
      <c r="E1110" s="50"/>
      <c r="F1110" s="51"/>
      <c r="G1110" s="51"/>
      <c r="H1110" s="51"/>
      <c r="I1110" s="51"/>
      <c r="J1110" s="49"/>
      <c r="K1110" s="51"/>
      <c r="L1110" s="51"/>
      <c r="M1110" s="52"/>
      <c r="N1110" s="51"/>
      <c r="O1110" s="51"/>
      <c r="P1110" s="25"/>
    </row>
    <row r="1111">
      <c r="A1111" s="25"/>
      <c r="B1111" s="49"/>
      <c r="C1111" s="50"/>
      <c r="D1111" s="50"/>
      <c r="E1111" s="50"/>
      <c r="F1111" s="51"/>
      <c r="G1111" s="51"/>
      <c r="H1111" s="51"/>
      <c r="I1111" s="51"/>
      <c r="J1111" s="49"/>
      <c r="K1111" s="51"/>
      <c r="L1111" s="51"/>
      <c r="M1111" s="52"/>
      <c r="N1111" s="51"/>
      <c r="O1111" s="51"/>
      <c r="P1111" s="25"/>
    </row>
    <row r="1112">
      <c r="A1112" s="25"/>
      <c r="B1112" s="49"/>
      <c r="C1112" s="50"/>
      <c r="D1112" s="50"/>
      <c r="E1112" s="50"/>
      <c r="F1112" s="51"/>
      <c r="G1112" s="51"/>
      <c r="H1112" s="51"/>
      <c r="I1112" s="51"/>
      <c r="J1112" s="49"/>
      <c r="K1112" s="51"/>
      <c r="L1112" s="51"/>
      <c r="M1112" s="52"/>
      <c r="N1112" s="51"/>
      <c r="O1112" s="51"/>
      <c r="P1112" s="25"/>
    </row>
    <row r="1113">
      <c r="A1113" s="25"/>
      <c r="B1113" s="49"/>
      <c r="C1113" s="50"/>
      <c r="D1113" s="50"/>
      <c r="E1113" s="50"/>
      <c r="F1113" s="51"/>
      <c r="G1113" s="51"/>
      <c r="H1113" s="51"/>
      <c r="I1113" s="51"/>
      <c r="J1113" s="49"/>
      <c r="K1113" s="51"/>
      <c r="L1113" s="51"/>
      <c r="M1113" s="52"/>
      <c r="N1113" s="51"/>
      <c r="O1113" s="51"/>
      <c r="P1113" s="25"/>
    </row>
    <row r="1114">
      <c r="A1114" s="25"/>
      <c r="B1114" s="49"/>
      <c r="C1114" s="50"/>
      <c r="D1114" s="50"/>
      <c r="E1114" s="50"/>
      <c r="F1114" s="51"/>
      <c r="G1114" s="51"/>
      <c r="H1114" s="51"/>
      <c r="I1114" s="51"/>
      <c r="J1114" s="49"/>
      <c r="K1114" s="51"/>
      <c r="L1114" s="51"/>
      <c r="M1114" s="52"/>
      <c r="N1114" s="51"/>
      <c r="O1114" s="51"/>
      <c r="P1114" s="25"/>
    </row>
    <row r="1115">
      <c r="A1115" s="25"/>
      <c r="B1115" s="49"/>
      <c r="C1115" s="50"/>
      <c r="D1115" s="50"/>
      <c r="E1115" s="50"/>
      <c r="F1115" s="51"/>
      <c r="G1115" s="51"/>
      <c r="H1115" s="51"/>
      <c r="I1115" s="51"/>
      <c r="J1115" s="49"/>
      <c r="K1115" s="51"/>
      <c r="L1115" s="51"/>
      <c r="M1115" s="52"/>
      <c r="N1115" s="51"/>
      <c r="O1115" s="51"/>
      <c r="P1115" s="25"/>
    </row>
    <row r="1116">
      <c r="A1116" s="25"/>
      <c r="B1116" s="49"/>
      <c r="C1116" s="50"/>
      <c r="D1116" s="50"/>
      <c r="E1116" s="50"/>
      <c r="F1116" s="51"/>
      <c r="G1116" s="51"/>
      <c r="H1116" s="51"/>
      <c r="I1116" s="51"/>
      <c r="J1116" s="49"/>
      <c r="K1116" s="51"/>
      <c r="L1116" s="51"/>
      <c r="M1116" s="52"/>
      <c r="N1116" s="51"/>
      <c r="O1116" s="51"/>
      <c r="P1116" s="25"/>
    </row>
    <row r="1117">
      <c r="A1117" s="25"/>
      <c r="B1117" s="49"/>
      <c r="C1117" s="50"/>
      <c r="D1117" s="50"/>
      <c r="E1117" s="50"/>
      <c r="F1117" s="51"/>
      <c r="G1117" s="51"/>
      <c r="H1117" s="51"/>
      <c r="I1117" s="51"/>
      <c r="J1117" s="49"/>
      <c r="K1117" s="51"/>
      <c r="L1117" s="51"/>
      <c r="M1117" s="52"/>
      <c r="N1117" s="51"/>
      <c r="O1117" s="51"/>
      <c r="P1117" s="25"/>
    </row>
    <row r="1118">
      <c r="A1118" s="25"/>
      <c r="B1118" s="49"/>
      <c r="C1118" s="50"/>
      <c r="D1118" s="50"/>
      <c r="E1118" s="50"/>
      <c r="F1118" s="51"/>
      <c r="G1118" s="51"/>
      <c r="H1118" s="51"/>
      <c r="I1118" s="51"/>
      <c r="J1118" s="49"/>
      <c r="K1118" s="51"/>
      <c r="L1118" s="51"/>
      <c r="M1118" s="52"/>
      <c r="N1118" s="51"/>
      <c r="O1118" s="51"/>
      <c r="P1118" s="25"/>
    </row>
    <row r="1119">
      <c r="A1119" s="25"/>
      <c r="B1119" s="49"/>
      <c r="C1119" s="50"/>
      <c r="D1119" s="50"/>
      <c r="E1119" s="50"/>
      <c r="F1119" s="51"/>
      <c r="G1119" s="51"/>
      <c r="H1119" s="51"/>
      <c r="I1119" s="51"/>
      <c r="J1119" s="49"/>
      <c r="K1119" s="51"/>
      <c r="L1119" s="51"/>
      <c r="M1119" s="52"/>
      <c r="N1119" s="51"/>
      <c r="O1119" s="51"/>
      <c r="P1119" s="25"/>
    </row>
    <row r="1120">
      <c r="A1120" s="25"/>
      <c r="B1120" s="49"/>
      <c r="C1120" s="50"/>
      <c r="D1120" s="50"/>
      <c r="E1120" s="50"/>
      <c r="F1120" s="51"/>
      <c r="G1120" s="51"/>
      <c r="H1120" s="51"/>
      <c r="I1120" s="51"/>
      <c r="J1120" s="49"/>
      <c r="K1120" s="51"/>
      <c r="L1120" s="51"/>
      <c r="M1120" s="52"/>
      <c r="N1120" s="51"/>
      <c r="O1120" s="51"/>
      <c r="P1120" s="25"/>
    </row>
    <row r="1121">
      <c r="A1121" s="25"/>
      <c r="B1121" s="49"/>
      <c r="C1121" s="50"/>
      <c r="D1121" s="50"/>
      <c r="E1121" s="50"/>
      <c r="F1121" s="51"/>
      <c r="G1121" s="51"/>
      <c r="H1121" s="51"/>
      <c r="I1121" s="51"/>
      <c r="J1121" s="49"/>
      <c r="K1121" s="51"/>
      <c r="L1121" s="51"/>
      <c r="M1121" s="52"/>
      <c r="N1121" s="51"/>
      <c r="O1121" s="51"/>
      <c r="P1121" s="25"/>
    </row>
    <row r="1122">
      <c r="A1122" s="25"/>
      <c r="B1122" s="49"/>
      <c r="C1122" s="50"/>
      <c r="D1122" s="50"/>
      <c r="E1122" s="50"/>
      <c r="F1122" s="51"/>
      <c r="G1122" s="51"/>
      <c r="H1122" s="51"/>
      <c r="I1122" s="51"/>
      <c r="J1122" s="49"/>
      <c r="K1122" s="51"/>
      <c r="L1122" s="51"/>
      <c r="M1122" s="52"/>
      <c r="N1122" s="51"/>
      <c r="O1122" s="51"/>
      <c r="P1122" s="25"/>
    </row>
    <row r="1123">
      <c r="A1123" s="25"/>
      <c r="B1123" s="49"/>
      <c r="C1123" s="50"/>
      <c r="D1123" s="50"/>
      <c r="E1123" s="50"/>
      <c r="F1123" s="51"/>
      <c r="G1123" s="51"/>
      <c r="H1123" s="51"/>
      <c r="I1123" s="51"/>
      <c r="J1123" s="49"/>
      <c r="K1123" s="51"/>
      <c r="L1123" s="51"/>
      <c r="M1123" s="52"/>
      <c r="N1123" s="51"/>
      <c r="O1123" s="51"/>
      <c r="P1123" s="25"/>
    </row>
    <row r="1124">
      <c r="A1124" s="25"/>
      <c r="B1124" s="49"/>
      <c r="C1124" s="50"/>
      <c r="D1124" s="50"/>
      <c r="E1124" s="50"/>
      <c r="F1124" s="51"/>
      <c r="G1124" s="51"/>
      <c r="H1124" s="51"/>
      <c r="I1124" s="51"/>
      <c r="J1124" s="49"/>
      <c r="K1124" s="51"/>
      <c r="L1124" s="51"/>
      <c r="M1124" s="52"/>
      <c r="N1124" s="51"/>
      <c r="O1124" s="51"/>
      <c r="P1124" s="25"/>
    </row>
    <row r="1125">
      <c r="A1125" s="25"/>
      <c r="B1125" s="49"/>
      <c r="C1125" s="50"/>
      <c r="D1125" s="50"/>
      <c r="E1125" s="50"/>
      <c r="F1125" s="51"/>
      <c r="G1125" s="51"/>
      <c r="H1125" s="51"/>
      <c r="I1125" s="51"/>
      <c r="J1125" s="49"/>
      <c r="K1125" s="51"/>
      <c r="L1125" s="51"/>
      <c r="M1125" s="52"/>
      <c r="N1125" s="51"/>
      <c r="O1125" s="51"/>
      <c r="P1125" s="25"/>
    </row>
    <row r="1126">
      <c r="A1126" s="25"/>
      <c r="B1126" s="49"/>
      <c r="C1126" s="50"/>
      <c r="D1126" s="50"/>
      <c r="E1126" s="50"/>
      <c r="F1126" s="51"/>
      <c r="G1126" s="51"/>
      <c r="H1126" s="51"/>
      <c r="I1126" s="51"/>
      <c r="J1126" s="49"/>
      <c r="K1126" s="51"/>
      <c r="L1126" s="51"/>
      <c r="M1126" s="52"/>
      <c r="N1126" s="51"/>
      <c r="O1126" s="51"/>
      <c r="P1126" s="25"/>
    </row>
    <row r="1127">
      <c r="A1127" s="25"/>
      <c r="B1127" s="49"/>
      <c r="C1127" s="50"/>
      <c r="D1127" s="50"/>
      <c r="E1127" s="50"/>
      <c r="F1127" s="51"/>
      <c r="G1127" s="51"/>
      <c r="H1127" s="51"/>
      <c r="I1127" s="51"/>
      <c r="J1127" s="49"/>
      <c r="K1127" s="51"/>
      <c r="L1127" s="51"/>
      <c r="M1127" s="52"/>
      <c r="N1127" s="51"/>
      <c r="O1127" s="51"/>
      <c r="P1127" s="25"/>
    </row>
    <row r="1128">
      <c r="A1128" s="25"/>
      <c r="B1128" s="49"/>
      <c r="C1128" s="50"/>
      <c r="D1128" s="50"/>
      <c r="E1128" s="50"/>
      <c r="F1128" s="51"/>
      <c r="G1128" s="51"/>
      <c r="H1128" s="51"/>
      <c r="I1128" s="51"/>
      <c r="J1128" s="49"/>
      <c r="K1128" s="51"/>
      <c r="L1128" s="51"/>
      <c r="M1128" s="52"/>
      <c r="N1128" s="51"/>
      <c r="O1128" s="51"/>
      <c r="P1128" s="25"/>
    </row>
    <row r="1129">
      <c r="A1129" s="25"/>
      <c r="B1129" s="49"/>
      <c r="C1129" s="50"/>
      <c r="D1129" s="50"/>
      <c r="E1129" s="50"/>
      <c r="F1129" s="51"/>
      <c r="G1129" s="51"/>
      <c r="H1129" s="51"/>
      <c r="I1129" s="51"/>
      <c r="J1129" s="49"/>
      <c r="K1129" s="51"/>
      <c r="L1129" s="51"/>
      <c r="M1129" s="52"/>
      <c r="N1129" s="51"/>
      <c r="O1129" s="51"/>
      <c r="P1129" s="25"/>
    </row>
    <row r="1130">
      <c r="A1130" s="25"/>
      <c r="B1130" s="49"/>
      <c r="C1130" s="50"/>
      <c r="D1130" s="50"/>
      <c r="E1130" s="50"/>
      <c r="F1130" s="51"/>
      <c r="G1130" s="51"/>
      <c r="H1130" s="51"/>
      <c r="I1130" s="51"/>
      <c r="J1130" s="49"/>
      <c r="K1130" s="51"/>
      <c r="L1130" s="51"/>
      <c r="M1130" s="52"/>
      <c r="N1130" s="51"/>
      <c r="O1130" s="51"/>
      <c r="P1130" s="25"/>
    </row>
    <row r="1131">
      <c r="A1131" s="25"/>
      <c r="B1131" s="49"/>
      <c r="C1131" s="50"/>
      <c r="D1131" s="50"/>
      <c r="E1131" s="50"/>
      <c r="F1131" s="51"/>
      <c r="G1131" s="51"/>
      <c r="H1131" s="51"/>
      <c r="I1131" s="51"/>
      <c r="J1131" s="49"/>
      <c r="K1131" s="51"/>
      <c r="L1131" s="51"/>
      <c r="M1131" s="52"/>
      <c r="N1131" s="51"/>
      <c r="O1131" s="51"/>
      <c r="P1131" s="25"/>
    </row>
    <row r="1132">
      <c r="A1132" s="25"/>
      <c r="B1132" s="49"/>
      <c r="C1132" s="50"/>
      <c r="D1132" s="50"/>
      <c r="E1132" s="50"/>
      <c r="F1132" s="51"/>
      <c r="G1132" s="51"/>
      <c r="H1132" s="51"/>
      <c r="I1132" s="51"/>
      <c r="J1132" s="49"/>
      <c r="K1132" s="51"/>
      <c r="L1132" s="51"/>
      <c r="M1132" s="52"/>
      <c r="N1132" s="51"/>
      <c r="O1132" s="51"/>
      <c r="P1132" s="25"/>
    </row>
    <row r="1133">
      <c r="A1133" s="25"/>
      <c r="B1133" s="49"/>
      <c r="C1133" s="50"/>
      <c r="D1133" s="50"/>
      <c r="E1133" s="50"/>
      <c r="F1133" s="51"/>
      <c r="G1133" s="51"/>
      <c r="H1133" s="51"/>
      <c r="I1133" s="51"/>
      <c r="J1133" s="49"/>
      <c r="K1133" s="51"/>
      <c r="L1133" s="51"/>
      <c r="M1133" s="52"/>
      <c r="N1133" s="51"/>
      <c r="O1133" s="51"/>
      <c r="P1133" s="25"/>
    </row>
    <row r="1134">
      <c r="A1134" s="25"/>
      <c r="B1134" s="49"/>
      <c r="C1134" s="50"/>
      <c r="D1134" s="50"/>
      <c r="E1134" s="50"/>
      <c r="F1134" s="51"/>
      <c r="G1134" s="51"/>
      <c r="H1134" s="51"/>
      <c r="I1134" s="51"/>
      <c r="J1134" s="49"/>
      <c r="K1134" s="51"/>
      <c r="L1134" s="51"/>
      <c r="M1134" s="52"/>
      <c r="N1134" s="51"/>
      <c r="O1134" s="51"/>
      <c r="P1134" s="25"/>
    </row>
    <row r="1135">
      <c r="A1135" s="25"/>
      <c r="B1135" s="49"/>
      <c r="C1135" s="50"/>
      <c r="D1135" s="50"/>
      <c r="E1135" s="50"/>
      <c r="F1135" s="51"/>
      <c r="G1135" s="51"/>
      <c r="H1135" s="51"/>
      <c r="I1135" s="51"/>
      <c r="J1135" s="49"/>
      <c r="K1135" s="51"/>
      <c r="L1135" s="51"/>
      <c r="M1135" s="52"/>
      <c r="N1135" s="51"/>
      <c r="O1135" s="51"/>
      <c r="P1135" s="25"/>
    </row>
    <row r="1136">
      <c r="A1136" s="25"/>
      <c r="B1136" s="49"/>
      <c r="C1136" s="50"/>
      <c r="D1136" s="50"/>
      <c r="E1136" s="50"/>
      <c r="F1136" s="51"/>
      <c r="G1136" s="51"/>
      <c r="H1136" s="51"/>
      <c r="I1136" s="51"/>
      <c r="J1136" s="49"/>
      <c r="K1136" s="51"/>
      <c r="L1136" s="51"/>
      <c r="M1136" s="52"/>
      <c r="N1136" s="51"/>
      <c r="O1136" s="51"/>
      <c r="P1136" s="25"/>
    </row>
    <row r="1137">
      <c r="A1137" s="25"/>
      <c r="B1137" s="49"/>
      <c r="C1137" s="50"/>
      <c r="D1137" s="50"/>
      <c r="E1137" s="50"/>
      <c r="F1137" s="51"/>
      <c r="G1137" s="51"/>
      <c r="H1137" s="51"/>
      <c r="I1137" s="51"/>
      <c r="J1137" s="49"/>
      <c r="K1137" s="51"/>
      <c r="L1137" s="51"/>
      <c r="M1137" s="52"/>
      <c r="N1137" s="51"/>
      <c r="O1137" s="51"/>
      <c r="P1137" s="25"/>
    </row>
    <row r="1138">
      <c r="A1138" s="25"/>
      <c r="B1138" s="49"/>
      <c r="C1138" s="50"/>
      <c r="D1138" s="50"/>
      <c r="E1138" s="50"/>
      <c r="F1138" s="51"/>
      <c r="G1138" s="51"/>
      <c r="H1138" s="51"/>
      <c r="I1138" s="51"/>
      <c r="J1138" s="49"/>
      <c r="K1138" s="51"/>
      <c r="L1138" s="51"/>
      <c r="M1138" s="52"/>
      <c r="N1138" s="51"/>
      <c r="O1138" s="51"/>
      <c r="P1138" s="25"/>
    </row>
    <row r="1139">
      <c r="A1139" s="25"/>
      <c r="B1139" s="49"/>
      <c r="C1139" s="50"/>
      <c r="D1139" s="50"/>
      <c r="E1139" s="50"/>
      <c r="F1139" s="51"/>
      <c r="G1139" s="51"/>
      <c r="H1139" s="51"/>
      <c r="I1139" s="51"/>
      <c r="J1139" s="49"/>
      <c r="K1139" s="51"/>
      <c r="L1139" s="51"/>
      <c r="M1139" s="52"/>
      <c r="N1139" s="51"/>
      <c r="O1139" s="51"/>
      <c r="P1139" s="25"/>
    </row>
    <row r="1140">
      <c r="A1140" s="25"/>
      <c r="B1140" s="49"/>
      <c r="C1140" s="50"/>
      <c r="D1140" s="50"/>
      <c r="E1140" s="50"/>
      <c r="F1140" s="51"/>
      <c r="G1140" s="51"/>
      <c r="H1140" s="51"/>
      <c r="I1140" s="51"/>
      <c r="J1140" s="49"/>
      <c r="K1140" s="51"/>
      <c r="L1140" s="51"/>
      <c r="M1140" s="52"/>
      <c r="N1140" s="51"/>
      <c r="O1140" s="51"/>
      <c r="P1140" s="25"/>
    </row>
    <row r="1141">
      <c r="A1141" s="25"/>
      <c r="B1141" s="49"/>
      <c r="C1141" s="50"/>
      <c r="D1141" s="50"/>
      <c r="E1141" s="50"/>
      <c r="F1141" s="51"/>
      <c r="G1141" s="51"/>
      <c r="H1141" s="51"/>
      <c r="I1141" s="51"/>
      <c r="J1141" s="49"/>
      <c r="K1141" s="51"/>
      <c r="L1141" s="51"/>
      <c r="M1141" s="52"/>
      <c r="N1141" s="51"/>
      <c r="O1141" s="51"/>
      <c r="P1141" s="25"/>
    </row>
    <row r="1142">
      <c r="A1142" s="25"/>
      <c r="B1142" s="49"/>
      <c r="C1142" s="50"/>
      <c r="D1142" s="50"/>
      <c r="E1142" s="50"/>
      <c r="F1142" s="51"/>
      <c r="G1142" s="51"/>
      <c r="H1142" s="51"/>
      <c r="I1142" s="51"/>
      <c r="J1142" s="49"/>
      <c r="K1142" s="51"/>
      <c r="L1142" s="51"/>
      <c r="M1142" s="52"/>
      <c r="N1142" s="51"/>
      <c r="O1142" s="51"/>
      <c r="P1142" s="25"/>
    </row>
    <row r="1143">
      <c r="A1143" s="25"/>
      <c r="B1143" s="49"/>
      <c r="C1143" s="50"/>
      <c r="D1143" s="50"/>
      <c r="E1143" s="50"/>
      <c r="F1143" s="51"/>
      <c r="G1143" s="51"/>
      <c r="H1143" s="51"/>
      <c r="I1143" s="51"/>
      <c r="J1143" s="49"/>
      <c r="K1143" s="51"/>
      <c r="L1143" s="51"/>
      <c r="M1143" s="52"/>
      <c r="N1143" s="51"/>
      <c r="O1143" s="51"/>
      <c r="P1143" s="25"/>
    </row>
    <row r="1144">
      <c r="A1144" s="25"/>
      <c r="B1144" s="49"/>
      <c r="C1144" s="50"/>
      <c r="D1144" s="50"/>
      <c r="E1144" s="50"/>
      <c r="F1144" s="51"/>
      <c r="G1144" s="51"/>
      <c r="H1144" s="51"/>
      <c r="I1144" s="51"/>
      <c r="J1144" s="49"/>
      <c r="K1144" s="51"/>
      <c r="L1144" s="51"/>
      <c r="M1144" s="52"/>
      <c r="N1144" s="51"/>
      <c r="O1144" s="51"/>
      <c r="P1144" s="25"/>
    </row>
    <row r="1145">
      <c r="A1145" s="25"/>
      <c r="B1145" s="49"/>
      <c r="C1145" s="50"/>
      <c r="D1145" s="50"/>
      <c r="E1145" s="50"/>
      <c r="F1145" s="51"/>
      <c r="G1145" s="51"/>
      <c r="H1145" s="51"/>
      <c r="I1145" s="51"/>
      <c r="J1145" s="49"/>
      <c r="K1145" s="51"/>
      <c r="L1145" s="51"/>
      <c r="M1145" s="52"/>
      <c r="N1145" s="51"/>
      <c r="O1145" s="51"/>
      <c r="P1145" s="25"/>
    </row>
    <row r="1146">
      <c r="A1146" s="25"/>
      <c r="B1146" s="49"/>
      <c r="C1146" s="50"/>
      <c r="D1146" s="50"/>
      <c r="E1146" s="50"/>
      <c r="F1146" s="51"/>
      <c r="G1146" s="51"/>
      <c r="H1146" s="51"/>
      <c r="I1146" s="51"/>
      <c r="J1146" s="49"/>
      <c r="K1146" s="51"/>
      <c r="L1146" s="51"/>
      <c r="M1146" s="52"/>
      <c r="N1146" s="51"/>
      <c r="O1146" s="51"/>
      <c r="P1146" s="25"/>
    </row>
    <row r="1147">
      <c r="A1147" s="25"/>
      <c r="B1147" s="49"/>
      <c r="C1147" s="50"/>
      <c r="D1147" s="50"/>
      <c r="E1147" s="50"/>
      <c r="F1147" s="51"/>
      <c r="G1147" s="51"/>
      <c r="H1147" s="51"/>
      <c r="I1147" s="51"/>
      <c r="J1147" s="49"/>
      <c r="K1147" s="51"/>
      <c r="L1147" s="51"/>
      <c r="M1147" s="52"/>
      <c r="N1147" s="51"/>
      <c r="O1147" s="51"/>
      <c r="P1147" s="25"/>
    </row>
    <row r="1148">
      <c r="A1148" s="25"/>
      <c r="B1148" s="49"/>
      <c r="C1148" s="50"/>
      <c r="D1148" s="50"/>
      <c r="E1148" s="50"/>
      <c r="F1148" s="51"/>
      <c r="G1148" s="51"/>
      <c r="H1148" s="51"/>
      <c r="I1148" s="51"/>
      <c r="J1148" s="49"/>
      <c r="K1148" s="51"/>
      <c r="L1148" s="51"/>
      <c r="M1148" s="52"/>
      <c r="N1148" s="51"/>
      <c r="O1148" s="51"/>
      <c r="P1148" s="25"/>
    </row>
    <row r="1149">
      <c r="A1149" s="25"/>
      <c r="B1149" s="49"/>
      <c r="C1149" s="50"/>
      <c r="D1149" s="50"/>
      <c r="E1149" s="50"/>
      <c r="F1149" s="51"/>
      <c r="G1149" s="51"/>
      <c r="H1149" s="51"/>
      <c r="I1149" s="51"/>
      <c r="J1149" s="49"/>
      <c r="K1149" s="51"/>
      <c r="L1149" s="51"/>
      <c r="M1149" s="52"/>
      <c r="N1149" s="51"/>
      <c r="O1149" s="51"/>
      <c r="P1149" s="25"/>
    </row>
    <row r="1150">
      <c r="A1150" s="25"/>
      <c r="B1150" s="49"/>
      <c r="C1150" s="50"/>
      <c r="D1150" s="50"/>
      <c r="E1150" s="50"/>
      <c r="F1150" s="51"/>
      <c r="G1150" s="51"/>
      <c r="H1150" s="51"/>
      <c r="I1150" s="51"/>
      <c r="J1150" s="49"/>
      <c r="K1150" s="51"/>
      <c r="L1150" s="51"/>
      <c r="M1150" s="52"/>
      <c r="N1150" s="51"/>
      <c r="O1150" s="51"/>
      <c r="P1150" s="25"/>
    </row>
    <row r="1151">
      <c r="A1151" s="25"/>
      <c r="B1151" s="49"/>
      <c r="C1151" s="50"/>
      <c r="D1151" s="50"/>
      <c r="E1151" s="50"/>
      <c r="F1151" s="51"/>
      <c r="G1151" s="51"/>
      <c r="H1151" s="51"/>
      <c r="I1151" s="51"/>
      <c r="J1151" s="49"/>
      <c r="K1151" s="51"/>
      <c r="L1151" s="51"/>
      <c r="M1151" s="52"/>
      <c r="N1151" s="51"/>
      <c r="O1151" s="51"/>
      <c r="P1151" s="25"/>
    </row>
    <row r="1152">
      <c r="A1152" s="25"/>
      <c r="B1152" s="49"/>
      <c r="C1152" s="50"/>
      <c r="D1152" s="50"/>
      <c r="E1152" s="50"/>
      <c r="F1152" s="51"/>
      <c r="G1152" s="51"/>
      <c r="H1152" s="51"/>
      <c r="I1152" s="51"/>
      <c r="J1152" s="49"/>
      <c r="K1152" s="51"/>
      <c r="L1152" s="51"/>
      <c r="M1152" s="52"/>
      <c r="N1152" s="51"/>
      <c r="O1152" s="51"/>
      <c r="P1152" s="25"/>
    </row>
    <row r="1153">
      <c r="A1153" s="25"/>
      <c r="B1153" s="49"/>
      <c r="C1153" s="50"/>
      <c r="D1153" s="50"/>
      <c r="E1153" s="50"/>
      <c r="F1153" s="51"/>
      <c r="G1153" s="51"/>
      <c r="H1153" s="51"/>
      <c r="I1153" s="51"/>
      <c r="J1153" s="49"/>
      <c r="K1153" s="51"/>
      <c r="L1153" s="51"/>
      <c r="M1153" s="52"/>
      <c r="N1153" s="51"/>
      <c r="O1153" s="51"/>
      <c r="P1153" s="25"/>
    </row>
    <row r="1154">
      <c r="A1154" s="25"/>
      <c r="B1154" s="49"/>
      <c r="C1154" s="50"/>
      <c r="D1154" s="50"/>
      <c r="E1154" s="50"/>
      <c r="F1154" s="51"/>
      <c r="G1154" s="51"/>
      <c r="H1154" s="51"/>
      <c r="I1154" s="51"/>
      <c r="J1154" s="49"/>
      <c r="K1154" s="51"/>
      <c r="L1154" s="51"/>
      <c r="M1154" s="52"/>
      <c r="N1154" s="51"/>
      <c r="O1154" s="51"/>
      <c r="P1154" s="25"/>
    </row>
    <row r="1155">
      <c r="A1155" s="25"/>
      <c r="B1155" s="49"/>
      <c r="C1155" s="50"/>
      <c r="D1155" s="50"/>
      <c r="E1155" s="50"/>
      <c r="F1155" s="51"/>
      <c r="G1155" s="51"/>
      <c r="H1155" s="51"/>
      <c r="I1155" s="51"/>
      <c r="J1155" s="49"/>
      <c r="K1155" s="51"/>
      <c r="L1155" s="51"/>
      <c r="M1155" s="52"/>
      <c r="N1155" s="51"/>
      <c r="O1155" s="51"/>
      <c r="P1155" s="25"/>
    </row>
    <row r="1156">
      <c r="A1156" s="25"/>
      <c r="B1156" s="49"/>
      <c r="C1156" s="50"/>
      <c r="D1156" s="50"/>
      <c r="E1156" s="50"/>
      <c r="F1156" s="51"/>
      <c r="G1156" s="51"/>
      <c r="H1156" s="51"/>
      <c r="I1156" s="51"/>
      <c r="J1156" s="49"/>
      <c r="K1156" s="51"/>
      <c r="L1156" s="51"/>
      <c r="M1156" s="52"/>
      <c r="N1156" s="51"/>
      <c r="O1156" s="51"/>
      <c r="P1156" s="25"/>
    </row>
    <row r="1157">
      <c r="A1157" s="25"/>
      <c r="B1157" s="49"/>
      <c r="C1157" s="50"/>
      <c r="D1157" s="50"/>
      <c r="E1157" s="50"/>
      <c r="F1157" s="51"/>
      <c r="G1157" s="51"/>
      <c r="H1157" s="51"/>
      <c r="I1157" s="51"/>
      <c r="J1157" s="49"/>
      <c r="K1157" s="51"/>
      <c r="L1157" s="51"/>
      <c r="M1157" s="52"/>
      <c r="N1157" s="51"/>
      <c r="O1157" s="51"/>
      <c r="P1157" s="25"/>
    </row>
    <row r="1158">
      <c r="A1158" s="25"/>
      <c r="B1158" s="49"/>
      <c r="C1158" s="50"/>
      <c r="D1158" s="50"/>
      <c r="E1158" s="50"/>
      <c r="F1158" s="51"/>
      <c r="G1158" s="51"/>
      <c r="H1158" s="51"/>
      <c r="I1158" s="51"/>
      <c r="J1158" s="49"/>
      <c r="K1158" s="51"/>
      <c r="L1158" s="51"/>
      <c r="M1158" s="52"/>
      <c r="N1158" s="51"/>
      <c r="O1158" s="51"/>
      <c r="P1158" s="25"/>
    </row>
    <row r="1159">
      <c r="A1159" s="25"/>
      <c r="B1159" s="49"/>
      <c r="C1159" s="50"/>
      <c r="D1159" s="50"/>
      <c r="E1159" s="50"/>
      <c r="F1159" s="51"/>
      <c r="G1159" s="51"/>
      <c r="H1159" s="51"/>
      <c r="I1159" s="51"/>
      <c r="J1159" s="49"/>
      <c r="K1159" s="51"/>
      <c r="L1159" s="51"/>
      <c r="M1159" s="52"/>
      <c r="N1159" s="51"/>
      <c r="O1159" s="51"/>
      <c r="P1159" s="25"/>
    </row>
    <row r="1160">
      <c r="A1160" s="25"/>
      <c r="B1160" s="49"/>
      <c r="C1160" s="50"/>
      <c r="D1160" s="50"/>
      <c r="E1160" s="50"/>
      <c r="F1160" s="51"/>
      <c r="G1160" s="51"/>
      <c r="H1160" s="51"/>
      <c r="I1160" s="51"/>
      <c r="J1160" s="49"/>
      <c r="K1160" s="51"/>
      <c r="L1160" s="51"/>
      <c r="M1160" s="52"/>
      <c r="N1160" s="51"/>
      <c r="O1160" s="51"/>
      <c r="P1160" s="25"/>
    </row>
    <row r="1161">
      <c r="A1161" s="25"/>
      <c r="B1161" s="49"/>
      <c r="C1161" s="50"/>
      <c r="D1161" s="50"/>
      <c r="E1161" s="50"/>
      <c r="F1161" s="51"/>
      <c r="G1161" s="51"/>
      <c r="H1161" s="51"/>
      <c r="I1161" s="51"/>
      <c r="J1161" s="49"/>
      <c r="K1161" s="51"/>
      <c r="L1161" s="51"/>
      <c r="M1161" s="52"/>
      <c r="N1161" s="51"/>
      <c r="O1161" s="51"/>
      <c r="P1161" s="25"/>
    </row>
    <row r="1162">
      <c r="A1162" s="25"/>
      <c r="B1162" s="49"/>
      <c r="C1162" s="50"/>
      <c r="D1162" s="50"/>
      <c r="E1162" s="50"/>
      <c r="F1162" s="51"/>
      <c r="G1162" s="51"/>
      <c r="H1162" s="51"/>
      <c r="I1162" s="51"/>
      <c r="J1162" s="49"/>
      <c r="K1162" s="51"/>
      <c r="L1162" s="51"/>
      <c r="M1162" s="52"/>
      <c r="N1162" s="51"/>
      <c r="O1162" s="51"/>
      <c r="P1162" s="25"/>
    </row>
    <row r="1163">
      <c r="A1163" s="25"/>
      <c r="B1163" s="49"/>
      <c r="C1163" s="50"/>
      <c r="D1163" s="50"/>
      <c r="E1163" s="50"/>
      <c r="F1163" s="51"/>
      <c r="G1163" s="51"/>
      <c r="H1163" s="51"/>
      <c r="I1163" s="51"/>
      <c r="J1163" s="49"/>
      <c r="K1163" s="51"/>
      <c r="L1163" s="51"/>
      <c r="M1163" s="52"/>
      <c r="N1163" s="51"/>
      <c r="O1163" s="51"/>
      <c r="P1163" s="25"/>
    </row>
    <row r="1164">
      <c r="A1164" s="25"/>
      <c r="B1164" s="49"/>
      <c r="C1164" s="50"/>
      <c r="D1164" s="50"/>
      <c r="E1164" s="50"/>
      <c r="F1164" s="51"/>
      <c r="G1164" s="51"/>
      <c r="H1164" s="51"/>
      <c r="I1164" s="51"/>
      <c r="J1164" s="49"/>
      <c r="K1164" s="51"/>
      <c r="L1164" s="51"/>
      <c r="M1164" s="52"/>
      <c r="N1164" s="51"/>
      <c r="O1164" s="51"/>
      <c r="P1164" s="25"/>
    </row>
    <row r="1165">
      <c r="A1165" s="25"/>
      <c r="B1165" s="49"/>
      <c r="C1165" s="50"/>
      <c r="D1165" s="50"/>
      <c r="E1165" s="50"/>
      <c r="F1165" s="51"/>
      <c r="G1165" s="51"/>
      <c r="H1165" s="51"/>
      <c r="I1165" s="51"/>
      <c r="J1165" s="49"/>
      <c r="K1165" s="51"/>
      <c r="L1165" s="51"/>
      <c r="M1165" s="52"/>
      <c r="N1165" s="51"/>
      <c r="O1165" s="51"/>
      <c r="P1165" s="25"/>
    </row>
    <row r="1166">
      <c r="A1166" s="25"/>
      <c r="B1166" s="49"/>
      <c r="C1166" s="50"/>
      <c r="D1166" s="50"/>
      <c r="E1166" s="50"/>
      <c r="F1166" s="51"/>
      <c r="G1166" s="51"/>
      <c r="H1166" s="51"/>
      <c r="I1166" s="51"/>
      <c r="J1166" s="49"/>
      <c r="K1166" s="51"/>
      <c r="L1166" s="51"/>
      <c r="M1166" s="52"/>
      <c r="N1166" s="51"/>
      <c r="O1166" s="51"/>
      <c r="P1166" s="25"/>
    </row>
    <row r="1167">
      <c r="A1167" s="25"/>
      <c r="B1167" s="49"/>
      <c r="C1167" s="50"/>
      <c r="D1167" s="50"/>
      <c r="E1167" s="50"/>
      <c r="F1167" s="51"/>
      <c r="G1167" s="51"/>
      <c r="H1167" s="51"/>
      <c r="I1167" s="51"/>
      <c r="J1167" s="49"/>
      <c r="K1167" s="51"/>
      <c r="L1167" s="51"/>
      <c r="M1167" s="52"/>
      <c r="N1167" s="51"/>
      <c r="O1167" s="51"/>
      <c r="P1167" s="25"/>
    </row>
    <row r="1168">
      <c r="A1168" s="25"/>
      <c r="B1168" s="49"/>
      <c r="C1168" s="50"/>
      <c r="D1168" s="50"/>
      <c r="E1168" s="50"/>
      <c r="F1168" s="51"/>
      <c r="G1168" s="51"/>
      <c r="H1168" s="51"/>
      <c r="I1168" s="51"/>
      <c r="J1168" s="49"/>
      <c r="K1168" s="51"/>
      <c r="L1168" s="51"/>
      <c r="M1168" s="52"/>
      <c r="N1168" s="51"/>
      <c r="O1168" s="51"/>
      <c r="P1168" s="25"/>
    </row>
    <row r="1169">
      <c r="A1169" s="25"/>
      <c r="B1169" s="49"/>
      <c r="C1169" s="50"/>
      <c r="D1169" s="50"/>
      <c r="E1169" s="50"/>
      <c r="F1169" s="51"/>
      <c r="G1169" s="51"/>
      <c r="H1169" s="51"/>
      <c r="I1169" s="51"/>
      <c r="J1169" s="49"/>
      <c r="K1169" s="51"/>
      <c r="L1169" s="51"/>
      <c r="M1169" s="52"/>
      <c r="N1169" s="51"/>
      <c r="O1169" s="51"/>
      <c r="P1169" s="25"/>
    </row>
    <row r="1170">
      <c r="A1170" s="25"/>
      <c r="B1170" s="49"/>
      <c r="C1170" s="50"/>
      <c r="D1170" s="50"/>
      <c r="E1170" s="50"/>
      <c r="F1170" s="51"/>
      <c r="G1170" s="51"/>
      <c r="H1170" s="51"/>
      <c r="I1170" s="51"/>
      <c r="J1170" s="49"/>
      <c r="K1170" s="51"/>
      <c r="L1170" s="51"/>
      <c r="M1170" s="52"/>
      <c r="N1170" s="51"/>
      <c r="O1170" s="51"/>
      <c r="P1170" s="25"/>
    </row>
    <row r="1171">
      <c r="A1171" s="25"/>
      <c r="B1171" s="49"/>
      <c r="C1171" s="50"/>
      <c r="D1171" s="50"/>
      <c r="E1171" s="50"/>
      <c r="F1171" s="51"/>
      <c r="G1171" s="51"/>
      <c r="H1171" s="51"/>
      <c r="I1171" s="51"/>
      <c r="J1171" s="49"/>
      <c r="K1171" s="51"/>
      <c r="L1171" s="51"/>
      <c r="M1171" s="52"/>
      <c r="N1171" s="51"/>
      <c r="O1171" s="51"/>
      <c r="P1171" s="25"/>
    </row>
    <row r="1172">
      <c r="A1172" s="25"/>
      <c r="B1172" s="49"/>
      <c r="C1172" s="50"/>
      <c r="D1172" s="50"/>
      <c r="E1172" s="50"/>
      <c r="F1172" s="51"/>
      <c r="G1172" s="51"/>
      <c r="H1172" s="51"/>
      <c r="I1172" s="51"/>
      <c r="J1172" s="49"/>
      <c r="K1172" s="51"/>
      <c r="L1172" s="51"/>
      <c r="M1172" s="52"/>
      <c r="N1172" s="51"/>
      <c r="O1172" s="51"/>
      <c r="P1172" s="25"/>
    </row>
    <row r="1173">
      <c r="A1173" s="25"/>
      <c r="B1173" s="49"/>
      <c r="C1173" s="50"/>
      <c r="D1173" s="50"/>
      <c r="E1173" s="50"/>
      <c r="F1173" s="51"/>
      <c r="G1173" s="51"/>
      <c r="H1173" s="51"/>
      <c r="I1173" s="51"/>
      <c r="J1173" s="49"/>
      <c r="K1173" s="51"/>
      <c r="L1173" s="51"/>
      <c r="M1173" s="52"/>
      <c r="N1173" s="51"/>
      <c r="O1173" s="51"/>
      <c r="P1173" s="25"/>
    </row>
    <row r="1174">
      <c r="A1174" s="25"/>
      <c r="B1174" s="49"/>
      <c r="C1174" s="50"/>
      <c r="D1174" s="50"/>
      <c r="E1174" s="50"/>
      <c r="F1174" s="51"/>
      <c r="G1174" s="51"/>
      <c r="H1174" s="51"/>
      <c r="I1174" s="51"/>
      <c r="J1174" s="49"/>
      <c r="K1174" s="51"/>
      <c r="L1174" s="51"/>
      <c r="M1174" s="52"/>
      <c r="N1174" s="51"/>
      <c r="O1174" s="51"/>
      <c r="P1174" s="25"/>
    </row>
    <row r="1175">
      <c r="A1175" s="25"/>
      <c r="B1175" s="49"/>
      <c r="C1175" s="50"/>
      <c r="D1175" s="50"/>
      <c r="E1175" s="50"/>
      <c r="F1175" s="51"/>
      <c r="G1175" s="51"/>
      <c r="H1175" s="51"/>
      <c r="I1175" s="51"/>
      <c r="J1175" s="49"/>
      <c r="K1175" s="51"/>
      <c r="L1175" s="51"/>
      <c r="M1175" s="52"/>
      <c r="N1175" s="51"/>
      <c r="O1175" s="51"/>
      <c r="P1175" s="25"/>
    </row>
    <row r="1176">
      <c r="A1176" s="25"/>
      <c r="B1176" s="49"/>
      <c r="C1176" s="50"/>
      <c r="D1176" s="50"/>
      <c r="E1176" s="50"/>
      <c r="F1176" s="51"/>
      <c r="G1176" s="51"/>
      <c r="H1176" s="51"/>
      <c r="I1176" s="51"/>
      <c r="J1176" s="49"/>
      <c r="K1176" s="51"/>
      <c r="L1176" s="51"/>
      <c r="M1176" s="52"/>
      <c r="N1176" s="51"/>
      <c r="O1176" s="51"/>
      <c r="P1176" s="25"/>
    </row>
    <row r="1177">
      <c r="A1177" s="25"/>
      <c r="B1177" s="49"/>
      <c r="C1177" s="50"/>
      <c r="D1177" s="50"/>
      <c r="E1177" s="50"/>
      <c r="F1177" s="51"/>
      <c r="G1177" s="51"/>
      <c r="H1177" s="51"/>
      <c r="I1177" s="51"/>
      <c r="J1177" s="49"/>
      <c r="K1177" s="51"/>
      <c r="L1177" s="51"/>
      <c r="M1177" s="52"/>
      <c r="N1177" s="51"/>
      <c r="O1177" s="51"/>
      <c r="P1177" s="25"/>
    </row>
    <row r="1178">
      <c r="A1178" s="25"/>
      <c r="B1178" s="49"/>
      <c r="C1178" s="50"/>
      <c r="D1178" s="50"/>
      <c r="E1178" s="50"/>
      <c r="F1178" s="51"/>
      <c r="G1178" s="51"/>
      <c r="H1178" s="51"/>
      <c r="I1178" s="51"/>
      <c r="J1178" s="49"/>
      <c r="K1178" s="51"/>
      <c r="L1178" s="51"/>
      <c r="M1178" s="52"/>
      <c r="N1178" s="51"/>
      <c r="O1178" s="51"/>
      <c r="P1178" s="25"/>
    </row>
    <row r="1179">
      <c r="A1179" s="25"/>
      <c r="B1179" s="49"/>
      <c r="C1179" s="50"/>
      <c r="D1179" s="50"/>
      <c r="E1179" s="50"/>
      <c r="F1179" s="51"/>
      <c r="G1179" s="51"/>
      <c r="H1179" s="51"/>
      <c r="I1179" s="51"/>
      <c r="J1179" s="49"/>
      <c r="K1179" s="51"/>
      <c r="L1179" s="51"/>
      <c r="M1179" s="52"/>
      <c r="N1179" s="51"/>
      <c r="O1179" s="51"/>
      <c r="P1179" s="25"/>
    </row>
    <row r="1180">
      <c r="A1180" s="25"/>
      <c r="B1180" s="49"/>
      <c r="C1180" s="50"/>
      <c r="D1180" s="50"/>
      <c r="E1180" s="50"/>
      <c r="F1180" s="51"/>
      <c r="G1180" s="51"/>
      <c r="H1180" s="51"/>
      <c r="I1180" s="51"/>
      <c r="J1180" s="49"/>
      <c r="K1180" s="51"/>
      <c r="L1180" s="51"/>
      <c r="M1180" s="52"/>
      <c r="N1180" s="51"/>
      <c r="O1180" s="51"/>
      <c r="P1180" s="25"/>
    </row>
    <row r="1181">
      <c r="A1181" s="25"/>
      <c r="B1181" s="49"/>
      <c r="C1181" s="50"/>
      <c r="D1181" s="50"/>
      <c r="E1181" s="50"/>
      <c r="F1181" s="51"/>
      <c r="G1181" s="51"/>
      <c r="H1181" s="51"/>
      <c r="I1181" s="51"/>
      <c r="J1181" s="49"/>
      <c r="K1181" s="51"/>
      <c r="L1181" s="51"/>
      <c r="M1181" s="52"/>
      <c r="N1181" s="51"/>
      <c r="O1181" s="51"/>
      <c r="P1181" s="25"/>
    </row>
    <row r="1182">
      <c r="A1182" s="25"/>
      <c r="B1182" s="49"/>
      <c r="C1182" s="50"/>
      <c r="D1182" s="50"/>
      <c r="E1182" s="50"/>
      <c r="F1182" s="51"/>
      <c r="G1182" s="51"/>
      <c r="H1182" s="51"/>
      <c r="I1182" s="51"/>
      <c r="J1182" s="49"/>
      <c r="K1182" s="51"/>
      <c r="L1182" s="51"/>
      <c r="M1182" s="52"/>
      <c r="N1182" s="51"/>
      <c r="O1182" s="51"/>
      <c r="P1182" s="25"/>
    </row>
    <row r="1183">
      <c r="A1183" s="25"/>
      <c r="B1183" s="49"/>
      <c r="C1183" s="50"/>
      <c r="D1183" s="50"/>
      <c r="E1183" s="50"/>
      <c r="F1183" s="51"/>
      <c r="G1183" s="51"/>
      <c r="H1183" s="51"/>
      <c r="I1183" s="51"/>
      <c r="J1183" s="49"/>
      <c r="K1183" s="51"/>
      <c r="L1183" s="51"/>
      <c r="M1183" s="52"/>
      <c r="N1183" s="51"/>
      <c r="O1183" s="51"/>
      <c r="P1183" s="25"/>
    </row>
    <row r="1184">
      <c r="A1184" s="25"/>
      <c r="B1184" s="49"/>
      <c r="C1184" s="50"/>
      <c r="D1184" s="50"/>
      <c r="E1184" s="50"/>
      <c r="F1184" s="51"/>
      <c r="G1184" s="51"/>
      <c r="H1184" s="51"/>
      <c r="I1184" s="51"/>
      <c r="J1184" s="49"/>
      <c r="K1184" s="51"/>
      <c r="L1184" s="51"/>
      <c r="M1184" s="52"/>
      <c r="N1184" s="51"/>
      <c r="O1184" s="51"/>
      <c r="P1184" s="25"/>
    </row>
    <row r="1185">
      <c r="A1185" s="25"/>
      <c r="B1185" s="49"/>
      <c r="C1185" s="50"/>
      <c r="D1185" s="50"/>
      <c r="E1185" s="50"/>
      <c r="F1185" s="51"/>
      <c r="G1185" s="51"/>
      <c r="H1185" s="51"/>
      <c r="I1185" s="51"/>
      <c r="J1185" s="49"/>
      <c r="K1185" s="51"/>
      <c r="L1185" s="51"/>
      <c r="M1185" s="52"/>
      <c r="N1185" s="51"/>
      <c r="O1185" s="51"/>
      <c r="P1185" s="25"/>
    </row>
    <row r="1186">
      <c r="A1186" s="25"/>
      <c r="B1186" s="49"/>
      <c r="C1186" s="50"/>
      <c r="D1186" s="50"/>
      <c r="E1186" s="50"/>
      <c r="F1186" s="51"/>
      <c r="G1186" s="51"/>
      <c r="H1186" s="51"/>
      <c r="I1186" s="51"/>
      <c r="J1186" s="49"/>
      <c r="K1186" s="51"/>
      <c r="L1186" s="51"/>
      <c r="M1186" s="52"/>
      <c r="N1186" s="51"/>
      <c r="O1186" s="51"/>
      <c r="P1186" s="25"/>
    </row>
    <row r="1187">
      <c r="A1187" s="25"/>
      <c r="B1187" s="49"/>
      <c r="C1187" s="50"/>
      <c r="D1187" s="50"/>
      <c r="E1187" s="50"/>
      <c r="F1187" s="51"/>
      <c r="G1187" s="51"/>
      <c r="H1187" s="51"/>
      <c r="I1187" s="51"/>
      <c r="J1187" s="49"/>
      <c r="K1187" s="51"/>
      <c r="L1187" s="51"/>
      <c r="M1187" s="52"/>
      <c r="N1187" s="51"/>
      <c r="O1187" s="51"/>
      <c r="P1187" s="25"/>
    </row>
    <row r="1188">
      <c r="A1188" s="25"/>
      <c r="B1188" s="49"/>
      <c r="C1188" s="50"/>
      <c r="D1188" s="50"/>
      <c r="E1188" s="50"/>
      <c r="F1188" s="51"/>
      <c r="G1188" s="51"/>
      <c r="H1188" s="51"/>
      <c r="I1188" s="51"/>
      <c r="J1188" s="49"/>
      <c r="K1188" s="51"/>
      <c r="L1188" s="51"/>
      <c r="M1188" s="52"/>
      <c r="N1188" s="51"/>
      <c r="O1188" s="51"/>
      <c r="P1188" s="25"/>
    </row>
    <row r="1189">
      <c r="A1189" s="25"/>
      <c r="B1189" s="49"/>
      <c r="C1189" s="50"/>
      <c r="D1189" s="50"/>
      <c r="E1189" s="50"/>
      <c r="F1189" s="51"/>
      <c r="G1189" s="51"/>
      <c r="H1189" s="51"/>
      <c r="I1189" s="51"/>
      <c r="J1189" s="49"/>
      <c r="K1189" s="51"/>
      <c r="L1189" s="51"/>
      <c r="M1189" s="52"/>
      <c r="N1189" s="51"/>
      <c r="O1189" s="51"/>
      <c r="P1189" s="25"/>
    </row>
    <row r="1190">
      <c r="A1190" s="25"/>
      <c r="B1190" s="49"/>
      <c r="C1190" s="50"/>
      <c r="D1190" s="50"/>
      <c r="E1190" s="50"/>
      <c r="F1190" s="51"/>
      <c r="G1190" s="51"/>
      <c r="H1190" s="51"/>
      <c r="I1190" s="51"/>
      <c r="J1190" s="49"/>
      <c r="K1190" s="51"/>
      <c r="L1190" s="51"/>
      <c r="M1190" s="52"/>
      <c r="N1190" s="51"/>
      <c r="O1190" s="51"/>
      <c r="P1190" s="25"/>
    </row>
    <row r="1191">
      <c r="A1191" s="25"/>
      <c r="B1191" s="49"/>
      <c r="C1191" s="50"/>
      <c r="D1191" s="50"/>
      <c r="E1191" s="50"/>
      <c r="F1191" s="51"/>
      <c r="G1191" s="51"/>
      <c r="H1191" s="51"/>
      <c r="I1191" s="51"/>
      <c r="J1191" s="49"/>
      <c r="K1191" s="51"/>
      <c r="L1191" s="51"/>
      <c r="M1191" s="52"/>
      <c r="N1191" s="51"/>
      <c r="O1191" s="51"/>
      <c r="P1191" s="25"/>
    </row>
    <row r="1192">
      <c r="A1192" s="25"/>
      <c r="B1192" s="49"/>
      <c r="C1192" s="50"/>
      <c r="D1192" s="50"/>
      <c r="E1192" s="50"/>
      <c r="F1192" s="51"/>
      <c r="G1192" s="51"/>
      <c r="H1192" s="51"/>
      <c r="I1192" s="51"/>
      <c r="J1192" s="49"/>
      <c r="K1192" s="51"/>
      <c r="L1192" s="51"/>
      <c r="M1192" s="52"/>
      <c r="N1192" s="51"/>
      <c r="O1192" s="51"/>
      <c r="P1192" s="25"/>
    </row>
    <row r="1193">
      <c r="A1193" s="25"/>
      <c r="B1193" s="49"/>
      <c r="C1193" s="50"/>
      <c r="D1193" s="50"/>
      <c r="E1193" s="50"/>
      <c r="F1193" s="51"/>
      <c r="G1193" s="51"/>
      <c r="H1193" s="51"/>
      <c r="I1193" s="51"/>
      <c r="J1193" s="49"/>
      <c r="K1193" s="51"/>
      <c r="L1193" s="51"/>
      <c r="M1193" s="52"/>
      <c r="N1193" s="51"/>
      <c r="O1193" s="51"/>
      <c r="P1193" s="25"/>
    </row>
    <row r="1194">
      <c r="A1194" s="25"/>
      <c r="B1194" s="49"/>
      <c r="C1194" s="50"/>
      <c r="D1194" s="50"/>
      <c r="E1194" s="50"/>
      <c r="F1194" s="51"/>
      <c r="G1194" s="51"/>
      <c r="H1194" s="51"/>
      <c r="I1194" s="51"/>
      <c r="J1194" s="49"/>
      <c r="K1194" s="51"/>
      <c r="L1194" s="51"/>
      <c r="M1194" s="52"/>
      <c r="N1194" s="51"/>
      <c r="O1194" s="51"/>
      <c r="P1194" s="25"/>
    </row>
    <row r="1195">
      <c r="A1195" s="25"/>
      <c r="B1195" s="49"/>
      <c r="C1195" s="50"/>
      <c r="D1195" s="50"/>
      <c r="E1195" s="50"/>
      <c r="F1195" s="51"/>
      <c r="G1195" s="51"/>
      <c r="H1195" s="51"/>
      <c r="I1195" s="51"/>
      <c r="J1195" s="49"/>
      <c r="K1195" s="51"/>
      <c r="L1195" s="51"/>
      <c r="M1195" s="52"/>
      <c r="N1195" s="51"/>
      <c r="O1195" s="51"/>
      <c r="P1195" s="25"/>
    </row>
    <row r="1196">
      <c r="A1196" s="25"/>
      <c r="B1196" s="49"/>
      <c r="C1196" s="50"/>
      <c r="D1196" s="50"/>
      <c r="E1196" s="50"/>
      <c r="F1196" s="51"/>
      <c r="G1196" s="51"/>
      <c r="H1196" s="51"/>
      <c r="I1196" s="51"/>
      <c r="J1196" s="49"/>
      <c r="K1196" s="51"/>
      <c r="L1196" s="51"/>
      <c r="M1196" s="52"/>
      <c r="N1196" s="51"/>
      <c r="O1196" s="51"/>
      <c r="P1196" s="25"/>
    </row>
    <row r="1197">
      <c r="A1197" s="25"/>
      <c r="B1197" s="49"/>
      <c r="C1197" s="50"/>
      <c r="D1197" s="50"/>
      <c r="E1197" s="50"/>
      <c r="F1197" s="51"/>
      <c r="G1197" s="51"/>
      <c r="H1197" s="51"/>
      <c r="I1197" s="51"/>
      <c r="J1197" s="49"/>
      <c r="K1197" s="51"/>
      <c r="L1197" s="51"/>
      <c r="M1197" s="52"/>
      <c r="N1197" s="51"/>
      <c r="O1197" s="51"/>
      <c r="P1197" s="25"/>
    </row>
    <row r="1198">
      <c r="A1198" s="25"/>
      <c r="B1198" s="49"/>
      <c r="C1198" s="50"/>
      <c r="D1198" s="50"/>
      <c r="E1198" s="50"/>
      <c r="F1198" s="51"/>
      <c r="G1198" s="51"/>
      <c r="H1198" s="51"/>
      <c r="I1198" s="51"/>
      <c r="J1198" s="49"/>
      <c r="K1198" s="51"/>
      <c r="L1198" s="51"/>
      <c r="M1198" s="52"/>
      <c r="N1198" s="51"/>
      <c r="O1198" s="51"/>
      <c r="P1198" s="25"/>
    </row>
    <row r="1199">
      <c r="A1199" s="25"/>
      <c r="B1199" s="49"/>
      <c r="C1199" s="50"/>
      <c r="D1199" s="50"/>
      <c r="E1199" s="50"/>
      <c r="F1199" s="51"/>
      <c r="G1199" s="51"/>
      <c r="H1199" s="51"/>
      <c r="I1199" s="51"/>
      <c r="J1199" s="49"/>
      <c r="K1199" s="51"/>
      <c r="L1199" s="51"/>
      <c r="M1199" s="52"/>
      <c r="N1199" s="51"/>
      <c r="O1199" s="51"/>
      <c r="P1199" s="25"/>
    </row>
    <row r="1200">
      <c r="A1200" s="25"/>
      <c r="B1200" s="49"/>
      <c r="C1200" s="50"/>
      <c r="D1200" s="50"/>
      <c r="E1200" s="50"/>
      <c r="F1200" s="51"/>
      <c r="G1200" s="51"/>
      <c r="H1200" s="51"/>
      <c r="I1200" s="51"/>
      <c r="J1200" s="49"/>
      <c r="K1200" s="51"/>
      <c r="L1200" s="51"/>
      <c r="M1200" s="52"/>
      <c r="N1200" s="51"/>
      <c r="O1200" s="51"/>
      <c r="P1200" s="25"/>
    </row>
    <row r="1201">
      <c r="A1201" s="25"/>
      <c r="B1201" s="49"/>
      <c r="C1201" s="50"/>
      <c r="D1201" s="50"/>
      <c r="E1201" s="50"/>
      <c r="F1201" s="51"/>
      <c r="G1201" s="51"/>
      <c r="H1201" s="51"/>
      <c r="I1201" s="51"/>
      <c r="J1201" s="49"/>
      <c r="K1201" s="51"/>
      <c r="L1201" s="51"/>
      <c r="M1201" s="52"/>
      <c r="N1201" s="51"/>
      <c r="O1201" s="51"/>
      <c r="P1201" s="25"/>
    </row>
    <row r="1202">
      <c r="A1202" s="25"/>
      <c r="B1202" s="49"/>
      <c r="C1202" s="50"/>
      <c r="D1202" s="50"/>
      <c r="E1202" s="50"/>
      <c r="F1202" s="51"/>
      <c r="G1202" s="51"/>
      <c r="H1202" s="51"/>
      <c r="I1202" s="51"/>
      <c r="J1202" s="49"/>
      <c r="K1202" s="51"/>
      <c r="L1202" s="51"/>
      <c r="M1202" s="52"/>
      <c r="N1202" s="51"/>
      <c r="O1202" s="51"/>
      <c r="P1202" s="25"/>
    </row>
    <row r="1203">
      <c r="A1203" s="25"/>
      <c r="B1203" s="49"/>
      <c r="C1203" s="50"/>
      <c r="D1203" s="50"/>
      <c r="E1203" s="50"/>
      <c r="F1203" s="51"/>
      <c r="G1203" s="51"/>
      <c r="H1203" s="51"/>
      <c r="I1203" s="51"/>
      <c r="J1203" s="49"/>
      <c r="K1203" s="51"/>
      <c r="L1203" s="51"/>
      <c r="M1203" s="52"/>
      <c r="N1203" s="51"/>
      <c r="O1203" s="51"/>
      <c r="P1203" s="25"/>
    </row>
    <row r="1204">
      <c r="A1204" s="25"/>
      <c r="B1204" s="49"/>
      <c r="C1204" s="50"/>
      <c r="D1204" s="50"/>
      <c r="E1204" s="50"/>
      <c r="F1204" s="51"/>
      <c r="G1204" s="51"/>
      <c r="H1204" s="51"/>
      <c r="I1204" s="51"/>
      <c r="J1204" s="49"/>
      <c r="K1204" s="51"/>
      <c r="L1204" s="51"/>
      <c r="M1204" s="52"/>
      <c r="N1204" s="51"/>
      <c r="O1204" s="51"/>
      <c r="P1204" s="25"/>
    </row>
    <row r="1205">
      <c r="A1205" s="25"/>
      <c r="B1205" s="49"/>
      <c r="C1205" s="50"/>
      <c r="D1205" s="50"/>
      <c r="E1205" s="50"/>
      <c r="F1205" s="51"/>
      <c r="G1205" s="51"/>
      <c r="H1205" s="51"/>
      <c r="I1205" s="51"/>
      <c r="J1205" s="49"/>
      <c r="K1205" s="51"/>
      <c r="L1205" s="51"/>
      <c r="M1205" s="52"/>
      <c r="N1205" s="51"/>
      <c r="O1205" s="51"/>
      <c r="P1205" s="25"/>
    </row>
    <row r="1206">
      <c r="A1206" s="25"/>
      <c r="B1206" s="49"/>
      <c r="C1206" s="50"/>
      <c r="D1206" s="50"/>
      <c r="E1206" s="50"/>
      <c r="F1206" s="51"/>
      <c r="G1206" s="51"/>
      <c r="H1206" s="51"/>
      <c r="I1206" s="51"/>
      <c r="J1206" s="49"/>
      <c r="K1206" s="51"/>
      <c r="L1206" s="51"/>
      <c r="M1206" s="52"/>
      <c r="N1206" s="51"/>
      <c r="O1206" s="51"/>
      <c r="P1206" s="25"/>
    </row>
    <row r="1207">
      <c r="A1207" s="25"/>
      <c r="B1207" s="49"/>
      <c r="C1207" s="50"/>
      <c r="D1207" s="50"/>
      <c r="E1207" s="50"/>
      <c r="F1207" s="51"/>
      <c r="G1207" s="51"/>
      <c r="H1207" s="51"/>
      <c r="I1207" s="51"/>
      <c r="J1207" s="49"/>
      <c r="K1207" s="51"/>
      <c r="L1207" s="51"/>
      <c r="M1207" s="52"/>
      <c r="N1207" s="51"/>
      <c r="O1207" s="51"/>
      <c r="P1207" s="25"/>
    </row>
    <row r="1208">
      <c r="A1208" s="25"/>
      <c r="B1208" s="49"/>
      <c r="C1208" s="50"/>
      <c r="D1208" s="50"/>
      <c r="E1208" s="50"/>
      <c r="F1208" s="51"/>
      <c r="G1208" s="51"/>
      <c r="H1208" s="51"/>
      <c r="I1208" s="51"/>
      <c r="J1208" s="49"/>
      <c r="K1208" s="51"/>
      <c r="L1208" s="51"/>
      <c r="M1208" s="52"/>
      <c r="N1208" s="51"/>
      <c r="O1208" s="51"/>
      <c r="P1208" s="25"/>
    </row>
    <row r="1209">
      <c r="A1209" s="25"/>
      <c r="B1209" s="49"/>
      <c r="C1209" s="50"/>
      <c r="D1209" s="50"/>
      <c r="E1209" s="50"/>
      <c r="F1209" s="51"/>
      <c r="G1209" s="51"/>
      <c r="H1209" s="51"/>
      <c r="I1209" s="51"/>
      <c r="J1209" s="49"/>
      <c r="K1209" s="51"/>
      <c r="L1209" s="51"/>
      <c r="M1209" s="52"/>
      <c r="N1209" s="51"/>
      <c r="O1209" s="51"/>
      <c r="P1209" s="25"/>
    </row>
    <row r="1210">
      <c r="A1210" s="25"/>
      <c r="B1210" s="49"/>
      <c r="C1210" s="50"/>
      <c r="D1210" s="50"/>
      <c r="E1210" s="50"/>
      <c r="F1210" s="51"/>
      <c r="G1210" s="51"/>
      <c r="H1210" s="51"/>
      <c r="I1210" s="51"/>
      <c r="J1210" s="49"/>
      <c r="K1210" s="51"/>
      <c r="L1210" s="51"/>
      <c r="M1210" s="52"/>
      <c r="N1210" s="51"/>
      <c r="O1210" s="51"/>
      <c r="P1210" s="25"/>
    </row>
    <row r="1211">
      <c r="A1211" s="25"/>
      <c r="B1211" s="49"/>
      <c r="C1211" s="50"/>
      <c r="D1211" s="50"/>
      <c r="E1211" s="50"/>
      <c r="F1211" s="51"/>
      <c r="G1211" s="51"/>
      <c r="H1211" s="51"/>
      <c r="I1211" s="51"/>
      <c r="J1211" s="49"/>
      <c r="K1211" s="51"/>
      <c r="L1211" s="51"/>
      <c r="M1211" s="52"/>
      <c r="N1211" s="51"/>
      <c r="O1211" s="51"/>
      <c r="P1211" s="25"/>
    </row>
    <row r="1212">
      <c r="A1212" s="25"/>
      <c r="B1212" s="49"/>
      <c r="C1212" s="50"/>
      <c r="D1212" s="50"/>
      <c r="E1212" s="50"/>
      <c r="F1212" s="51"/>
      <c r="G1212" s="51"/>
      <c r="H1212" s="51"/>
      <c r="I1212" s="51"/>
      <c r="J1212" s="49"/>
      <c r="K1212" s="51"/>
      <c r="L1212" s="51"/>
      <c r="M1212" s="52"/>
      <c r="N1212" s="51"/>
      <c r="O1212" s="51"/>
      <c r="P1212" s="25"/>
    </row>
    <row r="1213">
      <c r="A1213" s="25"/>
      <c r="B1213" s="49"/>
      <c r="C1213" s="50"/>
      <c r="D1213" s="50"/>
      <c r="E1213" s="50"/>
      <c r="F1213" s="51"/>
      <c r="G1213" s="51"/>
      <c r="H1213" s="51"/>
      <c r="I1213" s="51"/>
      <c r="J1213" s="49"/>
      <c r="K1213" s="51"/>
      <c r="L1213" s="51"/>
      <c r="M1213" s="52"/>
      <c r="N1213" s="51"/>
      <c r="O1213" s="51"/>
      <c r="P1213" s="25"/>
    </row>
    <row r="1214">
      <c r="A1214" s="25"/>
      <c r="B1214" s="49"/>
      <c r="C1214" s="50"/>
      <c r="D1214" s="50"/>
      <c r="E1214" s="50"/>
      <c r="F1214" s="51"/>
      <c r="G1214" s="51"/>
      <c r="H1214" s="51"/>
      <c r="I1214" s="51"/>
      <c r="J1214" s="49"/>
      <c r="K1214" s="51"/>
      <c r="L1214" s="51"/>
      <c r="M1214" s="52"/>
      <c r="N1214" s="51"/>
      <c r="O1214" s="51"/>
      <c r="P1214" s="25"/>
    </row>
    <row r="1215">
      <c r="A1215" s="25"/>
      <c r="B1215" s="49"/>
      <c r="C1215" s="50"/>
      <c r="D1215" s="50"/>
      <c r="E1215" s="50"/>
      <c r="F1215" s="51"/>
      <c r="G1215" s="51"/>
      <c r="H1215" s="51"/>
      <c r="I1215" s="51"/>
      <c r="J1215" s="49"/>
      <c r="K1215" s="51"/>
      <c r="L1215" s="51"/>
      <c r="M1215" s="52"/>
      <c r="N1215" s="51"/>
      <c r="O1215" s="51"/>
      <c r="P1215" s="25"/>
    </row>
    <row r="1216">
      <c r="A1216" s="25"/>
      <c r="B1216" s="49"/>
      <c r="C1216" s="50"/>
      <c r="D1216" s="50"/>
      <c r="E1216" s="50"/>
      <c r="F1216" s="51"/>
      <c r="G1216" s="51"/>
      <c r="H1216" s="51"/>
      <c r="I1216" s="51"/>
      <c r="J1216" s="49"/>
      <c r="K1216" s="51"/>
      <c r="L1216" s="51"/>
      <c r="M1216" s="52"/>
      <c r="N1216" s="51"/>
      <c r="O1216" s="51"/>
      <c r="P1216" s="25"/>
    </row>
    <row r="1217">
      <c r="A1217" s="25"/>
      <c r="B1217" s="49"/>
      <c r="C1217" s="50"/>
      <c r="D1217" s="50"/>
      <c r="E1217" s="50"/>
      <c r="F1217" s="51"/>
      <c r="G1217" s="51"/>
      <c r="H1217" s="51"/>
      <c r="I1217" s="51"/>
      <c r="J1217" s="49"/>
      <c r="K1217" s="51"/>
      <c r="L1217" s="51"/>
      <c r="M1217" s="52"/>
      <c r="N1217" s="51"/>
      <c r="O1217" s="51"/>
      <c r="P1217" s="25"/>
    </row>
    <row r="1218">
      <c r="A1218" s="25"/>
      <c r="B1218" s="49"/>
      <c r="C1218" s="50"/>
      <c r="D1218" s="50"/>
      <c r="E1218" s="50"/>
      <c r="F1218" s="51"/>
      <c r="G1218" s="51"/>
      <c r="H1218" s="51"/>
      <c r="I1218" s="51"/>
      <c r="J1218" s="49"/>
      <c r="K1218" s="51"/>
      <c r="L1218" s="51"/>
      <c r="M1218" s="52"/>
      <c r="N1218" s="51"/>
      <c r="O1218" s="51"/>
      <c r="P1218" s="25"/>
    </row>
    <row r="1219">
      <c r="A1219" s="25"/>
      <c r="B1219" s="49"/>
      <c r="C1219" s="50"/>
      <c r="D1219" s="50"/>
      <c r="E1219" s="50"/>
      <c r="F1219" s="51"/>
      <c r="G1219" s="51"/>
      <c r="H1219" s="51"/>
      <c r="I1219" s="51"/>
      <c r="J1219" s="49"/>
      <c r="K1219" s="51"/>
      <c r="L1219" s="51"/>
      <c r="M1219" s="52"/>
      <c r="N1219" s="51"/>
      <c r="O1219" s="51"/>
      <c r="P1219" s="25"/>
    </row>
    <row r="1220">
      <c r="A1220" s="25"/>
      <c r="B1220" s="49"/>
      <c r="C1220" s="50"/>
      <c r="D1220" s="50"/>
      <c r="E1220" s="50"/>
      <c r="F1220" s="51"/>
      <c r="G1220" s="51"/>
      <c r="H1220" s="51"/>
      <c r="I1220" s="51"/>
      <c r="J1220" s="49"/>
      <c r="K1220" s="51"/>
      <c r="L1220" s="51"/>
      <c r="M1220" s="52"/>
      <c r="N1220" s="51"/>
      <c r="O1220" s="51"/>
      <c r="P1220" s="25"/>
    </row>
    <row r="1221">
      <c r="A1221" s="25"/>
      <c r="B1221" s="49"/>
      <c r="C1221" s="50"/>
      <c r="D1221" s="50"/>
      <c r="E1221" s="50"/>
      <c r="F1221" s="51"/>
      <c r="G1221" s="51"/>
      <c r="H1221" s="51"/>
      <c r="I1221" s="51"/>
      <c r="J1221" s="49"/>
      <c r="K1221" s="51"/>
      <c r="L1221" s="51"/>
      <c r="M1221" s="52"/>
      <c r="N1221" s="51"/>
      <c r="O1221" s="51"/>
      <c r="P1221" s="25"/>
    </row>
    <row r="1222">
      <c r="A1222" s="25"/>
      <c r="B1222" s="49"/>
      <c r="C1222" s="50"/>
      <c r="D1222" s="50"/>
      <c r="E1222" s="50"/>
      <c r="F1222" s="51"/>
      <c r="G1222" s="51"/>
      <c r="H1222" s="51"/>
      <c r="I1222" s="51"/>
      <c r="J1222" s="49"/>
      <c r="K1222" s="51"/>
      <c r="L1222" s="51"/>
      <c r="M1222" s="52"/>
      <c r="N1222" s="51"/>
      <c r="O1222" s="51"/>
      <c r="P1222" s="25"/>
    </row>
    <row r="1223">
      <c r="A1223" s="25"/>
      <c r="B1223" s="49"/>
      <c r="C1223" s="50"/>
      <c r="D1223" s="50"/>
      <c r="E1223" s="50"/>
      <c r="F1223" s="51"/>
      <c r="G1223" s="51"/>
      <c r="H1223" s="51"/>
      <c r="I1223" s="51"/>
      <c r="J1223" s="49"/>
      <c r="K1223" s="51"/>
      <c r="L1223" s="51"/>
      <c r="M1223" s="52"/>
      <c r="N1223" s="51"/>
      <c r="O1223" s="51"/>
      <c r="P1223" s="25"/>
    </row>
    <row r="1224">
      <c r="A1224" s="25"/>
      <c r="B1224" s="49"/>
      <c r="C1224" s="50"/>
      <c r="D1224" s="50"/>
      <c r="E1224" s="50"/>
      <c r="F1224" s="51"/>
      <c r="G1224" s="51"/>
      <c r="H1224" s="51"/>
      <c r="I1224" s="51"/>
      <c r="J1224" s="49"/>
      <c r="K1224" s="51"/>
      <c r="L1224" s="51"/>
      <c r="M1224" s="52"/>
      <c r="N1224" s="51"/>
      <c r="O1224" s="51"/>
      <c r="P1224" s="25"/>
    </row>
    <row r="1225">
      <c r="A1225" s="25"/>
      <c r="B1225" s="49"/>
      <c r="C1225" s="50"/>
      <c r="D1225" s="50"/>
      <c r="E1225" s="50"/>
      <c r="F1225" s="51"/>
      <c r="G1225" s="51"/>
      <c r="H1225" s="51"/>
      <c r="I1225" s="51"/>
      <c r="J1225" s="49"/>
      <c r="K1225" s="51"/>
      <c r="L1225" s="51"/>
      <c r="M1225" s="52"/>
      <c r="N1225" s="51"/>
      <c r="O1225" s="51"/>
      <c r="P1225" s="25"/>
    </row>
    <row r="1226">
      <c r="A1226" s="25"/>
      <c r="B1226" s="49"/>
      <c r="C1226" s="50"/>
      <c r="D1226" s="50"/>
      <c r="E1226" s="50"/>
      <c r="F1226" s="51"/>
      <c r="G1226" s="51"/>
      <c r="H1226" s="51"/>
      <c r="I1226" s="51"/>
      <c r="J1226" s="49"/>
      <c r="K1226" s="51"/>
      <c r="L1226" s="51"/>
      <c r="M1226" s="52"/>
      <c r="N1226" s="51"/>
      <c r="O1226" s="51"/>
      <c r="P1226" s="25"/>
    </row>
    <row r="1227">
      <c r="A1227" s="25"/>
      <c r="B1227" s="49"/>
      <c r="C1227" s="50"/>
      <c r="D1227" s="50"/>
      <c r="E1227" s="50"/>
      <c r="F1227" s="51"/>
      <c r="G1227" s="51"/>
      <c r="H1227" s="51"/>
      <c r="I1227" s="51"/>
      <c r="J1227" s="49"/>
      <c r="K1227" s="51"/>
      <c r="L1227" s="51"/>
      <c r="M1227" s="52"/>
      <c r="N1227" s="51"/>
      <c r="O1227" s="51"/>
      <c r="P1227" s="25"/>
    </row>
    <row r="1228">
      <c r="A1228" s="25"/>
      <c r="B1228" s="49"/>
      <c r="C1228" s="50"/>
      <c r="D1228" s="50"/>
      <c r="E1228" s="50"/>
      <c r="F1228" s="51"/>
      <c r="G1228" s="51"/>
      <c r="H1228" s="51"/>
      <c r="I1228" s="51"/>
      <c r="J1228" s="49"/>
      <c r="K1228" s="51"/>
      <c r="L1228" s="51"/>
      <c r="M1228" s="52"/>
      <c r="N1228" s="51"/>
      <c r="O1228" s="51"/>
      <c r="P1228" s="25"/>
    </row>
    <row r="1229">
      <c r="A1229" s="25"/>
      <c r="B1229" s="49"/>
      <c r="C1229" s="50"/>
      <c r="D1229" s="50"/>
      <c r="E1229" s="50"/>
      <c r="F1229" s="51"/>
      <c r="G1229" s="51"/>
      <c r="H1229" s="51"/>
      <c r="I1229" s="51"/>
      <c r="J1229" s="49"/>
      <c r="K1229" s="51"/>
      <c r="L1229" s="51"/>
      <c r="M1229" s="52"/>
      <c r="N1229" s="51"/>
      <c r="O1229" s="51"/>
      <c r="P1229" s="25"/>
    </row>
    <row r="1230">
      <c r="A1230" s="25"/>
      <c r="B1230" s="49"/>
      <c r="C1230" s="50"/>
      <c r="D1230" s="50"/>
      <c r="E1230" s="50"/>
      <c r="F1230" s="51"/>
      <c r="G1230" s="51"/>
      <c r="H1230" s="51"/>
      <c r="I1230" s="51"/>
      <c r="J1230" s="49"/>
      <c r="K1230" s="51"/>
      <c r="L1230" s="51"/>
      <c r="M1230" s="52"/>
      <c r="N1230" s="51"/>
      <c r="O1230" s="51"/>
      <c r="P1230" s="25"/>
    </row>
    <row r="1231">
      <c r="A1231" s="25"/>
      <c r="B1231" s="49"/>
      <c r="C1231" s="50"/>
      <c r="D1231" s="50"/>
      <c r="E1231" s="50"/>
      <c r="F1231" s="51"/>
      <c r="G1231" s="51"/>
      <c r="H1231" s="51"/>
      <c r="I1231" s="51"/>
      <c r="J1231" s="49"/>
      <c r="K1231" s="51"/>
      <c r="L1231" s="51"/>
      <c r="M1231" s="52"/>
      <c r="N1231" s="51"/>
      <c r="O1231" s="51"/>
      <c r="P1231" s="25"/>
    </row>
    <row r="1232">
      <c r="A1232" s="25"/>
      <c r="B1232" s="49"/>
      <c r="C1232" s="50"/>
      <c r="D1232" s="50"/>
      <c r="E1232" s="50"/>
      <c r="F1232" s="51"/>
      <c r="G1232" s="51"/>
      <c r="H1232" s="51"/>
      <c r="I1232" s="51"/>
      <c r="J1232" s="49"/>
      <c r="K1232" s="51"/>
      <c r="L1232" s="51"/>
      <c r="M1232" s="52"/>
      <c r="N1232" s="51"/>
      <c r="O1232" s="51"/>
      <c r="P1232" s="25"/>
    </row>
    <row r="1233">
      <c r="A1233" s="25"/>
      <c r="B1233" s="49"/>
      <c r="C1233" s="50"/>
      <c r="D1233" s="50"/>
      <c r="E1233" s="50"/>
      <c r="F1233" s="51"/>
      <c r="G1233" s="51"/>
      <c r="H1233" s="51"/>
      <c r="I1233" s="51"/>
      <c r="J1233" s="49"/>
      <c r="K1233" s="51"/>
      <c r="L1233" s="51"/>
      <c r="M1233" s="52"/>
      <c r="N1233" s="51"/>
      <c r="O1233" s="51"/>
      <c r="P1233" s="25"/>
    </row>
    <row r="1234">
      <c r="A1234" s="25"/>
      <c r="B1234" s="49"/>
      <c r="C1234" s="50"/>
      <c r="D1234" s="50"/>
      <c r="E1234" s="50"/>
      <c r="F1234" s="51"/>
      <c r="G1234" s="51"/>
      <c r="H1234" s="51"/>
      <c r="I1234" s="51"/>
      <c r="J1234" s="49"/>
      <c r="K1234" s="51"/>
      <c r="L1234" s="51"/>
      <c r="M1234" s="52"/>
      <c r="N1234" s="51"/>
      <c r="O1234" s="51"/>
      <c r="P1234" s="25"/>
    </row>
    <row r="1235">
      <c r="A1235" s="25"/>
      <c r="B1235" s="49"/>
      <c r="C1235" s="50"/>
      <c r="D1235" s="50"/>
      <c r="E1235" s="50"/>
      <c r="F1235" s="51"/>
      <c r="G1235" s="51"/>
      <c r="H1235" s="51"/>
      <c r="I1235" s="51"/>
      <c r="J1235" s="49"/>
      <c r="K1235" s="51"/>
      <c r="L1235" s="51"/>
      <c r="M1235" s="52"/>
      <c r="N1235" s="51"/>
      <c r="O1235" s="51"/>
      <c r="P1235" s="25"/>
    </row>
    <row r="1236">
      <c r="A1236" s="25"/>
      <c r="B1236" s="49"/>
      <c r="C1236" s="50"/>
      <c r="D1236" s="50"/>
      <c r="E1236" s="50"/>
      <c r="F1236" s="51"/>
      <c r="G1236" s="51"/>
      <c r="H1236" s="51"/>
      <c r="I1236" s="51"/>
      <c r="J1236" s="49"/>
      <c r="K1236" s="51"/>
      <c r="L1236" s="51"/>
      <c r="M1236" s="52"/>
      <c r="N1236" s="51"/>
      <c r="O1236" s="51"/>
      <c r="P1236" s="25"/>
    </row>
    <row r="1237">
      <c r="A1237" s="25"/>
      <c r="B1237" s="49"/>
      <c r="C1237" s="50"/>
      <c r="D1237" s="50"/>
      <c r="E1237" s="50"/>
      <c r="F1237" s="51"/>
      <c r="G1237" s="51"/>
      <c r="H1237" s="51"/>
      <c r="I1237" s="51"/>
      <c r="J1237" s="49"/>
      <c r="K1237" s="51"/>
      <c r="L1237" s="51"/>
      <c r="M1237" s="52"/>
      <c r="N1237" s="51"/>
      <c r="O1237" s="51"/>
      <c r="P1237" s="25"/>
    </row>
    <row r="1238">
      <c r="A1238" s="25"/>
      <c r="B1238" s="49"/>
      <c r="C1238" s="50"/>
      <c r="D1238" s="50"/>
      <c r="E1238" s="50"/>
      <c r="F1238" s="51"/>
      <c r="G1238" s="51"/>
      <c r="H1238" s="51"/>
      <c r="I1238" s="51"/>
      <c r="J1238" s="49"/>
      <c r="K1238" s="51"/>
      <c r="L1238" s="51"/>
      <c r="M1238" s="52"/>
      <c r="N1238" s="51"/>
      <c r="O1238" s="51"/>
      <c r="P1238" s="25"/>
    </row>
    <row r="1239">
      <c r="A1239" s="25"/>
      <c r="B1239" s="49"/>
      <c r="C1239" s="50"/>
      <c r="D1239" s="50"/>
      <c r="E1239" s="50"/>
      <c r="F1239" s="51"/>
      <c r="G1239" s="51"/>
      <c r="H1239" s="51"/>
      <c r="I1239" s="51"/>
      <c r="J1239" s="49"/>
      <c r="K1239" s="51"/>
      <c r="L1239" s="51"/>
      <c r="M1239" s="52"/>
      <c r="N1239" s="51"/>
      <c r="O1239" s="51"/>
      <c r="P1239" s="25"/>
    </row>
    <row r="1240">
      <c r="A1240" s="25"/>
      <c r="B1240" s="49"/>
      <c r="C1240" s="50"/>
      <c r="D1240" s="50"/>
      <c r="E1240" s="50"/>
      <c r="F1240" s="51"/>
      <c r="G1240" s="51"/>
      <c r="H1240" s="51"/>
      <c r="I1240" s="51"/>
      <c r="J1240" s="49"/>
      <c r="K1240" s="51"/>
      <c r="L1240" s="51"/>
      <c r="M1240" s="52"/>
      <c r="N1240" s="51"/>
      <c r="O1240" s="51"/>
      <c r="P1240" s="25"/>
    </row>
    <row r="1241">
      <c r="A1241" s="25"/>
      <c r="B1241" s="49"/>
      <c r="C1241" s="50"/>
      <c r="D1241" s="50"/>
      <c r="E1241" s="50"/>
      <c r="F1241" s="51"/>
      <c r="G1241" s="51"/>
      <c r="H1241" s="51"/>
      <c r="I1241" s="51"/>
      <c r="J1241" s="49"/>
      <c r="K1241" s="51"/>
      <c r="L1241" s="51"/>
      <c r="M1241" s="52"/>
      <c r="N1241" s="51"/>
      <c r="O1241" s="51"/>
      <c r="P1241" s="25"/>
    </row>
    <row r="1242">
      <c r="A1242" s="25"/>
      <c r="B1242" s="49"/>
      <c r="C1242" s="50"/>
      <c r="D1242" s="50"/>
      <c r="E1242" s="50"/>
      <c r="F1242" s="51"/>
      <c r="G1242" s="51"/>
      <c r="H1242" s="51"/>
      <c r="I1242" s="51"/>
      <c r="J1242" s="49"/>
      <c r="K1242" s="51"/>
      <c r="L1242" s="51"/>
      <c r="M1242" s="52"/>
      <c r="N1242" s="51"/>
      <c r="O1242" s="51"/>
      <c r="P1242" s="25"/>
    </row>
    <row r="1243">
      <c r="A1243" s="25"/>
      <c r="B1243" s="49"/>
      <c r="C1243" s="50"/>
      <c r="D1243" s="50"/>
      <c r="E1243" s="50"/>
      <c r="F1243" s="51"/>
      <c r="G1243" s="51"/>
      <c r="H1243" s="51"/>
      <c r="I1243" s="51"/>
      <c r="J1243" s="49"/>
      <c r="K1243" s="51"/>
      <c r="L1243" s="51"/>
      <c r="M1243" s="52"/>
      <c r="N1243" s="51"/>
      <c r="O1243" s="51"/>
      <c r="P1243" s="25"/>
    </row>
    <row r="1244">
      <c r="A1244" s="25"/>
      <c r="B1244" s="49"/>
      <c r="C1244" s="50"/>
      <c r="D1244" s="50"/>
      <c r="E1244" s="50"/>
      <c r="F1244" s="51"/>
      <c r="G1244" s="51"/>
      <c r="H1244" s="51"/>
      <c r="I1244" s="51"/>
      <c r="J1244" s="49"/>
      <c r="K1244" s="51"/>
      <c r="L1244" s="51"/>
      <c r="M1244" s="52"/>
      <c r="N1244" s="51"/>
      <c r="O1244" s="51"/>
      <c r="P1244" s="25"/>
    </row>
    <row r="1245">
      <c r="A1245" s="25"/>
      <c r="B1245" s="49"/>
      <c r="C1245" s="50"/>
      <c r="D1245" s="50"/>
      <c r="E1245" s="50"/>
      <c r="F1245" s="51"/>
      <c r="G1245" s="51"/>
      <c r="H1245" s="51"/>
      <c r="I1245" s="51"/>
      <c r="J1245" s="49"/>
      <c r="K1245" s="51"/>
      <c r="L1245" s="51"/>
      <c r="M1245" s="52"/>
      <c r="N1245" s="51"/>
      <c r="O1245" s="51"/>
      <c r="P1245" s="25"/>
    </row>
    <row r="1246">
      <c r="A1246" s="25"/>
      <c r="B1246" s="49"/>
      <c r="C1246" s="50"/>
      <c r="D1246" s="50"/>
      <c r="E1246" s="50"/>
      <c r="F1246" s="51"/>
      <c r="G1246" s="51"/>
      <c r="H1246" s="51"/>
      <c r="I1246" s="51"/>
      <c r="J1246" s="49"/>
      <c r="K1246" s="51"/>
      <c r="L1246" s="51"/>
      <c r="M1246" s="52"/>
      <c r="N1246" s="51"/>
      <c r="O1246" s="51"/>
      <c r="P1246" s="25"/>
    </row>
    <row r="1247">
      <c r="A1247" s="25"/>
      <c r="B1247" s="49"/>
      <c r="C1247" s="50"/>
      <c r="D1247" s="50"/>
      <c r="E1247" s="50"/>
      <c r="F1247" s="51"/>
      <c r="G1247" s="51"/>
      <c r="H1247" s="51"/>
      <c r="I1247" s="51"/>
      <c r="J1247" s="49"/>
      <c r="K1247" s="51"/>
      <c r="L1247" s="51"/>
      <c r="M1247" s="52"/>
      <c r="N1247" s="51"/>
      <c r="O1247" s="51"/>
      <c r="P1247" s="25"/>
    </row>
    <row r="1248">
      <c r="A1248" s="25"/>
      <c r="B1248" s="49"/>
      <c r="C1248" s="50"/>
      <c r="D1248" s="50"/>
      <c r="E1248" s="50"/>
      <c r="F1248" s="51"/>
      <c r="G1248" s="51"/>
      <c r="H1248" s="51"/>
      <c r="I1248" s="51"/>
      <c r="J1248" s="49"/>
      <c r="K1248" s="51"/>
      <c r="L1248" s="51"/>
      <c r="M1248" s="52"/>
      <c r="N1248" s="51"/>
      <c r="O1248" s="51"/>
      <c r="P1248" s="25"/>
    </row>
    <row r="1249">
      <c r="A1249" s="25"/>
      <c r="B1249" s="49"/>
      <c r="C1249" s="50"/>
      <c r="D1249" s="50"/>
      <c r="E1249" s="50"/>
      <c r="F1249" s="51"/>
      <c r="G1249" s="51"/>
      <c r="H1249" s="51"/>
      <c r="I1249" s="51"/>
      <c r="J1249" s="49"/>
      <c r="K1249" s="51"/>
      <c r="L1249" s="51"/>
      <c r="M1249" s="52"/>
      <c r="N1249" s="51"/>
      <c r="O1249" s="51"/>
      <c r="P1249" s="25"/>
    </row>
    <row r="1250">
      <c r="A1250" s="25"/>
      <c r="B1250" s="49"/>
      <c r="C1250" s="50"/>
      <c r="D1250" s="50"/>
      <c r="E1250" s="50"/>
      <c r="F1250" s="51"/>
      <c r="G1250" s="51"/>
      <c r="H1250" s="51"/>
      <c r="I1250" s="51"/>
      <c r="J1250" s="49"/>
      <c r="K1250" s="51"/>
      <c r="L1250" s="51"/>
      <c r="M1250" s="52"/>
      <c r="N1250" s="51"/>
      <c r="O1250" s="51"/>
      <c r="P1250" s="25"/>
    </row>
    <row r="1251">
      <c r="A1251" s="25"/>
      <c r="B1251" s="49"/>
      <c r="C1251" s="50"/>
      <c r="D1251" s="50"/>
      <c r="E1251" s="50"/>
      <c r="F1251" s="51"/>
      <c r="G1251" s="51"/>
      <c r="H1251" s="51"/>
      <c r="I1251" s="51"/>
      <c r="J1251" s="49"/>
      <c r="K1251" s="51"/>
      <c r="L1251" s="51"/>
      <c r="M1251" s="52"/>
      <c r="N1251" s="51"/>
      <c r="O1251" s="51"/>
      <c r="P1251" s="25"/>
    </row>
    <row r="1252">
      <c r="A1252" s="25"/>
      <c r="B1252" s="49"/>
      <c r="C1252" s="50"/>
      <c r="D1252" s="50"/>
      <c r="E1252" s="50"/>
      <c r="F1252" s="51"/>
      <c r="G1252" s="51"/>
      <c r="H1252" s="51"/>
      <c r="I1252" s="51"/>
      <c r="J1252" s="49"/>
      <c r="K1252" s="51"/>
      <c r="L1252" s="51"/>
      <c r="M1252" s="52"/>
      <c r="N1252" s="51"/>
      <c r="O1252" s="51"/>
      <c r="P1252" s="25"/>
    </row>
    <row r="1253">
      <c r="A1253" s="25"/>
      <c r="B1253" s="49"/>
      <c r="C1253" s="50"/>
      <c r="D1253" s="50"/>
      <c r="E1253" s="50"/>
      <c r="F1253" s="51"/>
      <c r="G1253" s="51"/>
      <c r="H1253" s="51"/>
      <c r="I1253" s="51"/>
      <c r="J1253" s="49"/>
      <c r="K1253" s="51"/>
      <c r="L1253" s="51"/>
      <c r="M1253" s="52"/>
      <c r="N1253" s="51"/>
      <c r="O1253" s="51"/>
      <c r="P1253" s="25"/>
    </row>
    <row r="1254">
      <c r="A1254" s="25"/>
      <c r="B1254" s="49"/>
      <c r="C1254" s="50"/>
      <c r="D1254" s="50"/>
      <c r="E1254" s="50"/>
      <c r="F1254" s="51"/>
      <c r="G1254" s="51"/>
      <c r="H1254" s="51"/>
      <c r="I1254" s="51"/>
      <c r="J1254" s="49"/>
      <c r="K1254" s="51"/>
      <c r="L1254" s="51"/>
      <c r="M1254" s="52"/>
      <c r="N1254" s="51"/>
      <c r="O1254" s="51"/>
      <c r="P1254" s="25"/>
    </row>
    <row r="1255">
      <c r="A1255" s="25"/>
      <c r="B1255" s="49"/>
      <c r="C1255" s="50"/>
      <c r="D1255" s="50"/>
      <c r="E1255" s="50"/>
      <c r="F1255" s="51"/>
      <c r="G1255" s="51"/>
      <c r="H1255" s="51"/>
      <c r="I1255" s="51"/>
      <c r="J1255" s="49"/>
      <c r="K1255" s="51"/>
      <c r="L1255" s="51"/>
      <c r="M1255" s="52"/>
      <c r="N1255" s="51"/>
      <c r="O1255" s="51"/>
      <c r="P1255" s="25"/>
    </row>
    <row r="1256">
      <c r="A1256" s="25"/>
      <c r="B1256" s="49"/>
      <c r="C1256" s="50"/>
      <c r="D1256" s="50"/>
      <c r="E1256" s="50"/>
      <c r="F1256" s="51"/>
      <c r="G1256" s="51"/>
      <c r="H1256" s="51"/>
      <c r="I1256" s="51"/>
      <c r="J1256" s="49"/>
      <c r="K1256" s="51"/>
      <c r="L1256" s="51"/>
      <c r="M1256" s="52"/>
      <c r="N1256" s="51"/>
      <c r="O1256" s="51"/>
      <c r="P1256" s="25"/>
    </row>
    <row r="1257">
      <c r="A1257" s="25"/>
      <c r="B1257" s="49"/>
      <c r="C1257" s="50"/>
      <c r="D1257" s="50"/>
      <c r="E1257" s="50"/>
      <c r="F1257" s="51"/>
      <c r="G1257" s="51"/>
      <c r="H1257" s="51"/>
      <c r="I1257" s="51"/>
      <c r="J1257" s="49"/>
      <c r="K1257" s="51"/>
      <c r="L1257" s="51"/>
      <c r="M1257" s="52"/>
      <c r="N1257" s="51"/>
      <c r="O1257" s="51"/>
      <c r="P1257" s="25"/>
    </row>
    <row r="1258">
      <c r="A1258" s="25"/>
      <c r="B1258" s="49"/>
      <c r="C1258" s="50"/>
      <c r="D1258" s="50"/>
      <c r="E1258" s="50"/>
      <c r="F1258" s="51"/>
      <c r="G1258" s="51"/>
      <c r="H1258" s="51"/>
      <c r="I1258" s="51"/>
      <c r="J1258" s="49"/>
      <c r="K1258" s="51"/>
      <c r="L1258" s="51"/>
      <c r="M1258" s="52"/>
      <c r="N1258" s="51"/>
      <c r="O1258" s="51"/>
      <c r="P1258" s="25"/>
    </row>
    <row r="1259">
      <c r="A1259" s="25"/>
      <c r="B1259" s="49"/>
      <c r="C1259" s="50"/>
      <c r="D1259" s="50"/>
      <c r="E1259" s="50"/>
      <c r="F1259" s="51"/>
      <c r="G1259" s="51"/>
      <c r="H1259" s="51"/>
      <c r="I1259" s="51"/>
      <c r="J1259" s="49"/>
      <c r="K1259" s="51"/>
      <c r="L1259" s="51"/>
      <c r="M1259" s="52"/>
      <c r="N1259" s="51"/>
      <c r="O1259" s="51"/>
      <c r="P1259" s="25"/>
    </row>
    <row r="1260">
      <c r="A1260" s="25"/>
      <c r="B1260" s="49"/>
      <c r="C1260" s="50"/>
      <c r="D1260" s="50"/>
      <c r="E1260" s="50"/>
      <c r="F1260" s="51"/>
      <c r="G1260" s="51"/>
      <c r="H1260" s="51"/>
      <c r="I1260" s="51"/>
      <c r="J1260" s="49"/>
      <c r="K1260" s="51"/>
      <c r="L1260" s="51"/>
      <c r="M1260" s="52"/>
      <c r="N1260" s="51"/>
      <c r="O1260" s="51"/>
      <c r="P1260" s="25"/>
    </row>
    <row r="1261">
      <c r="A1261" s="25"/>
      <c r="B1261" s="49"/>
      <c r="C1261" s="50"/>
      <c r="D1261" s="50"/>
      <c r="E1261" s="50"/>
      <c r="F1261" s="51"/>
      <c r="G1261" s="51"/>
      <c r="H1261" s="51"/>
      <c r="I1261" s="51"/>
      <c r="J1261" s="49"/>
      <c r="K1261" s="51"/>
      <c r="L1261" s="51"/>
      <c r="M1261" s="52"/>
      <c r="N1261" s="51"/>
      <c r="O1261" s="51"/>
      <c r="P1261" s="25"/>
    </row>
    <row r="1262">
      <c r="A1262" s="25"/>
      <c r="B1262" s="49"/>
      <c r="C1262" s="50"/>
      <c r="D1262" s="50"/>
      <c r="E1262" s="50"/>
      <c r="F1262" s="51"/>
      <c r="G1262" s="51"/>
      <c r="H1262" s="51"/>
      <c r="I1262" s="51"/>
      <c r="J1262" s="49"/>
      <c r="K1262" s="51"/>
      <c r="L1262" s="51"/>
      <c r="M1262" s="52"/>
      <c r="N1262" s="51"/>
      <c r="O1262" s="51"/>
      <c r="P1262" s="25"/>
    </row>
    <row r="1263">
      <c r="A1263" s="25"/>
      <c r="B1263" s="49"/>
      <c r="C1263" s="50"/>
      <c r="D1263" s="50"/>
      <c r="E1263" s="50"/>
      <c r="F1263" s="51"/>
      <c r="G1263" s="51"/>
      <c r="H1263" s="51"/>
      <c r="I1263" s="51"/>
      <c r="J1263" s="49"/>
      <c r="K1263" s="51"/>
      <c r="L1263" s="51"/>
      <c r="M1263" s="52"/>
      <c r="N1263" s="51"/>
      <c r="O1263" s="51"/>
      <c r="P1263" s="25"/>
    </row>
    <row r="1264">
      <c r="A1264" s="25"/>
      <c r="B1264" s="49"/>
      <c r="C1264" s="50"/>
      <c r="D1264" s="50"/>
      <c r="E1264" s="50"/>
      <c r="F1264" s="51"/>
      <c r="G1264" s="51"/>
      <c r="H1264" s="51"/>
      <c r="I1264" s="51"/>
      <c r="J1264" s="49"/>
      <c r="K1264" s="51"/>
      <c r="L1264" s="51"/>
      <c r="M1264" s="52"/>
      <c r="N1264" s="51"/>
      <c r="O1264" s="51"/>
      <c r="P1264" s="25"/>
    </row>
    <row r="1265">
      <c r="A1265" s="25"/>
      <c r="B1265" s="49"/>
      <c r="C1265" s="50"/>
      <c r="D1265" s="50"/>
      <c r="E1265" s="50"/>
      <c r="F1265" s="51"/>
      <c r="G1265" s="51"/>
      <c r="H1265" s="51"/>
      <c r="I1265" s="51"/>
      <c r="J1265" s="49"/>
      <c r="K1265" s="51"/>
      <c r="L1265" s="51"/>
      <c r="M1265" s="52"/>
      <c r="N1265" s="51"/>
      <c r="O1265" s="51"/>
      <c r="P1265" s="25"/>
    </row>
    <row r="1266">
      <c r="A1266" s="25"/>
      <c r="B1266" s="49"/>
      <c r="C1266" s="50"/>
      <c r="D1266" s="50"/>
      <c r="E1266" s="50"/>
      <c r="F1266" s="51"/>
      <c r="G1266" s="51"/>
      <c r="H1266" s="51"/>
      <c r="I1266" s="51"/>
      <c r="J1266" s="49"/>
      <c r="K1266" s="51"/>
      <c r="L1266" s="51"/>
      <c r="M1266" s="52"/>
      <c r="N1266" s="51"/>
      <c r="O1266" s="51"/>
      <c r="P1266" s="25"/>
    </row>
    <row r="1267">
      <c r="A1267" s="25"/>
      <c r="B1267" s="49"/>
      <c r="C1267" s="50"/>
      <c r="D1267" s="50"/>
      <c r="E1267" s="50"/>
      <c r="F1267" s="51"/>
      <c r="G1267" s="51"/>
      <c r="H1267" s="51"/>
      <c r="I1267" s="51"/>
      <c r="J1267" s="49"/>
      <c r="K1267" s="51"/>
      <c r="L1267" s="51"/>
      <c r="M1267" s="52"/>
      <c r="N1267" s="51"/>
      <c r="O1267" s="51"/>
      <c r="P1267" s="25"/>
    </row>
    <row r="1268">
      <c r="A1268" s="25"/>
      <c r="B1268" s="49"/>
      <c r="C1268" s="50"/>
      <c r="D1268" s="50"/>
      <c r="E1268" s="50"/>
      <c r="F1268" s="51"/>
      <c r="G1268" s="51"/>
      <c r="H1268" s="51"/>
      <c r="I1268" s="51"/>
      <c r="J1268" s="49"/>
      <c r="K1268" s="51"/>
      <c r="L1268" s="51"/>
      <c r="M1268" s="52"/>
      <c r="N1268" s="51"/>
      <c r="O1268" s="51"/>
      <c r="P1268" s="25"/>
    </row>
    <row r="1269">
      <c r="A1269" s="25"/>
      <c r="B1269" s="49"/>
      <c r="C1269" s="50"/>
      <c r="D1269" s="50"/>
      <c r="E1269" s="50"/>
      <c r="F1269" s="51"/>
      <c r="G1269" s="51"/>
      <c r="H1269" s="51"/>
      <c r="I1269" s="51"/>
      <c r="J1269" s="49"/>
      <c r="K1269" s="51"/>
      <c r="L1269" s="51"/>
      <c r="M1269" s="52"/>
      <c r="N1269" s="51"/>
      <c r="O1269" s="51"/>
      <c r="P1269" s="25"/>
    </row>
    <row r="1270">
      <c r="A1270" s="25"/>
      <c r="B1270" s="49"/>
      <c r="C1270" s="50"/>
      <c r="D1270" s="50"/>
      <c r="E1270" s="50"/>
      <c r="F1270" s="51"/>
      <c r="G1270" s="51"/>
      <c r="H1270" s="51"/>
      <c r="I1270" s="51"/>
      <c r="J1270" s="49"/>
      <c r="K1270" s="51"/>
      <c r="L1270" s="51"/>
      <c r="M1270" s="52"/>
      <c r="N1270" s="51"/>
      <c r="O1270" s="51"/>
      <c r="P1270" s="25"/>
    </row>
    <row r="1271">
      <c r="A1271" s="25"/>
      <c r="B1271" s="49"/>
      <c r="C1271" s="50"/>
      <c r="D1271" s="50"/>
      <c r="E1271" s="50"/>
      <c r="F1271" s="51"/>
      <c r="G1271" s="51"/>
      <c r="H1271" s="51"/>
      <c r="I1271" s="51"/>
      <c r="J1271" s="49"/>
      <c r="K1271" s="51"/>
      <c r="L1271" s="51"/>
      <c r="M1271" s="52"/>
      <c r="N1271" s="51"/>
      <c r="O1271" s="51"/>
      <c r="P1271" s="25"/>
    </row>
    <row r="1272">
      <c r="A1272" s="25"/>
      <c r="B1272" s="49"/>
      <c r="C1272" s="50"/>
      <c r="D1272" s="50"/>
      <c r="E1272" s="50"/>
      <c r="F1272" s="51"/>
      <c r="G1272" s="51"/>
      <c r="H1272" s="51"/>
      <c r="I1272" s="51"/>
      <c r="J1272" s="49"/>
      <c r="K1272" s="51"/>
      <c r="L1272" s="51"/>
      <c r="M1272" s="52"/>
      <c r="N1272" s="51"/>
      <c r="O1272" s="51"/>
      <c r="P1272" s="25"/>
    </row>
    <row r="1273">
      <c r="A1273" s="25"/>
      <c r="B1273" s="49"/>
      <c r="C1273" s="50"/>
      <c r="D1273" s="50"/>
      <c r="E1273" s="50"/>
      <c r="F1273" s="51"/>
      <c r="G1273" s="51"/>
      <c r="H1273" s="51"/>
      <c r="I1273" s="51"/>
      <c r="J1273" s="49"/>
      <c r="K1273" s="51"/>
      <c r="L1273" s="51"/>
      <c r="M1273" s="52"/>
      <c r="N1273" s="51"/>
      <c r="O1273" s="51"/>
      <c r="P1273" s="25"/>
    </row>
    <row r="1274">
      <c r="A1274" s="25"/>
      <c r="B1274" s="49"/>
      <c r="C1274" s="50"/>
      <c r="D1274" s="50"/>
      <c r="E1274" s="50"/>
      <c r="F1274" s="51"/>
      <c r="G1274" s="51"/>
      <c r="H1274" s="51"/>
      <c r="I1274" s="51"/>
      <c r="J1274" s="49"/>
      <c r="K1274" s="51"/>
      <c r="L1274" s="51"/>
      <c r="M1274" s="52"/>
      <c r="N1274" s="51"/>
      <c r="O1274" s="51"/>
      <c r="P1274" s="25"/>
    </row>
    <row r="1275">
      <c r="A1275" s="25"/>
      <c r="B1275" s="49"/>
      <c r="C1275" s="50"/>
      <c r="D1275" s="50"/>
      <c r="E1275" s="50"/>
      <c r="F1275" s="51"/>
      <c r="G1275" s="51"/>
      <c r="H1275" s="51"/>
      <c r="I1275" s="51"/>
      <c r="J1275" s="49"/>
      <c r="K1275" s="51"/>
      <c r="L1275" s="51"/>
      <c r="M1275" s="52"/>
      <c r="N1275" s="51"/>
      <c r="O1275" s="51"/>
      <c r="P1275" s="25"/>
    </row>
    <row r="1276">
      <c r="A1276" s="25"/>
      <c r="B1276" s="49"/>
      <c r="C1276" s="50"/>
      <c r="D1276" s="50"/>
      <c r="E1276" s="50"/>
      <c r="F1276" s="51"/>
      <c r="G1276" s="51"/>
      <c r="H1276" s="51"/>
      <c r="I1276" s="51"/>
      <c r="J1276" s="49"/>
      <c r="K1276" s="51"/>
      <c r="L1276" s="51"/>
      <c r="M1276" s="52"/>
      <c r="N1276" s="51"/>
      <c r="O1276" s="51"/>
      <c r="P1276" s="25"/>
    </row>
    <row r="1277">
      <c r="A1277" s="25"/>
      <c r="B1277" s="49"/>
      <c r="C1277" s="50"/>
      <c r="D1277" s="50"/>
      <c r="E1277" s="50"/>
      <c r="F1277" s="51"/>
      <c r="G1277" s="51"/>
      <c r="H1277" s="51"/>
      <c r="I1277" s="51"/>
      <c r="J1277" s="49"/>
      <c r="K1277" s="51"/>
      <c r="L1277" s="51"/>
      <c r="M1277" s="52"/>
      <c r="N1277" s="51"/>
      <c r="O1277" s="51"/>
      <c r="P1277" s="25"/>
    </row>
    <row r="1278">
      <c r="A1278" s="25"/>
      <c r="B1278" s="49"/>
      <c r="C1278" s="50"/>
      <c r="D1278" s="50"/>
      <c r="E1278" s="50"/>
      <c r="F1278" s="51"/>
      <c r="G1278" s="51"/>
      <c r="H1278" s="51"/>
      <c r="I1278" s="51"/>
      <c r="J1278" s="49"/>
      <c r="K1278" s="51"/>
      <c r="L1278" s="51"/>
      <c r="M1278" s="52"/>
      <c r="N1278" s="51"/>
      <c r="O1278" s="51"/>
      <c r="P1278" s="25"/>
    </row>
    <row r="1279">
      <c r="A1279" s="25"/>
      <c r="B1279" s="49"/>
      <c r="C1279" s="50"/>
      <c r="D1279" s="50"/>
      <c r="E1279" s="50"/>
      <c r="F1279" s="51"/>
      <c r="G1279" s="51"/>
      <c r="H1279" s="51"/>
      <c r="I1279" s="51"/>
      <c r="J1279" s="49"/>
      <c r="K1279" s="51"/>
      <c r="L1279" s="51"/>
      <c r="M1279" s="52"/>
      <c r="N1279" s="51"/>
      <c r="O1279" s="51"/>
      <c r="P1279" s="25"/>
    </row>
    <row r="1280">
      <c r="A1280" s="25"/>
      <c r="B1280" s="49"/>
      <c r="C1280" s="50"/>
      <c r="D1280" s="50"/>
      <c r="E1280" s="50"/>
      <c r="F1280" s="51"/>
      <c r="G1280" s="51"/>
      <c r="H1280" s="51"/>
      <c r="I1280" s="51"/>
      <c r="J1280" s="49"/>
      <c r="K1280" s="51"/>
      <c r="L1280" s="51"/>
      <c r="M1280" s="52"/>
      <c r="N1280" s="51"/>
      <c r="O1280" s="51"/>
      <c r="P1280" s="25"/>
    </row>
    <row r="1281">
      <c r="A1281" s="25"/>
      <c r="B1281" s="49"/>
      <c r="C1281" s="50"/>
      <c r="D1281" s="50"/>
      <c r="E1281" s="50"/>
      <c r="F1281" s="51"/>
      <c r="G1281" s="51"/>
      <c r="H1281" s="51"/>
      <c r="I1281" s="51"/>
      <c r="J1281" s="49"/>
      <c r="K1281" s="51"/>
      <c r="L1281" s="51"/>
      <c r="M1281" s="52"/>
      <c r="N1281" s="51"/>
      <c r="O1281" s="51"/>
      <c r="P1281" s="25"/>
    </row>
    <row r="1282">
      <c r="A1282" s="25"/>
      <c r="B1282" s="49"/>
      <c r="C1282" s="50"/>
      <c r="D1282" s="50"/>
      <c r="E1282" s="50"/>
      <c r="F1282" s="51"/>
      <c r="G1282" s="51"/>
      <c r="H1282" s="51"/>
      <c r="I1282" s="51"/>
      <c r="J1282" s="49"/>
      <c r="K1282" s="51"/>
      <c r="L1282" s="51"/>
      <c r="M1282" s="52"/>
      <c r="N1282" s="51"/>
      <c r="O1282" s="51"/>
      <c r="P1282" s="25"/>
    </row>
    <row r="1283">
      <c r="A1283" s="25"/>
      <c r="B1283" s="49"/>
      <c r="C1283" s="50"/>
      <c r="D1283" s="50"/>
      <c r="E1283" s="50"/>
      <c r="F1283" s="51"/>
      <c r="G1283" s="51"/>
      <c r="H1283" s="51"/>
      <c r="I1283" s="51"/>
      <c r="J1283" s="49"/>
      <c r="K1283" s="51"/>
      <c r="L1283" s="51"/>
      <c r="M1283" s="52"/>
      <c r="N1283" s="51"/>
      <c r="O1283" s="51"/>
      <c r="P1283" s="25"/>
    </row>
    <row r="1284">
      <c r="A1284" s="25"/>
      <c r="B1284" s="49"/>
      <c r="C1284" s="50"/>
      <c r="D1284" s="50"/>
      <c r="E1284" s="50"/>
      <c r="F1284" s="51"/>
      <c r="G1284" s="51"/>
      <c r="H1284" s="51"/>
      <c r="I1284" s="51"/>
      <c r="J1284" s="49"/>
      <c r="K1284" s="51"/>
      <c r="L1284" s="51"/>
      <c r="M1284" s="52"/>
      <c r="N1284" s="51"/>
      <c r="O1284" s="51"/>
      <c r="P1284" s="25"/>
    </row>
    <row r="1285">
      <c r="A1285" s="25"/>
      <c r="B1285" s="49"/>
      <c r="C1285" s="50"/>
      <c r="D1285" s="50"/>
      <c r="E1285" s="50"/>
      <c r="F1285" s="51"/>
      <c r="G1285" s="51"/>
      <c r="H1285" s="51"/>
      <c r="I1285" s="51"/>
      <c r="J1285" s="49"/>
      <c r="K1285" s="51"/>
      <c r="L1285" s="51"/>
      <c r="M1285" s="52"/>
      <c r="N1285" s="51"/>
      <c r="O1285" s="51"/>
      <c r="P1285" s="25"/>
    </row>
    <row r="1286">
      <c r="A1286" s="25"/>
      <c r="B1286" s="49"/>
      <c r="C1286" s="50"/>
      <c r="D1286" s="50"/>
      <c r="E1286" s="50"/>
      <c r="F1286" s="51"/>
      <c r="G1286" s="51"/>
      <c r="H1286" s="51"/>
      <c r="I1286" s="51"/>
      <c r="J1286" s="49"/>
      <c r="K1286" s="51"/>
      <c r="L1286" s="51"/>
      <c r="M1286" s="52"/>
      <c r="N1286" s="51"/>
      <c r="O1286" s="51"/>
      <c r="P1286" s="25"/>
    </row>
    <row r="1287">
      <c r="A1287" s="25"/>
      <c r="B1287" s="49"/>
      <c r="C1287" s="50"/>
      <c r="D1287" s="50"/>
      <c r="E1287" s="50"/>
      <c r="F1287" s="51"/>
      <c r="G1287" s="51"/>
      <c r="H1287" s="51"/>
      <c r="I1287" s="51"/>
      <c r="J1287" s="49"/>
      <c r="K1287" s="51"/>
      <c r="L1287" s="51"/>
      <c r="M1287" s="52"/>
      <c r="N1287" s="51"/>
      <c r="O1287" s="51"/>
      <c r="P1287" s="25"/>
    </row>
    <row r="1288">
      <c r="A1288" s="25"/>
      <c r="B1288" s="49"/>
      <c r="C1288" s="50"/>
      <c r="D1288" s="50"/>
      <c r="E1288" s="50"/>
      <c r="F1288" s="51"/>
      <c r="G1288" s="51"/>
      <c r="H1288" s="51"/>
      <c r="I1288" s="51"/>
      <c r="J1288" s="49"/>
      <c r="K1288" s="51"/>
      <c r="L1288" s="51"/>
      <c r="M1288" s="52"/>
      <c r="N1288" s="51"/>
      <c r="O1288" s="51"/>
      <c r="P1288" s="25"/>
    </row>
    <row r="1289">
      <c r="A1289" s="25"/>
      <c r="B1289" s="49"/>
      <c r="C1289" s="50"/>
      <c r="D1289" s="50"/>
      <c r="E1289" s="50"/>
      <c r="F1289" s="51"/>
      <c r="G1289" s="51"/>
      <c r="H1289" s="51"/>
      <c r="I1289" s="51"/>
      <c r="J1289" s="49"/>
      <c r="K1289" s="51"/>
      <c r="L1289" s="51"/>
      <c r="M1289" s="52"/>
      <c r="N1289" s="51"/>
      <c r="O1289" s="51"/>
      <c r="P1289" s="25"/>
    </row>
    <row r="1290">
      <c r="A1290" s="25"/>
      <c r="B1290" s="49"/>
      <c r="C1290" s="50"/>
      <c r="D1290" s="50"/>
      <c r="E1290" s="50"/>
      <c r="F1290" s="51"/>
      <c r="G1290" s="51"/>
      <c r="H1290" s="51"/>
      <c r="I1290" s="51"/>
      <c r="J1290" s="49"/>
      <c r="K1290" s="51"/>
      <c r="L1290" s="51"/>
      <c r="M1290" s="52"/>
      <c r="N1290" s="51"/>
      <c r="O1290" s="51"/>
      <c r="P1290" s="25"/>
    </row>
    <row r="1291">
      <c r="A1291" s="25"/>
      <c r="B1291" s="49"/>
      <c r="C1291" s="50"/>
      <c r="D1291" s="50"/>
      <c r="E1291" s="50"/>
      <c r="F1291" s="51"/>
      <c r="G1291" s="51"/>
      <c r="H1291" s="51"/>
      <c r="I1291" s="51"/>
      <c r="J1291" s="49"/>
      <c r="K1291" s="51"/>
      <c r="L1291" s="51"/>
      <c r="M1291" s="52"/>
      <c r="N1291" s="51"/>
      <c r="O1291" s="51"/>
      <c r="P1291" s="25"/>
    </row>
    <row r="1292">
      <c r="A1292" s="25"/>
      <c r="B1292" s="49"/>
      <c r="C1292" s="50"/>
      <c r="D1292" s="50"/>
      <c r="E1292" s="50"/>
      <c r="F1292" s="51"/>
      <c r="G1292" s="51"/>
      <c r="H1292" s="51"/>
      <c r="I1292" s="51"/>
      <c r="J1292" s="49"/>
      <c r="K1292" s="51"/>
      <c r="L1292" s="51"/>
      <c r="M1292" s="52"/>
      <c r="N1292" s="51"/>
      <c r="O1292" s="51"/>
      <c r="P1292" s="25"/>
    </row>
    <row r="1293">
      <c r="A1293" s="25"/>
      <c r="B1293" s="49"/>
      <c r="C1293" s="50"/>
      <c r="D1293" s="50"/>
      <c r="E1293" s="50"/>
      <c r="F1293" s="51"/>
      <c r="G1293" s="51"/>
      <c r="H1293" s="51"/>
      <c r="I1293" s="51"/>
      <c r="J1293" s="49"/>
      <c r="K1293" s="51"/>
      <c r="L1293" s="51"/>
      <c r="M1293" s="52"/>
      <c r="N1293" s="51"/>
      <c r="O1293" s="51"/>
      <c r="P1293" s="25"/>
    </row>
    <row r="1294">
      <c r="A1294" s="25"/>
      <c r="B1294" s="49"/>
      <c r="C1294" s="50"/>
      <c r="D1294" s="50"/>
      <c r="E1294" s="50"/>
      <c r="F1294" s="51"/>
      <c r="G1294" s="51"/>
      <c r="H1294" s="51"/>
      <c r="I1294" s="51"/>
      <c r="J1294" s="49"/>
      <c r="K1294" s="51"/>
      <c r="L1294" s="51"/>
      <c r="M1294" s="52"/>
      <c r="N1294" s="51"/>
      <c r="O1294" s="51"/>
      <c r="P1294" s="25"/>
    </row>
    <row r="1295">
      <c r="A1295" s="25"/>
      <c r="B1295" s="49"/>
      <c r="C1295" s="50"/>
      <c r="D1295" s="50"/>
      <c r="E1295" s="50"/>
      <c r="F1295" s="51"/>
      <c r="G1295" s="51"/>
      <c r="H1295" s="51"/>
      <c r="I1295" s="51"/>
      <c r="J1295" s="49"/>
      <c r="K1295" s="51"/>
      <c r="L1295" s="51"/>
      <c r="M1295" s="52"/>
      <c r="N1295" s="51"/>
      <c r="O1295" s="51"/>
      <c r="P1295" s="25"/>
    </row>
    <row r="1296">
      <c r="A1296" s="25"/>
      <c r="B1296" s="49"/>
      <c r="C1296" s="50"/>
      <c r="D1296" s="50"/>
      <c r="E1296" s="50"/>
      <c r="F1296" s="51"/>
      <c r="G1296" s="51"/>
      <c r="H1296" s="51"/>
      <c r="I1296" s="51"/>
      <c r="J1296" s="49"/>
      <c r="K1296" s="51"/>
      <c r="L1296" s="51"/>
      <c r="M1296" s="52"/>
      <c r="N1296" s="51"/>
      <c r="O1296" s="51"/>
      <c r="P1296" s="25"/>
    </row>
    <row r="1297">
      <c r="A1297" s="25"/>
      <c r="B1297" s="49"/>
      <c r="C1297" s="50"/>
      <c r="D1297" s="50"/>
      <c r="E1297" s="50"/>
      <c r="F1297" s="51"/>
      <c r="G1297" s="51"/>
      <c r="H1297" s="51"/>
      <c r="I1297" s="51"/>
      <c r="J1297" s="49"/>
      <c r="K1297" s="51"/>
      <c r="L1297" s="51"/>
      <c r="M1297" s="52"/>
      <c r="N1297" s="51"/>
      <c r="O1297" s="51"/>
      <c r="P1297" s="25"/>
    </row>
    <row r="1298">
      <c r="A1298" s="25"/>
      <c r="B1298" s="49"/>
      <c r="C1298" s="50"/>
      <c r="D1298" s="50"/>
      <c r="E1298" s="50"/>
      <c r="F1298" s="51"/>
      <c r="G1298" s="51"/>
      <c r="H1298" s="51"/>
      <c r="I1298" s="51"/>
      <c r="J1298" s="49"/>
      <c r="K1298" s="51"/>
      <c r="L1298" s="51"/>
      <c r="M1298" s="52"/>
      <c r="N1298" s="51"/>
      <c r="O1298" s="51"/>
      <c r="P1298" s="25"/>
    </row>
    <row r="1299">
      <c r="A1299" s="25"/>
      <c r="B1299" s="49"/>
      <c r="C1299" s="50"/>
      <c r="D1299" s="50"/>
      <c r="E1299" s="50"/>
      <c r="F1299" s="51"/>
      <c r="G1299" s="51"/>
      <c r="H1299" s="51"/>
      <c r="I1299" s="51"/>
      <c r="J1299" s="49"/>
      <c r="K1299" s="51"/>
      <c r="L1299" s="51"/>
      <c r="M1299" s="52"/>
      <c r="N1299" s="51"/>
      <c r="O1299" s="51"/>
      <c r="P1299" s="25"/>
    </row>
    <row r="1300">
      <c r="A1300" s="25"/>
      <c r="B1300" s="49"/>
      <c r="C1300" s="50"/>
      <c r="D1300" s="50"/>
      <c r="E1300" s="50"/>
      <c r="F1300" s="51"/>
      <c r="G1300" s="51"/>
      <c r="H1300" s="51"/>
      <c r="I1300" s="51"/>
      <c r="J1300" s="49"/>
      <c r="K1300" s="51"/>
      <c r="L1300" s="51"/>
      <c r="M1300" s="52"/>
      <c r="N1300" s="51"/>
      <c r="O1300" s="51"/>
      <c r="P1300" s="25"/>
    </row>
    <row r="1301">
      <c r="A1301" s="25"/>
      <c r="B1301" s="49"/>
      <c r="C1301" s="50"/>
      <c r="D1301" s="50"/>
      <c r="E1301" s="50"/>
      <c r="F1301" s="51"/>
      <c r="G1301" s="51"/>
      <c r="H1301" s="51"/>
      <c r="I1301" s="51"/>
      <c r="J1301" s="49"/>
      <c r="K1301" s="51"/>
      <c r="L1301" s="51"/>
      <c r="M1301" s="52"/>
      <c r="N1301" s="51"/>
      <c r="O1301" s="51"/>
      <c r="P1301" s="25"/>
    </row>
    <row r="1302">
      <c r="A1302" s="25"/>
      <c r="B1302" s="49"/>
      <c r="C1302" s="50"/>
      <c r="D1302" s="50"/>
      <c r="E1302" s="50"/>
      <c r="F1302" s="51"/>
      <c r="G1302" s="51"/>
      <c r="H1302" s="51"/>
      <c r="I1302" s="51"/>
      <c r="J1302" s="49"/>
      <c r="K1302" s="51"/>
      <c r="L1302" s="51"/>
      <c r="M1302" s="52"/>
      <c r="N1302" s="51"/>
      <c r="O1302" s="51"/>
      <c r="P1302" s="25"/>
    </row>
    <row r="1303">
      <c r="A1303" s="25"/>
      <c r="B1303" s="49"/>
      <c r="C1303" s="50"/>
      <c r="D1303" s="50"/>
      <c r="E1303" s="50"/>
      <c r="F1303" s="51"/>
      <c r="G1303" s="51"/>
      <c r="H1303" s="51"/>
      <c r="I1303" s="51"/>
      <c r="J1303" s="49"/>
      <c r="K1303" s="51"/>
      <c r="L1303" s="51"/>
      <c r="M1303" s="52"/>
      <c r="N1303" s="51"/>
      <c r="O1303" s="51"/>
      <c r="P1303" s="25"/>
    </row>
    <row r="1304">
      <c r="A1304" s="25"/>
      <c r="B1304" s="49"/>
      <c r="C1304" s="50"/>
      <c r="D1304" s="50"/>
      <c r="E1304" s="50"/>
      <c r="F1304" s="51"/>
      <c r="G1304" s="51"/>
      <c r="H1304" s="51"/>
      <c r="I1304" s="51"/>
      <c r="J1304" s="49"/>
      <c r="K1304" s="51"/>
      <c r="L1304" s="51"/>
      <c r="M1304" s="52"/>
      <c r="N1304" s="51"/>
      <c r="O1304" s="51"/>
      <c r="P1304" s="25"/>
    </row>
    <row r="1305">
      <c r="A1305" s="25"/>
      <c r="B1305" s="49"/>
      <c r="C1305" s="50"/>
      <c r="D1305" s="50"/>
      <c r="E1305" s="50"/>
      <c r="F1305" s="51"/>
      <c r="G1305" s="51"/>
      <c r="H1305" s="51"/>
      <c r="I1305" s="51"/>
      <c r="J1305" s="49"/>
      <c r="K1305" s="51"/>
      <c r="L1305" s="51"/>
      <c r="M1305" s="52"/>
      <c r="N1305" s="51"/>
      <c r="O1305" s="51"/>
      <c r="P1305" s="25"/>
    </row>
    <row r="1306">
      <c r="A1306" s="25"/>
      <c r="B1306" s="49"/>
      <c r="C1306" s="50"/>
      <c r="D1306" s="50"/>
      <c r="E1306" s="50"/>
      <c r="F1306" s="51"/>
      <c r="G1306" s="51"/>
      <c r="H1306" s="51"/>
      <c r="I1306" s="51"/>
      <c r="J1306" s="49"/>
      <c r="K1306" s="51"/>
      <c r="L1306" s="51"/>
      <c r="M1306" s="52"/>
      <c r="N1306" s="51"/>
      <c r="O1306" s="51"/>
      <c r="P1306" s="25"/>
    </row>
    <row r="1307">
      <c r="A1307" s="25"/>
      <c r="B1307" s="49"/>
      <c r="C1307" s="50"/>
      <c r="D1307" s="50"/>
      <c r="E1307" s="50"/>
      <c r="F1307" s="51"/>
      <c r="G1307" s="51"/>
      <c r="H1307" s="51"/>
      <c r="I1307" s="51"/>
      <c r="J1307" s="49"/>
      <c r="K1307" s="51"/>
      <c r="L1307" s="51"/>
      <c r="M1307" s="52"/>
      <c r="N1307" s="51"/>
      <c r="O1307" s="51"/>
      <c r="P1307" s="25"/>
    </row>
    <row r="1308">
      <c r="A1308" s="25"/>
      <c r="B1308" s="49"/>
      <c r="C1308" s="50"/>
      <c r="D1308" s="50"/>
      <c r="E1308" s="50"/>
      <c r="F1308" s="51"/>
      <c r="G1308" s="51"/>
      <c r="H1308" s="51"/>
      <c r="I1308" s="51"/>
      <c r="J1308" s="49"/>
      <c r="K1308" s="51"/>
      <c r="L1308" s="51"/>
      <c r="M1308" s="52"/>
      <c r="N1308" s="51"/>
      <c r="O1308" s="51"/>
      <c r="P1308" s="25"/>
    </row>
    <row r="1309">
      <c r="A1309" s="25"/>
      <c r="B1309" s="49"/>
      <c r="C1309" s="50"/>
      <c r="D1309" s="50"/>
      <c r="E1309" s="50"/>
      <c r="F1309" s="51"/>
      <c r="G1309" s="51"/>
      <c r="H1309" s="51"/>
      <c r="I1309" s="51"/>
      <c r="J1309" s="49"/>
      <c r="K1309" s="51"/>
      <c r="L1309" s="51"/>
      <c r="M1309" s="52"/>
      <c r="N1309" s="51"/>
      <c r="O1309" s="51"/>
      <c r="P1309" s="25"/>
    </row>
    <row r="1310">
      <c r="A1310" s="25"/>
      <c r="B1310" s="49"/>
      <c r="C1310" s="50"/>
      <c r="D1310" s="50"/>
      <c r="E1310" s="50"/>
      <c r="F1310" s="51"/>
      <c r="G1310" s="51"/>
      <c r="H1310" s="51"/>
      <c r="I1310" s="51"/>
      <c r="J1310" s="49"/>
      <c r="K1310" s="51"/>
      <c r="L1310" s="51"/>
      <c r="M1310" s="52"/>
      <c r="N1310" s="51"/>
      <c r="O1310" s="51"/>
      <c r="P1310" s="25"/>
    </row>
    <row r="1311">
      <c r="A1311" s="25"/>
      <c r="B1311" s="49"/>
      <c r="C1311" s="50"/>
      <c r="D1311" s="50"/>
      <c r="E1311" s="50"/>
      <c r="F1311" s="51"/>
      <c r="G1311" s="51"/>
      <c r="H1311" s="51"/>
      <c r="I1311" s="51"/>
      <c r="J1311" s="49"/>
      <c r="K1311" s="51"/>
      <c r="L1311" s="51"/>
      <c r="M1311" s="52"/>
      <c r="N1311" s="51"/>
      <c r="O1311" s="51"/>
      <c r="P1311" s="25"/>
    </row>
    <row r="1312">
      <c r="A1312" s="25"/>
      <c r="B1312" s="49"/>
      <c r="C1312" s="50"/>
      <c r="D1312" s="50"/>
      <c r="E1312" s="50"/>
      <c r="F1312" s="51"/>
      <c r="G1312" s="51"/>
      <c r="H1312" s="51"/>
      <c r="I1312" s="51"/>
      <c r="J1312" s="49"/>
      <c r="K1312" s="51"/>
      <c r="L1312" s="51"/>
      <c r="M1312" s="52"/>
      <c r="N1312" s="51"/>
      <c r="O1312" s="51"/>
      <c r="P1312" s="25"/>
    </row>
    <row r="1313">
      <c r="A1313" s="25"/>
      <c r="B1313" s="49"/>
      <c r="C1313" s="50"/>
      <c r="D1313" s="50"/>
      <c r="E1313" s="50"/>
      <c r="F1313" s="51"/>
      <c r="G1313" s="51"/>
      <c r="H1313" s="51"/>
      <c r="I1313" s="51"/>
      <c r="J1313" s="49"/>
      <c r="K1313" s="51"/>
      <c r="L1313" s="51"/>
      <c r="M1313" s="52"/>
      <c r="N1313" s="51"/>
      <c r="O1313" s="51"/>
      <c r="P1313" s="25"/>
    </row>
    <row r="1314">
      <c r="A1314" s="25"/>
      <c r="B1314" s="49"/>
      <c r="C1314" s="50"/>
      <c r="D1314" s="50"/>
      <c r="E1314" s="50"/>
      <c r="F1314" s="51"/>
      <c r="G1314" s="51"/>
      <c r="H1314" s="51"/>
      <c r="I1314" s="51"/>
      <c r="J1314" s="49"/>
      <c r="K1314" s="51"/>
      <c r="L1314" s="51"/>
      <c r="M1314" s="52"/>
      <c r="N1314" s="51"/>
      <c r="O1314" s="51"/>
      <c r="P1314" s="25"/>
    </row>
    <row r="1315">
      <c r="A1315" s="25"/>
      <c r="B1315" s="49"/>
      <c r="C1315" s="50"/>
      <c r="D1315" s="50"/>
      <c r="E1315" s="50"/>
      <c r="F1315" s="51"/>
      <c r="G1315" s="51"/>
      <c r="H1315" s="51"/>
      <c r="I1315" s="51"/>
      <c r="J1315" s="49"/>
      <c r="K1315" s="51"/>
      <c r="L1315" s="51"/>
      <c r="M1315" s="52"/>
      <c r="N1315" s="51"/>
      <c r="O1315" s="51"/>
      <c r="P1315" s="25"/>
    </row>
    <row r="1316">
      <c r="A1316" s="25"/>
      <c r="B1316" s="49"/>
      <c r="C1316" s="50"/>
      <c r="D1316" s="50"/>
      <c r="E1316" s="50"/>
      <c r="F1316" s="51"/>
      <c r="G1316" s="51"/>
      <c r="H1316" s="51"/>
      <c r="I1316" s="51"/>
      <c r="J1316" s="49"/>
      <c r="K1316" s="51"/>
      <c r="L1316" s="51"/>
      <c r="M1316" s="52"/>
      <c r="N1316" s="51"/>
      <c r="O1316" s="51"/>
      <c r="P1316" s="25"/>
    </row>
    <row r="1317">
      <c r="A1317" s="25"/>
      <c r="B1317" s="49"/>
      <c r="C1317" s="50"/>
      <c r="D1317" s="50"/>
      <c r="E1317" s="50"/>
      <c r="F1317" s="51"/>
      <c r="G1317" s="51"/>
      <c r="H1317" s="51"/>
      <c r="I1317" s="51"/>
      <c r="J1317" s="49"/>
      <c r="K1317" s="51"/>
      <c r="L1317" s="51"/>
      <c r="M1317" s="52"/>
      <c r="N1317" s="51"/>
      <c r="O1317" s="51"/>
      <c r="P1317" s="25"/>
    </row>
    <row r="1318">
      <c r="A1318" s="25"/>
      <c r="B1318" s="49"/>
      <c r="C1318" s="50"/>
      <c r="D1318" s="50"/>
      <c r="E1318" s="50"/>
      <c r="F1318" s="51"/>
      <c r="G1318" s="51"/>
      <c r="H1318" s="51"/>
      <c r="I1318" s="51"/>
      <c r="J1318" s="49"/>
      <c r="K1318" s="51"/>
      <c r="L1318" s="51"/>
      <c r="M1318" s="52"/>
      <c r="N1318" s="51"/>
      <c r="O1318" s="51"/>
      <c r="P1318" s="25"/>
    </row>
    <row r="1319">
      <c r="A1319" s="25"/>
      <c r="B1319" s="49"/>
      <c r="C1319" s="50"/>
      <c r="D1319" s="50"/>
      <c r="E1319" s="50"/>
      <c r="F1319" s="51"/>
      <c r="G1319" s="51"/>
      <c r="H1319" s="51"/>
      <c r="I1319" s="51"/>
      <c r="J1319" s="49"/>
      <c r="K1319" s="51"/>
      <c r="L1319" s="51"/>
      <c r="M1319" s="52"/>
      <c r="N1319" s="51"/>
      <c r="O1319" s="51"/>
      <c r="P1319" s="25"/>
    </row>
    <row r="1320">
      <c r="A1320" s="25"/>
      <c r="B1320" s="49"/>
      <c r="C1320" s="50"/>
      <c r="D1320" s="50"/>
      <c r="E1320" s="50"/>
      <c r="F1320" s="51"/>
      <c r="G1320" s="51"/>
      <c r="H1320" s="51"/>
      <c r="I1320" s="51"/>
      <c r="J1320" s="49"/>
      <c r="K1320" s="51"/>
      <c r="L1320" s="51"/>
      <c r="M1320" s="52"/>
      <c r="N1320" s="51"/>
      <c r="O1320" s="51"/>
      <c r="P1320" s="25"/>
    </row>
    <row r="1321">
      <c r="A1321" s="25"/>
      <c r="B1321" s="49"/>
      <c r="C1321" s="50"/>
      <c r="D1321" s="50"/>
      <c r="E1321" s="50"/>
      <c r="F1321" s="51"/>
      <c r="G1321" s="51"/>
      <c r="H1321" s="51"/>
      <c r="I1321" s="51"/>
      <c r="J1321" s="49"/>
      <c r="K1321" s="51"/>
      <c r="L1321" s="51"/>
      <c r="M1321" s="52"/>
      <c r="N1321" s="51"/>
      <c r="O1321" s="51"/>
      <c r="P1321" s="25"/>
    </row>
    <row r="1322">
      <c r="A1322" s="25"/>
      <c r="B1322" s="49"/>
      <c r="C1322" s="50"/>
      <c r="D1322" s="50"/>
      <c r="E1322" s="50"/>
      <c r="F1322" s="51"/>
      <c r="G1322" s="51"/>
      <c r="H1322" s="51"/>
      <c r="I1322" s="51"/>
      <c r="J1322" s="49"/>
      <c r="K1322" s="51"/>
      <c r="L1322" s="51"/>
      <c r="M1322" s="52"/>
      <c r="N1322" s="51"/>
      <c r="O1322" s="51"/>
      <c r="P1322" s="25"/>
    </row>
    <row r="1323">
      <c r="A1323" s="25"/>
      <c r="B1323" s="49"/>
      <c r="C1323" s="50"/>
      <c r="D1323" s="50"/>
      <c r="E1323" s="50"/>
      <c r="F1323" s="51"/>
      <c r="G1323" s="51"/>
      <c r="H1323" s="51"/>
      <c r="I1323" s="51"/>
      <c r="J1323" s="49"/>
      <c r="K1323" s="51"/>
      <c r="L1323" s="51"/>
      <c r="M1323" s="52"/>
      <c r="N1323" s="51"/>
      <c r="O1323" s="51"/>
      <c r="P1323" s="25"/>
    </row>
    <row r="1324">
      <c r="A1324" s="25"/>
      <c r="B1324" s="49"/>
      <c r="C1324" s="50"/>
      <c r="D1324" s="50"/>
      <c r="E1324" s="50"/>
      <c r="F1324" s="51"/>
      <c r="G1324" s="51"/>
      <c r="H1324" s="51"/>
      <c r="I1324" s="51"/>
      <c r="J1324" s="49"/>
      <c r="K1324" s="51"/>
      <c r="L1324" s="51"/>
      <c r="M1324" s="52"/>
      <c r="N1324" s="51"/>
      <c r="O1324" s="51"/>
      <c r="P1324" s="25"/>
    </row>
    <row r="1325">
      <c r="A1325" s="25"/>
      <c r="B1325" s="49"/>
      <c r="C1325" s="50"/>
      <c r="D1325" s="50"/>
      <c r="E1325" s="50"/>
      <c r="F1325" s="51"/>
      <c r="G1325" s="51"/>
      <c r="H1325" s="51"/>
      <c r="I1325" s="51"/>
      <c r="J1325" s="49"/>
      <c r="K1325" s="51"/>
      <c r="L1325" s="51"/>
      <c r="M1325" s="52"/>
      <c r="N1325" s="51"/>
      <c r="O1325" s="51"/>
      <c r="P1325" s="25"/>
    </row>
    <row r="1326">
      <c r="A1326" s="25"/>
      <c r="B1326" s="49"/>
      <c r="C1326" s="50"/>
      <c r="D1326" s="50"/>
      <c r="E1326" s="50"/>
      <c r="F1326" s="51"/>
      <c r="G1326" s="51"/>
      <c r="H1326" s="51"/>
      <c r="I1326" s="51"/>
      <c r="J1326" s="49"/>
      <c r="K1326" s="51"/>
      <c r="L1326" s="51"/>
      <c r="M1326" s="52"/>
      <c r="N1326" s="51"/>
      <c r="O1326" s="51"/>
      <c r="P1326" s="25"/>
    </row>
    <row r="1327">
      <c r="A1327" s="25"/>
      <c r="B1327" s="49"/>
      <c r="C1327" s="50"/>
      <c r="D1327" s="50"/>
      <c r="E1327" s="50"/>
      <c r="F1327" s="51"/>
      <c r="G1327" s="51"/>
      <c r="H1327" s="51"/>
      <c r="I1327" s="51"/>
      <c r="J1327" s="49"/>
      <c r="K1327" s="51"/>
      <c r="L1327" s="51"/>
      <c r="M1327" s="52"/>
      <c r="N1327" s="51"/>
      <c r="O1327" s="51"/>
      <c r="P1327" s="25"/>
    </row>
    <row r="1328">
      <c r="A1328" s="25"/>
      <c r="B1328" s="49"/>
      <c r="C1328" s="50"/>
      <c r="D1328" s="50"/>
      <c r="E1328" s="50"/>
      <c r="F1328" s="51"/>
      <c r="G1328" s="51"/>
      <c r="H1328" s="51"/>
      <c r="I1328" s="51"/>
      <c r="J1328" s="49"/>
      <c r="K1328" s="51"/>
      <c r="L1328" s="51"/>
      <c r="M1328" s="52"/>
      <c r="N1328" s="51"/>
      <c r="O1328" s="51"/>
      <c r="P1328" s="25"/>
    </row>
    <row r="1329">
      <c r="A1329" s="25"/>
      <c r="B1329" s="49"/>
      <c r="C1329" s="50"/>
      <c r="D1329" s="50"/>
      <c r="E1329" s="50"/>
      <c r="F1329" s="51"/>
      <c r="G1329" s="51"/>
      <c r="H1329" s="51"/>
      <c r="I1329" s="51"/>
      <c r="J1329" s="49"/>
      <c r="K1329" s="51"/>
      <c r="L1329" s="51"/>
      <c r="M1329" s="52"/>
      <c r="N1329" s="51"/>
      <c r="O1329" s="51"/>
      <c r="P1329" s="25"/>
    </row>
    <row r="1330">
      <c r="A1330" s="25"/>
      <c r="B1330" s="49"/>
      <c r="C1330" s="50"/>
      <c r="D1330" s="50"/>
      <c r="E1330" s="50"/>
      <c r="F1330" s="51"/>
      <c r="G1330" s="51"/>
      <c r="H1330" s="51"/>
      <c r="I1330" s="51"/>
      <c r="J1330" s="49"/>
      <c r="K1330" s="51"/>
      <c r="L1330" s="51"/>
      <c r="M1330" s="52"/>
      <c r="N1330" s="51"/>
      <c r="O1330" s="51"/>
      <c r="P1330" s="25"/>
    </row>
    <row r="1331">
      <c r="A1331" s="25"/>
      <c r="B1331" s="49"/>
      <c r="C1331" s="50"/>
      <c r="D1331" s="50"/>
      <c r="E1331" s="50"/>
      <c r="F1331" s="51"/>
      <c r="G1331" s="51"/>
      <c r="H1331" s="51"/>
      <c r="I1331" s="51"/>
      <c r="J1331" s="49"/>
      <c r="K1331" s="51"/>
      <c r="L1331" s="51"/>
      <c r="M1331" s="52"/>
      <c r="N1331" s="51"/>
      <c r="O1331" s="51"/>
      <c r="P1331" s="25"/>
    </row>
    <row r="1332">
      <c r="A1332" s="25"/>
      <c r="B1332" s="49"/>
      <c r="C1332" s="50"/>
      <c r="D1332" s="50"/>
      <c r="E1332" s="50"/>
      <c r="F1332" s="51"/>
      <c r="G1332" s="51"/>
      <c r="H1332" s="51"/>
      <c r="I1332" s="51"/>
      <c r="J1332" s="49"/>
      <c r="K1332" s="51"/>
      <c r="L1332" s="51"/>
      <c r="M1332" s="52"/>
      <c r="N1332" s="51"/>
      <c r="O1332" s="51"/>
      <c r="P1332" s="25"/>
    </row>
    <row r="1333">
      <c r="A1333" s="25"/>
      <c r="B1333" s="49"/>
      <c r="C1333" s="50"/>
      <c r="D1333" s="50"/>
      <c r="E1333" s="50"/>
      <c r="F1333" s="51"/>
      <c r="G1333" s="51"/>
      <c r="H1333" s="51"/>
      <c r="I1333" s="51"/>
      <c r="J1333" s="49"/>
      <c r="K1333" s="51"/>
      <c r="L1333" s="51"/>
      <c r="M1333" s="52"/>
      <c r="N1333" s="51"/>
      <c r="O1333" s="51"/>
      <c r="P1333" s="25"/>
    </row>
    <row r="1334">
      <c r="A1334" s="25"/>
      <c r="B1334" s="49"/>
      <c r="C1334" s="50"/>
      <c r="D1334" s="50"/>
      <c r="E1334" s="50"/>
      <c r="F1334" s="51"/>
      <c r="G1334" s="51"/>
      <c r="H1334" s="51"/>
      <c r="I1334" s="51"/>
      <c r="J1334" s="49"/>
      <c r="K1334" s="51"/>
      <c r="L1334" s="51"/>
      <c r="M1334" s="52"/>
      <c r="N1334" s="51"/>
      <c r="O1334" s="51"/>
      <c r="P1334" s="25"/>
    </row>
    <row r="1335">
      <c r="A1335" s="25"/>
      <c r="B1335" s="49"/>
      <c r="C1335" s="50"/>
      <c r="D1335" s="50"/>
      <c r="E1335" s="50"/>
      <c r="F1335" s="51"/>
      <c r="G1335" s="51"/>
      <c r="H1335" s="51"/>
      <c r="I1335" s="51"/>
      <c r="J1335" s="49"/>
      <c r="K1335" s="51"/>
      <c r="L1335" s="51"/>
      <c r="M1335" s="52"/>
      <c r="N1335" s="51"/>
      <c r="O1335" s="51"/>
      <c r="P1335" s="25"/>
    </row>
    <row r="1336">
      <c r="A1336" s="25"/>
      <c r="B1336" s="49"/>
      <c r="C1336" s="50"/>
      <c r="D1336" s="50"/>
      <c r="E1336" s="50"/>
      <c r="F1336" s="51"/>
      <c r="G1336" s="51"/>
      <c r="H1336" s="51"/>
      <c r="I1336" s="51"/>
      <c r="J1336" s="49"/>
      <c r="K1336" s="51"/>
      <c r="L1336" s="51"/>
      <c r="M1336" s="52"/>
      <c r="N1336" s="51"/>
      <c r="O1336" s="51"/>
      <c r="P1336" s="25"/>
    </row>
    <row r="1337">
      <c r="A1337" s="25"/>
      <c r="B1337" s="49"/>
      <c r="C1337" s="50"/>
      <c r="D1337" s="50"/>
      <c r="E1337" s="50"/>
      <c r="F1337" s="51"/>
      <c r="G1337" s="51"/>
      <c r="H1337" s="51"/>
      <c r="I1337" s="51"/>
      <c r="J1337" s="49"/>
      <c r="K1337" s="51"/>
      <c r="L1337" s="51"/>
      <c r="M1337" s="52"/>
      <c r="N1337" s="51"/>
      <c r="O1337" s="51"/>
      <c r="P1337" s="25"/>
    </row>
    <row r="1338">
      <c r="A1338" s="25"/>
      <c r="B1338" s="49"/>
      <c r="C1338" s="50"/>
      <c r="D1338" s="50"/>
      <c r="E1338" s="50"/>
      <c r="F1338" s="51"/>
      <c r="G1338" s="51"/>
      <c r="H1338" s="51"/>
      <c r="I1338" s="51"/>
      <c r="J1338" s="49"/>
      <c r="K1338" s="51"/>
      <c r="L1338" s="51"/>
      <c r="M1338" s="52"/>
      <c r="N1338" s="51"/>
      <c r="O1338" s="51"/>
      <c r="P1338" s="25"/>
    </row>
    <row r="1339">
      <c r="A1339" s="25"/>
      <c r="B1339" s="49"/>
      <c r="C1339" s="50"/>
      <c r="D1339" s="50"/>
      <c r="E1339" s="50"/>
      <c r="F1339" s="51"/>
      <c r="G1339" s="51"/>
      <c r="H1339" s="51"/>
      <c r="I1339" s="51"/>
      <c r="J1339" s="49"/>
      <c r="K1339" s="51"/>
      <c r="L1339" s="51"/>
      <c r="M1339" s="52"/>
      <c r="N1339" s="51"/>
      <c r="O1339" s="51"/>
      <c r="P1339" s="25"/>
    </row>
    <row r="1340">
      <c r="A1340" s="25"/>
      <c r="B1340" s="49"/>
      <c r="C1340" s="50"/>
      <c r="D1340" s="50"/>
      <c r="E1340" s="50"/>
      <c r="F1340" s="51"/>
      <c r="G1340" s="51"/>
      <c r="H1340" s="51"/>
      <c r="I1340" s="51"/>
      <c r="J1340" s="49"/>
      <c r="K1340" s="51"/>
      <c r="L1340" s="51"/>
      <c r="M1340" s="52"/>
      <c r="N1340" s="51"/>
      <c r="O1340" s="51"/>
      <c r="P1340" s="25"/>
    </row>
    <row r="1341">
      <c r="A1341" s="25"/>
      <c r="B1341" s="49"/>
      <c r="C1341" s="50"/>
      <c r="D1341" s="50"/>
      <c r="E1341" s="50"/>
      <c r="F1341" s="51"/>
      <c r="G1341" s="51"/>
      <c r="H1341" s="51"/>
      <c r="I1341" s="51"/>
      <c r="J1341" s="49"/>
      <c r="K1341" s="51"/>
      <c r="L1341" s="51"/>
      <c r="M1341" s="52"/>
      <c r="N1341" s="51"/>
      <c r="O1341" s="51"/>
      <c r="P1341" s="25"/>
    </row>
    <row r="1342">
      <c r="A1342" s="25"/>
      <c r="B1342" s="49"/>
      <c r="C1342" s="50"/>
      <c r="D1342" s="50"/>
      <c r="E1342" s="50"/>
      <c r="F1342" s="51"/>
      <c r="G1342" s="51"/>
      <c r="H1342" s="51"/>
      <c r="I1342" s="51"/>
      <c r="J1342" s="49"/>
      <c r="K1342" s="51"/>
      <c r="L1342" s="51"/>
      <c r="M1342" s="52"/>
      <c r="N1342" s="51"/>
      <c r="O1342" s="51"/>
      <c r="P1342" s="25"/>
    </row>
    <row r="1343">
      <c r="A1343" s="25"/>
      <c r="B1343" s="49"/>
      <c r="C1343" s="50"/>
      <c r="D1343" s="50"/>
      <c r="E1343" s="50"/>
      <c r="F1343" s="51"/>
      <c r="G1343" s="51"/>
      <c r="H1343" s="51"/>
      <c r="I1343" s="51"/>
      <c r="J1343" s="49"/>
      <c r="K1343" s="51"/>
      <c r="L1343" s="51"/>
      <c r="M1343" s="52"/>
      <c r="N1343" s="51"/>
      <c r="O1343" s="51"/>
      <c r="P1343" s="25"/>
    </row>
    <row r="1344">
      <c r="A1344" s="25"/>
      <c r="B1344" s="49"/>
      <c r="C1344" s="50"/>
      <c r="D1344" s="50"/>
      <c r="E1344" s="50"/>
      <c r="F1344" s="51"/>
      <c r="G1344" s="51"/>
      <c r="H1344" s="51"/>
      <c r="I1344" s="51"/>
      <c r="J1344" s="49"/>
      <c r="K1344" s="51"/>
      <c r="L1344" s="51"/>
      <c r="M1344" s="52"/>
      <c r="N1344" s="51"/>
      <c r="O1344" s="51"/>
      <c r="P1344" s="25"/>
    </row>
    <row r="1345">
      <c r="A1345" s="25"/>
      <c r="B1345" s="49"/>
      <c r="C1345" s="50"/>
      <c r="D1345" s="50"/>
      <c r="E1345" s="50"/>
      <c r="F1345" s="51"/>
      <c r="G1345" s="51"/>
      <c r="H1345" s="51"/>
      <c r="I1345" s="51"/>
      <c r="J1345" s="49"/>
      <c r="K1345" s="51"/>
      <c r="L1345" s="51"/>
      <c r="M1345" s="52"/>
      <c r="N1345" s="51"/>
      <c r="O1345" s="51"/>
      <c r="P1345" s="25"/>
    </row>
    <row r="1346">
      <c r="A1346" s="25"/>
      <c r="B1346" s="49"/>
      <c r="C1346" s="50"/>
      <c r="D1346" s="50"/>
      <c r="E1346" s="50"/>
      <c r="F1346" s="51"/>
      <c r="G1346" s="51"/>
      <c r="H1346" s="51"/>
      <c r="I1346" s="51"/>
      <c r="J1346" s="49"/>
      <c r="K1346" s="51"/>
      <c r="L1346" s="51"/>
      <c r="M1346" s="52"/>
      <c r="N1346" s="51"/>
      <c r="O1346" s="51"/>
      <c r="P1346" s="25"/>
    </row>
    <row r="1347">
      <c r="A1347" s="25"/>
      <c r="B1347" s="49"/>
      <c r="C1347" s="50"/>
      <c r="D1347" s="50"/>
      <c r="E1347" s="50"/>
      <c r="F1347" s="51"/>
      <c r="G1347" s="51"/>
      <c r="H1347" s="51"/>
      <c r="I1347" s="51"/>
      <c r="J1347" s="49"/>
      <c r="K1347" s="51"/>
      <c r="L1347" s="51"/>
      <c r="M1347" s="52"/>
      <c r="N1347" s="51"/>
      <c r="O1347" s="51"/>
      <c r="P1347" s="25"/>
    </row>
    <row r="1348">
      <c r="A1348" s="25"/>
      <c r="B1348" s="49"/>
      <c r="C1348" s="50"/>
      <c r="D1348" s="50"/>
      <c r="E1348" s="50"/>
      <c r="F1348" s="51"/>
      <c r="G1348" s="51"/>
      <c r="H1348" s="51"/>
      <c r="I1348" s="51"/>
      <c r="J1348" s="49"/>
      <c r="K1348" s="51"/>
      <c r="L1348" s="51"/>
      <c r="M1348" s="52"/>
      <c r="N1348" s="51"/>
      <c r="O1348" s="51"/>
      <c r="P1348" s="25"/>
    </row>
    <row r="1349">
      <c r="A1349" s="25"/>
      <c r="B1349" s="49"/>
      <c r="C1349" s="50"/>
      <c r="D1349" s="50"/>
      <c r="E1349" s="50"/>
      <c r="F1349" s="51"/>
      <c r="G1349" s="51"/>
      <c r="H1349" s="51"/>
      <c r="I1349" s="51"/>
      <c r="J1349" s="49"/>
      <c r="K1349" s="51"/>
      <c r="L1349" s="51"/>
      <c r="M1349" s="52"/>
      <c r="N1349" s="51"/>
      <c r="O1349" s="51"/>
      <c r="P1349" s="25"/>
    </row>
    <row r="1350">
      <c r="A1350" s="25"/>
      <c r="B1350" s="49"/>
      <c r="C1350" s="50"/>
      <c r="D1350" s="50"/>
      <c r="E1350" s="50"/>
      <c r="F1350" s="51"/>
      <c r="G1350" s="51"/>
      <c r="H1350" s="51"/>
      <c r="I1350" s="51"/>
      <c r="J1350" s="49"/>
      <c r="K1350" s="51"/>
      <c r="L1350" s="51"/>
      <c r="M1350" s="52"/>
      <c r="N1350" s="51"/>
      <c r="O1350" s="51"/>
      <c r="P1350" s="25"/>
    </row>
    <row r="1351">
      <c r="A1351" s="25"/>
      <c r="B1351" s="49"/>
      <c r="C1351" s="50"/>
      <c r="D1351" s="50"/>
      <c r="E1351" s="50"/>
      <c r="F1351" s="51"/>
      <c r="G1351" s="51"/>
      <c r="H1351" s="51"/>
      <c r="I1351" s="51"/>
      <c r="J1351" s="49"/>
      <c r="K1351" s="51"/>
      <c r="L1351" s="51"/>
      <c r="M1351" s="52"/>
      <c r="N1351" s="51"/>
      <c r="O1351" s="51"/>
      <c r="P1351" s="25"/>
    </row>
    <row r="1352">
      <c r="A1352" s="25"/>
      <c r="B1352" s="49"/>
      <c r="C1352" s="50"/>
      <c r="D1352" s="50"/>
      <c r="E1352" s="50"/>
      <c r="F1352" s="51"/>
      <c r="G1352" s="51"/>
      <c r="H1352" s="51"/>
      <c r="I1352" s="51"/>
      <c r="J1352" s="49"/>
      <c r="K1352" s="51"/>
      <c r="L1352" s="51"/>
      <c r="M1352" s="52"/>
      <c r="N1352" s="51"/>
      <c r="O1352" s="51"/>
      <c r="P1352" s="25"/>
    </row>
    <row r="1353">
      <c r="A1353" s="25"/>
      <c r="B1353" s="49"/>
      <c r="C1353" s="50"/>
      <c r="D1353" s="50"/>
      <c r="E1353" s="50"/>
      <c r="F1353" s="51"/>
      <c r="G1353" s="51"/>
      <c r="H1353" s="51"/>
      <c r="I1353" s="51"/>
      <c r="J1353" s="49"/>
      <c r="K1353" s="51"/>
      <c r="L1353" s="51"/>
      <c r="M1353" s="52"/>
      <c r="N1353" s="51"/>
      <c r="O1353" s="51"/>
      <c r="P1353" s="25"/>
    </row>
    <row r="1354">
      <c r="A1354" s="25"/>
      <c r="B1354" s="49"/>
      <c r="C1354" s="50"/>
      <c r="D1354" s="50"/>
      <c r="E1354" s="50"/>
      <c r="F1354" s="51"/>
      <c r="G1354" s="51"/>
      <c r="H1354" s="51"/>
      <c r="I1354" s="51"/>
      <c r="J1354" s="49"/>
      <c r="K1354" s="51"/>
      <c r="L1354" s="51"/>
      <c r="M1354" s="52"/>
      <c r="N1354" s="51"/>
      <c r="O1354" s="51"/>
      <c r="P1354" s="25"/>
    </row>
    <row r="1355">
      <c r="A1355" s="25"/>
      <c r="B1355" s="49"/>
      <c r="C1355" s="50"/>
      <c r="D1355" s="50"/>
      <c r="E1355" s="50"/>
      <c r="F1355" s="51"/>
      <c r="G1355" s="51"/>
      <c r="H1355" s="51"/>
      <c r="I1355" s="51"/>
      <c r="J1355" s="49"/>
      <c r="K1355" s="51"/>
      <c r="L1355" s="51"/>
      <c r="M1355" s="52"/>
      <c r="N1355" s="51"/>
      <c r="O1355" s="51"/>
      <c r="P1355" s="25"/>
    </row>
    <row r="1356">
      <c r="A1356" s="25"/>
      <c r="B1356" s="49"/>
      <c r="C1356" s="50"/>
      <c r="D1356" s="50"/>
      <c r="E1356" s="50"/>
      <c r="F1356" s="51"/>
      <c r="G1356" s="51"/>
      <c r="H1356" s="51"/>
      <c r="I1356" s="51"/>
      <c r="J1356" s="49"/>
      <c r="K1356" s="51"/>
      <c r="L1356" s="51"/>
      <c r="M1356" s="52"/>
      <c r="N1356" s="51"/>
      <c r="O1356" s="51"/>
      <c r="P1356" s="25"/>
    </row>
    <row r="1357">
      <c r="A1357" s="25"/>
      <c r="B1357" s="49"/>
      <c r="C1357" s="50"/>
      <c r="D1357" s="50"/>
      <c r="E1357" s="50"/>
      <c r="F1357" s="51"/>
      <c r="G1357" s="51"/>
      <c r="H1357" s="51"/>
      <c r="I1357" s="51"/>
      <c r="J1357" s="49"/>
      <c r="K1357" s="51"/>
      <c r="L1357" s="51"/>
      <c r="M1357" s="52"/>
      <c r="N1357" s="51"/>
      <c r="O1357" s="51"/>
      <c r="P1357" s="25"/>
    </row>
    <row r="1358">
      <c r="A1358" s="25"/>
      <c r="B1358" s="49"/>
      <c r="C1358" s="50"/>
      <c r="D1358" s="50"/>
      <c r="E1358" s="50"/>
      <c r="F1358" s="51"/>
      <c r="G1358" s="51"/>
      <c r="H1358" s="51"/>
      <c r="I1358" s="51"/>
      <c r="J1358" s="49"/>
      <c r="K1358" s="51"/>
      <c r="L1358" s="51"/>
      <c r="M1358" s="52"/>
      <c r="N1358" s="51"/>
      <c r="O1358" s="51"/>
      <c r="P1358" s="25"/>
    </row>
    <row r="1359">
      <c r="A1359" s="25"/>
      <c r="B1359" s="49"/>
      <c r="C1359" s="50"/>
      <c r="D1359" s="50"/>
      <c r="E1359" s="50"/>
      <c r="F1359" s="51"/>
      <c r="G1359" s="51"/>
      <c r="H1359" s="51"/>
      <c r="I1359" s="51"/>
      <c r="J1359" s="49"/>
      <c r="K1359" s="51"/>
      <c r="L1359" s="51"/>
      <c r="M1359" s="52"/>
      <c r="N1359" s="51"/>
      <c r="O1359" s="51"/>
      <c r="P1359" s="25"/>
    </row>
    <row r="1360">
      <c r="A1360" s="25"/>
      <c r="B1360" s="49"/>
      <c r="C1360" s="50"/>
      <c r="D1360" s="50"/>
      <c r="E1360" s="50"/>
      <c r="F1360" s="51"/>
      <c r="G1360" s="51"/>
      <c r="H1360" s="51"/>
      <c r="I1360" s="51"/>
      <c r="J1360" s="49"/>
      <c r="K1360" s="51"/>
      <c r="L1360" s="51"/>
      <c r="M1360" s="52"/>
      <c r="N1360" s="51"/>
      <c r="O1360" s="51"/>
      <c r="P1360" s="25"/>
    </row>
    <row r="1361">
      <c r="A1361" s="25"/>
      <c r="B1361" s="49"/>
      <c r="C1361" s="50"/>
      <c r="D1361" s="50"/>
      <c r="E1361" s="50"/>
      <c r="F1361" s="51"/>
      <c r="G1361" s="51"/>
      <c r="H1361" s="51"/>
      <c r="I1361" s="51"/>
      <c r="J1361" s="49"/>
      <c r="K1361" s="51"/>
      <c r="L1361" s="51"/>
      <c r="M1361" s="52"/>
      <c r="N1361" s="51"/>
      <c r="O1361" s="51"/>
      <c r="P1361" s="25"/>
    </row>
    <row r="1362">
      <c r="A1362" s="25"/>
      <c r="B1362" s="49"/>
      <c r="C1362" s="50"/>
      <c r="D1362" s="50"/>
      <c r="E1362" s="50"/>
      <c r="F1362" s="51"/>
      <c r="G1362" s="51"/>
      <c r="H1362" s="51"/>
      <c r="I1362" s="51"/>
      <c r="J1362" s="49"/>
      <c r="K1362" s="51"/>
      <c r="L1362" s="51"/>
      <c r="M1362" s="52"/>
      <c r="N1362" s="51"/>
      <c r="O1362" s="51"/>
      <c r="P1362" s="25"/>
    </row>
    <row r="1363">
      <c r="A1363" s="25"/>
      <c r="B1363" s="49"/>
      <c r="C1363" s="50"/>
      <c r="D1363" s="50"/>
      <c r="E1363" s="50"/>
      <c r="F1363" s="51"/>
      <c r="G1363" s="51"/>
      <c r="H1363" s="51"/>
      <c r="I1363" s="51"/>
      <c r="J1363" s="49"/>
      <c r="K1363" s="51"/>
      <c r="L1363" s="51"/>
      <c r="M1363" s="52"/>
      <c r="N1363" s="51"/>
      <c r="O1363" s="51"/>
      <c r="P1363" s="25"/>
    </row>
    <row r="1364">
      <c r="A1364" s="25"/>
      <c r="B1364" s="49"/>
      <c r="C1364" s="50"/>
      <c r="D1364" s="50"/>
      <c r="E1364" s="50"/>
      <c r="F1364" s="51"/>
      <c r="G1364" s="51"/>
      <c r="H1364" s="51"/>
      <c r="I1364" s="51"/>
      <c r="J1364" s="49"/>
      <c r="K1364" s="51"/>
      <c r="L1364" s="51"/>
      <c r="M1364" s="52"/>
      <c r="N1364" s="51"/>
      <c r="O1364" s="51"/>
      <c r="P1364" s="25"/>
    </row>
    <row r="1365">
      <c r="A1365" s="25"/>
      <c r="B1365" s="49"/>
      <c r="C1365" s="50"/>
      <c r="D1365" s="50"/>
      <c r="E1365" s="50"/>
      <c r="F1365" s="51"/>
      <c r="G1365" s="51"/>
      <c r="H1365" s="51"/>
      <c r="I1365" s="51"/>
      <c r="J1365" s="49"/>
      <c r="K1365" s="51"/>
      <c r="L1365" s="51"/>
      <c r="M1365" s="52"/>
      <c r="N1365" s="51"/>
      <c r="O1365" s="51"/>
      <c r="P1365" s="25"/>
    </row>
    <row r="1366">
      <c r="A1366" s="25"/>
      <c r="B1366" s="49"/>
      <c r="C1366" s="50"/>
      <c r="D1366" s="50"/>
      <c r="E1366" s="50"/>
      <c r="F1366" s="51"/>
      <c r="G1366" s="51"/>
      <c r="H1366" s="51"/>
      <c r="I1366" s="51"/>
      <c r="J1366" s="49"/>
      <c r="K1366" s="51"/>
      <c r="L1366" s="51"/>
      <c r="M1366" s="52"/>
      <c r="N1366" s="51"/>
      <c r="O1366" s="51"/>
      <c r="P1366" s="25"/>
    </row>
    <row r="1367">
      <c r="A1367" s="25"/>
      <c r="B1367" s="49"/>
      <c r="C1367" s="50"/>
      <c r="D1367" s="50"/>
      <c r="E1367" s="50"/>
      <c r="F1367" s="51"/>
      <c r="G1367" s="51"/>
      <c r="H1367" s="51"/>
      <c r="I1367" s="51"/>
      <c r="J1367" s="49"/>
      <c r="K1367" s="51"/>
      <c r="L1367" s="51"/>
      <c r="M1367" s="52"/>
      <c r="N1367" s="51"/>
      <c r="O1367" s="51"/>
      <c r="P1367" s="25"/>
    </row>
    <row r="1368">
      <c r="A1368" s="25"/>
      <c r="B1368" s="49"/>
      <c r="C1368" s="50"/>
      <c r="D1368" s="50"/>
      <c r="E1368" s="50"/>
      <c r="F1368" s="51"/>
      <c r="G1368" s="51"/>
      <c r="H1368" s="51"/>
      <c r="I1368" s="51"/>
      <c r="J1368" s="49"/>
      <c r="K1368" s="51"/>
      <c r="L1368" s="51"/>
      <c r="M1368" s="52"/>
      <c r="N1368" s="51"/>
      <c r="O1368" s="51"/>
      <c r="P1368" s="25"/>
    </row>
    <row r="1369">
      <c r="A1369" s="25"/>
      <c r="B1369" s="49"/>
      <c r="C1369" s="50"/>
      <c r="D1369" s="50"/>
      <c r="E1369" s="50"/>
      <c r="F1369" s="51"/>
      <c r="G1369" s="51"/>
      <c r="H1369" s="51"/>
      <c r="I1369" s="51"/>
      <c r="J1369" s="49"/>
      <c r="K1369" s="51"/>
      <c r="L1369" s="51"/>
      <c r="M1369" s="52"/>
      <c r="N1369" s="51"/>
      <c r="O1369" s="51"/>
      <c r="P1369" s="25"/>
    </row>
    <row r="1370">
      <c r="A1370" s="25"/>
      <c r="B1370" s="49"/>
      <c r="C1370" s="50"/>
      <c r="D1370" s="50"/>
      <c r="E1370" s="50"/>
      <c r="F1370" s="51"/>
      <c r="G1370" s="51"/>
      <c r="H1370" s="51"/>
      <c r="I1370" s="51"/>
      <c r="J1370" s="49"/>
      <c r="K1370" s="51"/>
      <c r="L1370" s="51"/>
      <c r="M1370" s="52"/>
      <c r="N1370" s="51"/>
      <c r="O1370" s="51"/>
      <c r="P1370" s="25"/>
    </row>
    <row r="1371">
      <c r="A1371" s="25"/>
      <c r="B1371" s="49"/>
      <c r="C1371" s="50"/>
      <c r="D1371" s="50"/>
      <c r="E1371" s="50"/>
      <c r="F1371" s="51"/>
      <c r="G1371" s="51"/>
      <c r="H1371" s="51"/>
      <c r="I1371" s="51"/>
      <c r="J1371" s="49"/>
      <c r="K1371" s="51"/>
      <c r="L1371" s="51"/>
      <c r="M1371" s="52"/>
      <c r="N1371" s="51"/>
      <c r="O1371" s="51"/>
      <c r="P1371" s="25"/>
    </row>
    <row r="1372">
      <c r="A1372" s="25"/>
      <c r="B1372" s="49"/>
      <c r="C1372" s="50"/>
      <c r="D1372" s="50"/>
      <c r="E1372" s="50"/>
      <c r="F1372" s="51"/>
      <c r="G1372" s="51"/>
      <c r="H1372" s="51"/>
      <c r="I1372" s="51"/>
      <c r="J1372" s="49"/>
      <c r="K1372" s="51"/>
      <c r="L1372" s="51"/>
      <c r="M1372" s="52"/>
      <c r="N1372" s="51"/>
      <c r="O1372" s="51"/>
      <c r="P1372" s="25"/>
    </row>
    <row r="1373">
      <c r="A1373" s="25"/>
      <c r="B1373" s="49"/>
      <c r="C1373" s="50"/>
      <c r="D1373" s="50"/>
      <c r="E1373" s="50"/>
      <c r="F1373" s="51"/>
      <c r="G1373" s="51"/>
      <c r="H1373" s="51"/>
      <c r="I1373" s="51"/>
      <c r="J1373" s="49"/>
      <c r="K1373" s="51"/>
      <c r="L1373" s="51"/>
      <c r="M1373" s="52"/>
      <c r="N1373" s="51"/>
      <c r="O1373" s="51"/>
      <c r="P1373" s="25"/>
    </row>
    <row r="1374">
      <c r="A1374" s="25"/>
      <c r="B1374" s="49"/>
      <c r="C1374" s="50"/>
      <c r="D1374" s="50"/>
      <c r="E1374" s="50"/>
      <c r="F1374" s="51"/>
      <c r="G1374" s="51"/>
      <c r="H1374" s="51"/>
      <c r="I1374" s="51"/>
      <c r="J1374" s="49"/>
      <c r="K1374" s="51"/>
      <c r="L1374" s="51"/>
      <c r="M1374" s="52"/>
      <c r="N1374" s="51"/>
      <c r="O1374" s="51"/>
      <c r="P1374" s="25"/>
    </row>
    <row r="1375">
      <c r="A1375" s="25"/>
      <c r="B1375" s="49"/>
      <c r="C1375" s="50"/>
      <c r="D1375" s="50"/>
      <c r="E1375" s="50"/>
      <c r="F1375" s="51"/>
      <c r="G1375" s="51"/>
      <c r="H1375" s="51"/>
      <c r="I1375" s="51"/>
      <c r="J1375" s="49"/>
      <c r="K1375" s="51"/>
      <c r="L1375" s="51"/>
      <c r="M1375" s="52"/>
      <c r="N1375" s="51"/>
      <c r="O1375" s="51"/>
      <c r="P1375" s="25"/>
    </row>
    <row r="1376">
      <c r="A1376" s="25"/>
      <c r="B1376" s="49"/>
      <c r="C1376" s="50"/>
      <c r="D1376" s="50"/>
      <c r="E1376" s="50"/>
      <c r="F1376" s="51"/>
      <c r="G1376" s="51"/>
      <c r="H1376" s="51"/>
      <c r="I1376" s="51"/>
      <c r="J1376" s="49"/>
      <c r="K1376" s="51"/>
      <c r="L1376" s="51"/>
      <c r="M1376" s="52"/>
      <c r="N1376" s="51"/>
      <c r="O1376" s="51"/>
      <c r="P1376" s="25"/>
    </row>
    <row r="1377">
      <c r="A1377" s="25"/>
      <c r="B1377" s="49"/>
      <c r="C1377" s="50"/>
      <c r="D1377" s="50"/>
      <c r="E1377" s="50"/>
      <c r="F1377" s="51"/>
      <c r="G1377" s="51"/>
      <c r="H1377" s="51"/>
      <c r="I1377" s="51"/>
      <c r="J1377" s="49"/>
      <c r="K1377" s="51"/>
      <c r="L1377" s="51"/>
      <c r="M1377" s="52"/>
      <c r="N1377" s="51"/>
      <c r="O1377" s="51"/>
      <c r="P1377" s="25"/>
    </row>
    <row r="1378">
      <c r="A1378" s="25"/>
      <c r="B1378" s="49"/>
      <c r="C1378" s="50"/>
      <c r="D1378" s="50"/>
      <c r="E1378" s="50"/>
      <c r="F1378" s="51"/>
      <c r="G1378" s="51"/>
      <c r="H1378" s="51"/>
      <c r="I1378" s="51"/>
      <c r="J1378" s="49"/>
      <c r="K1378" s="51"/>
      <c r="L1378" s="51"/>
      <c r="M1378" s="52"/>
      <c r="N1378" s="51"/>
      <c r="O1378" s="51"/>
      <c r="P1378" s="25"/>
    </row>
    <row r="1379">
      <c r="A1379" s="25"/>
      <c r="B1379" s="49"/>
      <c r="C1379" s="50"/>
      <c r="D1379" s="50"/>
      <c r="E1379" s="50"/>
      <c r="F1379" s="51"/>
      <c r="G1379" s="51"/>
      <c r="H1379" s="51"/>
      <c r="I1379" s="51"/>
      <c r="J1379" s="49"/>
      <c r="K1379" s="51"/>
      <c r="L1379" s="51"/>
      <c r="M1379" s="52"/>
      <c r="N1379" s="51"/>
      <c r="O1379" s="51"/>
      <c r="P1379" s="25"/>
    </row>
    <row r="1380">
      <c r="A1380" s="25"/>
      <c r="B1380" s="49"/>
      <c r="C1380" s="50"/>
      <c r="D1380" s="50"/>
      <c r="E1380" s="50"/>
      <c r="F1380" s="51"/>
      <c r="G1380" s="51"/>
      <c r="H1380" s="51"/>
      <c r="I1380" s="51"/>
      <c r="J1380" s="49"/>
      <c r="K1380" s="51"/>
      <c r="L1380" s="51"/>
      <c r="M1380" s="52"/>
      <c r="N1380" s="51"/>
      <c r="O1380" s="51"/>
      <c r="P1380" s="25"/>
    </row>
    <row r="1381">
      <c r="A1381" s="25"/>
      <c r="B1381" s="49"/>
      <c r="C1381" s="50"/>
      <c r="D1381" s="50"/>
      <c r="E1381" s="50"/>
      <c r="F1381" s="51"/>
      <c r="G1381" s="51"/>
      <c r="H1381" s="51"/>
      <c r="I1381" s="51"/>
      <c r="J1381" s="49"/>
      <c r="K1381" s="51"/>
      <c r="L1381" s="51"/>
      <c r="M1381" s="52"/>
      <c r="N1381" s="51"/>
      <c r="O1381" s="51"/>
      <c r="P1381" s="25"/>
    </row>
    <row r="1382">
      <c r="A1382" s="25"/>
      <c r="B1382" s="49"/>
      <c r="C1382" s="50"/>
      <c r="D1382" s="50"/>
      <c r="E1382" s="50"/>
      <c r="F1382" s="51"/>
      <c r="G1382" s="51"/>
      <c r="H1382" s="51"/>
      <c r="I1382" s="51"/>
      <c r="J1382" s="49"/>
      <c r="K1382" s="51"/>
      <c r="L1382" s="51"/>
      <c r="M1382" s="52"/>
      <c r="N1382" s="51"/>
      <c r="O1382" s="51"/>
      <c r="P1382" s="25"/>
    </row>
    <row r="1383">
      <c r="A1383" s="25"/>
      <c r="B1383" s="49"/>
      <c r="C1383" s="50"/>
      <c r="D1383" s="50"/>
      <c r="E1383" s="50"/>
      <c r="F1383" s="51"/>
      <c r="G1383" s="51"/>
      <c r="H1383" s="51"/>
      <c r="I1383" s="51"/>
      <c r="J1383" s="49"/>
      <c r="K1383" s="51"/>
      <c r="L1383" s="51"/>
      <c r="M1383" s="52"/>
      <c r="N1383" s="51"/>
      <c r="O1383" s="51"/>
      <c r="P1383" s="25"/>
    </row>
    <row r="1384">
      <c r="A1384" s="25"/>
      <c r="B1384" s="49"/>
      <c r="C1384" s="50"/>
      <c r="D1384" s="50"/>
      <c r="E1384" s="50"/>
      <c r="F1384" s="51"/>
      <c r="G1384" s="51"/>
      <c r="H1384" s="51"/>
      <c r="I1384" s="51"/>
      <c r="J1384" s="49"/>
      <c r="K1384" s="51"/>
      <c r="L1384" s="51"/>
      <c r="M1384" s="52"/>
      <c r="N1384" s="51"/>
      <c r="O1384" s="51"/>
      <c r="P1384" s="25"/>
    </row>
    <row r="1385">
      <c r="A1385" s="25"/>
      <c r="B1385" s="49"/>
      <c r="C1385" s="50"/>
      <c r="D1385" s="50"/>
      <c r="E1385" s="50"/>
      <c r="F1385" s="51"/>
      <c r="G1385" s="51"/>
      <c r="H1385" s="51"/>
      <c r="I1385" s="51"/>
      <c r="J1385" s="49"/>
      <c r="K1385" s="51"/>
      <c r="L1385" s="51"/>
      <c r="M1385" s="52"/>
      <c r="N1385" s="51"/>
      <c r="O1385" s="51"/>
      <c r="P1385" s="25"/>
    </row>
    <row r="1386">
      <c r="A1386" s="25"/>
      <c r="B1386" s="49"/>
      <c r="C1386" s="50"/>
      <c r="D1386" s="50"/>
      <c r="E1386" s="50"/>
      <c r="F1386" s="51"/>
      <c r="G1386" s="51"/>
      <c r="H1386" s="51"/>
      <c r="I1386" s="51"/>
      <c r="J1386" s="49"/>
      <c r="K1386" s="51"/>
      <c r="L1386" s="51"/>
      <c r="M1386" s="52"/>
      <c r="N1386" s="51"/>
      <c r="O1386" s="51"/>
      <c r="P1386" s="25"/>
    </row>
    <row r="1387">
      <c r="A1387" s="25"/>
      <c r="B1387" s="49"/>
      <c r="C1387" s="50"/>
      <c r="D1387" s="50"/>
      <c r="E1387" s="50"/>
      <c r="F1387" s="51"/>
      <c r="G1387" s="51"/>
      <c r="H1387" s="51"/>
      <c r="I1387" s="51"/>
      <c r="J1387" s="49"/>
      <c r="K1387" s="51"/>
      <c r="L1387" s="51"/>
      <c r="M1387" s="52"/>
      <c r="N1387" s="51"/>
      <c r="O1387" s="51"/>
      <c r="P1387" s="25"/>
    </row>
    <row r="1388">
      <c r="A1388" s="25"/>
      <c r="B1388" s="49"/>
      <c r="C1388" s="50"/>
      <c r="D1388" s="50"/>
      <c r="E1388" s="50"/>
      <c r="F1388" s="51"/>
      <c r="G1388" s="51"/>
      <c r="H1388" s="51"/>
      <c r="I1388" s="51"/>
      <c r="J1388" s="49"/>
      <c r="K1388" s="51"/>
      <c r="L1388" s="51"/>
      <c r="M1388" s="52"/>
      <c r="N1388" s="51"/>
      <c r="O1388" s="51"/>
      <c r="P1388" s="25"/>
    </row>
    <row r="1389">
      <c r="A1389" s="25"/>
      <c r="B1389" s="49"/>
      <c r="C1389" s="50"/>
      <c r="D1389" s="50"/>
      <c r="E1389" s="50"/>
      <c r="F1389" s="51"/>
      <c r="G1389" s="51"/>
      <c r="H1389" s="51"/>
      <c r="I1389" s="51"/>
      <c r="J1389" s="49"/>
      <c r="K1389" s="51"/>
      <c r="L1389" s="51"/>
      <c r="M1389" s="52"/>
      <c r="N1389" s="51"/>
      <c r="O1389" s="51"/>
      <c r="P1389" s="25"/>
    </row>
    <row r="1390">
      <c r="A1390" s="25"/>
      <c r="B1390" s="49"/>
      <c r="C1390" s="50"/>
      <c r="D1390" s="50"/>
      <c r="E1390" s="50"/>
      <c r="F1390" s="51"/>
      <c r="G1390" s="51"/>
      <c r="H1390" s="51"/>
      <c r="I1390" s="51"/>
      <c r="J1390" s="49"/>
      <c r="K1390" s="51"/>
      <c r="L1390" s="51"/>
      <c r="M1390" s="52"/>
      <c r="N1390" s="51"/>
      <c r="O1390" s="51"/>
      <c r="P1390" s="25"/>
    </row>
    <row r="1391">
      <c r="A1391" s="25"/>
      <c r="B1391" s="49"/>
      <c r="C1391" s="50"/>
      <c r="D1391" s="50"/>
      <c r="E1391" s="50"/>
      <c r="F1391" s="51"/>
      <c r="G1391" s="51"/>
      <c r="H1391" s="51"/>
      <c r="I1391" s="51"/>
      <c r="J1391" s="49"/>
      <c r="K1391" s="51"/>
      <c r="L1391" s="51"/>
      <c r="M1391" s="52"/>
      <c r="N1391" s="51"/>
      <c r="O1391" s="51"/>
      <c r="P1391" s="25"/>
    </row>
    <row r="1392">
      <c r="A1392" s="25"/>
      <c r="B1392" s="49"/>
      <c r="C1392" s="50"/>
      <c r="D1392" s="50"/>
      <c r="E1392" s="50"/>
      <c r="F1392" s="51"/>
      <c r="G1392" s="51"/>
      <c r="H1392" s="51"/>
      <c r="I1392" s="51"/>
      <c r="J1392" s="49"/>
      <c r="K1392" s="51"/>
      <c r="L1392" s="51"/>
      <c r="M1392" s="52"/>
      <c r="N1392" s="51"/>
      <c r="O1392" s="51"/>
      <c r="P1392" s="25"/>
    </row>
    <row r="1393">
      <c r="A1393" s="25"/>
      <c r="B1393" s="49"/>
      <c r="C1393" s="50"/>
      <c r="D1393" s="50"/>
      <c r="E1393" s="50"/>
      <c r="F1393" s="51"/>
      <c r="G1393" s="51"/>
      <c r="H1393" s="51"/>
      <c r="I1393" s="51"/>
      <c r="J1393" s="49"/>
      <c r="K1393" s="51"/>
      <c r="L1393" s="51"/>
      <c r="M1393" s="52"/>
      <c r="N1393" s="51"/>
      <c r="O1393" s="51"/>
      <c r="P1393" s="25"/>
    </row>
    <row r="1394">
      <c r="A1394" s="25"/>
      <c r="B1394" s="49"/>
      <c r="C1394" s="50"/>
      <c r="D1394" s="50"/>
      <c r="E1394" s="50"/>
      <c r="F1394" s="51"/>
      <c r="G1394" s="51"/>
      <c r="H1394" s="51"/>
      <c r="I1394" s="51"/>
      <c r="J1394" s="49"/>
      <c r="K1394" s="51"/>
      <c r="L1394" s="51"/>
      <c r="M1394" s="52"/>
      <c r="N1394" s="51"/>
      <c r="O1394" s="51"/>
      <c r="P1394" s="25"/>
    </row>
    <row r="1395">
      <c r="A1395" s="25"/>
      <c r="B1395" s="49"/>
      <c r="C1395" s="50"/>
      <c r="D1395" s="50"/>
      <c r="E1395" s="50"/>
      <c r="F1395" s="51"/>
      <c r="G1395" s="51"/>
      <c r="H1395" s="51"/>
      <c r="I1395" s="51"/>
      <c r="J1395" s="49"/>
      <c r="K1395" s="51"/>
      <c r="L1395" s="51"/>
      <c r="M1395" s="52"/>
      <c r="N1395" s="51"/>
      <c r="O1395" s="51"/>
      <c r="P1395" s="25"/>
    </row>
    <row r="1396">
      <c r="A1396" s="25"/>
      <c r="B1396" s="49"/>
      <c r="C1396" s="50"/>
      <c r="D1396" s="50"/>
      <c r="E1396" s="50"/>
      <c r="F1396" s="51"/>
      <c r="G1396" s="51"/>
      <c r="H1396" s="51"/>
      <c r="I1396" s="51"/>
      <c r="J1396" s="49"/>
      <c r="K1396" s="51"/>
      <c r="L1396" s="51"/>
      <c r="M1396" s="52"/>
      <c r="N1396" s="51"/>
      <c r="O1396" s="51"/>
      <c r="P1396" s="25"/>
    </row>
    <row r="1397">
      <c r="A1397" s="25"/>
      <c r="B1397" s="49"/>
      <c r="C1397" s="50"/>
      <c r="D1397" s="50"/>
      <c r="E1397" s="50"/>
      <c r="F1397" s="51"/>
      <c r="G1397" s="51"/>
      <c r="H1397" s="51"/>
      <c r="I1397" s="51"/>
      <c r="J1397" s="49"/>
      <c r="K1397" s="51"/>
      <c r="L1397" s="51"/>
      <c r="M1397" s="52"/>
      <c r="N1397" s="51"/>
      <c r="O1397" s="51"/>
      <c r="P1397" s="25"/>
    </row>
    <row r="1398">
      <c r="A1398" s="25"/>
      <c r="B1398" s="49"/>
      <c r="C1398" s="50"/>
      <c r="D1398" s="50"/>
      <c r="E1398" s="50"/>
      <c r="F1398" s="51"/>
      <c r="G1398" s="51"/>
      <c r="H1398" s="51"/>
      <c r="I1398" s="51"/>
      <c r="J1398" s="49"/>
      <c r="K1398" s="51"/>
      <c r="L1398" s="51"/>
      <c r="M1398" s="52"/>
      <c r="N1398" s="51"/>
      <c r="O1398" s="51"/>
      <c r="P1398" s="25"/>
    </row>
    <row r="1399">
      <c r="A1399" s="25"/>
      <c r="B1399" s="49"/>
      <c r="C1399" s="50"/>
      <c r="D1399" s="50"/>
      <c r="E1399" s="50"/>
      <c r="F1399" s="51"/>
      <c r="G1399" s="51"/>
      <c r="H1399" s="51"/>
      <c r="I1399" s="51"/>
      <c r="J1399" s="49"/>
      <c r="K1399" s="51"/>
      <c r="L1399" s="51"/>
      <c r="M1399" s="52"/>
      <c r="N1399" s="51"/>
      <c r="O1399" s="51"/>
      <c r="P1399" s="25"/>
    </row>
    <row r="1400">
      <c r="A1400" s="25"/>
      <c r="B1400" s="49"/>
      <c r="C1400" s="50"/>
      <c r="D1400" s="50"/>
      <c r="E1400" s="50"/>
      <c r="F1400" s="51"/>
      <c r="G1400" s="51"/>
      <c r="H1400" s="51"/>
      <c r="I1400" s="51"/>
      <c r="J1400" s="49"/>
      <c r="K1400" s="51"/>
      <c r="L1400" s="51"/>
      <c r="M1400" s="52"/>
      <c r="N1400" s="51"/>
      <c r="O1400" s="51"/>
      <c r="P1400" s="25"/>
    </row>
    <row r="1401">
      <c r="A1401" s="25"/>
      <c r="B1401" s="49"/>
      <c r="C1401" s="50"/>
      <c r="D1401" s="50"/>
      <c r="E1401" s="50"/>
      <c r="F1401" s="51"/>
      <c r="G1401" s="51"/>
      <c r="H1401" s="51"/>
      <c r="I1401" s="51"/>
      <c r="J1401" s="49"/>
      <c r="K1401" s="51"/>
      <c r="L1401" s="51"/>
      <c r="M1401" s="52"/>
      <c r="N1401" s="51"/>
      <c r="O1401" s="51"/>
      <c r="P1401" s="25"/>
    </row>
    <row r="1402">
      <c r="A1402" s="25"/>
      <c r="B1402" s="49"/>
      <c r="C1402" s="50"/>
      <c r="D1402" s="50"/>
      <c r="E1402" s="50"/>
      <c r="F1402" s="51"/>
      <c r="G1402" s="51"/>
      <c r="H1402" s="51"/>
      <c r="I1402" s="51"/>
      <c r="J1402" s="49"/>
      <c r="K1402" s="51"/>
      <c r="L1402" s="51"/>
      <c r="M1402" s="52"/>
      <c r="N1402" s="51"/>
      <c r="O1402" s="51"/>
      <c r="P1402" s="25"/>
    </row>
    <row r="1403">
      <c r="A1403" s="25"/>
      <c r="B1403" s="49"/>
      <c r="C1403" s="50"/>
      <c r="D1403" s="50"/>
      <c r="E1403" s="50"/>
      <c r="F1403" s="51"/>
      <c r="G1403" s="51"/>
      <c r="H1403" s="51"/>
      <c r="I1403" s="51"/>
      <c r="J1403" s="49"/>
      <c r="K1403" s="51"/>
      <c r="L1403" s="51"/>
      <c r="M1403" s="52"/>
      <c r="N1403" s="51"/>
      <c r="O1403" s="51"/>
      <c r="P1403" s="25"/>
    </row>
    <row r="1404">
      <c r="A1404" s="25"/>
      <c r="B1404" s="49"/>
      <c r="C1404" s="50"/>
      <c r="D1404" s="50"/>
      <c r="E1404" s="50"/>
      <c r="F1404" s="51"/>
      <c r="G1404" s="51"/>
      <c r="H1404" s="51"/>
      <c r="I1404" s="51"/>
      <c r="J1404" s="49"/>
      <c r="K1404" s="51"/>
      <c r="L1404" s="51"/>
      <c r="M1404" s="52"/>
      <c r="N1404" s="51"/>
      <c r="O1404" s="51"/>
      <c r="P1404" s="25"/>
    </row>
    <row r="1405">
      <c r="A1405" s="25"/>
      <c r="B1405" s="49"/>
      <c r="C1405" s="50"/>
      <c r="D1405" s="50"/>
      <c r="E1405" s="50"/>
      <c r="F1405" s="51"/>
      <c r="G1405" s="51"/>
      <c r="H1405" s="51"/>
      <c r="I1405" s="51"/>
      <c r="J1405" s="49"/>
      <c r="K1405" s="51"/>
      <c r="L1405" s="51"/>
      <c r="M1405" s="52"/>
      <c r="N1405" s="51"/>
      <c r="O1405" s="51"/>
      <c r="P1405" s="25"/>
    </row>
    <row r="1406">
      <c r="A1406" s="25"/>
      <c r="B1406" s="49"/>
      <c r="C1406" s="50"/>
      <c r="D1406" s="50"/>
      <c r="E1406" s="50"/>
      <c r="F1406" s="51"/>
      <c r="G1406" s="51"/>
      <c r="H1406" s="51"/>
      <c r="I1406" s="51"/>
      <c r="J1406" s="49"/>
      <c r="K1406" s="51"/>
      <c r="L1406" s="51"/>
      <c r="M1406" s="52"/>
      <c r="N1406" s="51"/>
      <c r="O1406" s="51"/>
      <c r="P1406" s="25"/>
    </row>
    <row r="1407">
      <c r="A1407" s="25"/>
      <c r="B1407" s="49"/>
      <c r="C1407" s="50"/>
      <c r="D1407" s="50"/>
      <c r="E1407" s="50"/>
      <c r="F1407" s="51"/>
      <c r="G1407" s="51"/>
      <c r="H1407" s="51"/>
      <c r="I1407" s="51"/>
      <c r="J1407" s="49"/>
      <c r="K1407" s="51"/>
      <c r="L1407" s="51"/>
      <c r="M1407" s="52"/>
      <c r="N1407" s="51"/>
      <c r="O1407" s="51"/>
      <c r="P1407" s="25"/>
    </row>
    <row r="1408">
      <c r="A1408" s="25"/>
      <c r="B1408" s="49"/>
      <c r="C1408" s="50"/>
      <c r="D1408" s="50"/>
      <c r="E1408" s="50"/>
      <c r="F1408" s="51"/>
      <c r="G1408" s="51"/>
      <c r="H1408" s="51"/>
      <c r="I1408" s="51"/>
      <c r="J1408" s="49"/>
      <c r="K1408" s="51"/>
      <c r="L1408" s="51"/>
      <c r="M1408" s="52"/>
      <c r="N1408" s="51"/>
      <c r="O1408" s="51"/>
      <c r="P1408" s="25"/>
    </row>
    <row r="1409">
      <c r="A1409" s="25"/>
      <c r="B1409" s="49"/>
      <c r="C1409" s="50"/>
      <c r="D1409" s="50"/>
      <c r="E1409" s="50"/>
      <c r="F1409" s="51"/>
      <c r="G1409" s="51"/>
      <c r="H1409" s="51"/>
      <c r="I1409" s="51"/>
      <c r="J1409" s="49"/>
      <c r="K1409" s="51"/>
      <c r="L1409" s="51"/>
      <c r="M1409" s="52"/>
      <c r="N1409" s="51"/>
      <c r="O1409" s="51"/>
      <c r="P1409" s="25"/>
    </row>
    <row r="1410">
      <c r="A1410" s="25"/>
      <c r="B1410" s="49"/>
      <c r="C1410" s="50"/>
      <c r="D1410" s="50"/>
      <c r="E1410" s="50"/>
      <c r="F1410" s="51"/>
      <c r="G1410" s="51"/>
      <c r="H1410" s="51"/>
      <c r="I1410" s="51"/>
      <c r="J1410" s="49"/>
      <c r="K1410" s="51"/>
      <c r="L1410" s="51"/>
      <c r="M1410" s="52"/>
      <c r="N1410" s="51"/>
      <c r="O1410" s="51"/>
      <c r="P1410" s="25"/>
    </row>
    <row r="1411">
      <c r="A1411" s="25"/>
      <c r="B1411" s="49"/>
      <c r="C1411" s="50"/>
      <c r="D1411" s="50"/>
      <c r="E1411" s="50"/>
      <c r="F1411" s="51"/>
      <c r="G1411" s="51"/>
      <c r="H1411" s="51"/>
      <c r="I1411" s="51"/>
      <c r="J1411" s="49"/>
      <c r="K1411" s="51"/>
      <c r="L1411" s="51"/>
      <c r="M1411" s="52"/>
      <c r="N1411" s="51"/>
      <c r="O1411" s="51"/>
      <c r="P1411" s="25"/>
    </row>
    <row r="1412">
      <c r="A1412" s="25"/>
      <c r="B1412" s="49"/>
      <c r="C1412" s="50"/>
      <c r="D1412" s="50"/>
      <c r="E1412" s="50"/>
      <c r="F1412" s="51"/>
      <c r="G1412" s="51"/>
      <c r="H1412" s="51"/>
      <c r="I1412" s="51"/>
      <c r="J1412" s="49"/>
      <c r="K1412" s="51"/>
      <c r="L1412" s="51"/>
      <c r="M1412" s="52"/>
      <c r="N1412" s="51"/>
      <c r="O1412" s="51"/>
      <c r="P1412" s="25"/>
    </row>
    <row r="1413">
      <c r="A1413" s="25"/>
      <c r="B1413" s="49"/>
      <c r="C1413" s="50"/>
      <c r="D1413" s="50"/>
      <c r="E1413" s="50"/>
      <c r="F1413" s="51"/>
      <c r="G1413" s="51"/>
      <c r="H1413" s="51"/>
      <c r="I1413" s="51"/>
      <c r="J1413" s="49"/>
      <c r="K1413" s="51"/>
      <c r="L1413" s="51"/>
      <c r="M1413" s="52"/>
      <c r="N1413" s="51"/>
      <c r="O1413" s="51"/>
      <c r="P1413" s="25"/>
    </row>
    <row r="1414">
      <c r="A1414" s="25"/>
      <c r="B1414" s="49"/>
      <c r="C1414" s="50"/>
      <c r="D1414" s="50"/>
      <c r="E1414" s="50"/>
      <c r="F1414" s="51"/>
      <c r="G1414" s="51"/>
      <c r="H1414" s="51"/>
      <c r="I1414" s="51"/>
      <c r="J1414" s="49"/>
      <c r="K1414" s="51"/>
      <c r="L1414" s="51"/>
      <c r="M1414" s="52"/>
      <c r="N1414" s="51"/>
      <c r="O1414" s="51"/>
      <c r="P1414" s="25"/>
    </row>
    <row r="1415">
      <c r="A1415" s="25"/>
      <c r="B1415" s="49"/>
      <c r="C1415" s="50"/>
      <c r="D1415" s="50"/>
      <c r="E1415" s="50"/>
      <c r="F1415" s="51"/>
      <c r="G1415" s="51"/>
      <c r="H1415" s="51"/>
      <c r="I1415" s="51"/>
      <c r="J1415" s="49"/>
      <c r="K1415" s="51"/>
      <c r="L1415" s="51"/>
      <c r="M1415" s="52"/>
      <c r="N1415" s="51"/>
      <c r="O1415" s="51"/>
      <c r="P1415" s="25"/>
    </row>
    <row r="1416">
      <c r="A1416" s="25"/>
      <c r="B1416" s="49"/>
      <c r="C1416" s="50"/>
      <c r="D1416" s="50"/>
      <c r="E1416" s="50"/>
      <c r="F1416" s="51"/>
      <c r="G1416" s="51"/>
      <c r="H1416" s="51"/>
      <c r="I1416" s="51"/>
      <c r="J1416" s="49"/>
      <c r="K1416" s="51"/>
      <c r="L1416" s="51"/>
      <c r="M1416" s="52"/>
      <c r="N1416" s="51"/>
      <c r="O1416" s="51"/>
      <c r="P1416" s="25"/>
    </row>
    <row r="1417">
      <c r="A1417" s="25"/>
      <c r="B1417" s="49"/>
      <c r="C1417" s="50"/>
      <c r="D1417" s="50"/>
      <c r="E1417" s="50"/>
      <c r="F1417" s="51"/>
      <c r="G1417" s="51"/>
      <c r="H1417" s="51"/>
      <c r="I1417" s="51"/>
      <c r="J1417" s="49"/>
      <c r="K1417" s="51"/>
      <c r="L1417" s="51"/>
      <c r="M1417" s="52"/>
      <c r="N1417" s="51"/>
      <c r="O1417" s="51"/>
      <c r="P1417" s="25"/>
    </row>
    <row r="1418">
      <c r="A1418" s="25"/>
      <c r="B1418" s="49"/>
      <c r="C1418" s="50"/>
      <c r="D1418" s="50"/>
      <c r="E1418" s="50"/>
      <c r="F1418" s="51"/>
      <c r="G1418" s="51"/>
      <c r="H1418" s="51"/>
      <c r="I1418" s="51"/>
      <c r="J1418" s="49"/>
      <c r="K1418" s="51"/>
      <c r="L1418" s="51"/>
      <c r="M1418" s="52"/>
      <c r="N1418" s="51"/>
      <c r="O1418" s="51"/>
      <c r="P1418" s="25"/>
    </row>
    <row r="1419">
      <c r="A1419" s="25"/>
      <c r="B1419" s="49"/>
      <c r="C1419" s="50"/>
      <c r="D1419" s="50"/>
      <c r="E1419" s="50"/>
      <c r="F1419" s="51"/>
      <c r="G1419" s="51"/>
      <c r="H1419" s="51"/>
      <c r="I1419" s="51"/>
      <c r="J1419" s="49"/>
      <c r="K1419" s="51"/>
      <c r="L1419" s="51"/>
      <c r="M1419" s="52"/>
      <c r="N1419" s="51"/>
      <c r="O1419" s="51"/>
      <c r="P1419" s="25"/>
    </row>
    <row r="1420">
      <c r="A1420" s="25"/>
      <c r="B1420" s="49"/>
      <c r="C1420" s="50"/>
      <c r="D1420" s="50"/>
      <c r="E1420" s="50"/>
      <c r="F1420" s="51"/>
      <c r="G1420" s="51"/>
      <c r="H1420" s="51"/>
      <c r="I1420" s="51"/>
      <c r="J1420" s="49"/>
      <c r="K1420" s="51"/>
      <c r="L1420" s="51"/>
      <c r="M1420" s="52"/>
      <c r="N1420" s="51"/>
      <c r="O1420" s="51"/>
      <c r="P1420" s="25"/>
    </row>
    <row r="1421">
      <c r="A1421" s="25"/>
      <c r="B1421" s="49"/>
      <c r="C1421" s="50"/>
      <c r="D1421" s="50"/>
      <c r="E1421" s="50"/>
      <c r="F1421" s="51"/>
      <c r="G1421" s="51"/>
      <c r="H1421" s="51"/>
      <c r="I1421" s="51"/>
      <c r="J1421" s="49"/>
      <c r="K1421" s="51"/>
      <c r="L1421" s="51"/>
      <c r="M1421" s="52"/>
      <c r="N1421" s="51"/>
      <c r="O1421" s="51"/>
      <c r="P1421" s="25"/>
    </row>
    <row r="1422">
      <c r="A1422" s="25"/>
      <c r="B1422" s="49"/>
      <c r="C1422" s="50"/>
      <c r="D1422" s="50"/>
      <c r="E1422" s="50"/>
      <c r="F1422" s="51"/>
      <c r="G1422" s="51"/>
      <c r="H1422" s="51"/>
      <c r="I1422" s="51"/>
      <c r="J1422" s="49"/>
      <c r="K1422" s="51"/>
      <c r="L1422" s="51"/>
      <c r="M1422" s="52"/>
      <c r="N1422" s="51"/>
      <c r="O1422" s="51"/>
      <c r="P1422" s="25"/>
    </row>
    <row r="1423">
      <c r="A1423" s="25"/>
      <c r="B1423" s="49"/>
      <c r="C1423" s="50"/>
      <c r="D1423" s="50"/>
      <c r="E1423" s="50"/>
      <c r="F1423" s="51"/>
      <c r="G1423" s="51"/>
      <c r="H1423" s="51"/>
      <c r="I1423" s="51"/>
      <c r="J1423" s="49"/>
      <c r="K1423" s="51"/>
      <c r="L1423" s="51"/>
      <c r="M1423" s="52"/>
      <c r="N1423" s="51"/>
      <c r="O1423" s="51"/>
      <c r="P1423" s="25"/>
    </row>
    <row r="1424">
      <c r="A1424" s="25"/>
      <c r="B1424" s="49"/>
      <c r="C1424" s="50"/>
      <c r="D1424" s="50"/>
      <c r="E1424" s="50"/>
      <c r="F1424" s="51"/>
      <c r="G1424" s="51"/>
      <c r="H1424" s="51"/>
      <c r="I1424" s="51"/>
      <c r="J1424" s="49"/>
      <c r="K1424" s="51"/>
      <c r="L1424" s="51"/>
      <c r="M1424" s="52"/>
      <c r="N1424" s="51"/>
      <c r="O1424" s="51"/>
      <c r="P1424" s="25"/>
    </row>
    <row r="1425">
      <c r="A1425" s="25"/>
      <c r="B1425" s="49"/>
      <c r="C1425" s="50"/>
      <c r="D1425" s="50"/>
      <c r="E1425" s="50"/>
      <c r="F1425" s="51"/>
      <c r="G1425" s="51"/>
      <c r="H1425" s="51"/>
      <c r="I1425" s="51"/>
      <c r="J1425" s="49"/>
      <c r="K1425" s="51"/>
      <c r="L1425" s="51"/>
      <c r="M1425" s="52"/>
      <c r="N1425" s="51"/>
      <c r="O1425" s="51"/>
      <c r="P1425" s="25"/>
    </row>
    <row r="1426">
      <c r="A1426" s="25"/>
      <c r="B1426" s="49"/>
      <c r="C1426" s="50"/>
      <c r="D1426" s="50"/>
      <c r="E1426" s="50"/>
      <c r="F1426" s="51"/>
      <c r="G1426" s="51"/>
      <c r="H1426" s="51"/>
      <c r="I1426" s="51"/>
      <c r="J1426" s="49"/>
      <c r="K1426" s="51"/>
      <c r="L1426" s="51"/>
      <c r="M1426" s="52"/>
      <c r="N1426" s="51"/>
      <c r="O1426" s="51"/>
      <c r="P1426" s="25"/>
    </row>
    <row r="1427">
      <c r="A1427" s="25"/>
      <c r="B1427" s="49"/>
      <c r="C1427" s="50"/>
      <c r="D1427" s="50"/>
      <c r="E1427" s="50"/>
      <c r="F1427" s="51"/>
      <c r="G1427" s="51"/>
      <c r="H1427" s="51"/>
      <c r="I1427" s="51"/>
      <c r="J1427" s="49"/>
      <c r="K1427" s="51"/>
      <c r="L1427" s="51"/>
      <c r="M1427" s="52"/>
      <c r="N1427" s="51"/>
      <c r="O1427" s="51"/>
      <c r="P1427" s="25"/>
    </row>
    <row r="1428">
      <c r="A1428" s="25"/>
      <c r="B1428" s="49"/>
      <c r="C1428" s="50"/>
      <c r="D1428" s="50"/>
      <c r="E1428" s="50"/>
      <c r="F1428" s="51"/>
      <c r="G1428" s="51"/>
      <c r="H1428" s="51"/>
      <c r="I1428" s="51"/>
      <c r="J1428" s="49"/>
      <c r="K1428" s="51"/>
      <c r="L1428" s="51"/>
      <c r="M1428" s="52"/>
      <c r="N1428" s="51"/>
      <c r="O1428" s="51"/>
      <c r="P1428" s="25"/>
    </row>
    <row r="1429">
      <c r="A1429" s="25"/>
      <c r="B1429" s="49"/>
      <c r="C1429" s="50"/>
      <c r="D1429" s="50"/>
      <c r="E1429" s="50"/>
      <c r="F1429" s="51"/>
      <c r="G1429" s="51"/>
      <c r="H1429" s="51"/>
      <c r="I1429" s="51"/>
      <c r="J1429" s="49"/>
      <c r="K1429" s="51"/>
      <c r="L1429" s="51"/>
      <c r="M1429" s="52"/>
      <c r="N1429" s="51"/>
      <c r="O1429" s="51"/>
      <c r="P1429" s="25"/>
    </row>
    <row r="1430">
      <c r="A1430" s="25"/>
      <c r="B1430" s="49"/>
      <c r="C1430" s="50"/>
      <c r="D1430" s="50"/>
      <c r="E1430" s="50"/>
      <c r="F1430" s="51"/>
      <c r="G1430" s="51"/>
      <c r="H1430" s="51"/>
      <c r="I1430" s="51"/>
      <c r="J1430" s="49"/>
      <c r="K1430" s="51"/>
      <c r="L1430" s="51"/>
      <c r="M1430" s="52"/>
      <c r="N1430" s="51"/>
      <c r="O1430" s="51"/>
      <c r="P1430" s="25"/>
    </row>
    <row r="1431">
      <c r="A1431" s="25"/>
      <c r="B1431" s="49"/>
      <c r="C1431" s="50"/>
      <c r="D1431" s="50"/>
      <c r="E1431" s="50"/>
      <c r="F1431" s="51"/>
      <c r="G1431" s="51"/>
      <c r="H1431" s="51"/>
      <c r="I1431" s="51"/>
      <c r="J1431" s="49"/>
      <c r="K1431" s="51"/>
      <c r="L1431" s="51"/>
      <c r="M1431" s="52"/>
      <c r="N1431" s="51"/>
      <c r="O1431" s="51"/>
      <c r="P1431" s="25"/>
    </row>
    <row r="1432">
      <c r="A1432" s="25"/>
      <c r="B1432" s="49"/>
      <c r="C1432" s="50"/>
      <c r="D1432" s="50"/>
      <c r="E1432" s="50"/>
      <c r="F1432" s="51"/>
      <c r="G1432" s="51"/>
      <c r="H1432" s="51"/>
      <c r="I1432" s="51"/>
      <c r="J1432" s="49"/>
      <c r="K1432" s="51"/>
      <c r="L1432" s="51"/>
      <c r="M1432" s="52"/>
      <c r="N1432" s="51"/>
      <c r="O1432" s="51"/>
      <c r="P1432" s="25"/>
    </row>
    <row r="1433">
      <c r="A1433" s="25"/>
      <c r="B1433" s="49"/>
      <c r="C1433" s="50"/>
      <c r="D1433" s="50"/>
      <c r="E1433" s="50"/>
      <c r="F1433" s="51"/>
      <c r="G1433" s="51"/>
      <c r="H1433" s="51"/>
      <c r="I1433" s="51"/>
      <c r="J1433" s="49"/>
      <c r="K1433" s="51"/>
      <c r="L1433" s="51"/>
      <c r="M1433" s="52"/>
      <c r="N1433" s="51"/>
      <c r="O1433" s="51"/>
      <c r="P1433" s="25"/>
    </row>
    <row r="1434">
      <c r="A1434" s="25"/>
      <c r="B1434" s="49"/>
      <c r="C1434" s="50"/>
      <c r="D1434" s="50"/>
      <c r="E1434" s="50"/>
      <c r="F1434" s="51"/>
      <c r="G1434" s="51"/>
      <c r="H1434" s="51"/>
      <c r="I1434" s="51"/>
      <c r="J1434" s="49"/>
      <c r="K1434" s="51"/>
      <c r="L1434" s="51"/>
      <c r="M1434" s="52"/>
      <c r="N1434" s="51"/>
      <c r="O1434" s="51"/>
      <c r="P1434" s="25"/>
    </row>
    <row r="1435">
      <c r="A1435" s="25"/>
      <c r="B1435" s="49"/>
      <c r="C1435" s="50"/>
      <c r="D1435" s="50"/>
      <c r="E1435" s="50"/>
      <c r="F1435" s="51"/>
      <c r="G1435" s="51"/>
      <c r="H1435" s="51"/>
      <c r="I1435" s="51"/>
      <c r="J1435" s="49"/>
      <c r="K1435" s="51"/>
      <c r="L1435" s="51"/>
      <c r="M1435" s="52"/>
      <c r="N1435" s="51"/>
      <c r="O1435" s="51"/>
      <c r="P1435" s="25"/>
    </row>
    <row r="1436">
      <c r="A1436" s="25"/>
      <c r="B1436" s="49"/>
      <c r="C1436" s="50"/>
      <c r="D1436" s="50"/>
      <c r="E1436" s="50"/>
      <c r="F1436" s="51"/>
      <c r="G1436" s="51"/>
      <c r="H1436" s="51"/>
      <c r="I1436" s="51"/>
      <c r="J1436" s="49"/>
      <c r="K1436" s="51"/>
      <c r="L1436" s="51"/>
      <c r="M1436" s="52"/>
      <c r="N1436" s="51"/>
      <c r="O1436" s="51"/>
      <c r="P1436" s="25"/>
    </row>
    <row r="1437">
      <c r="A1437" s="25"/>
      <c r="B1437" s="49"/>
      <c r="C1437" s="50"/>
      <c r="D1437" s="50"/>
      <c r="E1437" s="50"/>
      <c r="F1437" s="51"/>
      <c r="G1437" s="51"/>
      <c r="H1437" s="51"/>
      <c r="I1437" s="51"/>
      <c r="J1437" s="49"/>
      <c r="K1437" s="51"/>
      <c r="L1437" s="51"/>
      <c r="M1437" s="52"/>
      <c r="N1437" s="51"/>
      <c r="O1437" s="51"/>
      <c r="P1437" s="25"/>
    </row>
    <row r="1438">
      <c r="A1438" s="25"/>
      <c r="B1438" s="49"/>
      <c r="C1438" s="50"/>
      <c r="D1438" s="50"/>
      <c r="E1438" s="50"/>
      <c r="F1438" s="51"/>
      <c r="G1438" s="51"/>
      <c r="H1438" s="51"/>
      <c r="I1438" s="51"/>
      <c r="J1438" s="49"/>
      <c r="K1438" s="51"/>
      <c r="L1438" s="51"/>
      <c r="M1438" s="52"/>
      <c r="N1438" s="51"/>
      <c r="O1438" s="51"/>
      <c r="P1438" s="25"/>
    </row>
    <row r="1439">
      <c r="A1439" s="25"/>
      <c r="B1439" s="49"/>
      <c r="C1439" s="50"/>
      <c r="D1439" s="50"/>
      <c r="E1439" s="50"/>
      <c r="F1439" s="51"/>
      <c r="G1439" s="51"/>
      <c r="H1439" s="51"/>
      <c r="I1439" s="51"/>
      <c r="J1439" s="49"/>
      <c r="K1439" s="51"/>
      <c r="L1439" s="51"/>
      <c r="M1439" s="52"/>
      <c r="N1439" s="51"/>
      <c r="O1439" s="51"/>
      <c r="P1439" s="25"/>
    </row>
    <row r="1440">
      <c r="A1440" s="25"/>
      <c r="B1440" s="49"/>
      <c r="C1440" s="50"/>
      <c r="D1440" s="50"/>
      <c r="E1440" s="50"/>
      <c r="F1440" s="51"/>
      <c r="G1440" s="51"/>
      <c r="H1440" s="51"/>
      <c r="I1440" s="51"/>
      <c r="J1440" s="49"/>
      <c r="K1440" s="51"/>
      <c r="L1440" s="51"/>
      <c r="M1440" s="52"/>
      <c r="N1440" s="51"/>
      <c r="O1440" s="51"/>
      <c r="P1440" s="25"/>
    </row>
    <row r="1441">
      <c r="A1441" s="25"/>
      <c r="B1441" s="49"/>
      <c r="C1441" s="50"/>
      <c r="D1441" s="50"/>
      <c r="E1441" s="50"/>
      <c r="F1441" s="51"/>
      <c r="G1441" s="51"/>
      <c r="H1441" s="51"/>
      <c r="I1441" s="51"/>
      <c r="J1441" s="49"/>
      <c r="K1441" s="51"/>
      <c r="L1441" s="51"/>
      <c r="M1441" s="52"/>
      <c r="N1441" s="51"/>
      <c r="O1441" s="51"/>
      <c r="P1441" s="25"/>
    </row>
    <row r="1442">
      <c r="A1442" s="25"/>
      <c r="B1442" s="49"/>
      <c r="C1442" s="50"/>
      <c r="D1442" s="50"/>
      <c r="E1442" s="50"/>
      <c r="F1442" s="51"/>
      <c r="G1442" s="51"/>
      <c r="H1442" s="51"/>
      <c r="I1442" s="51"/>
      <c r="J1442" s="49"/>
      <c r="K1442" s="51"/>
      <c r="L1442" s="51"/>
      <c r="M1442" s="52"/>
      <c r="N1442" s="51"/>
      <c r="O1442" s="51"/>
      <c r="P1442" s="25"/>
    </row>
    <row r="1443">
      <c r="A1443" s="25"/>
      <c r="B1443" s="49"/>
      <c r="C1443" s="50"/>
      <c r="D1443" s="50"/>
      <c r="E1443" s="50"/>
      <c r="F1443" s="51"/>
      <c r="G1443" s="51"/>
      <c r="H1443" s="51"/>
      <c r="I1443" s="51"/>
      <c r="J1443" s="49"/>
      <c r="K1443" s="51"/>
      <c r="L1443" s="51"/>
      <c r="M1443" s="52"/>
      <c r="N1443" s="51"/>
      <c r="O1443" s="51"/>
      <c r="P1443" s="25"/>
    </row>
    <row r="1444">
      <c r="A1444" s="25"/>
      <c r="B1444" s="49"/>
      <c r="C1444" s="50"/>
      <c r="D1444" s="50"/>
      <c r="E1444" s="50"/>
      <c r="F1444" s="51"/>
      <c r="G1444" s="51"/>
      <c r="H1444" s="51"/>
      <c r="I1444" s="51"/>
      <c r="J1444" s="49"/>
      <c r="K1444" s="51"/>
      <c r="L1444" s="51"/>
      <c r="M1444" s="52"/>
      <c r="N1444" s="51"/>
      <c r="O1444" s="51"/>
      <c r="P1444" s="25"/>
    </row>
    <row r="1445">
      <c r="A1445" s="25"/>
      <c r="B1445" s="49"/>
      <c r="C1445" s="50"/>
      <c r="D1445" s="50"/>
      <c r="E1445" s="50"/>
      <c r="F1445" s="51"/>
      <c r="G1445" s="51"/>
      <c r="H1445" s="51"/>
      <c r="I1445" s="51"/>
      <c r="J1445" s="49"/>
      <c r="K1445" s="51"/>
      <c r="L1445" s="51"/>
      <c r="M1445" s="52"/>
      <c r="N1445" s="51"/>
      <c r="O1445" s="51"/>
      <c r="P1445" s="25"/>
    </row>
    <row r="1446">
      <c r="A1446" s="25"/>
      <c r="B1446" s="49"/>
      <c r="C1446" s="50"/>
      <c r="D1446" s="50"/>
      <c r="E1446" s="50"/>
      <c r="F1446" s="51"/>
      <c r="G1446" s="51"/>
      <c r="H1446" s="51"/>
      <c r="I1446" s="51"/>
      <c r="J1446" s="49"/>
      <c r="K1446" s="51"/>
      <c r="L1446" s="51"/>
      <c r="M1446" s="52"/>
      <c r="N1446" s="51"/>
      <c r="O1446" s="51"/>
      <c r="P1446" s="25"/>
    </row>
    <row r="1447">
      <c r="A1447" s="25"/>
      <c r="B1447" s="49"/>
      <c r="C1447" s="50"/>
      <c r="D1447" s="50"/>
      <c r="E1447" s="50"/>
      <c r="F1447" s="51"/>
      <c r="G1447" s="51"/>
      <c r="H1447" s="51"/>
      <c r="I1447" s="51"/>
      <c r="J1447" s="49"/>
      <c r="K1447" s="51"/>
      <c r="L1447" s="51"/>
      <c r="M1447" s="52"/>
      <c r="N1447" s="51"/>
      <c r="O1447" s="51"/>
      <c r="P1447" s="25"/>
    </row>
    <row r="1448">
      <c r="A1448" s="25"/>
      <c r="B1448" s="49"/>
      <c r="C1448" s="50"/>
      <c r="D1448" s="50"/>
      <c r="E1448" s="50"/>
      <c r="F1448" s="51"/>
      <c r="G1448" s="51"/>
      <c r="H1448" s="51"/>
      <c r="I1448" s="51"/>
      <c r="J1448" s="49"/>
      <c r="K1448" s="51"/>
      <c r="L1448" s="51"/>
      <c r="M1448" s="52"/>
      <c r="N1448" s="51"/>
      <c r="O1448" s="51"/>
      <c r="P1448" s="25"/>
    </row>
    <row r="1449">
      <c r="A1449" s="25"/>
      <c r="B1449" s="49"/>
      <c r="C1449" s="50"/>
      <c r="D1449" s="50"/>
      <c r="E1449" s="50"/>
      <c r="F1449" s="51"/>
      <c r="G1449" s="51"/>
      <c r="H1449" s="51"/>
      <c r="I1449" s="51"/>
      <c r="J1449" s="49"/>
      <c r="K1449" s="51"/>
      <c r="L1449" s="51"/>
      <c r="M1449" s="52"/>
      <c r="N1449" s="51"/>
      <c r="O1449" s="51"/>
      <c r="P1449" s="25"/>
    </row>
    <row r="1450">
      <c r="A1450" s="25"/>
      <c r="B1450" s="49"/>
      <c r="C1450" s="50"/>
      <c r="D1450" s="50"/>
      <c r="E1450" s="50"/>
      <c r="F1450" s="51"/>
      <c r="G1450" s="51"/>
      <c r="H1450" s="51"/>
      <c r="I1450" s="51"/>
      <c r="J1450" s="49"/>
      <c r="K1450" s="51"/>
      <c r="L1450" s="51"/>
      <c r="M1450" s="52"/>
      <c r="N1450" s="51"/>
      <c r="O1450" s="51"/>
      <c r="P1450" s="25"/>
    </row>
    <row r="1451">
      <c r="A1451" s="25"/>
      <c r="B1451" s="49"/>
      <c r="C1451" s="50"/>
      <c r="D1451" s="50"/>
      <c r="E1451" s="50"/>
      <c r="F1451" s="51"/>
      <c r="G1451" s="51"/>
      <c r="H1451" s="51"/>
      <c r="I1451" s="51"/>
      <c r="J1451" s="49"/>
      <c r="K1451" s="51"/>
      <c r="L1451" s="51"/>
      <c r="M1451" s="52"/>
      <c r="N1451" s="51"/>
      <c r="O1451" s="51"/>
      <c r="P1451" s="25"/>
    </row>
    <row r="1452">
      <c r="A1452" s="25"/>
      <c r="B1452" s="49"/>
      <c r="C1452" s="50"/>
      <c r="D1452" s="50"/>
      <c r="E1452" s="50"/>
      <c r="F1452" s="51"/>
      <c r="G1452" s="51"/>
      <c r="H1452" s="51"/>
      <c r="I1452" s="51"/>
      <c r="J1452" s="49"/>
      <c r="K1452" s="51"/>
      <c r="L1452" s="51"/>
      <c r="M1452" s="52"/>
      <c r="N1452" s="51"/>
      <c r="O1452" s="51"/>
      <c r="P1452" s="25"/>
    </row>
    <row r="1453">
      <c r="A1453" s="25"/>
      <c r="B1453" s="49"/>
      <c r="C1453" s="50"/>
      <c r="D1453" s="50"/>
      <c r="E1453" s="50"/>
      <c r="F1453" s="51"/>
      <c r="G1453" s="51"/>
      <c r="H1453" s="51"/>
      <c r="I1453" s="51"/>
      <c r="J1453" s="49"/>
      <c r="K1453" s="51"/>
      <c r="L1453" s="51"/>
      <c r="M1453" s="52"/>
      <c r="N1453" s="51"/>
      <c r="O1453" s="51"/>
      <c r="P1453" s="25"/>
    </row>
    <row r="1454">
      <c r="A1454" s="25"/>
      <c r="B1454" s="49"/>
      <c r="C1454" s="50"/>
      <c r="D1454" s="50"/>
      <c r="E1454" s="50"/>
      <c r="F1454" s="51"/>
      <c r="G1454" s="51"/>
      <c r="H1454" s="51"/>
      <c r="I1454" s="51"/>
      <c r="J1454" s="49"/>
      <c r="K1454" s="51"/>
      <c r="L1454" s="51"/>
      <c r="M1454" s="52"/>
      <c r="N1454" s="51"/>
      <c r="O1454" s="51"/>
      <c r="P1454" s="25"/>
    </row>
    <row r="1455">
      <c r="A1455" s="25"/>
      <c r="B1455" s="49"/>
      <c r="C1455" s="50"/>
      <c r="D1455" s="50"/>
      <c r="E1455" s="50"/>
      <c r="F1455" s="51"/>
      <c r="G1455" s="51"/>
      <c r="H1455" s="51"/>
      <c r="I1455" s="51"/>
      <c r="J1455" s="49"/>
      <c r="K1455" s="51"/>
      <c r="L1455" s="51"/>
      <c r="M1455" s="52"/>
      <c r="N1455" s="51"/>
      <c r="O1455" s="51"/>
      <c r="P1455" s="25"/>
    </row>
    <row r="1456">
      <c r="A1456" s="25"/>
      <c r="B1456" s="49"/>
      <c r="C1456" s="50"/>
      <c r="D1456" s="50"/>
      <c r="E1456" s="50"/>
      <c r="F1456" s="51"/>
      <c r="G1456" s="51"/>
      <c r="H1456" s="51"/>
      <c r="I1456" s="51"/>
      <c r="J1456" s="49"/>
      <c r="K1456" s="51"/>
      <c r="L1456" s="51"/>
      <c r="M1456" s="52"/>
      <c r="N1456" s="51"/>
      <c r="O1456" s="51"/>
      <c r="P1456" s="25"/>
    </row>
    <row r="1457">
      <c r="A1457" s="25"/>
      <c r="B1457" s="49"/>
      <c r="C1457" s="50"/>
      <c r="D1457" s="50"/>
      <c r="E1457" s="50"/>
      <c r="F1457" s="51"/>
      <c r="G1457" s="51"/>
      <c r="H1457" s="51"/>
      <c r="I1457" s="51"/>
      <c r="J1457" s="49"/>
      <c r="K1457" s="51"/>
      <c r="L1457" s="51"/>
      <c r="M1457" s="52"/>
      <c r="N1457" s="51"/>
      <c r="O1457" s="51"/>
      <c r="P1457" s="25"/>
    </row>
    <row r="1458">
      <c r="A1458" s="25"/>
      <c r="B1458" s="49"/>
      <c r="C1458" s="50"/>
      <c r="D1458" s="50"/>
      <c r="E1458" s="50"/>
      <c r="F1458" s="51"/>
      <c r="G1458" s="51"/>
      <c r="H1458" s="51"/>
      <c r="I1458" s="51"/>
      <c r="J1458" s="49"/>
      <c r="K1458" s="51"/>
      <c r="L1458" s="51"/>
      <c r="M1458" s="52"/>
      <c r="N1458" s="51"/>
      <c r="O1458" s="51"/>
      <c r="P1458" s="25"/>
    </row>
    <row r="1459">
      <c r="A1459" s="25"/>
      <c r="B1459" s="49"/>
      <c r="C1459" s="50"/>
      <c r="D1459" s="50"/>
      <c r="E1459" s="50"/>
      <c r="F1459" s="51"/>
      <c r="G1459" s="51"/>
      <c r="H1459" s="51"/>
      <c r="I1459" s="51"/>
      <c r="J1459" s="49"/>
      <c r="K1459" s="51"/>
      <c r="L1459" s="51"/>
      <c r="M1459" s="52"/>
      <c r="N1459" s="51"/>
      <c r="O1459" s="51"/>
      <c r="P1459" s="25"/>
    </row>
    <row r="1460">
      <c r="A1460" s="25"/>
      <c r="B1460" s="49"/>
      <c r="C1460" s="50"/>
      <c r="D1460" s="50"/>
      <c r="E1460" s="50"/>
      <c r="F1460" s="51"/>
      <c r="G1460" s="51"/>
      <c r="H1460" s="51"/>
      <c r="I1460" s="51"/>
      <c r="J1460" s="49"/>
      <c r="K1460" s="51"/>
      <c r="L1460" s="51"/>
      <c r="M1460" s="52"/>
      <c r="N1460" s="51"/>
      <c r="O1460" s="51"/>
      <c r="P1460" s="25"/>
    </row>
    <row r="1461">
      <c r="A1461" s="25"/>
      <c r="B1461" s="49"/>
      <c r="C1461" s="50"/>
      <c r="D1461" s="50"/>
      <c r="E1461" s="50"/>
      <c r="F1461" s="51"/>
      <c r="G1461" s="51"/>
      <c r="H1461" s="51"/>
      <c r="I1461" s="51"/>
      <c r="J1461" s="49"/>
      <c r="K1461" s="51"/>
      <c r="L1461" s="51"/>
      <c r="M1461" s="52"/>
      <c r="N1461" s="51"/>
      <c r="O1461" s="51"/>
      <c r="P1461" s="25"/>
    </row>
    <row r="1462">
      <c r="A1462" s="25"/>
      <c r="B1462" s="49"/>
      <c r="C1462" s="50"/>
      <c r="D1462" s="50"/>
      <c r="E1462" s="50"/>
      <c r="F1462" s="51"/>
      <c r="G1462" s="51"/>
      <c r="H1462" s="51"/>
      <c r="I1462" s="51"/>
      <c r="J1462" s="49"/>
      <c r="K1462" s="51"/>
      <c r="L1462" s="51"/>
      <c r="M1462" s="52"/>
      <c r="N1462" s="51"/>
      <c r="O1462" s="51"/>
      <c r="P1462" s="25"/>
    </row>
    <row r="1463">
      <c r="A1463" s="25"/>
      <c r="B1463" s="49"/>
      <c r="C1463" s="50"/>
      <c r="D1463" s="50"/>
      <c r="E1463" s="50"/>
      <c r="F1463" s="51"/>
      <c r="G1463" s="51"/>
      <c r="H1463" s="51"/>
      <c r="I1463" s="51"/>
      <c r="J1463" s="49"/>
      <c r="K1463" s="51"/>
      <c r="L1463" s="51"/>
      <c r="M1463" s="52"/>
      <c r="N1463" s="51"/>
      <c r="O1463" s="51"/>
      <c r="P1463" s="25"/>
    </row>
    <row r="1464">
      <c r="A1464" s="25"/>
      <c r="B1464" s="49"/>
      <c r="C1464" s="50"/>
      <c r="D1464" s="50"/>
      <c r="E1464" s="50"/>
      <c r="F1464" s="51"/>
      <c r="G1464" s="51"/>
      <c r="H1464" s="51"/>
      <c r="I1464" s="51"/>
      <c r="J1464" s="49"/>
      <c r="K1464" s="51"/>
      <c r="L1464" s="51"/>
      <c r="M1464" s="52"/>
      <c r="N1464" s="51"/>
      <c r="O1464" s="51"/>
      <c r="P1464" s="25"/>
    </row>
    <row r="1465">
      <c r="A1465" s="25"/>
      <c r="B1465" s="49"/>
      <c r="C1465" s="50"/>
      <c r="D1465" s="50"/>
      <c r="E1465" s="50"/>
      <c r="F1465" s="51"/>
      <c r="G1465" s="51"/>
      <c r="H1465" s="51"/>
      <c r="I1465" s="51"/>
      <c r="J1465" s="49"/>
      <c r="K1465" s="51"/>
      <c r="L1465" s="51"/>
      <c r="M1465" s="52"/>
      <c r="N1465" s="51"/>
      <c r="O1465" s="51"/>
      <c r="P1465" s="25"/>
    </row>
    <row r="1466">
      <c r="A1466" s="25"/>
      <c r="B1466" s="49"/>
      <c r="C1466" s="50"/>
      <c r="D1466" s="50"/>
      <c r="E1466" s="50"/>
      <c r="F1466" s="51"/>
      <c r="G1466" s="51"/>
      <c r="H1466" s="51"/>
      <c r="I1466" s="51"/>
      <c r="J1466" s="49"/>
      <c r="K1466" s="51"/>
      <c r="L1466" s="51"/>
      <c r="M1466" s="52"/>
      <c r="N1466" s="51"/>
      <c r="O1466" s="51"/>
      <c r="P1466" s="25"/>
    </row>
    <row r="1467">
      <c r="A1467" s="25"/>
      <c r="B1467" s="49"/>
      <c r="C1467" s="50"/>
      <c r="D1467" s="50"/>
      <c r="E1467" s="50"/>
      <c r="F1467" s="51"/>
      <c r="G1467" s="51"/>
      <c r="H1467" s="51"/>
      <c r="I1467" s="51"/>
      <c r="J1467" s="49"/>
      <c r="K1467" s="51"/>
      <c r="L1467" s="51"/>
      <c r="M1467" s="52"/>
      <c r="N1467" s="51"/>
      <c r="O1467" s="51"/>
      <c r="P1467" s="25"/>
    </row>
    <row r="1468">
      <c r="A1468" s="25"/>
      <c r="B1468" s="49"/>
      <c r="C1468" s="50"/>
      <c r="D1468" s="50"/>
      <c r="E1468" s="50"/>
      <c r="F1468" s="51"/>
      <c r="G1468" s="51"/>
      <c r="H1468" s="51"/>
      <c r="I1468" s="51"/>
      <c r="J1468" s="49"/>
      <c r="K1468" s="51"/>
      <c r="L1468" s="51"/>
      <c r="M1468" s="52"/>
      <c r="N1468" s="51"/>
      <c r="O1468" s="51"/>
      <c r="P1468" s="25"/>
    </row>
    <row r="1469">
      <c r="A1469" s="25"/>
      <c r="B1469" s="49"/>
      <c r="C1469" s="50"/>
      <c r="D1469" s="50"/>
      <c r="E1469" s="50"/>
      <c r="F1469" s="51"/>
      <c r="G1469" s="51"/>
      <c r="H1469" s="51"/>
      <c r="I1469" s="51"/>
      <c r="J1469" s="49"/>
      <c r="K1469" s="51"/>
      <c r="L1469" s="51"/>
      <c r="M1469" s="52"/>
      <c r="N1469" s="51"/>
      <c r="O1469" s="51"/>
      <c r="P1469" s="25"/>
    </row>
    <row r="1470">
      <c r="A1470" s="25"/>
      <c r="B1470" s="49"/>
      <c r="C1470" s="50"/>
      <c r="D1470" s="50"/>
      <c r="E1470" s="50"/>
      <c r="F1470" s="51"/>
      <c r="G1470" s="51"/>
      <c r="H1470" s="51"/>
      <c r="I1470" s="51"/>
      <c r="J1470" s="49"/>
      <c r="K1470" s="51"/>
      <c r="L1470" s="51"/>
      <c r="M1470" s="52"/>
      <c r="N1470" s="51"/>
      <c r="O1470" s="51"/>
      <c r="P1470" s="25"/>
    </row>
    <row r="1471">
      <c r="A1471" s="25"/>
      <c r="B1471" s="49"/>
      <c r="C1471" s="50"/>
      <c r="D1471" s="50"/>
      <c r="E1471" s="50"/>
      <c r="F1471" s="51"/>
      <c r="G1471" s="51"/>
      <c r="H1471" s="51"/>
      <c r="I1471" s="51"/>
      <c r="J1471" s="49"/>
      <c r="K1471" s="51"/>
      <c r="L1471" s="51"/>
      <c r="M1471" s="52"/>
      <c r="N1471" s="51"/>
      <c r="O1471" s="51"/>
      <c r="P1471" s="25"/>
    </row>
    <row r="1472">
      <c r="A1472" s="25"/>
      <c r="B1472" s="49"/>
      <c r="C1472" s="50"/>
      <c r="D1472" s="50"/>
      <c r="E1472" s="50"/>
      <c r="F1472" s="51"/>
      <c r="G1472" s="51"/>
      <c r="H1472" s="51"/>
      <c r="I1472" s="51"/>
      <c r="J1472" s="49"/>
      <c r="K1472" s="51"/>
      <c r="L1472" s="51"/>
      <c r="M1472" s="52"/>
      <c r="N1472" s="51"/>
      <c r="O1472" s="51"/>
      <c r="P1472" s="25"/>
    </row>
    <row r="1473">
      <c r="A1473" s="25"/>
      <c r="B1473" s="49"/>
      <c r="C1473" s="50"/>
      <c r="D1473" s="50"/>
      <c r="E1473" s="50"/>
      <c r="F1473" s="51"/>
      <c r="G1473" s="51"/>
      <c r="H1473" s="51"/>
      <c r="I1473" s="51"/>
      <c r="J1473" s="49"/>
      <c r="K1473" s="51"/>
      <c r="L1473" s="51"/>
      <c r="M1473" s="52"/>
      <c r="N1473" s="51"/>
      <c r="O1473" s="51"/>
      <c r="P1473" s="25"/>
    </row>
    <row r="1474">
      <c r="A1474" s="25"/>
      <c r="B1474" s="49"/>
      <c r="C1474" s="50"/>
      <c r="D1474" s="50"/>
      <c r="E1474" s="50"/>
      <c r="F1474" s="51"/>
      <c r="G1474" s="51"/>
      <c r="H1474" s="51"/>
      <c r="I1474" s="51"/>
      <c r="J1474" s="49"/>
      <c r="K1474" s="51"/>
      <c r="L1474" s="51"/>
      <c r="M1474" s="52"/>
      <c r="N1474" s="51"/>
      <c r="O1474" s="51"/>
      <c r="P1474" s="25"/>
    </row>
    <row r="1475">
      <c r="A1475" s="25"/>
      <c r="B1475" s="49"/>
      <c r="C1475" s="50"/>
      <c r="D1475" s="50"/>
      <c r="E1475" s="50"/>
      <c r="F1475" s="51"/>
      <c r="G1475" s="51"/>
      <c r="H1475" s="51"/>
      <c r="I1475" s="51"/>
      <c r="J1475" s="49"/>
      <c r="K1475" s="51"/>
      <c r="L1475" s="51"/>
      <c r="M1475" s="52"/>
      <c r="N1475" s="51"/>
      <c r="O1475" s="51"/>
      <c r="P1475" s="25"/>
    </row>
    <row r="1476">
      <c r="A1476" s="25"/>
      <c r="B1476" s="49"/>
      <c r="C1476" s="50"/>
      <c r="D1476" s="50"/>
      <c r="E1476" s="50"/>
      <c r="F1476" s="51"/>
      <c r="G1476" s="51"/>
      <c r="H1476" s="51"/>
      <c r="I1476" s="51"/>
      <c r="J1476" s="49"/>
      <c r="K1476" s="51"/>
      <c r="L1476" s="51"/>
      <c r="M1476" s="52"/>
      <c r="N1476" s="51"/>
      <c r="O1476" s="51"/>
      <c r="P1476" s="25"/>
    </row>
    <row r="1477">
      <c r="A1477" s="25"/>
      <c r="B1477" s="49"/>
      <c r="C1477" s="50"/>
      <c r="D1477" s="50"/>
      <c r="E1477" s="50"/>
      <c r="F1477" s="51"/>
      <c r="G1477" s="51"/>
      <c r="H1477" s="51"/>
      <c r="I1477" s="51"/>
      <c r="J1477" s="49"/>
      <c r="K1477" s="51"/>
      <c r="L1477" s="51"/>
      <c r="M1477" s="52"/>
      <c r="N1477" s="51"/>
      <c r="O1477" s="51"/>
      <c r="P1477" s="25"/>
    </row>
    <row r="1478">
      <c r="A1478" s="25"/>
      <c r="B1478" s="49"/>
      <c r="C1478" s="50"/>
      <c r="D1478" s="50"/>
      <c r="E1478" s="50"/>
      <c r="F1478" s="51"/>
      <c r="G1478" s="51"/>
      <c r="H1478" s="51"/>
      <c r="I1478" s="51"/>
      <c r="J1478" s="49"/>
      <c r="K1478" s="51"/>
      <c r="L1478" s="51"/>
      <c r="M1478" s="52"/>
      <c r="N1478" s="51"/>
      <c r="O1478" s="51"/>
      <c r="P1478" s="25"/>
    </row>
    <row r="1479">
      <c r="A1479" s="25"/>
      <c r="B1479" s="49"/>
      <c r="C1479" s="50"/>
      <c r="D1479" s="50"/>
      <c r="E1479" s="50"/>
      <c r="F1479" s="51"/>
      <c r="G1479" s="51"/>
      <c r="H1479" s="51"/>
      <c r="I1479" s="51"/>
      <c r="J1479" s="49"/>
      <c r="K1479" s="51"/>
      <c r="L1479" s="51"/>
      <c r="M1479" s="52"/>
      <c r="N1479" s="51"/>
      <c r="O1479" s="51"/>
      <c r="P1479" s="25"/>
    </row>
    <row r="1480">
      <c r="A1480" s="25"/>
      <c r="B1480" s="49"/>
      <c r="C1480" s="50"/>
      <c r="D1480" s="50"/>
      <c r="E1480" s="50"/>
      <c r="F1480" s="51"/>
      <c r="G1480" s="51"/>
      <c r="H1480" s="51"/>
      <c r="I1480" s="51"/>
      <c r="J1480" s="49"/>
      <c r="K1480" s="51"/>
      <c r="L1480" s="51"/>
      <c r="M1480" s="52"/>
      <c r="N1480" s="51"/>
      <c r="O1480" s="51"/>
      <c r="P1480" s="25"/>
    </row>
    <row r="1481">
      <c r="A1481" s="25"/>
      <c r="B1481" s="49"/>
      <c r="C1481" s="50"/>
      <c r="D1481" s="50"/>
      <c r="E1481" s="50"/>
      <c r="F1481" s="51"/>
      <c r="G1481" s="51"/>
      <c r="H1481" s="51"/>
      <c r="I1481" s="51"/>
      <c r="J1481" s="49"/>
      <c r="K1481" s="51"/>
      <c r="L1481" s="51"/>
      <c r="M1481" s="52"/>
      <c r="N1481" s="51"/>
      <c r="O1481" s="51"/>
      <c r="P1481" s="25"/>
    </row>
    <row r="1482">
      <c r="A1482" s="25"/>
      <c r="B1482" s="49"/>
      <c r="C1482" s="50"/>
      <c r="D1482" s="50"/>
      <c r="E1482" s="50"/>
      <c r="F1482" s="51"/>
      <c r="G1482" s="51"/>
      <c r="H1482" s="51"/>
      <c r="I1482" s="51"/>
      <c r="J1482" s="49"/>
      <c r="K1482" s="51"/>
      <c r="L1482" s="51"/>
      <c r="M1482" s="52"/>
      <c r="N1482" s="51"/>
      <c r="O1482" s="51"/>
      <c r="P1482" s="25"/>
    </row>
    <row r="1483">
      <c r="A1483" s="25"/>
      <c r="B1483" s="49"/>
      <c r="C1483" s="50"/>
      <c r="D1483" s="50"/>
      <c r="E1483" s="50"/>
      <c r="F1483" s="51"/>
      <c r="G1483" s="51"/>
      <c r="H1483" s="51"/>
      <c r="I1483" s="51"/>
      <c r="J1483" s="49"/>
      <c r="K1483" s="51"/>
      <c r="L1483" s="51"/>
      <c r="M1483" s="52"/>
      <c r="N1483" s="51"/>
      <c r="O1483" s="51"/>
      <c r="P1483" s="25"/>
    </row>
    <row r="1484">
      <c r="A1484" s="25"/>
      <c r="B1484" s="49"/>
      <c r="C1484" s="50"/>
      <c r="D1484" s="50"/>
      <c r="E1484" s="50"/>
      <c r="F1484" s="51"/>
      <c r="G1484" s="51"/>
      <c r="H1484" s="51"/>
      <c r="I1484" s="51"/>
      <c r="J1484" s="49"/>
      <c r="K1484" s="51"/>
      <c r="L1484" s="51"/>
      <c r="M1484" s="52"/>
      <c r="N1484" s="51"/>
      <c r="O1484" s="51"/>
      <c r="P1484" s="25"/>
    </row>
    <row r="1485">
      <c r="A1485" s="25"/>
      <c r="B1485" s="49"/>
      <c r="C1485" s="50"/>
      <c r="D1485" s="50"/>
      <c r="E1485" s="50"/>
      <c r="F1485" s="51"/>
      <c r="G1485" s="51"/>
      <c r="H1485" s="51"/>
      <c r="I1485" s="51"/>
      <c r="J1485" s="49"/>
      <c r="K1485" s="51"/>
      <c r="L1485" s="51"/>
      <c r="M1485" s="52"/>
      <c r="N1485" s="51"/>
      <c r="O1485" s="51"/>
      <c r="P1485" s="25"/>
    </row>
    <row r="1486">
      <c r="A1486" s="25"/>
      <c r="B1486" s="49"/>
      <c r="C1486" s="50"/>
      <c r="D1486" s="50"/>
      <c r="E1486" s="50"/>
      <c r="F1486" s="51"/>
      <c r="G1486" s="51"/>
      <c r="H1486" s="51"/>
      <c r="I1486" s="51"/>
      <c r="J1486" s="49"/>
      <c r="K1486" s="51"/>
      <c r="L1486" s="51"/>
      <c r="M1486" s="52"/>
      <c r="N1486" s="51"/>
      <c r="O1486" s="51"/>
      <c r="P1486" s="25"/>
    </row>
    <row r="1487">
      <c r="A1487" s="25"/>
      <c r="B1487" s="49"/>
      <c r="C1487" s="50"/>
      <c r="D1487" s="50"/>
      <c r="E1487" s="50"/>
      <c r="F1487" s="51"/>
      <c r="G1487" s="51"/>
      <c r="H1487" s="51"/>
      <c r="I1487" s="51"/>
      <c r="J1487" s="49"/>
      <c r="K1487" s="51"/>
      <c r="L1487" s="51"/>
      <c r="M1487" s="52"/>
      <c r="N1487" s="51"/>
      <c r="O1487" s="51"/>
      <c r="P1487" s="25"/>
    </row>
    <row r="1488">
      <c r="A1488" s="25"/>
      <c r="B1488" s="49"/>
      <c r="C1488" s="50"/>
      <c r="D1488" s="50"/>
      <c r="E1488" s="50"/>
      <c r="F1488" s="51"/>
      <c r="G1488" s="51"/>
      <c r="H1488" s="51"/>
      <c r="I1488" s="51"/>
      <c r="J1488" s="49"/>
      <c r="K1488" s="51"/>
      <c r="L1488" s="51"/>
      <c r="M1488" s="52"/>
      <c r="N1488" s="51"/>
      <c r="O1488" s="51"/>
      <c r="P1488" s="25"/>
    </row>
    <row r="1489">
      <c r="A1489" s="25"/>
      <c r="B1489" s="49"/>
      <c r="C1489" s="50"/>
      <c r="D1489" s="50"/>
      <c r="E1489" s="50"/>
      <c r="F1489" s="51"/>
      <c r="G1489" s="51"/>
      <c r="H1489" s="51"/>
      <c r="I1489" s="51"/>
      <c r="J1489" s="49"/>
      <c r="K1489" s="51"/>
      <c r="L1489" s="51"/>
      <c r="M1489" s="52"/>
      <c r="N1489" s="51"/>
      <c r="O1489" s="51"/>
      <c r="P1489" s="25"/>
    </row>
    <row r="1490">
      <c r="A1490" s="25"/>
      <c r="B1490" s="49"/>
      <c r="C1490" s="50"/>
      <c r="D1490" s="50"/>
      <c r="E1490" s="50"/>
      <c r="F1490" s="51"/>
      <c r="G1490" s="51"/>
      <c r="H1490" s="51"/>
      <c r="I1490" s="51"/>
      <c r="J1490" s="49"/>
      <c r="K1490" s="51"/>
      <c r="L1490" s="51"/>
      <c r="M1490" s="52"/>
      <c r="N1490" s="51"/>
      <c r="O1490" s="51"/>
      <c r="P1490" s="25"/>
    </row>
    <row r="1491">
      <c r="A1491" s="25"/>
      <c r="B1491" s="49"/>
      <c r="C1491" s="50"/>
      <c r="D1491" s="50"/>
      <c r="E1491" s="50"/>
      <c r="F1491" s="51"/>
      <c r="G1491" s="51"/>
      <c r="H1491" s="51"/>
      <c r="I1491" s="51"/>
      <c r="J1491" s="49"/>
      <c r="K1491" s="51"/>
      <c r="L1491" s="51"/>
      <c r="M1491" s="52"/>
      <c r="N1491" s="51"/>
      <c r="O1491" s="51"/>
      <c r="P1491" s="25"/>
    </row>
    <row r="1492">
      <c r="A1492" s="25"/>
      <c r="B1492" s="49"/>
      <c r="C1492" s="50"/>
      <c r="D1492" s="50"/>
      <c r="E1492" s="50"/>
      <c r="F1492" s="51"/>
      <c r="G1492" s="51"/>
      <c r="H1492" s="51"/>
      <c r="I1492" s="51"/>
      <c r="J1492" s="49"/>
      <c r="K1492" s="51"/>
      <c r="L1492" s="51"/>
      <c r="M1492" s="52"/>
      <c r="N1492" s="51"/>
      <c r="O1492" s="51"/>
      <c r="P1492" s="25"/>
    </row>
    <row r="1493">
      <c r="A1493" s="25"/>
      <c r="B1493" s="49"/>
      <c r="C1493" s="50"/>
      <c r="D1493" s="50"/>
      <c r="E1493" s="50"/>
      <c r="F1493" s="51"/>
      <c r="G1493" s="51"/>
      <c r="H1493" s="51"/>
      <c r="I1493" s="51"/>
      <c r="J1493" s="49"/>
      <c r="K1493" s="51"/>
      <c r="L1493" s="51"/>
      <c r="M1493" s="52"/>
      <c r="N1493" s="51"/>
      <c r="O1493" s="51"/>
      <c r="P1493" s="25"/>
    </row>
    <row r="1494">
      <c r="A1494" s="25"/>
      <c r="B1494" s="49"/>
      <c r="C1494" s="50"/>
      <c r="D1494" s="50"/>
      <c r="E1494" s="50"/>
      <c r="F1494" s="51"/>
      <c r="G1494" s="51"/>
      <c r="H1494" s="51"/>
      <c r="I1494" s="51"/>
      <c r="J1494" s="49"/>
      <c r="K1494" s="51"/>
      <c r="L1494" s="51"/>
      <c r="M1494" s="52"/>
      <c r="N1494" s="51"/>
      <c r="O1494" s="51"/>
      <c r="P1494" s="25"/>
    </row>
    <row r="1495">
      <c r="A1495" s="25"/>
      <c r="B1495" s="49"/>
      <c r="C1495" s="50"/>
      <c r="D1495" s="50"/>
      <c r="E1495" s="50"/>
      <c r="F1495" s="51"/>
      <c r="G1495" s="51"/>
      <c r="H1495" s="51"/>
      <c r="I1495" s="51"/>
      <c r="J1495" s="49"/>
      <c r="K1495" s="51"/>
      <c r="L1495" s="51"/>
      <c r="M1495" s="52"/>
      <c r="N1495" s="51"/>
      <c r="O1495" s="51"/>
      <c r="P1495" s="25"/>
    </row>
    <row r="1496">
      <c r="A1496" s="25"/>
      <c r="B1496" s="49"/>
      <c r="C1496" s="50"/>
      <c r="D1496" s="50"/>
      <c r="E1496" s="50"/>
      <c r="F1496" s="51"/>
      <c r="G1496" s="51"/>
      <c r="H1496" s="51"/>
      <c r="I1496" s="51"/>
      <c r="J1496" s="49"/>
      <c r="K1496" s="51"/>
      <c r="L1496" s="51"/>
      <c r="M1496" s="52"/>
      <c r="N1496" s="51"/>
      <c r="O1496" s="51"/>
      <c r="P1496" s="25"/>
    </row>
    <row r="1497">
      <c r="A1497" s="25"/>
      <c r="B1497" s="49"/>
      <c r="C1497" s="50"/>
      <c r="D1497" s="50"/>
      <c r="E1497" s="50"/>
      <c r="F1497" s="51"/>
      <c r="G1497" s="51"/>
      <c r="H1497" s="51"/>
      <c r="I1497" s="51"/>
      <c r="J1497" s="49"/>
      <c r="K1497" s="51"/>
      <c r="L1497" s="51"/>
      <c r="M1497" s="52"/>
      <c r="N1497" s="51"/>
      <c r="O1497" s="51"/>
      <c r="P1497" s="25"/>
    </row>
    <row r="1498">
      <c r="A1498" s="25"/>
      <c r="B1498" s="49"/>
      <c r="C1498" s="50"/>
      <c r="D1498" s="50"/>
      <c r="E1498" s="50"/>
      <c r="F1498" s="51"/>
      <c r="G1498" s="51"/>
      <c r="H1498" s="51"/>
      <c r="I1498" s="51"/>
      <c r="J1498" s="49"/>
      <c r="K1498" s="51"/>
      <c r="L1498" s="51"/>
      <c r="M1498" s="52"/>
      <c r="N1498" s="51"/>
      <c r="O1498" s="51"/>
      <c r="P1498" s="25"/>
    </row>
    <row r="1499">
      <c r="A1499" s="25"/>
      <c r="B1499" s="49"/>
      <c r="C1499" s="50"/>
      <c r="D1499" s="50"/>
      <c r="E1499" s="50"/>
      <c r="F1499" s="51"/>
      <c r="G1499" s="51"/>
      <c r="H1499" s="51"/>
      <c r="I1499" s="51"/>
      <c r="J1499" s="49"/>
      <c r="K1499" s="51"/>
      <c r="L1499" s="51"/>
      <c r="M1499" s="52"/>
      <c r="N1499" s="51"/>
      <c r="O1499" s="51"/>
      <c r="P1499" s="25"/>
    </row>
    <row r="1500">
      <c r="A1500" s="25"/>
      <c r="B1500" s="49"/>
      <c r="C1500" s="50"/>
      <c r="D1500" s="50"/>
      <c r="E1500" s="50"/>
      <c r="F1500" s="51"/>
      <c r="G1500" s="51"/>
      <c r="H1500" s="51"/>
      <c r="I1500" s="51"/>
      <c r="J1500" s="49"/>
      <c r="K1500" s="51"/>
      <c r="L1500" s="51"/>
      <c r="M1500" s="52"/>
      <c r="N1500" s="51"/>
      <c r="O1500" s="51"/>
      <c r="P1500" s="25"/>
    </row>
    <row r="1501">
      <c r="A1501" s="25"/>
      <c r="B1501" s="49"/>
      <c r="C1501" s="50"/>
      <c r="D1501" s="50"/>
      <c r="E1501" s="50"/>
      <c r="F1501" s="51"/>
      <c r="G1501" s="51"/>
      <c r="H1501" s="51"/>
      <c r="I1501" s="51"/>
      <c r="J1501" s="49"/>
      <c r="K1501" s="51"/>
      <c r="L1501" s="51"/>
      <c r="M1501" s="52"/>
      <c r="N1501" s="51"/>
      <c r="O1501" s="51"/>
      <c r="P1501" s="25"/>
    </row>
    <row r="1502">
      <c r="A1502" s="25"/>
      <c r="B1502" s="49"/>
      <c r="C1502" s="50"/>
      <c r="D1502" s="50"/>
      <c r="E1502" s="50"/>
      <c r="F1502" s="51"/>
      <c r="G1502" s="51"/>
      <c r="H1502" s="51"/>
      <c r="I1502" s="51"/>
      <c r="J1502" s="49"/>
      <c r="K1502" s="51"/>
      <c r="L1502" s="51"/>
      <c r="M1502" s="52"/>
      <c r="N1502" s="51"/>
      <c r="O1502" s="51"/>
      <c r="P1502" s="25"/>
    </row>
    <row r="1503">
      <c r="A1503" s="25"/>
      <c r="B1503" s="49"/>
      <c r="C1503" s="50"/>
      <c r="D1503" s="50"/>
      <c r="E1503" s="50"/>
      <c r="F1503" s="51"/>
      <c r="G1503" s="51"/>
      <c r="H1503" s="51"/>
      <c r="I1503" s="51"/>
      <c r="J1503" s="49"/>
      <c r="K1503" s="51"/>
      <c r="L1503" s="51"/>
      <c r="M1503" s="52"/>
      <c r="N1503" s="51"/>
      <c r="O1503" s="51"/>
      <c r="P1503" s="25"/>
    </row>
    <row r="1504">
      <c r="A1504" s="25"/>
      <c r="B1504" s="49"/>
      <c r="C1504" s="50"/>
      <c r="D1504" s="50"/>
      <c r="E1504" s="50"/>
      <c r="F1504" s="51"/>
      <c r="G1504" s="51"/>
      <c r="H1504" s="51"/>
      <c r="I1504" s="51"/>
      <c r="J1504" s="49"/>
      <c r="K1504" s="51"/>
      <c r="L1504" s="51"/>
      <c r="M1504" s="52"/>
      <c r="N1504" s="51"/>
      <c r="O1504" s="51"/>
      <c r="P1504" s="25"/>
    </row>
    <row r="1505">
      <c r="A1505" s="25"/>
      <c r="B1505" s="49"/>
      <c r="C1505" s="50"/>
      <c r="D1505" s="50"/>
      <c r="E1505" s="50"/>
      <c r="F1505" s="51"/>
      <c r="G1505" s="51"/>
      <c r="H1505" s="51"/>
      <c r="I1505" s="51"/>
      <c r="J1505" s="49"/>
      <c r="K1505" s="51"/>
      <c r="L1505" s="51"/>
      <c r="M1505" s="52"/>
      <c r="N1505" s="51"/>
      <c r="O1505" s="51"/>
      <c r="P1505" s="25"/>
    </row>
    <row r="1506">
      <c r="A1506" s="25"/>
      <c r="B1506" s="49"/>
      <c r="C1506" s="50"/>
      <c r="D1506" s="50"/>
      <c r="E1506" s="50"/>
      <c r="F1506" s="51"/>
      <c r="G1506" s="51"/>
      <c r="H1506" s="51"/>
      <c r="I1506" s="51"/>
      <c r="J1506" s="49"/>
      <c r="K1506" s="51"/>
      <c r="L1506" s="51"/>
      <c r="M1506" s="52"/>
      <c r="N1506" s="51"/>
      <c r="O1506" s="51"/>
      <c r="P1506" s="25"/>
    </row>
    <row r="1507">
      <c r="A1507" s="25"/>
      <c r="B1507" s="49"/>
      <c r="C1507" s="50"/>
      <c r="D1507" s="50"/>
      <c r="E1507" s="50"/>
      <c r="F1507" s="51"/>
      <c r="G1507" s="51"/>
      <c r="H1507" s="51"/>
      <c r="I1507" s="51"/>
      <c r="J1507" s="49"/>
      <c r="K1507" s="51"/>
      <c r="L1507" s="51"/>
      <c r="M1507" s="52"/>
      <c r="N1507" s="51"/>
      <c r="O1507" s="51"/>
      <c r="P1507" s="25"/>
    </row>
    <row r="1508">
      <c r="A1508" s="25"/>
      <c r="B1508" s="49"/>
      <c r="C1508" s="50"/>
      <c r="D1508" s="50"/>
      <c r="E1508" s="50"/>
      <c r="F1508" s="51"/>
      <c r="G1508" s="51"/>
      <c r="H1508" s="51"/>
      <c r="I1508" s="51"/>
      <c r="J1508" s="49"/>
      <c r="K1508" s="51"/>
      <c r="L1508" s="51"/>
      <c r="M1508" s="52"/>
      <c r="N1508" s="51"/>
      <c r="O1508" s="51"/>
      <c r="P1508" s="25"/>
    </row>
    <row r="1509">
      <c r="A1509" s="25"/>
      <c r="B1509" s="49"/>
      <c r="C1509" s="50"/>
      <c r="D1509" s="50"/>
      <c r="E1509" s="50"/>
      <c r="F1509" s="51"/>
      <c r="G1509" s="51"/>
      <c r="H1509" s="51"/>
      <c r="I1509" s="51"/>
      <c r="J1509" s="49"/>
      <c r="K1509" s="51"/>
      <c r="L1509" s="51"/>
      <c r="M1509" s="52"/>
      <c r="N1509" s="51"/>
      <c r="O1509" s="51"/>
      <c r="P1509" s="25"/>
    </row>
    <row r="1510">
      <c r="A1510" s="25"/>
      <c r="B1510" s="49"/>
      <c r="C1510" s="50"/>
      <c r="D1510" s="50"/>
      <c r="E1510" s="50"/>
      <c r="F1510" s="51"/>
      <c r="G1510" s="51"/>
      <c r="H1510" s="51"/>
      <c r="I1510" s="51"/>
      <c r="J1510" s="49"/>
      <c r="K1510" s="51"/>
      <c r="L1510" s="51"/>
      <c r="M1510" s="52"/>
      <c r="N1510" s="51"/>
      <c r="O1510" s="51"/>
      <c r="P1510" s="25"/>
    </row>
    <row r="1511">
      <c r="A1511" s="25"/>
      <c r="B1511" s="49"/>
      <c r="C1511" s="50"/>
      <c r="D1511" s="50"/>
      <c r="E1511" s="50"/>
      <c r="F1511" s="51"/>
      <c r="G1511" s="51"/>
      <c r="H1511" s="51"/>
      <c r="I1511" s="51"/>
      <c r="J1511" s="49"/>
      <c r="K1511" s="51"/>
      <c r="L1511" s="51"/>
      <c r="M1511" s="52"/>
      <c r="N1511" s="51"/>
      <c r="O1511" s="51"/>
      <c r="P1511" s="25"/>
    </row>
    <row r="1512">
      <c r="A1512" s="25"/>
      <c r="B1512" s="49"/>
      <c r="C1512" s="50"/>
      <c r="D1512" s="50"/>
      <c r="E1512" s="50"/>
      <c r="F1512" s="51"/>
      <c r="G1512" s="51"/>
      <c r="H1512" s="51"/>
      <c r="I1512" s="51"/>
      <c r="J1512" s="49"/>
      <c r="K1512" s="51"/>
      <c r="L1512" s="51"/>
      <c r="M1512" s="52"/>
      <c r="N1512" s="51"/>
      <c r="O1512" s="51"/>
      <c r="P1512" s="25"/>
    </row>
    <row r="1513">
      <c r="A1513" s="25"/>
      <c r="B1513" s="49"/>
      <c r="C1513" s="50"/>
      <c r="D1513" s="50"/>
      <c r="E1513" s="50"/>
      <c r="F1513" s="51"/>
      <c r="G1513" s="51"/>
      <c r="H1513" s="51"/>
      <c r="I1513" s="51"/>
      <c r="J1513" s="49"/>
      <c r="K1513" s="51"/>
      <c r="L1513" s="51"/>
      <c r="M1513" s="52"/>
      <c r="N1513" s="51"/>
      <c r="O1513" s="51"/>
      <c r="P1513" s="25"/>
    </row>
    <row r="1514">
      <c r="A1514" s="25"/>
      <c r="B1514" s="49"/>
      <c r="C1514" s="50"/>
      <c r="D1514" s="50"/>
      <c r="E1514" s="50"/>
      <c r="F1514" s="51"/>
      <c r="G1514" s="51"/>
      <c r="H1514" s="51"/>
      <c r="I1514" s="51"/>
      <c r="J1514" s="49"/>
      <c r="K1514" s="51"/>
      <c r="L1514" s="51"/>
      <c r="M1514" s="52"/>
      <c r="N1514" s="51"/>
      <c r="O1514" s="51"/>
      <c r="P1514" s="25"/>
    </row>
    <row r="1515">
      <c r="A1515" s="25"/>
      <c r="B1515" s="49"/>
      <c r="C1515" s="50"/>
      <c r="D1515" s="50"/>
      <c r="E1515" s="50"/>
      <c r="F1515" s="51"/>
      <c r="G1515" s="51"/>
      <c r="H1515" s="51"/>
      <c r="I1515" s="51"/>
      <c r="J1515" s="49"/>
      <c r="K1515" s="51"/>
      <c r="L1515" s="51"/>
      <c r="M1515" s="52"/>
      <c r="N1515" s="51"/>
      <c r="O1515" s="51"/>
      <c r="P1515" s="25"/>
    </row>
    <row r="1516">
      <c r="A1516" s="25"/>
      <c r="B1516" s="49"/>
      <c r="C1516" s="50"/>
      <c r="D1516" s="50"/>
      <c r="E1516" s="50"/>
      <c r="F1516" s="51"/>
      <c r="G1516" s="51"/>
      <c r="H1516" s="51"/>
      <c r="I1516" s="51"/>
      <c r="J1516" s="49"/>
      <c r="K1516" s="51"/>
      <c r="L1516" s="51"/>
      <c r="M1516" s="52"/>
      <c r="N1516" s="51"/>
      <c r="O1516" s="51"/>
      <c r="P1516" s="25"/>
    </row>
    <row r="1517">
      <c r="A1517" s="25"/>
      <c r="B1517" s="49"/>
      <c r="C1517" s="50"/>
      <c r="D1517" s="50"/>
      <c r="E1517" s="50"/>
      <c r="F1517" s="51"/>
      <c r="G1517" s="51"/>
      <c r="H1517" s="51"/>
      <c r="I1517" s="51"/>
      <c r="J1517" s="49"/>
      <c r="K1517" s="51"/>
      <c r="L1517" s="51"/>
      <c r="M1517" s="52"/>
      <c r="N1517" s="51"/>
      <c r="O1517" s="51"/>
      <c r="P1517" s="25"/>
    </row>
    <row r="1518">
      <c r="A1518" s="25"/>
      <c r="B1518" s="49"/>
      <c r="C1518" s="50"/>
      <c r="D1518" s="50"/>
      <c r="E1518" s="50"/>
      <c r="F1518" s="51"/>
      <c r="G1518" s="51"/>
      <c r="H1518" s="51"/>
      <c r="I1518" s="51"/>
      <c r="J1518" s="49"/>
      <c r="K1518" s="51"/>
      <c r="L1518" s="51"/>
      <c r="M1518" s="52"/>
      <c r="N1518" s="51"/>
      <c r="O1518" s="51"/>
      <c r="P1518" s="25"/>
    </row>
    <row r="1519">
      <c r="A1519" s="25"/>
      <c r="B1519" s="49"/>
      <c r="C1519" s="50"/>
      <c r="D1519" s="50"/>
      <c r="E1519" s="50"/>
      <c r="F1519" s="51"/>
      <c r="G1519" s="51"/>
      <c r="H1519" s="51"/>
      <c r="I1519" s="51"/>
      <c r="J1519" s="49"/>
      <c r="K1519" s="51"/>
      <c r="L1519" s="51"/>
      <c r="M1519" s="52"/>
      <c r="N1519" s="51"/>
      <c r="O1519" s="51"/>
      <c r="P1519" s="25"/>
    </row>
    <row r="1520">
      <c r="A1520" s="25"/>
      <c r="B1520" s="49"/>
      <c r="C1520" s="50"/>
      <c r="D1520" s="50"/>
      <c r="E1520" s="50"/>
      <c r="F1520" s="51"/>
      <c r="G1520" s="51"/>
      <c r="H1520" s="51"/>
      <c r="I1520" s="51"/>
      <c r="J1520" s="49"/>
      <c r="K1520" s="51"/>
      <c r="L1520" s="51"/>
      <c r="M1520" s="52"/>
      <c r="N1520" s="51"/>
      <c r="O1520" s="51"/>
      <c r="P1520" s="25"/>
    </row>
    <row r="1521">
      <c r="A1521" s="25"/>
      <c r="B1521" s="49"/>
      <c r="C1521" s="50"/>
      <c r="D1521" s="50"/>
      <c r="E1521" s="50"/>
      <c r="F1521" s="51"/>
      <c r="G1521" s="51"/>
      <c r="H1521" s="51"/>
      <c r="I1521" s="51"/>
      <c r="J1521" s="49"/>
      <c r="K1521" s="51"/>
      <c r="L1521" s="51"/>
      <c r="M1521" s="52"/>
      <c r="N1521" s="51"/>
      <c r="O1521" s="51"/>
      <c r="P1521" s="25"/>
    </row>
    <row r="1522">
      <c r="A1522" s="25"/>
      <c r="B1522" s="49"/>
      <c r="C1522" s="50"/>
      <c r="D1522" s="50"/>
      <c r="E1522" s="50"/>
      <c r="F1522" s="51"/>
      <c r="G1522" s="51"/>
      <c r="H1522" s="51"/>
      <c r="I1522" s="51"/>
      <c r="J1522" s="49"/>
      <c r="K1522" s="51"/>
      <c r="L1522" s="51"/>
      <c r="M1522" s="52"/>
      <c r="N1522" s="51"/>
      <c r="O1522" s="51"/>
      <c r="P1522" s="25"/>
    </row>
    <row r="1523">
      <c r="A1523" s="25"/>
      <c r="B1523" s="49"/>
      <c r="C1523" s="50"/>
      <c r="D1523" s="50"/>
      <c r="E1523" s="50"/>
      <c r="F1523" s="51"/>
      <c r="G1523" s="51"/>
      <c r="H1523" s="51"/>
      <c r="I1523" s="51"/>
      <c r="J1523" s="49"/>
      <c r="K1523" s="51"/>
      <c r="L1523" s="51"/>
      <c r="M1523" s="52"/>
      <c r="N1523" s="51"/>
      <c r="O1523" s="51"/>
      <c r="P1523" s="25"/>
    </row>
    <row r="1524">
      <c r="A1524" s="25"/>
      <c r="B1524" s="49"/>
      <c r="C1524" s="50"/>
      <c r="D1524" s="50"/>
      <c r="E1524" s="50"/>
      <c r="F1524" s="51"/>
      <c r="G1524" s="51"/>
      <c r="H1524" s="51"/>
      <c r="I1524" s="51"/>
      <c r="J1524" s="49"/>
      <c r="K1524" s="51"/>
      <c r="L1524" s="51"/>
      <c r="M1524" s="52"/>
      <c r="N1524" s="51"/>
      <c r="O1524" s="51"/>
      <c r="P1524" s="25"/>
    </row>
    <row r="1525">
      <c r="A1525" s="25"/>
      <c r="B1525" s="49"/>
      <c r="C1525" s="50"/>
      <c r="D1525" s="50"/>
      <c r="E1525" s="50"/>
      <c r="F1525" s="51"/>
      <c r="G1525" s="51"/>
      <c r="H1525" s="51"/>
      <c r="I1525" s="51"/>
      <c r="J1525" s="49"/>
      <c r="K1525" s="51"/>
      <c r="L1525" s="51"/>
      <c r="M1525" s="52"/>
      <c r="N1525" s="51"/>
      <c r="O1525" s="51"/>
      <c r="P1525" s="25"/>
    </row>
    <row r="1526">
      <c r="A1526" s="25"/>
      <c r="B1526" s="49"/>
      <c r="C1526" s="50"/>
      <c r="D1526" s="50"/>
      <c r="E1526" s="50"/>
      <c r="F1526" s="51"/>
      <c r="G1526" s="51"/>
      <c r="H1526" s="51"/>
      <c r="I1526" s="51"/>
      <c r="J1526" s="49"/>
      <c r="K1526" s="51"/>
      <c r="L1526" s="51"/>
      <c r="M1526" s="52"/>
      <c r="N1526" s="51"/>
      <c r="O1526" s="51"/>
      <c r="P1526" s="25"/>
    </row>
    <row r="1527">
      <c r="A1527" s="25"/>
      <c r="B1527" s="49"/>
      <c r="C1527" s="50"/>
      <c r="D1527" s="50"/>
      <c r="E1527" s="50"/>
      <c r="F1527" s="51"/>
      <c r="G1527" s="51"/>
      <c r="H1527" s="51"/>
      <c r="I1527" s="51"/>
      <c r="J1527" s="49"/>
      <c r="K1527" s="51"/>
      <c r="L1527" s="51"/>
      <c r="M1527" s="52"/>
      <c r="N1527" s="51"/>
      <c r="O1527" s="51"/>
      <c r="P1527" s="25"/>
    </row>
    <row r="1528">
      <c r="A1528" s="25"/>
      <c r="B1528" s="49"/>
      <c r="C1528" s="50"/>
      <c r="D1528" s="50"/>
      <c r="E1528" s="50"/>
      <c r="F1528" s="51"/>
      <c r="G1528" s="51"/>
      <c r="H1528" s="51"/>
      <c r="I1528" s="51"/>
      <c r="J1528" s="49"/>
      <c r="K1528" s="51"/>
      <c r="L1528" s="51"/>
      <c r="M1528" s="52"/>
      <c r="N1528" s="51"/>
      <c r="O1528" s="51"/>
      <c r="P1528" s="25"/>
    </row>
    <row r="1529">
      <c r="A1529" s="25"/>
      <c r="B1529" s="49"/>
      <c r="C1529" s="50"/>
      <c r="D1529" s="50"/>
      <c r="E1529" s="50"/>
      <c r="F1529" s="51"/>
      <c r="G1529" s="51"/>
      <c r="H1529" s="51"/>
      <c r="I1529" s="51"/>
      <c r="J1529" s="49"/>
      <c r="K1529" s="51"/>
      <c r="L1529" s="51"/>
      <c r="M1529" s="52"/>
      <c r="N1529" s="51"/>
      <c r="O1529" s="51"/>
      <c r="P1529" s="25"/>
    </row>
    <row r="1530">
      <c r="A1530" s="25"/>
      <c r="B1530" s="49"/>
      <c r="C1530" s="50"/>
      <c r="D1530" s="50"/>
      <c r="E1530" s="50"/>
      <c r="F1530" s="51"/>
      <c r="G1530" s="51"/>
      <c r="H1530" s="51"/>
      <c r="I1530" s="51"/>
      <c r="J1530" s="49"/>
      <c r="K1530" s="51"/>
      <c r="L1530" s="51"/>
      <c r="M1530" s="52"/>
      <c r="N1530" s="51"/>
      <c r="O1530" s="51"/>
      <c r="P1530" s="25"/>
    </row>
    <row r="1531">
      <c r="A1531" s="25"/>
      <c r="B1531" s="49"/>
      <c r="C1531" s="50"/>
      <c r="D1531" s="50"/>
      <c r="E1531" s="50"/>
      <c r="F1531" s="51"/>
      <c r="G1531" s="51"/>
      <c r="H1531" s="51"/>
      <c r="I1531" s="51"/>
      <c r="J1531" s="49"/>
      <c r="K1531" s="51"/>
      <c r="L1531" s="51"/>
      <c r="M1531" s="52"/>
      <c r="N1531" s="51"/>
      <c r="O1531" s="51"/>
      <c r="P1531" s="25"/>
    </row>
    <row r="1532">
      <c r="A1532" s="25"/>
      <c r="B1532" s="49"/>
      <c r="C1532" s="50"/>
      <c r="D1532" s="50"/>
      <c r="E1532" s="50"/>
      <c r="F1532" s="51"/>
      <c r="G1532" s="51"/>
      <c r="H1532" s="51"/>
      <c r="I1532" s="51"/>
      <c r="J1532" s="49"/>
      <c r="K1532" s="51"/>
      <c r="L1532" s="51"/>
      <c r="M1532" s="52"/>
      <c r="N1532" s="51"/>
      <c r="O1532" s="51"/>
      <c r="P1532" s="25"/>
    </row>
    <row r="1533">
      <c r="A1533" s="25"/>
      <c r="B1533" s="49"/>
      <c r="C1533" s="50"/>
      <c r="D1533" s="50"/>
      <c r="E1533" s="50"/>
      <c r="F1533" s="51"/>
      <c r="G1533" s="51"/>
      <c r="H1533" s="51"/>
      <c r="I1533" s="51"/>
      <c r="J1533" s="49"/>
      <c r="K1533" s="51"/>
      <c r="L1533" s="51"/>
      <c r="M1533" s="52"/>
      <c r="N1533" s="51"/>
      <c r="O1533" s="51"/>
      <c r="P1533" s="25"/>
    </row>
    <row r="1534">
      <c r="A1534" s="25"/>
      <c r="B1534" s="49"/>
      <c r="C1534" s="50"/>
      <c r="D1534" s="50"/>
      <c r="E1534" s="50"/>
      <c r="F1534" s="51"/>
      <c r="G1534" s="51"/>
      <c r="H1534" s="51"/>
      <c r="I1534" s="51"/>
      <c r="J1534" s="49"/>
      <c r="K1534" s="51"/>
      <c r="L1534" s="51"/>
      <c r="M1534" s="52"/>
      <c r="N1534" s="51"/>
      <c r="O1534" s="51"/>
      <c r="P1534" s="25"/>
    </row>
    <row r="1535">
      <c r="A1535" s="25"/>
      <c r="B1535" s="49"/>
      <c r="C1535" s="50"/>
      <c r="D1535" s="50"/>
      <c r="E1535" s="50"/>
      <c r="F1535" s="51"/>
      <c r="G1535" s="51"/>
      <c r="H1535" s="51"/>
      <c r="I1535" s="51"/>
      <c r="J1535" s="49"/>
      <c r="K1535" s="51"/>
      <c r="L1535" s="51"/>
      <c r="M1535" s="52"/>
      <c r="N1535" s="51"/>
      <c r="O1535" s="51"/>
      <c r="P1535" s="25"/>
    </row>
    <row r="1536">
      <c r="A1536" s="25"/>
      <c r="B1536" s="49"/>
      <c r="C1536" s="50"/>
      <c r="D1536" s="50"/>
      <c r="E1536" s="50"/>
      <c r="F1536" s="51"/>
      <c r="G1536" s="51"/>
      <c r="H1536" s="51"/>
      <c r="I1536" s="51"/>
      <c r="J1536" s="49"/>
      <c r="K1536" s="51"/>
      <c r="L1536" s="51"/>
      <c r="M1536" s="52"/>
      <c r="N1536" s="51"/>
      <c r="O1536" s="51"/>
      <c r="P1536" s="25"/>
    </row>
    <row r="1537">
      <c r="A1537" s="25"/>
      <c r="B1537" s="49"/>
      <c r="C1537" s="50"/>
      <c r="D1537" s="50"/>
      <c r="E1537" s="50"/>
      <c r="F1537" s="51"/>
      <c r="G1537" s="51"/>
      <c r="H1537" s="51"/>
      <c r="I1537" s="51"/>
      <c r="J1537" s="49"/>
      <c r="K1537" s="51"/>
      <c r="L1537" s="51"/>
      <c r="M1537" s="52"/>
      <c r="N1537" s="51"/>
      <c r="O1537" s="51"/>
      <c r="P1537" s="25"/>
    </row>
    <row r="1538">
      <c r="A1538" s="25"/>
      <c r="B1538" s="49"/>
      <c r="C1538" s="50"/>
      <c r="D1538" s="50"/>
      <c r="E1538" s="50"/>
      <c r="F1538" s="51"/>
      <c r="G1538" s="51"/>
      <c r="H1538" s="51"/>
      <c r="I1538" s="51"/>
      <c r="J1538" s="49"/>
      <c r="K1538" s="51"/>
      <c r="L1538" s="51"/>
      <c r="M1538" s="52"/>
      <c r="N1538" s="51"/>
      <c r="O1538" s="51"/>
      <c r="P1538" s="25"/>
    </row>
    <row r="1539">
      <c r="A1539" s="25"/>
      <c r="B1539" s="49"/>
      <c r="C1539" s="50"/>
      <c r="D1539" s="50"/>
      <c r="E1539" s="50"/>
      <c r="F1539" s="51"/>
      <c r="G1539" s="51"/>
      <c r="H1539" s="51"/>
      <c r="I1539" s="51"/>
      <c r="J1539" s="49"/>
      <c r="K1539" s="51"/>
      <c r="L1539" s="51"/>
      <c r="M1539" s="52"/>
      <c r="N1539" s="51"/>
      <c r="O1539" s="51"/>
      <c r="P1539" s="25"/>
    </row>
    <row r="1540">
      <c r="A1540" s="25"/>
      <c r="B1540" s="49"/>
      <c r="C1540" s="50"/>
      <c r="D1540" s="50"/>
      <c r="E1540" s="50"/>
      <c r="F1540" s="51"/>
      <c r="G1540" s="51"/>
      <c r="H1540" s="51"/>
      <c r="I1540" s="51"/>
      <c r="J1540" s="49"/>
      <c r="K1540" s="51"/>
      <c r="L1540" s="51"/>
      <c r="M1540" s="52"/>
      <c r="N1540" s="51"/>
      <c r="O1540" s="51"/>
      <c r="P1540" s="25"/>
    </row>
    <row r="1541">
      <c r="A1541" s="25"/>
      <c r="B1541" s="49"/>
      <c r="C1541" s="50"/>
      <c r="D1541" s="50"/>
      <c r="E1541" s="50"/>
      <c r="F1541" s="51"/>
      <c r="G1541" s="51"/>
      <c r="H1541" s="51"/>
      <c r="I1541" s="51"/>
      <c r="J1541" s="49"/>
      <c r="K1541" s="51"/>
      <c r="L1541" s="51"/>
      <c r="M1541" s="52"/>
      <c r="N1541" s="51"/>
      <c r="O1541" s="51"/>
      <c r="P1541" s="25"/>
    </row>
    <row r="1542">
      <c r="A1542" s="25"/>
      <c r="B1542" s="49"/>
      <c r="C1542" s="50"/>
      <c r="D1542" s="50"/>
      <c r="E1542" s="50"/>
      <c r="F1542" s="51"/>
      <c r="G1542" s="51"/>
      <c r="H1542" s="51"/>
      <c r="I1542" s="51"/>
      <c r="J1542" s="49"/>
      <c r="K1542" s="51"/>
      <c r="L1542" s="51"/>
      <c r="M1542" s="52"/>
      <c r="N1542" s="51"/>
      <c r="O1542" s="51"/>
      <c r="P1542" s="25"/>
    </row>
    <row r="1543">
      <c r="A1543" s="25"/>
      <c r="B1543" s="49"/>
      <c r="C1543" s="50"/>
      <c r="D1543" s="50"/>
      <c r="E1543" s="50"/>
      <c r="F1543" s="51"/>
      <c r="G1543" s="51"/>
      <c r="H1543" s="51"/>
      <c r="I1543" s="51"/>
      <c r="J1543" s="49"/>
      <c r="K1543" s="51"/>
      <c r="L1543" s="51"/>
      <c r="M1543" s="52"/>
      <c r="N1543" s="51"/>
      <c r="O1543" s="51"/>
      <c r="P1543" s="25"/>
    </row>
    <row r="1544">
      <c r="A1544" s="25"/>
      <c r="B1544" s="49"/>
      <c r="C1544" s="50"/>
      <c r="D1544" s="50"/>
      <c r="E1544" s="50"/>
      <c r="F1544" s="51"/>
      <c r="G1544" s="51"/>
      <c r="H1544" s="51"/>
      <c r="I1544" s="51"/>
      <c r="J1544" s="49"/>
      <c r="K1544" s="51"/>
      <c r="L1544" s="51"/>
      <c r="M1544" s="52"/>
      <c r="N1544" s="51"/>
      <c r="O1544" s="51"/>
      <c r="P1544" s="25"/>
    </row>
    <row r="1545">
      <c r="A1545" s="25"/>
      <c r="B1545" s="49"/>
      <c r="C1545" s="50"/>
      <c r="D1545" s="50"/>
      <c r="E1545" s="50"/>
      <c r="F1545" s="51"/>
      <c r="G1545" s="51"/>
      <c r="H1545" s="51"/>
      <c r="I1545" s="51"/>
      <c r="J1545" s="49"/>
      <c r="K1545" s="51"/>
      <c r="L1545" s="51"/>
      <c r="M1545" s="52"/>
      <c r="N1545" s="51"/>
      <c r="O1545" s="51"/>
      <c r="P1545" s="25"/>
    </row>
    <row r="1546">
      <c r="A1546" s="25"/>
      <c r="B1546" s="49"/>
      <c r="C1546" s="50"/>
      <c r="D1546" s="50"/>
      <c r="E1546" s="50"/>
      <c r="F1546" s="51"/>
      <c r="G1546" s="51"/>
      <c r="H1546" s="51"/>
      <c r="I1546" s="51"/>
      <c r="J1546" s="49"/>
      <c r="K1546" s="51"/>
      <c r="L1546" s="51"/>
      <c r="M1546" s="52"/>
      <c r="N1546" s="51"/>
      <c r="O1546" s="51"/>
      <c r="P1546" s="25"/>
    </row>
    <row r="1547">
      <c r="A1547" s="25"/>
      <c r="B1547" s="49"/>
      <c r="C1547" s="50"/>
      <c r="D1547" s="50"/>
      <c r="E1547" s="50"/>
      <c r="F1547" s="51"/>
      <c r="G1547" s="51"/>
      <c r="H1547" s="51"/>
      <c r="I1547" s="51"/>
      <c r="J1547" s="49"/>
      <c r="K1547" s="51"/>
      <c r="L1547" s="51"/>
      <c r="M1547" s="52"/>
      <c r="N1547" s="51"/>
      <c r="O1547" s="51"/>
      <c r="P1547" s="25"/>
    </row>
    <row r="1548">
      <c r="A1548" s="25"/>
      <c r="B1548" s="49"/>
      <c r="C1548" s="50"/>
      <c r="D1548" s="50"/>
      <c r="E1548" s="50"/>
      <c r="F1548" s="51"/>
      <c r="G1548" s="51"/>
      <c r="H1548" s="51"/>
      <c r="I1548" s="51"/>
      <c r="J1548" s="49"/>
      <c r="K1548" s="51"/>
      <c r="L1548" s="51"/>
      <c r="M1548" s="52"/>
      <c r="N1548" s="51"/>
      <c r="O1548" s="51"/>
      <c r="P1548" s="25"/>
    </row>
    <row r="1549">
      <c r="A1549" s="25"/>
      <c r="B1549" s="49"/>
      <c r="C1549" s="50"/>
      <c r="D1549" s="50"/>
      <c r="E1549" s="50"/>
      <c r="F1549" s="51"/>
      <c r="G1549" s="51"/>
      <c r="H1549" s="51"/>
      <c r="I1549" s="51"/>
      <c r="J1549" s="49"/>
      <c r="K1549" s="51"/>
      <c r="L1549" s="51"/>
      <c r="M1549" s="52"/>
      <c r="N1549" s="51"/>
      <c r="O1549" s="51"/>
      <c r="P1549" s="25"/>
    </row>
    <row r="1550">
      <c r="A1550" s="25"/>
      <c r="B1550" s="49"/>
      <c r="C1550" s="50"/>
      <c r="D1550" s="50"/>
      <c r="E1550" s="50"/>
      <c r="F1550" s="51"/>
      <c r="G1550" s="51"/>
      <c r="H1550" s="51"/>
      <c r="I1550" s="51"/>
      <c r="J1550" s="49"/>
      <c r="K1550" s="51"/>
      <c r="L1550" s="51"/>
      <c r="M1550" s="52"/>
      <c r="N1550" s="51"/>
      <c r="O1550" s="51"/>
      <c r="P1550" s="25"/>
    </row>
    <row r="1551">
      <c r="A1551" s="25"/>
      <c r="B1551" s="49"/>
      <c r="C1551" s="50"/>
      <c r="D1551" s="50"/>
      <c r="E1551" s="50"/>
      <c r="F1551" s="51"/>
      <c r="G1551" s="51"/>
      <c r="H1551" s="51"/>
      <c r="I1551" s="51"/>
      <c r="J1551" s="49"/>
      <c r="K1551" s="51"/>
      <c r="L1551" s="51"/>
      <c r="M1551" s="52"/>
      <c r="N1551" s="51"/>
      <c r="O1551" s="51"/>
      <c r="P1551" s="25"/>
    </row>
    <row r="1552">
      <c r="A1552" s="25"/>
      <c r="B1552" s="49"/>
      <c r="C1552" s="50"/>
      <c r="D1552" s="50"/>
      <c r="E1552" s="50"/>
      <c r="F1552" s="51"/>
      <c r="G1552" s="51"/>
      <c r="H1552" s="51"/>
      <c r="I1552" s="51"/>
      <c r="J1552" s="49"/>
      <c r="K1552" s="51"/>
      <c r="L1552" s="51"/>
      <c r="M1552" s="52"/>
      <c r="N1552" s="51"/>
      <c r="O1552" s="51"/>
      <c r="P1552" s="25"/>
    </row>
    <row r="1553">
      <c r="A1553" s="25"/>
      <c r="B1553" s="49"/>
      <c r="C1553" s="50"/>
      <c r="D1553" s="50"/>
      <c r="E1553" s="50"/>
      <c r="F1553" s="51"/>
      <c r="G1553" s="51"/>
      <c r="H1553" s="51"/>
      <c r="I1553" s="51"/>
      <c r="J1553" s="49"/>
      <c r="K1553" s="51"/>
      <c r="L1553" s="51"/>
      <c r="M1553" s="52"/>
      <c r="N1553" s="51"/>
      <c r="O1553" s="51"/>
      <c r="P1553" s="25"/>
    </row>
    <row r="1554">
      <c r="A1554" s="25"/>
      <c r="B1554" s="49"/>
      <c r="C1554" s="50"/>
      <c r="D1554" s="50"/>
      <c r="E1554" s="50"/>
      <c r="F1554" s="51"/>
      <c r="G1554" s="51"/>
      <c r="H1554" s="51"/>
      <c r="I1554" s="51"/>
      <c r="J1554" s="49"/>
      <c r="K1554" s="51"/>
      <c r="L1554" s="51"/>
      <c r="M1554" s="52"/>
      <c r="N1554" s="51"/>
      <c r="O1554" s="51"/>
      <c r="P1554" s="25"/>
    </row>
    <row r="1555">
      <c r="A1555" s="25"/>
      <c r="B1555" s="49"/>
      <c r="C1555" s="50"/>
      <c r="D1555" s="50"/>
      <c r="E1555" s="50"/>
      <c r="F1555" s="51"/>
      <c r="G1555" s="51"/>
      <c r="H1555" s="51"/>
      <c r="I1555" s="51"/>
      <c r="J1555" s="49"/>
      <c r="K1555" s="51"/>
      <c r="L1555" s="51"/>
      <c r="M1555" s="52"/>
      <c r="N1555" s="51"/>
      <c r="O1555" s="51"/>
      <c r="P1555" s="25"/>
    </row>
    <row r="1556">
      <c r="A1556" s="25"/>
      <c r="B1556" s="49"/>
      <c r="C1556" s="50"/>
      <c r="D1556" s="50"/>
      <c r="E1556" s="50"/>
      <c r="F1556" s="51"/>
      <c r="G1556" s="51"/>
      <c r="H1556" s="51"/>
      <c r="I1556" s="51"/>
      <c r="J1556" s="49"/>
      <c r="K1556" s="51"/>
      <c r="L1556" s="51"/>
      <c r="M1556" s="52"/>
      <c r="N1556" s="51"/>
      <c r="O1556" s="51"/>
      <c r="P1556" s="25"/>
    </row>
    <row r="1557">
      <c r="A1557" s="25"/>
      <c r="B1557" s="49"/>
      <c r="C1557" s="50"/>
      <c r="D1557" s="50"/>
      <c r="E1557" s="50"/>
      <c r="F1557" s="51"/>
      <c r="G1557" s="51"/>
      <c r="H1557" s="51"/>
      <c r="I1557" s="51"/>
      <c r="J1557" s="49"/>
      <c r="K1557" s="51"/>
      <c r="L1557" s="51"/>
      <c r="M1557" s="52"/>
      <c r="N1557" s="51"/>
      <c r="O1557" s="51"/>
      <c r="P1557" s="25"/>
    </row>
    <row r="1558">
      <c r="A1558" s="25"/>
      <c r="B1558" s="49"/>
      <c r="C1558" s="50"/>
      <c r="D1558" s="50"/>
      <c r="E1558" s="50"/>
      <c r="F1558" s="51"/>
      <c r="G1558" s="51"/>
      <c r="H1558" s="51"/>
      <c r="I1558" s="51"/>
      <c r="J1558" s="49"/>
      <c r="K1558" s="51"/>
      <c r="L1558" s="51"/>
      <c r="M1558" s="52"/>
      <c r="N1558" s="51"/>
      <c r="O1558" s="51"/>
      <c r="P1558" s="25"/>
    </row>
    <row r="1559">
      <c r="A1559" s="25"/>
      <c r="B1559" s="49"/>
      <c r="C1559" s="50"/>
      <c r="D1559" s="50"/>
      <c r="E1559" s="50"/>
      <c r="F1559" s="51"/>
      <c r="G1559" s="51"/>
      <c r="H1559" s="51"/>
      <c r="I1559" s="51"/>
      <c r="J1559" s="49"/>
      <c r="K1559" s="51"/>
      <c r="L1559" s="51"/>
      <c r="M1559" s="52"/>
      <c r="N1559" s="51"/>
      <c r="O1559" s="51"/>
      <c r="P1559" s="25"/>
    </row>
    <row r="1560">
      <c r="A1560" s="25"/>
      <c r="B1560" s="49"/>
      <c r="C1560" s="50"/>
      <c r="D1560" s="50"/>
      <c r="E1560" s="50"/>
      <c r="F1560" s="51"/>
      <c r="G1560" s="51"/>
      <c r="H1560" s="51"/>
      <c r="I1560" s="51"/>
      <c r="J1560" s="49"/>
      <c r="K1560" s="51"/>
      <c r="L1560" s="51"/>
      <c r="M1560" s="52"/>
      <c r="N1560" s="51"/>
      <c r="O1560" s="51"/>
      <c r="P1560" s="25"/>
    </row>
    <row r="1561">
      <c r="A1561" s="25"/>
      <c r="B1561" s="49"/>
      <c r="C1561" s="50"/>
      <c r="D1561" s="50"/>
      <c r="E1561" s="50"/>
      <c r="F1561" s="51"/>
      <c r="G1561" s="51"/>
      <c r="H1561" s="51"/>
      <c r="I1561" s="51"/>
      <c r="J1561" s="49"/>
      <c r="K1561" s="51"/>
      <c r="L1561" s="51"/>
      <c r="M1561" s="52"/>
      <c r="N1561" s="51"/>
      <c r="O1561" s="51"/>
      <c r="P1561" s="25"/>
    </row>
    <row r="1562">
      <c r="A1562" s="25"/>
      <c r="B1562" s="49"/>
      <c r="C1562" s="50"/>
      <c r="D1562" s="50"/>
      <c r="E1562" s="50"/>
      <c r="F1562" s="51"/>
      <c r="G1562" s="51"/>
      <c r="H1562" s="51"/>
      <c r="I1562" s="51"/>
      <c r="J1562" s="49"/>
      <c r="K1562" s="51"/>
      <c r="L1562" s="51"/>
      <c r="M1562" s="52"/>
      <c r="N1562" s="51"/>
      <c r="O1562" s="51"/>
      <c r="P1562" s="25"/>
    </row>
    <row r="1563">
      <c r="A1563" s="25"/>
      <c r="B1563" s="49"/>
      <c r="C1563" s="50"/>
      <c r="D1563" s="50"/>
      <c r="E1563" s="50"/>
      <c r="F1563" s="51"/>
      <c r="G1563" s="51"/>
      <c r="H1563" s="51"/>
      <c r="I1563" s="51"/>
      <c r="J1563" s="49"/>
      <c r="K1563" s="51"/>
      <c r="L1563" s="51"/>
      <c r="M1563" s="52"/>
      <c r="N1563" s="51"/>
      <c r="O1563" s="51"/>
      <c r="P1563" s="25"/>
    </row>
    <row r="1564">
      <c r="A1564" s="25"/>
      <c r="B1564" s="49"/>
      <c r="C1564" s="50"/>
      <c r="D1564" s="50"/>
      <c r="E1564" s="50"/>
      <c r="F1564" s="51"/>
      <c r="G1564" s="51"/>
      <c r="H1564" s="51"/>
      <c r="I1564" s="51"/>
      <c r="J1564" s="49"/>
      <c r="K1564" s="51"/>
      <c r="L1564" s="51"/>
      <c r="M1564" s="52"/>
      <c r="N1564" s="51"/>
      <c r="O1564" s="51"/>
      <c r="P1564" s="25"/>
    </row>
    <row r="1565">
      <c r="A1565" s="25"/>
      <c r="B1565" s="49"/>
      <c r="C1565" s="50"/>
      <c r="D1565" s="50"/>
      <c r="E1565" s="50"/>
      <c r="F1565" s="51"/>
      <c r="G1565" s="51"/>
      <c r="H1565" s="51"/>
      <c r="I1565" s="51"/>
      <c r="J1565" s="49"/>
      <c r="K1565" s="51"/>
      <c r="L1565" s="51"/>
      <c r="M1565" s="52"/>
      <c r="N1565" s="51"/>
      <c r="O1565" s="51"/>
      <c r="P1565" s="25"/>
    </row>
    <row r="1566">
      <c r="A1566" s="25"/>
      <c r="B1566" s="49"/>
      <c r="C1566" s="50"/>
      <c r="D1566" s="50"/>
      <c r="E1566" s="50"/>
      <c r="F1566" s="51"/>
      <c r="G1566" s="51"/>
      <c r="H1566" s="51"/>
      <c r="I1566" s="51"/>
      <c r="J1566" s="49"/>
      <c r="K1566" s="51"/>
      <c r="L1566" s="51"/>
      <c r="M1566" s="52"/>
      <c r="N1566" s="51"/>
      <c r="O1566" s="51"/>
      <c r="P1566" s="25"/>
    </row>
    <row r="1567">
      <c r="A1567" s="25"/>
      <c r="B1567" s="49"/>
      <c r="C1567" s="50"/>
      <c r="D1567" s="50"/>
      <c r="E1567" s="50"/>
      <c r="F1567" s="51"/>
      <c r="G1567" s="51"/>
      <c r="H1567" s="51"/>
      <c r="I1567" s="51"/>
      <c r="J1567" s="49"/>
      <c r="K1567" s="51"/>
      <c r="L1567" s="51"/>
      <c r="M1567" s="52"/>
      <c r="N1567" s="51"/>
      <c r="O1567" s="51"/>
      <c r="P1567" s="25"/>
    </row>
    <row r="1568">
      <c r="A1568" s="25"/>
      <c r="B1568" s="49"/>
      <c r="C1568" s="50"/>
      <c r="D1568" s="50"/>
      <c r="E1568" s="50"/>
      <c r="F1568" s="51"/>
      <c r="G1568" s="51"/>
      <c r="H1568" s="51"/>
      <c r="I1568" s="51"/>
      <c r="J1568" s="49"/>
      <c r="K1568" s="51"/>
      <c r="L1568" s="51"/>
      <c r="M1568" s="52"/>
      <c r="N1568" s="51"/>
      <c r="O1568" s="51"/>
      <c r="P1568" s="25"/>
    </row>
    <row r="1569">
      <c r="A1569" s="25"/>
      <c r="B1569" s="49"/>
      <c r="C1569" s="50"/>
      <c r="D1569" s="50"/>
      <c r="E1569" s="50"/>
      <c r="F1569" s="51"/>
      <c r="G1569" s="51"/>
      <c r="H1569" s="51"/>
      <c r="I1569" s="51"/>
      <c r="J1569" s="49"/>
      <c r="K1569" s="51"/>
      <c r="L1569" s="51"/>
      <c r="M1569" s="52"/>
      <c r="N1569" s="51"/>
      <c r="O1569" s="51"/>
      <c r="P1569" s="25"/>
    </row>
    <row r="1570">
      <c r="A1570" s="25"/>
      <c r="B1570" s="49"/>
      <c r="C1570" s="50"/>
      <c r="D1570" s="50"/>
      <c r="E1570" s="50"/>
      <c r="F1570" s="51"/>
      <c r="G1570" s="51"/>
      <c r="H1570" s="51"/>
      <c r="I1570" s="51"/>
      <c r="J1570" s="49"/>
      <c r="K1570" s="51"/>
      <c r="L1570" s="51"/>
      <c r="M1570" s="52"/>
      <c r="N1570" s="51"/>
      <c r="O1570" s="51"/>
      <c r="P1570" s="25"/>
    </row>
    <row r="1571">
      <c r="A1571" s="25"/>
      <c r="B1571" s="49"/>
      <c r="C1571" s="50"/>
      <c r="D1571" s="50"/>
      <c r="E1571" s="50"/>
      <c r="F1571" s="51"/>
      <c r="G1571" s="51"/>
      <c r="H1571" s="51"/>
      <c r="I1571" s="51"/>
      <c r="J1571" s="49"/>
      <c r="K1571" s="51"/>
      <c r="L1571" s="51"/>
      <c r="M1571" s="52"/>
      <c r="N1571" s="51"/>
      <c r="O1571" s="51"/>
      <c r="P1571" s="25"/>
    </row>
    <row r="1572">
      <c r="A1572" s="25"/>
      <c r="B1572" s="49"/>
      <c r="C1572" s="50"/>
      <c r="D1572" s="50"/>
      <c r="E1572" s="50"/>
      <c r="F1572" s="51"/>
      <c r="G1572" s="51"/>
      <c r="H1572" s="51"/>
      <c r="I1572" s="51"/>
      <c r="J1572" s="49"/>
      <c r="K1572" s="51"/>
      <c r="L1572" s="51"/>
      <c r="M1572" s="52"/>
      <c r="N1572" s="51"/>
      <c r="O1572" s="51"/>
      <c r="P1572" s="25"/>
    </row>
    <row r="1573">
      <c r="A1573" s="25"/>
      <c r="B1573" s="49"/>
      <c r="C1573" s="50"/>
      <c r="D1573" s="50"/>
      <c r="E1573" s="50"/>
      <c r="F1573" s="51"/>
      <c r="G1573" s="51"/>
      <c r="H1573" s="51"/>
      <c r="I1573" s="51"/>
      <c r="J1573" s="49"/>
      <c r="K1573" s="51"/>
      <c r="L1573" s="51"/>
      <c r="M1573" s="52"/>
      <c r="N1573" s="51"/>
      <c r="O1573" s="51"/>
      <c r="P1573" s="25"/>
    </row>
    <row r="1574">
      <c r="A1574" s="25"/>
      <c r="B1574" s="49"/>
      <c r="C1574" s="50"/>
      <c r="D1574" s="50"/>
      <c r="E1574" s="50"/>
      <c r="F1574" s="51"/>
      <c r="G1574" s="51"/>
      <c r="H1574" s="51"/>
      <c r="I1574" s="51"/>
      <c r="J1574" s="49"/>
      <c r="K1574" s="51"/>
      <c r="L1574" s="51"/>
      <c r="M1574" s="52"/>
      <c r="N1574" s="51"/>
      <c r="O1574" s="51"/>
      <c r="P1574" s="25"/>
    </row>
    <row r="1575">
      <c r="A1575" s="25"/>
      <c r="B1575" s="49"/>
      <c r="C1575" s="50"/>
      <c r="D1575" s="50"/>
      <c r="E1575" s="50"/>
      <c r="F1575" s="51"/>
      <c r="G1575" s="51"/>
      <c r="H1575" s="51"/>
      <c r="I1575" s="51"/>
      <c r="J1575" s="49"/>
      <c r="K1575" s="51"/>
      <c r="L1575" s="51"/>
      <c r="M1575" s="52"/>
      <c r="N1575" s="51"/>
      <c r="O1575" s="51"/>
      <c r="P1575" s="25"/>
    </row>
    <row r="1576">
      <c r="A1576" s="25"/>
      <c r="B1576" s="49"/>
      <c r="C1576" s="50"/>
      <c r="D1576" s="50"/>
      <c r="E1576" s="50"/>
      <c r="F1576" s="51"/>
      <c r="G1576" s="51"/>
      <c r="H1576" s="51"/>
      <c r="I1576" s="51"/>
      <c r="J1576" s="49"/>
      <c r="K1576" s="51"/>
      <c r="L1576" s="51"/>
      <c r="M1576" s="52"/>
      <c r="N1576" s="51"/>
      <c r="O1576" s="51"/>
      <c r="P1576" s="25"/>
    </row>
    <row r="1577">
      <c r="A1577" s="25"/>
      <c r="B1577" s="49"/>
      <c r="C1577" s="50"/>
      <c r="D1577" s="50"/>
      <c r="E1577" s="50"/>
      <c r="F1577" s="51"/>
      <c r="G1577" s="51"/>
      <c r="H1577" s="51"/>
      <c r="I1577" s="51"/>
      <c r="J1577" s="49"/>
      <c r="K1577" s="51"/>
      <c r="L1577" s="51"/>
      <c r="M1577" s="52"/>
      <c r="N1577" s="51"/>
      <c r="O1577" s="51"/>
      <c r="P1577" s="25"/>
    </row>
    <row r="1578">
      <c r="A1578" s="25"/>
      <c r="B1578" s="49"/>
      <c r="C1578" s="50"/>
      <c r="D1578" s="50"/>
      <c r="E1578" s="50"/>
      <c r="F1578" s="51"/>
      <c r="G1578" s="51"/>
      <c r="H1578" s="51"/>
      <c r="I1578" s="51"/>
      <c r="J1578" s="49"/>
      <c r="K1578" s="51"/>
      <c r="L1578" s="51"/>
      <c r="M1578" s="52"/>
      <c r="N1578" s="51"/>
      <c r="O1578" s="51"/>
      <c r="P1578" s="25"/>
    </row>
    <row r="1579">
      <c r="A1579" s="25"/>
      <c r="B1579" s="49"/>
      <c r="C1579" s="50"/>
      <c r="D1579" s="50"/>
      <c r="E1579" s="50"/>
      <c r="F1579" s="51"/>
      <c r="G1579" s="51"/>
      <c r="H1579" s="51"/>
      <c r="I1579" s="51"/>
      <c r="J1579" s="49"/>
      <c r="K1579" s="51"/>
      <c r="L1579" s="51"/>
      <c r="M1579" s="52"/>
      <c r="N1579" s="51"/>
      <c r="O1579" s="51"/>
      <c r="P1579" s="25"/>
    </row>
    <row r="1580">
      <c r="A1580" s="25"/>
      <c r="B1580" s="49"/>
      <c r="C1580" s="50"/>
      <c r="D1580" s="50"/>
      <c r="E1580" s="50"/>
      <c r="F1580" s="51"/>
      <c r="G1580" s="51"/>
      <c r="H1580" s="51"/>
      <c r="I1580" s="51"/>
      <c r="J1580" s="49"/>
      <c r="K1580" s="51"/>
      <c r="L1580" s="51"/>
      <c r="M1580" s="52"/>
      <c r="N1580" s="51"/>
      <c r="O1580" s="51"/>
      <c r="P1580" s="25"/>
    </row>
    <row r="1581">
      <c r="A1581" s="25"/>
      <c r="B1581" s="49"/>
      <c r="C1581" s="50"/>
      <c r="D1581" s="50"/>
      <c r="E1581" s="50"/>
      <c r="F1581" s="51"/>
      <c r="G1581" s="51"/>
      <c r="H1581" s="51"/>
      <c r="I1581" s="51"/>
      <c r="J1581" s="49"/>
      <c r="K1581" s="51"/>
      <c r="L1581" s="51"/>
      <c r="M1581" s="52"/>
      <c r="N1581" s="51"/>
      <c r="O1581" s="51"/>
      <c r="P1581" s="25"/>
    </row>
    <row r="1582">
      <c r="A1582" s="25"/>
      <c r="B1582" s="49"/>
      <c r="C1582" s="50"/>
      <c r="D1582" s="50"/>
      <c r="E1582" s="50"/>
      <c r="F1582" s="51"/>
      <c r="G1582" s="51"/>
      <c r="H1582" s="51"/>
      <c r="I1582" s="51"/>
      <c r="J1582" s="49"/>
      <c r="K1582" s="51"/>
      <c r="L1582" s="51"/>
      <c r="M1582" s="52"/>
      <c r="N1582" s="51"/>
      <c r="O1582" s="51"/>
      <c r="P1582" s="25"/>
    </row>
    <row r="1583">
      <c r="A1583" s="25"/>
      <c r="B1583" s="49"/>
      <c r="C1583" s="50"/>
      <c r="D1583" s="50"/>
      <c r="E1583" s="50"/>
      <c r="F1583" s="51"/>
      <c r="G1583" s="51"/>
      <c r="H1583" s="51"/>
      <c r="I1583" s="51"/>
      <c r="J1583" s="49"/>
      <c r="K1583" s="51"/>
      <c r="L1583" s="51"/>
      <c r="M1583" s="52"/>
      <c r="N1583" s="51"/>
      <c r="O1583" s="51"/>
      <c r="P1583" s="25"/>
    </row>
    <row r="1584">
      <c r="A1584" s="25"/>
      <c r="B1584" s="49"/>
      <c r="C1584" s="50"/>
      <c r="D1584" s="50"/>
      <c r="E1584" s="50"/>
      <c r="F1584" s="51"/>
      <c r="G1584" s="51"/>
      <c r="H1584" s="51"/>
      <c r="I1584" s="51"/>
      <c r="J1584" s="49"/>
      <c r="K1584" s="51"/>
      <c r="L1584" s="51"/>
      <c r="M1584" s="52"/>
      <c r="N1584" s="51"/>
      <c r="O1584" s="51"/>
      <c r="P1584" s="25"/>
    </row>
    <row r="1585">
      <c r="A1585" s="25"/>
      <c r="B1585" s="49"/>
      <c r="C1585" s="50"/>
      <c r="D1585" s="50"/>
      <c r="E1585" s="50"/>
      <c r="F1585" s="51"/>
      <c r="G1585" s="51"/>
      <c r="H1585" s="51"/>
      <c r="I1585" s="51"/>
      <c r="J1585" s="49"/>
      <c r="K1585" s="51"/>
      <c r="L1585" s="51"/>
      <c r="M1585" s="52"/>
      <c r="N1585" s="51"/>
      <c r="O1585" s="51"/>
      <c r="P1585" s="25"/>
    </row>
    <row r="1586">
      <c r="A1586" s="25"/>
      <c r="B1586" s="49"/>
      <c r="C1586" s="50"/>
      <c r="D1586" s="50"/>
      <c r="E1586" s="50"/>
      <c r="F1586" s="51"/>
      <c r="G1586" s="51"/>
      <c r="H1586" s="51"/>
      <c r="I1586" s="51"/>
      <c r="J1586" s="49"/>
      <c r="K1586" s="51"/>
      <c r="L1586" s="51"/>
      <c r="M1586" s="52"/>
      <c r="N1586" s="51"/>
      <c r="O1586" s="51"/>
      <c r="P1586" s="25"/>
    </row>
    <row r="1587">
      <c r="A1587" s="25"/>
      <c r="B1587" s="49"/>
      <c r="C1587" s="50"/>
      <c r="D1587" s="50"/>
      <c r="E1587" s="50"/>
      <c r="F1587" s="51"/>
      <c r="G1587" s="51"/>
      <c r="H1587" s="51"/>
      <c r="I1587" s="51"/>
      <c r="J1587" s="49"/>
      <c r="K1587" s="51"/>
      <c r="L1587" s="51"/>
      <c r="M1587" s="52"/>
      <c r="N1587" s="51"/>
      <c r="O1587" s="51"/>
      <c r="P1587" s="25"/>
    </row>
    <row r="1588">
      <c r="A1588" s="25"/>
      <c r="B1588" s="49"/>
      <c r="C1588" s="50"/>
      <c r="D1588" s="50"/>
      <c r="E1588" s="50"/>
      <c r="F1588" s="51"/>
      <c r="G1588" s="51"/>
      <c r="H1588" s="51"/>
      <c r="I1588" s="51"/>
      <c r="J1588" s="49"/>
      <c r="K1588" s="51"/>
      <c r="L1588" s="51"/>
      <c r="M1588" s="52"/>
      <c r="N1588" s="51"/>
      <c r="O1588" s="51"/>
      <c r="P1588" s="25"/>
    </row>
    <row r="1589">
      <c r="A1589" s="25"/>
      <c r="B1589" s="49"/>
      <c r="C1589" s="50"/>
      <c r="D1589" s="50"/>
      <c r="E1589" s="50"/>
      <c r="F1589" s="51"/>
      <c r="G1589" s="51"/>
      <c r="H1589" s="51"/>
      <c r="I1589" s="51"/>
      <c r="J1589" s="49"/>
      <c r="K1589" s="51"/>
      <c r="L1589" s="51"/>
      <c r="M1589" s="52"/>
      <c r="N1589" s="51"/>
      <c r="O1589" s="51"/>
      <c r="P1589" s="25"/>
    </row>
    <row r="1590">
      <c r="A1590" s="25"/>
      <c r="B1590" s="49"/>
      <c r="C1590" s="50"/>
      <c r="D1590" s="50"/>
      <c r="E1590" s="50"/>
      <c r="F1590" s="51"/>
      <c r="G1590" s="51"/>
      <c r="H1590" s="51"/>
      <c r="I1590" s="51"/>
      <c r="J1590" s="49"/>
      <c r="K1590" s="51"/>
      <c r="L1590" s="51"/>
      <c r="M1590" s="52"/>
      <c r="N1590" s="51"/>
      <c r="O1590" s="51"/>
      <c r="P1590" s="25"/>
    </row>
    <row r="1591">
      <c r="A1591" s="25"/>
      <c r="B1591" s="49"/>
      <c r="C1591" s="50"/>
      <c r="D1591" s="50"/>
      <c r="E1591" s="50"/>
      <c r="F1591" s="51"/>
      <c r="G1591" s="51"/>
      <c r="H1591" s="51"/>
      <c r="I1591" s="51"/>
      <c r="J1591" s="49"/>
      <c r="K1591" s="51"/>
      <c r="L1591" s="51"/>
      <c r="M1591" s="52"/>
      <c r="N1591" s="51"/>
      <c r="O1591" s="51"/>
      <c r="P1591" s="25"/>
    </row>
    <row r="1592">
      <c r="A1592" s="25"/>
      <c r="B1592" s="49"/>
      <c r="C1592" s="50"/>
      <c r="D1592" s="50"/>
      <c r="E1592" s="50"/>
      <c r="F1592" s="51"/>
      <c r="G1592" s="51"/>
      <c r="H1592" s="51"/>
      <c r="I1592" s="51"/>
      <c r="J1592" s="49"/>
      <c r="K1592" s="51"/>
      <c r="L1592" s="51"/>
      <c r="M1592" s="52"/>
      <c r="N1592" s="51"/>
      <c r="O1592" s="51"/>
      <c r="P1592" s="25"/>
    </row>
    <row r="1593">
      <c r="A1593" s="25"/>
      <c r="B1593" s="49"/>
      <c r="C1593" s="50"/>
      <c r="D1593" s="50"/>
      <c r="E1593" s="50"/>
      <c r="F1593" s="51"/>
      <c r="G1593" s="51"/>
      <c r="H1593" s="51"/>
      <c r="I1593" s="51"/>
      <c r="J1593" s="49"/>
      <c r="K1593" s="51"/>
      <c r="L1593" s="51"/>
      <c r="M1593" s="52"/>
      <c r="N1593" s="51"/>
      <c r="O1593" s="51"/>
      <c r="P1593" s="25"/>
    </row>
    <row r="1594">
      <c r="A1594" s="25"/>
      <c r="B1594" s="49"/>
      <c r="C1594" s="50"/>
      <c r="D1594" s="50"/>
      <c r="E1594" s="50"/>
      <c r="F1594" s="51"/>
      <c r="G1594" s="51"/>
      <c r="H1594" s="51"/>
      <c r="I1594" s="51"/>
      <c r="J1594" s="49"/>
      <c r="K1594" s="51"/>
      <c r="L1594" s="51"/>
      <c r="M1594" s="52"/>
      <c r="N1594" s="51"/>
      <c r="O1594" s="51"/>
      <c r="P1594" s="25"/>
    </row>
    <row r="1595">
      <c r="A1595" s="25"/>
      <c r="B1595" s="49"/>
      <c r="C1595" s="50"/>
      <c r="D1595" s="50"/>
      <c r="E1595" s="50"/>
      <c r="F1595" s="51"/>
      <c r="G1595" s="51"/>
      <c r="H1595" s="51"/>
      <c r="I1595" s="51"/>
      <c r="J1595" s="49"/>
      <c r="K1595" s="51"/>
      <c r="L1595" s="51"/>
      <c r="M1595" s="52"/>
      <c r="N1595" s="51"/>
      <c r="O1595" s="51"/>
      <c r="P1595" s="25"/>
    </row>
    <row r="1596">
      <c r="A1596" s="25"/>
      <c r="B1596" s="49"/>
      <c r="C1596" s="50"/>
      <c r="D1596" s="50"/>
      <c r="E1596" s="50"/>
      <c r="F1596" s="51"/>
      <c r="G1596" s="51"/>
      <c r="H1596" s="51"/>
      <c r="I1596" s="51"/>
      <c r="J1596" s="49"/>
      <c r="K1596" s="51"/>
      <c r="L1596" s="51"/>
      <c r="M1596" s="52"/>
      <c r="N1596" s="51"/>
      <c r="O1596" s="51"/>
      <c r="P1596" s="25"/>
    </row>
    <row r="1597">
      <c r="A1597" s="25"/>
      <c r="B1597" s="49"/>
      <c r="C1597" s="50"/>
      <c r="D1597" s="50"/>
      <c r="E1597" s="50"/>
      <c r="F1597" s="51"/>
      <c r="G1597" s="51"/>
      <c r="H1597" s="51"/>
      <c r="I1597" s="51"/>
      <c r="J1597" s="49"/>
      <c r="K1597" s="51"/>
      <c r="L1597" s="51"/>
      <c r="M1597" s="52"/>
      <c r="N1597" s="51"/>
      <c r="O1597" s="51"/>
      <c r="P1597" s="25"/>
    </row>
    <row r="1598">
      <c r="A1598" s="25"/>
      <c r="B1598" s="49"/>
      <c r="C1598" s="50"/>
      <c r="D1598" s="50"/>
      <c r="E1598" s="50"/>
      <c r="F1598" s="51"/>
      <c r="G1598" s="51"/>
      <c r="H1598" s="51"/>
      <c r="I1598" s="51"/>
      <c r="J1598" s="49"/>
      <c r="K1598" s="51"/>
      <c r="L1598" s="51"/>
      <c r="M1598" s="52"/>
      <c r="N1598" s="51"/>
      <c r="O1598" s="51"/>
      <c r="P1598" s="25"/>
    </row>
    <row r="1599">
      <c r="A1599" s="25"/>
      <c r="B1599" s="49"/>
      <c r="C1599" s="50"/>
      <c r="D1599" s="50"/>
      <c r="E1599" s="50"/>
      <c r="F1599" s="51"/>
      <c r="G1599" s="51"/>
      <c r="H1599" s="51"/>
      <c r="I1599" s="51"/>
      <c r="J1599" s="49"/>
      <c r="K1599" s="51"/>
      <c r="L1599" s="51"/>
      <c r="M1599" s="52"/>
      <c r="N1599" s="51"/>
      <c r="O1599" s="51"/>
      <c r="P1599" s="25"/>
    </row>
    <row r="1600">
      <c r="A1600" s="25"/>
      <c r="B1600" s="49"/>
      <c r="C1600" s="50"/>
      <c r="D1600" s="50"/>
      <c r="E1600" s="50"/>
      <c r="F1600" s="51"/>
      <c r="G1600" s="51"/>
      <c r="H1600" s="51"/>
      <c r="I1600" s="51"/>
      <c r="J1600" s="49"/>
      <c r="K1600" s="51"/>
      <c r="L1600" s="51"/>
      <c r="M1600" s="52"/>
      <c r="N1600" s="51"/>
      <c r="O1600" s="51"/>
      <c r="P1600" s="25"/>
    </row>
    <row r="1601">
      <c r="A1601" s="25"/>
      <c r="B1601" s="49"/>
      <c r="C1601" s="50"/>
      <c r="D1601" s="50"/>
      <c r="E1601" s="50"/>
      <c r="F1601" s="51"/>
      <c r="G1601" s="51"/>
      <c r="H1601" s="51"/>
      <c r="I1601" s="51"/>
      <c r="J1601" s="49"/>
      <c r="K1601" s="51"/>
      <c r="L1601" s="51"/>
      <c r="M1601" s="52"/>
      <c r="N1601" s="51"/>
      <c r="O1601" s="51"/>
      <c r="P1601" s="25"/>
    </row>
    <row r="1602">
      <c r="A1602" s="25"/>
      <c r="B1602" s="49"/>
      <c r="C1602" s="50"/>
      <c r="D1602" s="50"/>
      <c r="E1602" s="50"/>
      <c r="F1602" s="51"/>
      <c r="G1602" s="51"/>
      <c r="H1602" s="51"/>
      <c r="I1602" s="51"/>
      <c r="J1602" s="49"/>
      <c r="K1602" s="51"/>
      <c r="L1602" s="51"/>
      <c r="M1602" s="52"/>
      <c r="N1602" s="51"/>
      <c r="O1602" s="51"/>
      <c r="P1602" s="25"/>
    </row>
    <row r="1603">
      <c r="A1603" s="25"/>
      <c r="B1603" s="49"/>
      <c r="C1603" s="50"/>
      <c r="D1603" s="50"/>
      <c r="E1603" s="50"/>
      <c r="F1603" s="51"/>
      <c r="G1603" s="51"/>
      <c r="H1603" s="51"/>
      <c r="I1603" s="51"/>
      <c r="J1603" s="49"/>
      <c r="K1603" s="51"/>
      <c r="L1603" s="51"/>
      <c r="M1603" s="52"/>
      <c r="N1603" s="51"/>
      <c r="O1603" s="51"/>
      <c r="P1603" s="25"/>
    </row>
    <row r="1604">
      <c r="A1604" s="25"/>
      <c r="B1604" s="49"/>
      <c r="C1604" s="50"/>
      <c r="D1604" s="50"/>
      <c r="E1604" s="50"/>
      <c r="F1604" s="51"/>
      <c r="G1604" s="51"/>
      <c r="H1604" s="51"/>
      <c r="I1604" s="51"/>
      <c r="J1604" s="49"/>
      <c r="K1604" s="51"/>
      <c r="L1604" s="51"/>
      <c r="M1604" s="52"/>
      <c r="N1604" s="51"/>
      <c r="O1604" s="51"/>
      <c r="P1604" s="25"/>
    </row>
    <row r="1605">
      <c r="A1605" s="25"/>
      <c r="B1605" s="49"/>
      <c r="C1605" s="50"/>
      <c r="D1605" s="50"/>
      <c r="E1605" s="50"/>
      <c r="F1605" s="51"/>
      <c r="G1605" s="51"/>
      <c r="H1605" s="51"/>
      <c r="I1605" s="51"/>
      <c r="J1605" s="49"/>
      <c r="K1605" s="51"/>
      <c r="L1605" s="51"/>
      <c r="M1605" s="52"/>
      <c r="N1605" s="51"/>
      <c r="O1605" s="51"/>
      <c r="P1605" s="25"/>
    </row>
    <row r="1606">
      <c r="A1606" s="25"/>
      <c r="B1606" s="49"/>
      <c r="C1606" s="50"/>
      <c r="D1606" s="50"/>
      <c r="E1606" s="50"/>
      <c r="F1606" s="51"/>
      <c r="G1606" s="51"/>
      <c r="H1606" s="51"/>
      <c r="I1606" s="51"/>
      <c r="J1606" s="49"/>
      <c r="K1606" s="51"/>
      <c r="L1606" s="51"/>
      <c r="M1606" s="52"/>
      <c r="N1606" s="51"/>
      <c r="O1606" s="51"/>
      <c r="P1606" s="25"/>
    </row>
    <row r="1607">
      <c r="A1607" s="25"/>
      <c r="B1607" s="49"/>
      <c r="C1607" s="50"/>
      <c r="D1607" s="50"/>
      <c r="E1607" s="50"/>
      <c r="F1607" s="51"/>
      <c r="G1607" s="51"/>
      <c r="H1607" s="51"/>
      <c r="I1607" s="51"/>
      <c r="J1607" s="49"/>
      <c r="K1607" s="51"/>
      <c r="L1607" s="51"/>
      <c r="M1607" s="52"/>
      <c r="N1607" s="51"/>
      <c r="O1607" s="51"/>
      <c r="P1607" s="25"/>
    </row>
    <row r="1608">
      <c r="A1608" s="25"/>
      <c r="B1608" s="49"/>
      <c r="C1608" s="50"/>
      <c r="D1608" s="50"/>
      <c r="E1608" s="50"/>
      <c r="F1608" s="51"/>
      <c r="G1608" s="51"/>
      <c r="H1608" s="51"/>
      <c r="I1608" s="51"/>
      <c r="J1608" s="49"/>
      <c r="K1608" s="51"/>
      <c r="L1608" s="51"/>
      <c r="M1608" s="52"/>
      <c r="N1608" s="51"/>
      <c r="O1608" s="51"/>
      <c r="P1608" s="25"/>
    </row>
    <row r="1609">
      <c r="A1609" s="25"/>
      <c r="B1609" s="49"/>
      <c r="C1609" s="50"/>
      <c r="D1609" s="50"/>
      <c r="E1609" s="50"/>
      <c r="F1609" s="51"/>
      <c r="G1609" s="51"/>
      <c r="H1609" s="51"/>
      <c r="I1609" s="51"/>
      <c r="J1609" s="49"/>
      <c r="K1609" s="51"/>
      <c r="L1609" s="51"/>
      <c r="M1609" s="52"/>
      <c r="N1609" s="51"/>
      <c r="O1609" s="51"/>
      <c r="P1609" s="25"/>
    </row>
    <row r="1610">
      <c r="A1610" s="25"/>
      <c r="B1610" s="49"/>
      <c r="C1610" s="50"/>
      <c r="D1610" s="50"/>
      <c r="E1610" s="50"/>
      <c r="F1610" s="51"/>
      <c r="G1610" s="51"/>
      <c r="H1610" s="51"/>
      <c r="I1610" s="51"/>
      <c r="J1610" s="49"/>
      <c r="K1610" s="51"/>
      <c r="L1610" s="51"/>
      <c r="M1610" s="52"/>
      <c r="N1610" s="51"/>
      <c r="O1610" s="51"/>
      <c r="P1610" s="25"/>
    </row>
    <row r="1611">
      <c r="A1611" s="25"/>
      <c r="B1611" s="49"/>
      <c r="C1611" s="50"/>
      <c r="D1611" s="50"/>
      <c r="E1611" s="50"/>
      <c r="F1611" s="51"/>
      <c r="G1611" s="51"/>
      <c r="H1611" s="51"/>
      <c r="I1611" s="51"/>
      <c r="J1611" s="49"/>
      <c r="K1611" s="51"/>
      <c r="L1611" s="51"/>
      <c r="M1611" s="52"/>
      <c r="N1611" s="51"/>
      <c r="O1611" s="51"/>
      <c r="P1611" s="25"/>
    </row>
    <row r="1612">
      <c r="A1612" s="25"/>
      <c r="B1612" s="49"/>
      <c r="C1612" s="50"/>
      <c r="D1612" s="50"/>
      <c r="E1612" s="50"/>
      <c r="F1612" s="51"/>
      <c r="G1612" s="51"/>
      <c r="H1612" s="51"/>
      <c r="I1612" s="51"/>
      <c r="J1612" s="49"/>
      <c r="K1612" s="51"/>
      <c r="L1612" s="51"/>
      <c r="M1612" s="52"/>
      <c r="N1612" s="51"/>
      <c r="O1612" s="51"/>
      <c r="P1612" s="25"/>
    </row>
    <row r="1613">
      <c r="A1613" s="25"/>
      <c r="B1613" s="49"/>
      <c r="C1613" s="50"/>
      <c r="D1613" s="50"/>
      <c r="E1613" s="50"/>
      <c r="F1613" s="51"/>
      <c r="G1613" s="51"/>
      <c r="H1613" s="51"/>
      <c r="I1613" s="51"/>
      <c r="J1613" s="49"/>
      <c r="K1613" s="51"/>
      <c r="L1613" s="51"/>
      <c r="M1613" s="52"/>
      <c r="N1613" s="51"/>
      <c r="O1613" s="51"/>
      <c r="P1613" s="25"/>
    </row>
    <row r="1614">
      <c r="A1614" s="25"/>
      <c r="B1614" s="49"/>
      <c r="C1614" s="50"/>
      <c r="D1614" s="50"/>
      <c r="E1614" s="50"/>
      <c r="F1614" s="51"/>
      <c r="G1614" s="51"/>
      <c r="H1614" s="51"/>
      <c r="I1614" s="51"/>
      <c r="J1614" s="49"/>
      <c r="K1614" s="51"/>
      <c r="L1614" s="51"/>
      <c r="M1614" s="52"/>
      <c r="N1614" s="51"/>
      <c r="O1614" s="51"/>
      <c r="P1614" s="25"/>
    </row>
    <row r="1615">
      <c r="A1615" s="25"/>
      <c r="B1615" s="49"/>
      <c r="C1615" s="50"/>
      <c r="D1615" s="50"/>
      <c r="E1615" s="50"/>
      <c r="F1615" s="51"/>
      <c r="G1615" s="51"/>
      <c r="H1615" s="51"/>
      <c r="I1615" s="51"/>
      <c r="J1615" s="49"/>
      <c r="K1615" s="51"/>
      <c r="L1615" s="51"/>
      <c r="M1615" s="52"/>
      <c r="N1615" s="51"/>
      <c r="O1615" s="51"/>
      <c r="P1615" s="25"/>
    </row>
    <row r="1616">
      <c r="A1616" s="25"/>
      <c r="B1616" s="49"/>
      <c r="C1616" s="50"/>
      <c r="D1616" s="50"/>
      <c r="E1616" s="50"/>
      <c r="F1616" s="51"/>
      <c r="G1616" s="51"/>
      <c r="H1616" s="51"/>
      <c r="I1616" s="51"/>
      <c r="J1616" s="49"/>
      <c r="K1616" s="51"/>
      <c r="L1616" s="51"/>
      <c r="M1616" s="52"/>
      <c r="N1616" s="51"/>
      <c r="O1616" s="51"/>
      <c r="P1616" s="25"/>
    </row>
    <row r="1617">
      <c r="A1617" s="25"/>
      <c r="B1617" s="49"/>
      <c r="C1617" s="50"/>
      <c r="D1617" s="50"/>
      <c r="E1617" s="50"/>
      <c r="F1617" s="51"/>
      <c r="G1617" s="51"/>
      <c r="H1617" s="51"/>
      <c r="I1617" s="51"/>
      <c r="J1617" s="49"/>
      <c r="K1617" s="51"/>
      <c r="L1617" s="51"/>
      <c r="M1617" s="52"/>
      <c r="N1617" s="51"/>
      <c r="O1617" s="51"/>
      <c r="P1617" s="25"/>
    </row>
    <row r="1618">
      <c r="A1618" s="25"/>
      <c r="B1618" s="49"/>
      <c r="C1618" s="50"/>
      <c r="D1618" s="50"/>
      <c r="E1618" s="50"/>
      <c r="F1618" s="51"/>
      <c r="G1618" s="51"/>
      <c r="H1618" s="51"/>
      <c r="I1618" s="51"/>
      <c r="J1618" s="49"/>
      <c r="K1618" s="51"/>
      <c r="L1618" s="51"/>
      <c r="M1618" s="52"/>
      <c r="N1618" s="51"/>
      <c r="O1618" s="51"/>
      <c r="P1618" s="25"/>
    </row>
    <row r="1619">
      <c r="A1619" s="25"/>
      <c r="B1619" s="49"/>
      <c r="C1619" s="50"/>
      <c r="D1619" s="50"/>
      <c r="E1619" s="50"/>
      <c r="F1619" s="51"/>
      <c r="G1619" s="51"/>
      <c r="H1619" s="51"/>
      <c r="I1619" s="51"/>
      <c r="J1619" s="49"/>
      <c r="K1619" s="51"/>
      <c r="L1619" s="51"/>
      <c r="M1619" s="52"/>
      <c r="N1619" s="51"/>
      <c r="O1619" s="51"/>
      <c r="P1619" s="25"/>
    </row>
    <row r="1620">
      <c r="A1620" s="25"/>
      <c r="B1620" s="49"/>
      <c r="C1620" s="50"/>
      <c r="D1620" s="50"/>
      <c r="E1620" s="50"/>
      <c r="F1620" s="51"/>
      <c r="G1620" s="51"/>
      <c r="H1620" s="51"/>
      <c r="I1620" s="51"/>
      <c r="J1620" s="49"/>
      <c r="K1620" s="51"/>
      <c r="L1620" s="51"/>
      <c r="M1620" s="52"/>
      <c r="N1620" s="51"/>
      <c r="O1620" s="51"/>
      <c r="P1620" s="25"/>
    </row>
    <row r="1621">
      <c r="A1621" s="25"/>
      <c r="B1621" s="49"/>
      <c r="C1621" s="50"/>
      <c r="D1621" s="50"/>
      <c r="E1621" s="50"/>
      <c r="F1621" s="51"/>
      <c r="G1621" s="51"/>
      <c r="H1621" s="51"/>
      <c r="I1621" s="51"/>
      <c r="J1621" s="49"/>
      <c r="K1621" s="51"/>
      <c r="L1621" s="51"/>
      <c r="M1621" s="52"/>
      <c r="N1621" s="51"/>
      <c r="O1621" s="51"/>
      <c r="P1621" s="25"/>
    </row>
    <row r="1622">
      <c r="A1622" s="25"/>
      <c r="B1622" s="49"/>
      <c r="C1622" s="50"/>
      <c r="D1622" s="50"/>
      <c r="E1622" s="50"/>
      <c r="F1622" s="51"/>
      <c r="G1622" s="51"/>
      <c r="H1622" s="51"/>
      <c r="I1622" s="51"/>
      <c r="J1622" s="49"/>
      <c r="K1622" s="51"/>
      <c r="L1622" s="51"/>
      <c r="M1622" s="52"/>
      <c r="N1622" s="51"/>
      <c r="O1622" s="51"/>
      <c r="P1622" s="25"/>
    </row>
    <row r="1623">
      <c r="A1623" s="25"/>
      <c r="B1623" s="49"/>
      <c r="C1623" s="50"/>
      <c r="D1623" s="50"/>
      <c r="E1623" s="50"/>
      <c r="F1623" s="51"/>
      <c r="G1623" s="51"/>
      <c r="H1623" s="51"/>
      <c r="I1623" s="51"/>
      <c r="J1623" s="49"/>
      <c r="K1623" s="51"/>
      <c r="L1623" s="51"/>
      <c r="M1623" s="52"/>
      <c r="N1623" s="51"/>
      <c r="O1623" s="51"/>
      <c r="P1623" s="25"/>
    </row>
    <row r="1624">
      <c r="A1624" s="25"/>
      <c r="B1624" s="49"/>
      <c r="C1624" s="50"/>
      <c r="D1624" s="50"/>
      <c r="E1624" s="50"/>
      <c r="F1624" s="51"/>
      <c r="G1624" s="51"/>
      <c r="H1624" s="51"/>
      <c r="I1624" s="51"/>
      <c r="J1624" s="49"/>
      <c r="K1624" s="51"/>
      <c r="L1624" s="51"/>
      <c r="M1624" s="52"/>
      <c r="N1624" s="51"/>
      <c r="O1624" s="51"/>
      <c r="P1624" s="25"/>
    </row>
    <row r="1625">
      <c r="A1625" s="25"/>
      <c r="B1625" s="49"/>
      <c r="C1625" s="50"/>
      <c r="D1625" s="50"/>
      <c r="E1625" s="50"/>
      <c r="F1625" s="51"/>
      <c r="G1625" s="51"/>
      <c r="H1625" s="51"/>
      <c r="I1625" s="51"/>
      <c r="J1625" s="49"/>
      <c r="K1625" s="51"/>
      <c r="L1625" s="51"/>
      <c r="M1625" s="52"/>
      <c r="N1625" s="51"/>
      <c r="O1625" s="51"/>
      <c r="P1625" s="25"/>
    </row>
    <row r="1626">
      <c r="A1626" s="25"/>
      <c r="B1626" s="49"/>
      <c r="C1626" s="50"/>
      <c r="D1626" s="50"/>
      <c r="E1626" s="50"/>
      <c r="F1626" s="51"/>
      <c r="G1626" s="51"/>
      <c r="H1626" s="51"/>
      <c r="I1626" s="51"/>
      <c r="J1626" s="49"/>
      <c r="K1626" s="51"/>
      <c r="L1626" s="51"/>
      <c r="M1626" s="52"/>
      <c r="N1626" s="51"/>
      <c r="O1626" s="51"/>
      <c r="P1626" s="25"/>
    </row>
    <row r="1627">
      <c r="A1627" s="25"/>
      <c r="B1627" s="49"/>
      <c r="C1627" s="50"/>
      <c r="D1627" s="50"/>
      <c r="E1627" s="50"/>
      <c r="F1627" s="51"/>
      <c r="G1627" s="51"/>
      <c r="H1627" s="51"/>
      <c r="I1627" s="51"/>
      <c r="J1627" s="49"/>
      <c r="K1627" s="51"/>
      <c r="L1627" s="51"/>
      <c r="M1627" s="52"/>
      <c r="N1627" s="51"/>
      <c r="O1627" s="51"/>
      <c r="P1627" s="25"/>
    </row>
    <row r="1628">
      <c r="A1628" s="25"/>
      <c r="B1628" s="49"/>
      <c r="C1628" s="50"/>
      <c r="D1628" s="50"/>
      <c r="E1628" s="50"/>
      <c r="F1628" s="51"/>
      <c r="G1628" s="51"/>
      <c r="H1628" s="51"/>
      <c r="I1628" s="51"/>
      <c r="J1628" s="49"/>
      <c r="K1628" s="51"/>
      <c r="L1628" s="51"/>
      <c r="M1628" s="52"/>
      <c r="N1628" s="51"/>
      <c r="O1628" s="51"/>
      <c r="P1628" s="25"/>
    </row>
    <row r="1629">
      <c r="A1629" s="25"/>
      <c r="B1629" s="49"/>
      <c r="C1629" s="50"/>
      <c r="D1629" s="50"/>
      <c r="E1629" s="50"/>
      <c r="F1629" s="51"/>
      <c r="G1629" s="51"/>
      <c r="H1629" s="51"/>
      <c r="I1629" s="51"/>
      <c r="J1629" s="49"/>
      <c r="K1629" s="51"/>
      <c r="L1629" s="51"/>
      <c r="M1629" s="52"/>
      <c r="N1629" s="51"/>
      <c r="O1629" s="51"/>
      <c r="P1629" s="25"/>
    </row>
    <row r="1630">
      <c r="A1630" s="25"/>
      <c r="B1630" s="49"/>
      <c r="C1630" s="50"/>
      <c r="D1630" s="50"/>
      <c r="E1630" s="50"/>
      <c r="F1630" s="51"/>
      <c r="G1630" s="51"/>
      <c r="H1630" s="51"/>
      <c r="I1630" s="51"/>
      <c r="J1630" s="49"/>
      <c r="K1630" s="51"/>
      <c r="L1630" s="51"/>
      <c r="M1630" s="52"/>
      <c r="N1630" s="51"/>
      <c r="O1630" s="51"/>
      <c r="P1630" s="25"/>
    </row>
    <row r="1631">
      <c r="A1631" s="25"/>
      <c r="B1631" s="49"/>
      <c r="C1631" s="50"/>
      <c r="D1631" s="50"/>
      <c r="E1631" s="50"/>
      <c r="F1631" s="51"/>
      <c r="G1631" s="51"/>
      <c r="H1631" s="51"/>
      <c r="I1631" s="51"/>
      <c r="J1631" s="49"/>
      <c r="K1631" s="51"/>
      <c r="L1631" s="51"/>
      <c r="M1631" s="52"/>
      <c r="N1631" s="51"/>
      <c r="O1631" s="51"/>
      <c r="P1631" s="25"/>
    </row>
    <row r="1632">
      <c r="A1632" s="25"/>
      <c r="B1632" s="49"/>
      <c r="C1632" s="50"/>
      <c r="D1632" s="50"/>
      <c r="E1632" s="50"/>
      <c r="F1632" s="51"/>
      <c r="G1632" s="51"/>
      <c r="H1632" s="51"/>
      <c r="I1632" s="51"/>
      <c r="J1632" s="49"/>
      <c r="K1632" s="51"/>
      <c r="L1632" s="51"/>
      <c r="M1632" s="52"/>
      <c r="N1632" s="51"/>
      <c r="O1632" s="51"/>
      <c r="P1632" s="25"/>
    </row>
    <row r="1633">
      <c r="A1633" s="25"/>
      <c r="B1633" s="49"/>
      <c r="C1633" s="50"/>
      <c r="D1633" s="50"/>
      <c r="E1633" s="50"/>
      <c r="F1633" s="51"/>
      <c r="G1633" s="51"/>
      <c r="H1633" s="51"/>
      <c r="I1633" s="51"/>
      <c r="J1633" s="49"/>
      <c r="K1633" s="51"/>
      <c r="L1633" s="51"/>
      <c r="M1633" s="52"/>
      <c r="N1633" s="51"/>
      <c r="O1633" s="51"/>
      <c r="P1633" s="25"/>
    </row>
    <row r="1634">
      <c r="A1634" s="25"/>
      <c r="B1634" s="49"/>
      <c r="C1634" s="50"/>
      <c r="D1634" s="50"/>
      <c r="E1634" s="50"/>
      <c r="F1634" s="51"/>
      <c r="G1634" s="51"/>
      <c r="H1634" s="51"/>
      <c r="I1634" s="51"/>
      <c r="J1634" s="49"/>
      <c r="K1634" s="51"/>
      <c r="L1634" s="51"/>
      <c r="M1634" s="52"/>
      <c r="N1634" s="51"/>
      <c r="O1634" s="51"/>
      <c r="P1634" s="25"/>
    </row>
    <row r="1635">
      <c r="A1635" s="25"/>
      <c r="B1635" s="49"/>
      <c r="C1635" s="50"/>
      <c r="D1635" s="50"/>
      <c r="E1635" s="50"/>
      <c r="F1635" s="51"/>
      <c r="G1635" s="51"/>
      <c r="H1635" s="51"/>
      <c r="I1635" s="51"/>
      <c r="J1635" s="49"/>
      <c r="K1635" s="51"/>
      <c r="L1635" s="51"/>
      <c r="M1635" s="52"/>
      <c r="N1635" s="51"/>
      <c r="O1635" s="51"/>
      <c r="P1635" s="25"/>
    </row>
    <row r="1636">
      <c r="A1636" s="25"/>
      <c r="B1636" s="49"/>
      <c r="C1636" s="50"/>
      <c r="D1636" s="50"/>
      <c r="E1636" s="50"/>
      <c r="F1636" s="51"/>
      <c r="G1636" s="51"/>
      <c r="H1636" s="51"/>
      <c r="I1636" s="51"/>
      <c r="J1636" s="49"/>
      <c r="K1636" s="51"/>
      <c r="L1636" s="51"/>
      <c r="M1636" s="52"/>
      <c r="N1636" s="51"/>
      <c r="O1636" s="51"/>
      <c r="P1636" s="25"/>
    </row>
    <row r="1637">
      <c r="A1637" s="25"/>
      <c r="B1637" s="49"/>
      <c r="C1637" s="50"/>
      <c r="D1637" s="50"/>
      <c r="E1637" s="50"/>
      <c r="F1637" s="51"/>
      <c r="G1637" s="51"/>
      <c r="H1637" s="51"/>
      <c r="I1637" s="51"/>
      <c r="J1637" s="49"/>
      <c r="K1637" s="51"/>
      <c r="L1637" s="51"/>
      <c r="M1637" s="52"/>
      <c r="N1637" s="51"/>
      <c r="O1637" s="51"/>
      <c r="P1637" s="25"/>
    </row>
    <row r="1638">
      <c r="A1638" s="25"/>
      <c r="B1638" s="49"/>
      <c r="C1638" s="50"/>
      <c r="D1638" s="50"/>
      <c r="E1638" s="50"/>
      <c r="F1638" s="51"/>
      <c r="G1638" s="51"/>
      <c r="H1638" s="51"/>
      <c r="I1638" s="51"/>
      <c r="J1638" s="49"/>
      <c r="K1638" s="51"/>
      <c r="L1638" s="51"/>
      <c r="M1638" s="52"/>
      <c r="N1638" s="51"/>
      <c r="O1638" s="51"/>
      <c r="P1638" s="25"/>
    </row>
    <row r="1639">
      <c r="A1639" s="25"/>
      <c r="B1639" s="49"/>
      <c r="C1639" s="50"/>
      <c r="D1639" s="50"/>
      <c r="E1639" s="50"/>
      <c r="F1639" s="51"/>
      <c r="G1639" s="51"/>
      <c r="H1639" s="51"/>
      <c r="I1639" s="51"/>
      <c r="J1639" s="49"/>
      <c r="K1639" s="51"/>
      <c r="L1639" s="51"/>
      <c r="M1639" s="52"/>
      <c r="N1639" s="51"/>
      <c r="O1639" s="51"/>
      <c r="P1639" s="25"/>
    </row>
    <row r="1640">
      <c r="A1640" s="25"/>
      <c r="B1640" s="49"/>
      <c r="C1640" s="50"/>
      <c r="D1640" s="50"/>
      <c r="E1640" s="50"/>
      <c r="F1640" s="51"/>
      <c r="G1640" s="51"/>
      <c r="H1640" s="51"/>
      <c r="I1640" s="51"/>
      <c r="J1640" s="49"/>
      <c r="K1640" s="51"/>
      <c r="L1640" s="51"/>
      <c r="M1640" s="52"/>
      <c r="N1640" s="51"/>
      <c r="O1640" s="51"/>
      <c r="P1640" s="25"/>
    </row>
    <row r="1641">
      <c r="A1641" s="25"/>
      <c r="B1641" s="49"/>
      <c r="C1641" s="50"/>
      <c r="D1641" s="50"/>
      <c r="E1641" s="50"/>
      <c r="F1641" s="51"/>
      <c r="G1641" s="51"/>
      <c r="H1641" s="51"/>
      <c r="I1641" s="51"/>
      <c r="J1641" s="49"/>
      <c r="K1641" s="51"/>
      <c r="L1641" s="51"/>
      <c r="M1641" s="52"/>
      <c r="N1641" s="51"/>
      <c r="O1641" s="51"/>
      <c r="P1641" s="25"/>
    </row>
    <row r="1642">
      <c r="A1642" s="25"/>
      <c r="B1642" s="49"/>
      <c r="C1642" s="50"/>
      <c r="D1642" s="50"/>
      <c r="E1642" s="50"/>
      <c r="F1642" s="51"/>
      <c r="G1642" s="51"/>
      <c r="H1642" s="51"/>
      <c r="I1642" s="51"/>
      <c r="J1642" s="49"/>
      <c r="K1642" s="51"/>
      <c r="L1642" s="51"/>
      <c r="M1642" s="52"/>
      <c r="N1642" s="51"/>
      <c r="O1642" s="51"/>
      <c r="P1642" s="25"/>
    </row>
    <row r="1643">
      <c r="A1643" s="25"/>
      <c r="B1643" s="49"/>
      <c r="C1643" s="50"/>
      <c r="D1643" s="50"/>
      <c r="E1643" s="50"/>
      <c r="F1643" s="51"/>
      <c r="G1643" s="51"/>
      <c r="H1643" s="51"/>
      <c r="I1643" s="51"/>
      <c r="J1643" s="49"/>
      <c r="K1643" s="51"/>
      <c r="L1643" s="51"/>
      <c r="M1643" s="52"/>
      <c r="N1643" s="51"/>
      <c r="O1643" s="51"/>
      <c r="P1643" s="25"/>
    </row>
    <row r="1644">
      <c r="A1644" s="25"/>
      <c r="B1644" s="49"/>
      <c r="C1644" s="50"/>
      <c r="D1644" s="50"/>
      <c r="E1644" s="50"/>
      <c r="F1644" s="51"/>
      <c r="G1644" s="51"/>
      <c r="H1644" s="51"/>
      <c r="I1644" s="51"/>
      <c r="J1644" s="49"/>
      <c r="K1644" s="51"/>
      <c r="L1644" s="51"/>
      <c r="M1644" s="52"/>
      <c r="N1644" s="51"/>
      <c r="O1644" s="51"/>
      <c r="P1644" s="25"/>
    </row>
    <row r="1645">
      <c r="A1645" s="25"/>
      <c r="B1645" s="49"/>
      <c r="C1645" s="50"/>
      <c r="D1645" s="50"/>
      <c r="E1645" s="50"/>
      <c r="F1645" s="51"/>
      <c r="G1645" s="51"/>
      <c r="H1645" s="51"/>
      <c r="I1645" s="51"/>
      <c r="J1645" s="49"/>
      <c r="K1645" s="51"/>
      <c r="L1645" s="51"/>
      <c r="M1645" s="52"/>
      <c r="N1645" s="51"/>
      <c r="O1645" s="51"/>
      <c r="P1645" s="25"/>
    </row>
    <row r="1646">
      <c r="A1646" s="25"/>
      <c r="B1646" s="49"/>
      <c r="C1646" s="50"/>
      <c r="D1646" s="50"/>
      <c r="E1646" s="50"/>
      <c r="F1646" s="51"/>
      <c r="G1646" s="51"/>
      <c r="H1646" s="51"/>
      <c r="I1646" s="51"/>
      <c r="J1646" s="49"/>
      <c r="K1646" s="51"/>
      <c r="L1646" s="51"/>
      <c r="M1646" s="52"/>
      <c r="N1646" s="51"/>
      <c r="O1646" s="51"/>
      <c r="P1646" s="25"/>
    </row>
    <row r="1647">
      <c r="A1647" s="25"/>
      <c r="B1647" s="49"/>
      <c r="C1647" s="50"/>
      <c r="D1647" s="50"/>
      <c r="E1647" s="50"/>
      <c r="F1647" s="51"/>
      <c r="G1647" s="51"/>
      <c r="H1647" s="51"/>
      <c r="I1647" s="51"/>
      <c r="J1647" s="49"/>
      <c r="K1647" s="51"/>
      <c r="L1647" s="51"/>
      <c r="M1647" s="52"/>
      <c r="N1647" s="51"/>
      <c r="O1647" s="51"/>
      <c r="P1647" s="25"/>
    </row>
    <row r="1648">
      <c r="A1648" s="25"/>
      <c r="B1648" s="49"/>
      <c r="C1648" s="50"/>
      <c r="D1648" s="50"/>
      <c r="E1648" s="50"/>
      <c r="F1648" s="51"/>
      <c r="G1648" s="51"/>
      <c r="H1648" s="51"/>
      <c r="I1648" s="51"/>
      <c r="J1648" s="49"/>
      <c r="K1648" s="51"/>
      <c r="L1648" s="51"/>
      <c r="M1648" s="52"/>
      <c r="N1648" s="51"/>
      <c r="O1648" s="51"/>
      <c r="P1648" s="25"/>
    </row>
    <row r="1649">
      <c r="A1649" s="25"/>
      <c r="B1649" s="49"/>
      <c r="C1649" s="50"/>
      <c r="D1649" s="50"/>
      <c r="E1649" s="50"/>
      <c r="F1649" s="51"/>
      <c r="G1649" s="51"/>
      <c r="H1649" s="51"/>
      <c r="I1649" s="51"/>
      <c r="J1649" s="49"/>
      <c r="K1649" s="51"/>
      <c r="L1649" s="51"/>
      <c r="M1649" s="52"/>
      <c r="N1649" s="51"/>
      <c r="O1649" s="51"/>
      <c r="P1649" s="25"/>
    </row>
    <row r="1650">
      <c r="A1650" s="25"/>
      <c r="B1650" s="49"/>
      <c r="C1650" s="50"/>
      <c r="D1650" s="50"/>
      <c r="E1650" s="50"/>
      <c r="F1650" s="51"/>
      <c r="G1650" s="51"/>
      <c r="H1650" s="51"/>
      <c r="I1650" s="51"/>
      <c r="J1650" s="49"/>
      <c r="K1650" s="51"/>
      <c r="L1650" s="51"/>
      <c r="M1650" s="52"/>
      <c r="N1650" s="51"/>
      <c r="O1650" s="51"/>
      <c r="P1650" s="25"/>
    </row>
    <row r="1651">
      <c r="A1651" s="25"/>
      <c r="B1651" s="49"/>
      <c r="C1651" s="50"/>
      <c r="D1651" s="50"/>
      <c r="E1651" s="50"/>
      <c r="F1651" s="51"/>
      <c r="G1651" s="51"/>
      <c r="H1651" s="51"/>
      <c r="I1651" s="51"/>
      <c r="J1651" s="49"/>
      <c r="K1651" s="51"/>
      <c r="L1651" s="51"/>
      <c r="M1651" s="52"/>
      <c r="N1651" s="51"/>
      <c r="O1651" s="51"/>
      <c r="P1651" s="25"/>
    </row>
    <row r="1652">
      <c r="A1652" s="25"/>
      <c r="B1652" s="49"/>
      <c r="C1652" s="50"/>
      <c r="D1652" s="50"/>
      <c r="E1652" s="50"/>
      <c r="F1652" s="51"/>
      <c r="G1652" s="51"/>
      <c r="H1652" s="51"/>
      <c r="I1652" s="51"/>
      <c r="J1652" s="49"/>
      <c r="K1652" s="51"/>
      <c r="L1652" s="51"/>
      <c r="M1652" s="52"/>
      <c r="N1652" s="51"/>
      <c r="O1652" s="51"/>
      <c r="P1652" s="25"/>
    </row>
    <row r="1653">
      <c r="A1653" s="25"/>
      <c r="B1653" s="49"/>
      <c r="C1653" s="50"/>
      <c r="D1653" s="50"/>
      <c r="E1653" s="50"/>
      <c r="F1653" s="51"/>
      <c r="G1653" s="51"/>
      <c r="H1653" s="51"/>
      <c r="I1653" s="51"/>
      <c r="J1653" s="49"/>
      <c r="K1653" s="51"/>
      <c r="L1653" s="51"/>
      <c r="M1653" s="52"/>
      <c r="N1653" s="51"/>
      <c r="O1653" s="51"/>
      <c r="P1653" s="25"/>
    </row>
    <row r="1654">
      <c r="A1654" s="25"/>
      <c r="B1654" s="49"/>
      <c r="C1654" s="50"/>
      <c r="D1654" s="50"/>
      <c r="E1654" s="50"/>
      <c r="F1654" s="51"/>
      <c r="G1654" s="51"/>
      <c r="H1654" s="51"/>
      <c r="I1654" s="51"/>
      <c r="J1654" s="49"/>
      <c r="K1654" s="51"/>
      <c r="L1654" s="51"/>
      <c r="M1654" s="52"/>
      <c r="N1654" s="51"/>
      <c r="O1654" s="51"/>
      <c r="P1654" s="25"/>
    </row>
    <row r="1655">
      <c r="A1655" s="25"/>
      <c r="B1655" s="49"/>
      <c r="C1655" s="50"/>
      <c r="D1655" s="50"/>
      <c r="E1655" s="50"/>
      <c r="F1655" s="51"/>
      <c r="G1655" s="51"/>
      <c r="H1655" s="51"/>
      <c r="I1655" s="51"/>
      <c r="J1655" s="49"/>
      <c r="K1655" s="51"/>
      <c r="L1655" s="51"/>
      <c r="M1655" s="52"/>
      <c r="N1655" s="51"/>
      <c r="O1655" s="51"/>
      <c r="P1655" s="25"/>
    </row>
    <row r="1656">
      <c r="A1656" s="25"/>
      <c r="B1656" s="49"/>
      <c r="C1656" s="50"/>
      <c r="D1656" s="50"/>
      <c r="E1656" s="50"/>
      <c r="F1656" s="51"/>
      <c r="G1656" s="51"/>
      <c r="H1656" s="51"/>
      <c r="I1656" s="51"/>
      <c r="J1656" s="49"/>
      <c r="K1656" s="51"/>
      <c r="L1656" s="51"/>
      <c r="M1656" s="52"/>
      <c r="N1656" s="51"/>
      <c r="O1656" s="51"/>
      <c r="P1656" s="25"/>
    </row>
    <row r="1657">
      <c r="A1657" s="25"/>
      <c r="B1657" s="49"/>
      <c r="C1657" s="50"/>
      <c r="D1657" s="50"/>
      <c r="E1657" s="50"/>
      <c r="F1657" s="51"/>
      <c r="G1657" s="51"/>
      <c r="H1657" s="51"/>
      <c r="I1657" s="51"/>
      <c r="J1657" s="49"/>
      <c r="K1657" s="51"/>
      <c r="L1657" s="51"/>
      <c r="M1657" s="52"/>
      <c r="N1657" s="51"/>
      <c r="O1657" s="51"/>
      <c r="P1657" s="25"/>
    </row>
    <row r="1658">
      <c r="A1658" s="25"/>
      <c r="B1658" s="49"/>
      <c r="C1658" s="50"/>
      <c r="D1658" s="50"/>
      <c r="E1658" s="50"/>
      <c r="F1658" s="51"/>
      <c r="G1658" s="51"/>
      <c r="H1658" s="51"/>
      <c r="I1658" s="51"/>
      <c r="J1658" s="49"/>
      <c r="K1658" s="51"/>
      <c r="L1658" s="51"/>
      <c r="M1658" s="52"/>
      <c r="N1658" s="51"/>
      <c r="O1658" s="51"/>
      <c r="P1658" s="25"/>
    </row>
    <row r="1659">
      <c r="A1659" s="25"/>
      <c r="B1659" s="49"/>
      <c r="C1659" s="50"/>
      <c r="D1659" s="50"/>
      <c r="E1659" s="50"/>
      <c r="F1659" s="51"/>
      <c r="G1659" s="51"/>
      <c r="H1659" s="51"/>
      <c r="I1659" s="51"/>
      <c r="J1659" s="49"/>
      <c r="K1659" s="51"/>
      <c r="L1659" s="51"/>
      <c r="M1659" s="52"/>
      <c r="N1659" s="51"/>
      <c r="O1659" s="51"/>
      <c r="P1659" s="25"/>
    </row>
    <row r="1660">
      <c r="A1660" s="25"/>
      <c r="B1660" s="49"/>
      <c r="C1660" s="50"/>
      <c r="D1660" s="50"/>
      <c r="E1660" s="50"/>
      <c r="F1660" s="51"/>
      <c r="G1660" s="51"/>
      <c r="H1660" s="51"/>
      <c r="I1660" s="51"/>
      <c r="J1660" s="49"/>
      <c r="K1660" s="51"/>
      <c r="L1660" s="51"/>
      <c r="M1660" s="52"/>
      <c r="N1660" s="51"/>
      <c r="O1660" s="51"/>
      <c r="P1660" s="25"/>
    </row>
    <row r="1661">
      <c r="A1661" s="25"/>
      <c r="B1661" s="49"/>
      <c r="C1661" s="50"/>
      <c r="D1661" s="50"/>
      <c r="E1661" s="50"/>
      <c r="F1661" s="51"/>
      <c r="G1661" s="51"/>
      <c r="H1661" s="51"/>
      <c r="I1661" s="51"/>
      <c r="J1661" s="49"/>
      <c r="K1661" s="51"/>
      <c r="L1661" s="51"/>
      <c r="M1661" s="52"/>
      <c r="N1661" s="51"/>
      <c r="O1661" s="51"/>
      <c r="P1661" s="25"/>
    </row>
    <row r="1662">
      <c r="A1662" s="25"/>
      <c r="B1662" s="49"/>
      <c r="C1662" s="50"/>
      <c r="D1662" s="50"/>
      <c r="E1662" s="50"/>
      <c r="F1662" s="51"/>
      <c r="G1662" s="51"/>
      <c r="H1662" s="51"/>
      <c r="I1662" s="51"/>
      <c r="J1662" s="49"/>
      <c r="K1662" s="51"/>
      <c r="L1662" s="51"/>
      <c r="M1662" s="52"/>
      <c r="N1662" s="51"/>
      <c r="O1662" s="51"/>
      <c r="P1662" s="25"/>
    </row>
    <row r="1663">
      <c r="A1663" s="25"/>
      <c r="B1663" s="49"/>
      <c r="C1663" s="50"/>
      <c r="D1663" s="50"/>
      <c r="E1663" s="50"/>
      <c r="F1663" s="51"/>
      <c r="G1663" s="51"/>
      <c r="H1663" s="51"/>
      <c r="I1663" s="51"/>
      <c r="J1663" s="49"/>
      <c r="K1663" s="51"/>
      <c r="L1663" s="51"/>
      <c r="M1663" s="52"/>
      <c r="N1663" s="51"/>
      <c r="O1663" s="51"/>
      <c r="P1663" s="25"/>
    </row>
    <row r="1664">
      <c r="A1664" s="25"/>
      <c r="B1664" s="49"/>
      <c r="C1664" s="50"/>
      <c r="D1664" s="50"/>
      <c r="E1664" s="50"/>
      <c r="F1664" s="51"/>
      <c r="G1664" s="51"/>
      <c r="H1664" s="51"/>
      <c r="I1664" s="51"/>
      <c r="J1664" s="49"/>
      <c r="K1664" s="51"/>
      <c r="L1664" s="51"/>
      <c r="M1664" s="52"/>
      <c r="N1664" s="51"/>
      <c r="O1664" s="51"/>
      <c r="P1664" s="25"/>
    </row>
    <row r="1665">
      <c r="A1665" s="25"/>
      <c r="B1665" s="49"/>
      <c r="C1665" s="50"/>
      <c r="D1665" s="50"/>
      <c r="E1665" s="50"/>
      <c r="F1665" s="51"/>
      <c r="G1665" s="51"/>
      <c r="H1665" s="51"/>
      <c r="I1665" s="51"/>
      <c r="J1665" s="49"/>
      <c r="K1665" s="51"/>
      <c r="L1665" s="51"/>
      <c r="M1665" s="52"/>
      <c r="N1665" s="51"/>
      <c r="O1665" s="51"/>
      <c r="P1665" s="25"/>
    </row>
    <row r="1666">
      <c r="A1666" s="25"/>
      <c r="B1666" s="49"/>
      <c r="C1666" s="50"/>
      <c r="D1666" s="50"/>
      <c r="E1666" s="50"/>
      <c r="F1666" s="51"/>
      <c r="G1666" s="51"/>
      <c r="H1666" s="51"/>
      <c r="I1666" s="51"/>
      <c r="J1666" s="49"/>
      <c r="K1666" s="51"/>
      <c r="L1666" s="51"/>
      <c r="M1666" s="52"/>
      <c r="N1666" s="51"/>
      <c r="O1666" s="51"/>
      <c r="P1666" s="25"/>
    </row>
    <row r="1667">
      <c r="A1667" s="25"/>
      <c r="B1667" s="49"/>
      <c r="C1667" s="50"/>
      <c r="D1667" s="50"/>
      <c r="E1667" s="50"/>
      <c r="F1667" s="51"/>
      <c r="G1667" s="51"/>
      <c r="H1667" s="51"/>
      <c r="I1667" s="51"/>
      <c r="J1667" s="49"/>
      <c r="K1667" s="51"/>
      <c r="L1667" s="51"/>
      <c r="M1667" s="52"/>
      <c r="N1667" s="51"/>
      <c r="O1667" s="51"/>
      <c r="P1667" s="25"/>
    </row>
    <row r="1668">
      <c r="A1668" s="25"/>
      <c r="B1668" s="49"/>
      <c r="C1668" s="50"/>
      <c r="D1668" s="50"/>
      <c r="E1668" s="50"/>
      <c r="F1668" s="51"/>
      <c r="G1668" s="51"/>
      <c r="H1668" s="51"/>
      <c r="I1668" s="51"/>
      <c r="J1668" s="49"/>
      <c r="K1668" s="51"/>
      <c r="L1668" s="51"/>
      <c r="M1668" s="52"/>
      <c r="N1668" s="51"/>
      <c r="O1668" s="51"/>
      <c r="P1668" s="25"/>
    </row>
    <row r="1669">
      <c r="A1669" s="25"/>
      <c r="B1669" s="49"/>
      <c r="C1669" s="50"/>
      <c r="D1669" s="50"/>
      <c r="E1669" s="50"/>
      <c r="F1669" s="51"/>
      <c r="G1669" s="51"/>
      <c r="H1669" s="51"/>
      <c r="I1669" s="51"/>
      <c r="J1669" s="49"/>
      <c r="K1669" s="51"/>
      <c r="L1669" s="51"/>
      <c r="M1669" s="52"/>
      <c r="N1669" s="51"/>
      <c r="O1669" s="51"/>
      <c r="P1669" s="25"/>
    </row>
    <row r="1670">
      <c r="A1670" s="25"/>
      <c r="B1670" s="49"/>
      <c r="C1670" s="50"/>
      <c r="D1670" s="50"/>
      <c r="E1670" s="50"/>
      <c r="F1670" s="51"/>
      <c r="G1670" s="51"/>
      <c r="H1670" s="51"/>
      <c r="I1670" s="51"/>
      <c r="J1670" s="49"/>
      <c r="K1670" s="51"/>
      <c r="L1670" s="51"/>
      <c r="M1670" s="52"/>
      <c r="N1670" s="51"/>
      <c r="O1670" s="51"/>
      <c r="P1670" s="25"/>
    </row>
    <row r="1671">
      <c r="A1671" s="25"/>
      <c r="B1671" s="49"/>
      <c r="C1671" s="50"/>
      <c r="D1671" s="50"/>
      <c r="E1671" s="50"/>
      <c r="F1671" s="51"/>
      <c r="G1671" s="51"/>
      <c r="H1671" s="51"/>
      <c r="I1671" s="51"/>
      <c r="J1671" s="49"/>
      <c r="K1671" s="51"/>
      <c r="L1671" s="51"/>
      <c r="M1671" s="52"/>
      <c r="N1671" s="51"/>
      <c r="O1671" s="51"/>
      <c r="P1671" s="25"/>
    </row>
    <row r="1672">
      <c r="A1672" s="25"/>
      <c r="B1672" s="49"/>
      <c r="C1672" s="50"/>
      <c r="D1672" s="50"/>
      <c r="E1672" s="50"/>
      <c r="F1672" s="51"/>
      <c r="G1672" s="51"/>
      <c r="H1672" s="51"/>
      <c r="I1672" s="51"/>
      <c r="J1672" s="49"/>
      <c r="K1672" s="51"/>
      <c r="L1672" s="51"/>
      <c r="M1672" s="52"/>
      <c r="N1672" s="51"/>
      <c r="O1672" s="51"/>
      <c r="P1672" s="25"/>
    </row>
    <row r="1673">
      <c r="A1673" s="25"/>
      <c r="B1673" s="49"/>
      <c r="C1673" s="50"/>
      <c r="D1673" s="50"/>
      <c r="E1673" s="50"/>
      <c r="F1673" s="51"/>
      <c r="G1673" s="51"/>
      <c r="H1673" s="51"/>
      <c r="I1673" s="51"/>
      <c r="J1673" s="49"/>
      <c r="K1673" s="51"/>
      <c r="L1673" s="51"/>
      <c r="M1673" s="52"/>
      <c r="N1673" s="51"/>
      <c r="O1673" s="51"/>
      <c r="P1673" s="25"/>
    </row>
    <row r="1674">
      <c r="A1674" s="25"/>
      <c r="B1674" s="49"/>
      <c r="C1674" s="50"/>
      <c r="D1674" s="50"/>
      <c r="E1674" s="50"/>
      <c r="F1674" s="51"/>
      <c r="G1674" s="51"/>
      <c r="H1674" s="51"/>
      <c r="I1674" s="51"/>
      <c r="J1674" s="49"/>
      <c r="K1674" s="51"/>
      <c r="L1674" s="51"/>
      <c r="M1674" s="52"/>
      <c r="N1674" s="51"/>
      <c r="O1674" s="51"/>
      <c r="P1674" s="25"/>
    </row>
    <row r="1675">
      <c r="A1675" s="25"/>
      <c r="B1675" s="49"/>
      <c r="C1675" s="50"/>
      <c r="D1675" s="50"/>
      <c r="E1675" s="50"/>
      <c r="F1675" s="51"/>
      <c r="G1675" s="51"/>
      <c r="H1675" s="51"/>
      <c r="I1675" s="51"/>
      <c r="J1675" s="49"/>
      <c r="K1675" s="51"/>
      <c r="L1675" s="51"/>
      <c r="M1675" s="52"/>
      <c r="N1675" s="51"/>
      <c r="O1675" s="51"/>
      <c r="P1675" s="25"/>
    </row>
    <row r="1676">
      <c r="A1676" s="25"/>
      <c r="B1676" s="49"/>
      <c r="C1676" s="50"/>
      <c r="D1676" s="50"/>
      <c r="E1676" s="50"/>
      <c r="F1676" s="51"/>
      <c r="G1676" s="51"/>
      <c r="H1676" s="51"/>
      <c r="I1676" s="51"/>
      <c r="J1676" s="49"/>
      <c r="K1676" s="51"/>
      <c r="L1676" s="51"/>
      <c r="M1676" s="52"/>
      <c r="N1676" s="51"/>
      <c r="O1676" s="51"/>
      <c r="P1676" s="25"/>
    </row>
    <row r="1677">
      <c r="A1677" s="25"/>
      <c r="B1677" s="49"/>
      <c r="C1677" s="50"/>
      <c r="D1677" s="50"/>
      <c r="E1677" s="50"/>
      <c r="F1677" s="51"/>
      <c r="G1677" s="51"/>
      <c r="H1677" s="51"/>
      <c r="I1677" s="51"/>
      <c r="J1677" s="49"/>
      <c r="K1677" s="51"/>
      <c r="L1677" s="51"/>
      <c r="M1677" s="52"/>
      <c r="N1677" s="51"/>
      <c r="O1677" s="51"/>
      <c r="P1677" s="25"/>
    </row>
    <row r="1678">
      <c r="A1678" s="25"/>
      <c r="B1678" s="49"/>
      <c r="C1678" s="50"/>
      <c r="D1678" s="50"/>
      <c r="E1678" s="50"/>
      <c r="F1678" s="51"/>
      <c r="G1678" s="51"/>
      <c r="H1678" s="51"/>
      <c r="I1678" s="51"/>
      <c r="J1678" s="49"/>
      <c r="K1678" s="51"/>
      <c r="L1678" s="51"/>
      <c r="M1678" s="52"/>
      <c r="N1678" s="51"/>
      <c r="O1678" s="51"/>
      <c r="P1678" s="25"/>
    </row>
    <row r="1679">
      <c r="A1679" s="25"/>
      <c r="B1679" s="49"/>
      <c r="C1679" s="50"/>
      <c r="D1679" s="50"/>
      <c r="E1679" s="50"/>
      <c r="F1679" s="51"/>
      <c r="G1679" s="51"/>
      <c r="H1679" s="51"/>
      <c r="I1679" s="51"/>
      <c r="J1679" s="49"/>
      <c r="K1679" s="51"/>
      <c r="L1679" s="51"/>
      <c r="M1679" s="52"/>
      <c r="N1679" s="51"/>
      <c r="O1679" s="51"/>
      <c r="P1679" s="25"/>
    </row>
    <row r="1680">
      <c r="A1680" s="25"/>
      <c r="B1680" s="49"/>
      <c r="C1680" s="50"/>
      <c r="D1680" s="50"/>
      <c r="E1680" s="50"/>
      <c r="F1680" s="51"/>
      <c r="G1680" s="51"/>
      <c r="H1680" s="51"/>
      <c r="I1680" s="51"/>
      <c r="J1680" s="49"/>
      <c r="K1680" s="51"/>
      <c r="L1680" s="51"/>
      <c r="M1680" s="52"/>
      <c r="N1680" s="51"/>
      <c r="O1680" s="51"/>
      <c r="P1680" s="25"/>
    </row>
    <row r="1681">
      <c r="A1681" s="25"/>
      <c r="B1681" s="49"/>
      <c r="C1681" s="50"/>
      <c r="D1681" s="50"/>
      <c r="E1681" s="50"/>
      <c r="F1681" s="51"/>
      <c r="G1681" s="51"/>
      <c r="H1681" s="51"/>
      <c r="I1681" s="51"/>
      <c r="J1681" s="49"/>
      <c r="K1681" s="51"/>
      <c r="L1681" s="51"/>
      <c r="M1681" s="52"/>
      <c r="N1681" s="51"/>
      <c r="O1681" s="51"/>
      <c r="P1681" s="25"/>
    </row>
    <row r="1682">
      <c r="A1682" s="25"/>
      <c r="B1682" s="49"/>
      <c r="C1682" s="50"/>
      <c r="D1682" s="50"/>
      <c r="E1682" s="50"/>
      <c r="F1682" s="51"/>
      <c r="G1682" s="51"/>
      <c r="H1682" s="51"/>
      <c r="I1682" s="51"/>
      <c r="J1682" s="49"/>
      <c r="K1682" s="51"/>
      <c r="L1682" s="51"/>
      <c r="M1682" s="52"/>
      <c r="N1682" s="51"/>
      <c r="O1682" s="51"/>
      <c r="P1682" s="25"/>
    </row>
    <row r="1683">
      <c r="A1683" s="25"/>
      <c r="B1683" s="49"/>
      <c r="C1683" s="50"/>
      <c r="D1683" s="50"/>
      <c r="E1683" s="50"/>
      <c r="F1683" s="51"/>
      <c r="G1683" s="51"/>
      <c r="H1683" s="51"/>
      <c r="I1683" s="51"/>
      <c r="J1683" s="49"/>
      <c r="K1683" s="51"/>
      <c r="L1683" s="51"/>
      <c r="M1683" s="52"/>
      <c r="N1683" s="51"/>
      <c r="O1683" s="51"/>
      <c r="P1683" s="25"/>
    </row>
    <row r="1684">
      <c r="A1684" s="25"/>
      <c r="B1684" s="49"/>
      <c r="C1684" s="50"/>
      <c r="D1684" s="50"/>
      <c r="E1684" s="50"/>
      <c r="F1684" s="51"/>
      <c r="G1684" s="51"/>
      <c r="H1684" s="51"/>
      <c r="I1684" s="51"/>
      <c r="J1684" s="49"/>
      <c r="K1684" s="51"/>
      <c r="L1684" s="51"/>
      <c r="M1684" s="52"/>
      <c r="N1684" s="51"/>
      <c r="O1684" s="51"/>
      <c r="P1684" s="25"/>
    </row>
    <row r="1685">
      <c r="A1685" s="25"/>
      <c r="B1685" s="49"/>
      <c r="C1685" s="50"/>
      <c r="D1685" s="50"/>
      <c r="E1685" s="50"/>
      <c r="F1685" s="51"/>
      <c r="G1685" s="51"/>
      <c r="H1685" s="51"/>
      <c r="I1685" s="51"/>
      <c r="J1685" s="49"/>
      <c r="K1685" s="51"/>
      <c r="L1685" s="51"/>
      <c r="M1685" s="52"/>
      <c r="N1685" s="51"/>
      <c r="O1685" s="51"/>
      <c r="P1685" s="25"/>
    </row>
    <row r="1686">
      <c r="A1686" s="25"/>
      <c r="B1686" s="49"/>
      <c r="C1686" s="50"/>
      <c r="D1686" s="50"/>
      <c r="E1686" s="50"/>
      <c r="F1686" s="51"/>
      <c r="G1686" s="51"/>
      <c r="H1686" s="51"/>
      <c r="I1686" s="51"/>
      <c r="J1686" s="49"/>
      <c r="K1686" s="51"/>
      <c r="L1686" s="51"/>
      <c r="M1686" s="52"/>
      <c r="N1686" s="51"/>
      <c r="O1686" s="51"/>
      <c r="P1686" s="25"/>
    </row>
    <row r="1687">
      <c r="A1687" s="25"/>
      <c r="B1687" s="49"/>
      <c r="C1687" s="50"/>
      <c r="D1687" s="50"/>
      <c r="E1687" s="50"/>
      <c r="F1687" s="51"/>
      <c r="G1687" s="51"/>
      <c r="H1687" s="51"/>
      <c r="I1687" s="51"/>
      <c r="J1687" s="49"/>
      <c r="K1687" s="51"/>
      <c r="L1687" s="51"/>
      <c r="M1687" s="52"/>
      <c r="N1687" s="51"/>
      <c r="O1687" s="51"/>
      <c r="P1687" s="25"/>
    </row>
    <row r="1688">
      <c r="A1688" s="25"/>
      <c r="B1688" s="49"/>
      <c r="C1688" s="50"/>
      <c r="D1688" s="50"/>
      <c r="E1688" s="50"/>
      <c r="F1688" s="51"/>
      <c r="G1688" s="51"/>
      <c r="H1688" s="51"/>
      <c r="I1688" s="51"/>
      <c r="J1688" s="49"/>
      <c r="K1688" s="51"/>
      <c r="L1688" s="51"/>
      <c r="M1688" s="52"/>
      <c r="N1688" s="51"/>
      <c r="O1688" s="51"/>
      <c r="P1688" s="25"/>
    </row>
    <row r="1689">
      <c r="A1689" s="25"/>
      <c r="B1689" s="49"/>
      <c r="C1689" s="50"/>
      <c r="D1689" s="50"/>
      <c r="E1689" s="50"/>
      <c r="F1689" s="51"/>
      <c r="G1689" s="51"/>
      <c r="H1689" s="51"/>
      <c r="I1689" s="51"/>
      <c r="J1689" s="49"/>
      <c r="K1689" s="51"/>
      <c r="L1689" s="51"/>
      <c r="M1689" s="52"/>
      <c r="N1689" s="51"/>
      <c r="O1689" s="51"/>
      <c r="P1689" s="25"/>
    </row>
    <row r="1690">
      <c r="A1690" s="25"/>
      <c r="B1690" s="49"/>
      <c r="C1690" s="50"/>
      <c r="D1690" s="50"/>
      <c r="E1690" s="50"/>
      <c r="F1690" s="51"/>
      <c r="G1690" s="51"/>
      <c r="H1690" s="51"/>
      <c r="I1690" s="51"/>
      <c r="J1690" s="49"/>
      <c r="K1690" s="51"/>
      <c r="L1690" s="51"/>
      <c r="M1690" s="52"/>
      <c r="N1690" s="51"/>
      <c r="O1690" s="51"/>
      <c r="P1690" s="25"/>
    </row>
    <row r="1691">
      <c r="A1691" s="25"/>
      <c r="B1691" s="49"/>
      <c r="C1691" s="50"/>
      <c r="D1691" s="50"/>
      <c r="E1691" s="50"/>
      <c r="F1691" s="51"/>
      <c r="G1691" s="51"/>
      <c r="H1691" s="51"/>
      <c r="I1691" s="51"/>
      <c r="J1691" s="49"/>
      <c r="K1691" s="51"/>
      <c r="L1691" s="51"/>
      <c r="M1691" s="52"/>
      <c r="N1691" s="51"/>
      <c r="O1691" s="51"/>
      <c r="P1691" s="25"/>
    </row>
    <row r="1692">
      <c r="A1692" s="25"/>
      <c r="B1692" s="49"/>
      <c r="C1692" s="50"/>
      <c r="D1692" s="50"/>
      <c r="E1692" s="50"/>
      <c r="F1692" s="51"/>
      <c r="G1692" s="51"/>
      <c r="H1692" s="51"/>
      <c r="I1692" s="51"/>
      <c r="J1692" s="49"/>
      <c r="K1692" s="51"/>
      <c r="L1692" s="51"/>
      <c r="M1692" s="52"/>
      <c r="N1692" s="51"/>
      <c r="O1692" s="51"/>
      <c r="P1692" s="25"/>
    </row>
    <row r="1693">
      <c r="A1693" s="25"/>
      <c r="B1693" s="49"/>
      <c r="C1693" s="50"/>
      <c r="D1693" s="50"/>
      <c r="E1693" s="50"/>
      <c r="F1693" s="51"/>
      <c r="G1693" s="51"/>
      <c r="H1693" s="51"/>
      <c r="I1693" s="51"/>
      <c r="J1693" s="49"/>
      <c r="K1693" s="51"/>
      <c r="L1693" s="51"/>
      <c r="M1693" s="52"/>
      <c r="N1693" s="51"/>
      <c r="O1693" s="51"/>
      <c r="P1693" s="25"/>
    </row>
    <row r="1694">
      <c r="A1694" s="25"/>
      <c r="B1694" s="49"/>
      <c r="C1694" s="50"/>
      <c r="D1694" s="50"/>
      <c r="E1694" s="50"/>
      <c r="F1694" s="51"/>
      <c r="G1694" s="51"/>
      <c r="H1694" s="51"/>
      <c r="I1694" s="51"/>
      <c r="J1694" s="49"/>
      <c r="K1694" s="51"/>
      <c r="L1694" s="51"/>
      <c r="M1694" s="52"/>
      <c r="N1694" s="51"/>
      <c r="O1694" s="51"/>
      <c r="P1694" s="25"/>
    </row>
    <row r="1695">
      <c r="A1695" s="25"/>
      <c r="B1695" s="49"/>
      <c r="C1695" s="50"/>
      <c r="D1695" s="50"/>
      <c r="E1695" s="50"/>
      <c r="F1695" s="51"/>
      <c r="G1695" s="51"/>
      <c r="H1695" s="51"/>
      <c r="I1695" s="51"/>
      <c r="J1695" s="49"/>
      <c r="K1695" s="51"/>
      <c r="L1695" s="51"/>
      <c r="M1695" s="52"/>
      <c r="N1695" s="51"/>
      <c r="O1695" s="51"/>
      <c r="P1695" s="25"/>
    </row>
    <row r="1696">
      <c r="A1696" s="25"/>
      <c r="B1696" s="49"/>
      <c r="C1696" s="50"/>
      <c r="D1696" s="50"/>
      <c r="E1696" s="50"/>
      <c r="F1696" s="51"/>
      <c r="G1696" s="51"/>
      <c r="H1696" s="51"/>
      <c r="I1696" s="51"/>
      <c r="J1696" s="49"/>
      <c r="K1696" s="51"/>
      <c r="L1696" s="51"/>
      <c r="M1696" s="52"/>
      <c r="N1696" s="51"/>
      <c r="O1696" s="51"/>
      <c r="P1696" s="25"/>
    </row>
    <row r="1697">
      <c r="A1697" s="25"/>
      <c r="B1697" s="49"/>
      <c r="C1697" s="50"/>
      <c r="D1697" s="50"/>
      <c r="E1697" s="50"/>
      <c r="F1697" s="51"/>
      <c r="G1697" s="51"/>
      <c r="H1697" s="51"/>
      <c r="I1697" s="51"/>
      <c r="J1697" s="49"/>
      <c r="K1697" s="51"/>
      <c r="L1697" s="51"/>
      <c r="M1697" s="52"/>
      <c r="N1697" s="51"/>
      <c r="O1697" s="51"/>
      <c r="P1697" s="25"/>
    </row>
    <row r="1698">
      <c r="A1698" s="25"/>
      <c r="B1698" s="49"/>
      <c r="C1698" s="50"/>
      <c r="D1698" s="50"/>
      <c r="E1698" s="50"/>
      <c r="F1698" s="51"/>
      <c r="G1698" s="51"/>
      <c r="H1698" s="51"/>
      <c r="I1698" s="51"/>
      <c r="J1698" s="49"/>
      <c r="K1698" s="51"/>
      <c r="L1698" s="51"/>
      <c r="M1698" s="52"/>
      <c r="N1698" s="51"/>
      <c r="O1698" s="51"/>
      <c r="P1698" s="25"/>
    </row>
    <row r="1699">
      <c r="A1699" s="25"/>
      <c r="B1699" s="49"/>
      <c r="C1699" s="50"/>
      <c r="D1699" s="50"/>
      <c r="E1699" s="50"/>
      <c r="F1699" s="51"/>
      <c r="G1699" s="51"/>
      <c r="H1699" s="51"/>
      <c r="I1699" s="51"/>
      <c r="J1699" s="49"/>
      <c r="K1699" s="51"/>
      <c r="L1699" s="51"/>
      <c r="M1699" s="52"/>
      <c r="N1699" s="51"/>
      <c r="O1699" s="51"/>
      <c r="P1699" s="25"/>
    </row>
    <row r="1700">
      <c r="A1700" s="25"/>
      <c r="B1700" s="49"/>
      <c r="C1700" s="50"/>
      <c r="D1700" s="50"/>
      <c r="E1700" s="50"/>
      <c r="F1700" s="51"/>
      <c r="G1700" s="51"/>
      <c r="H1700" s="51"/>
      <c r="I1700" s="51"/>
      <c r="J1700" s="49"/>
      <c r="K1700" s="51"/>
      <c r="L1700" s="51"/>
      <c r="M1700" s="52"/>
      <c r="N1700" s="51"/>
      <c r="O1700" s="51"/>
      <c r="P1700" s="25"/>
    </row>
    <row r="1701">
      <c r="A1701" s="25"/>
      <c r="B1701" s="49"/>
      <c r="C1701" s="50"/>
      <c r="D1701" s="50"/>
      <c r="E1701" s="50"/>
      <c r="F1701" s="51"/>
      <c r="G1701" s="51"/>
      <c r="H1701" s="51"/>
      <c r="I1701" s="51"/>
      <c r="J1701" s="49"/>
      <c r="K1701" s="51"/>
      <c r="L1701" s="51"/>
      <c r="M1701" s="52"/>
      <c r="N1701" s="51"/>
      <c r="O1701" s="51"/>
      <c r="P1701" s="25"/>
    </row>
    <row r="1702">
      <c r="A1702" s="25"/>
      <c r="B1702" s="49"/>
      <c r="C1702" s="50"/>
      <c r="D1702" s="50"/>
      <c r="E1702" s="50"/>
      <c r="F1702" s="51"/>
      <c r="G1702" s="51"/>
      <c r="H1702" s="51"/>
      <c r="I1702" s="51"/>
      <c r="J1702" s="49"/>
      <c r="K1702" s="51"/>
      <c r="L1702" s="51"/>
      <c r="M1702" s="52"/>
      <c r="N1702" s="51"/>
      <c r="O1702" s="51"/>
      <c r="P1702" s="25"/>
    </row>
    <row r="1703">
      <c r="A1703" s="25"/>
      <c r="B1703" s="49"/>
      <c r="C1703" s="50"/>
      <c r="D1703" s="50"/>
      <c r="E1703" s="50"/>
      <c r="F1703" s="51"/>
      <c r="G1703" s="51"/>
      <c r="H1703" s="51"/>
      <c r="I1703" s="51"/>
      <c r="J1703" s="49"/>
      <c r="K1703" s="51"/>
      <c r="L1703" s="51"/>
      <c r="M1703" s="52"/>
      <c r="N1703" s="51"/>
      <c r="O1703" s="51"/>
      <c r="P1703" s="25"/>
    </row>
    <row r="1704">
      <c r="A1704" s="25"/>
      <c r="B1704" s="49"/>
      <c r="C1704" s="50"/>
      <c r="D1704" s="50"/>
      <c r="E1704" s="50"/>
      <c r="F1704" s="51"/>
      <c r="G1704" s="51"/>
      <c r="H1704" s="51"/>
      <c r="I1704" s="51"/>
      <c r="J1704" s="49"/>
      <c r="K1704" s="51"/>
      <c r="L1704" s="51"/>
      <c r="M1704" s="52"/>
      <c r="N1704" s="51"/>
      <c r="O1704" s="51"/>
      <c r="P1704" s="25"/>
    </row>
    <row r="1705">
      <c r="A1705" s="25"/>
      <c r="B1705" s="49"/>
      <c r="C1705" s="50"/>
      <c r="D1705" s="50"/>
      <c r="E1705" s="50"/>
      <c r="F1705" s="51"/>
      <c r="G1705" s="51"/>
      <c r="H1705" s="51"/>
      <c r="I1705" s="51"/>
      <c r="J1705" s="49"/>
      <c r="K1705" s="51"/>
      <c r="L1705" s="51"/>
      <c r="M1705" s="52"/>
      <c r="N1705" s="51"/>
      <c r="O1705" s="51"/>
      <c r="P1705" s="25"/>
    </row>
    <row r="1706">
      <c r="A1706" s="25"/>
      <c r="B1706" s="49"/>
      <c r="C1706" s="50"/>
      <c r="D1706" s="50"/>
      <c r="E1706" s="50"/>
      <c r="F1706" s="51"/>
      <c r="G1706" s="51"/>
      <c r="H1706" s="51"/>
      <c r="I1706" s="51"/>
      <c r="J1706" s="49"/>
      <c r="K1706" s="51"/>
      <c r="L1706" s="51"/>
      <c r="M1706" s="52"/>
      <c r="N1706" s="51"/>
      <c r="O1706" s="51"/>
      <c r="P1706" s="25"/>
    </row>
    <row r="1707">
      <c r="A1707" s="25"/>
      <c r="B1707" s="49"/>
      <c r="C1707" s="50"/>
      <c r="D1707" s="50"/>
      <c r="E1707" s="50"/>
      <c r="F1707" s="51"/>
      <c r="G1707" s="51"/>
      <c r="H1707" s="51"/>
      <c r="I1707" s="51"/>
      <c r="J1707" s="49"/>
      <c r="K1707" s="51"/>
      <c r="L1707" s="51"/>
      <c r="M1707" s="52"/>
      <c r="N1707" s="51"/>
      <c r="O1707" s="51"/>
      <c r="P1707" s="25"/>
    </row>
    <row r="1708">
      <c r="A1708" s="25"/>
      <c r="B1708" s="49"/>
      <c r="C1708" s="50"/>
      <c r="D1708" s="50"/>
      <c r="E1708" s="50"/>
      <c r="F1708" s="51"/>
      <c r="G1708" s="51"/>
      <c r="H1708" s="51"/>
      <c r="I1708" s="51"/>
      <c r="J1708" s="49"/>
      <c r="K1708" s="51"/>
      <c r="L1708" s="51"/>
      <c r="M1708" s="52"/>
      <c r="N1708" s="51"/>
      <c r="O1708" s="51"/>
      <c r="P1708" s="25"/>
    </row>
    <row r="1709">
      <c r="A1709" s="25"/>
      <c r="B1709" s="49"/>
      <c r="C1709" s="50"/>
      <c r="D1709" s="50"/>
      <c r="E1709" s="50"/>
      <c r="F1709" s="51"/>
      <c r="G1709" s="51"/>
      <c r="H1709" s="51"/>
      <c r="I1709" s="51"/>
      <c r="J1709" s="49"/>
      <c r="K1709" s="51"/>
      <c r="L1709" s="51"/>
      <c r="M1709" s="52"/>
      <c r="N1709" s="51"/>
      <c r="O1709" s="51"/>
      <c r="P1709" s="25"/>
    </row>
    <row r="1710">
      <c r="A1710" s="25"/>
      <c r="B1710" s="49"/>
      <c r="C1710" s="50"/>
      <c r="D1710" s="50"/>
      <c r="E1710" s="50"/>
      <c r="F1710" s="51"/>
      <c r="G1710" s="51"/>
      <c r="H1710" s="51"/>
      <c r="I1710" s="51"/>
      <c r="J1710" s="49"/>
      <c r="K1710" s="51"/>
      <c r="L1710" s="51"/>
      <c r="M1710" s="52"/>
      <c r="N1710" s="51"/>
      <c r="O1710" s="51"/>
      <c r="P1710" s="25"/>
    </row>
    <row r="1711">
      <c r="A1711" s="25"/>
      <c r="B1711" s="49"/>
      <c r="C1711" s="50"/>
      <c r="D1711" s="50"/>
      <c r="E1711" s="50"/>
      <c r="F1711" s="51"/>
      <c r="G1711" s="51"/>
      <c r="H1711" s="51"/>
      <c r="I1711" s="51"/>
      <c r="J1711" s="49"/>
      <c r="K1711" s="51"/>
      <c r="L1711" s="51"/>
      <c r="M1711" s="52"/>
      <c r="N1711" s="51"/>
      <c r="O1711" s="51"/>
      <c r="P1711" s="25"/>
    </row>
    <row r="1712">
      <c r="A1712" s="25"/>
      <c r="B1712" s="49"/>
      <c r="C1712" s="50"/>
      <c r="D1712" s="50"/>
      <c r="E1712" s="50"/>
      <c r="F1712" s="51"/>
      <c r="G1712" s="51"/>
      <c r="H1712" s="51"/>
      <c r="I1712" s="51"/>
      <c r="J1712" s="49"/>
      <c r="K1712" s="51"/>
      <c r="L1712" s="51"/>
      <c r="M1712" s="52"/>
      <c r="N1712" s="51"/>
      <c r="O1712" s="51"/>
      <c r="P1712" s="25"/>
    </row>
    <row r="1713">
      <c r="A1713" s="25"/>
      <c r="B1713" s="49"/>
      <c r="C1713" s="50"/>
      <c r="D1713" s="50"/>
      <c r="E1713" s="50"/>
      <c r="F1713" s="51"/>
      <c r="G1713" s="51"/>
      <c r="H1713" s="51"/>
      <c r="I1713" s="51"/>
      <c r="J1713" s="49"/>
      <c r="K1713" s="51"/>
      <c r="L1713" s="51"/>
      <c r="M1713" s="52"/>
      <c r="N1713" s="51"/>
      <c r="O1713" s="51"/>
      <c r="P1713" s="25"/>
    </row>
    <row r="1714">
      <c r="A1714" s="25"/>
      <c r="B1714" s="49"/>
      <c r="C1714" s="50"/>
      <c r="D1714" s="50"/>
      <c r="E1714" s="50"/>
      <c r="F1714" s="51"/>
      <c r="G1714" s="51"/>
      <c r="H1714" s="51"/>
      <c r="I1714" s="51"/>
      <c r="J1714" s="49"/>
      <c r="K1714" s="51"/>
      <c r="L1714" s="51"/>
      <c r="M1714" s="52"/>
      <c r="N1714" s="51"/>
      <c r="O1714" s="51"/>
      <c r="P1714" s="25"/>
    </row>
    <row r="1715">
      <c r="A1715" s="25"/>
      <c r="B1715" s="49"/>
      <c r="C1715" s="50"/>
      <c r="D1715" s="50"/>
      <c r="E1715" s="50"/>
      <c r="F1715" s="51"/>
      <c r="G1715" s="51"/>
      <c r="H1715" s="51"/>
      <c r="I1715" s="51"/>
      <c r="J1715" s="49"/>
      <c r="K1715" s="51"/>
      <c r="L1715" s="51"/>
      <c r="M1715" s="52"/>
      <c r="N1715" s="51"/>
      <c r="O1715" s="51"/>
      <c r="P1715" s="25"/>
    </row>
    <row r="1716">
      <c r="A1716" s="25"/>
      <c r="B1716" s="49"/>
      <c r="C1716" s="50"/>
      <c r="D1716" s="50"/>
      <c r="E1716" s="50"/>
      <c r="F1716" s="51"/>
      <c r="G1716" s="51"/>
      <c r="H1716" s="51"/>
      <c r="I1716" s="51"/>
      <c r="J1716" s="49"/>
      <c r="K1716" s="51"/>
      <c r="L1716" s="51"/>
      <c r="M1716" s="52"/>
      <c r="N1716" s="51"/>
      <c r="O1716" s="51"/>
      <c r="P1716" s="25"/>
    </row>
    <row r="1717">
      <c r="A1717" s="25"/>
      <c r="B1717" s="49"/>
      <c r="C1717" s="50"/>
      <c r="D1717" s="50"/>
      <c r="E1717" s="50"/>
      <c r="F1717" s="51"/>
      <c r="G1717" s="51"/>
      <c r="H1717" s="51"/>
      <c r="I1717" s="51"/>
      <c r="J1717" s="49"/>
      <c r="K1717" s="51"/>
      <c r="L1717" s="51"/>
      <c r="M1717" s="52"/>
      <c r="N1717" s="51"/>
      <c r="O1717" s="51"/>
      <c r="P1717" s="25"/>
    </row>
    <row r="1718">
      <c r="A1718" s="25"/>
      <c r="B1718" s="49"/>
      <c r="C1718" s="50"/>
      <c r="D1718" s="50"/>
      <c r="E1718" s="50"/>
      <c r="F1718" s="51"/>
      <c r="G1718" s="51"/>
      <c r="H1718" s="51"/>
      <c r="I1718" s="51"/>
      <c r="J1718" s="49"/>
      <c r="K1718" s="51"/>
      <c r="L1718" s="51"/>
      <c r="M1718" s="52"/>
      <c r="N1718" s="51"/>
      <c r="O1718" s="51"/>
      <c r="P1718" s="25"/>
    </row>
    <row r="1719">
      <c r="A1719" s="25"/>
      <c r="B1719" s="49"/>
      <c r="C1719" s="50"/>
      <c r="D1719" s="50"/>
      <c r="E1719" s="50"/>
      <c r="F1719" s="51"/>
      <c r="G1719" s="51"/>
      <c r="H1719" s="51"/>
      <c r="I1719" s="51"/>
      <c r="J1719" s="49"/>
      <c r="K1719" s="51"/>
      <c r="L1719" s="51"/>
      <c r="M1719" s="52"/>
      <c r="N1719" s="51"/>
      <c r="O1719" s="51"/>
      <c r="P1719" s="25"/>
    </row>
    <row r="1720">
      <c r="A1720" s="25"/>
      <c r="B1720" s="49"/>
      <c r="C1720" s="50"/>
      <c r="D1720" s="50"/>
      <c r="E1720" s="50"/>
      <c r="F1720" s="51"/>
      <c r="G1720" s="51"/>
      <c r="H1720" s="51"/>
      <c r="I1720" s="51"/>
      <c r="J1720" s="49"/>
      <c r="K1720" s="51"/>
      <c r="L1720" s="51"/>
      <c r="M1720" s="52"/>
      <c r="N1720" s="51"/>
      <c r="O1720" s="51"/>
      <c r="P1720" s="25"/>
    </row>
    <row r="1721">
      <c r="A1721" s="25"/>
      <c r="B1721" s="49"/>
      <c r="C1721" s="50"/>
      <c r="D1721" s="50"/>
      <c r="E1721" s="50"/>
      <c r="F1721" s="51"/>
      <c r="G1721" s="51"/>
      <c r="H1721" s="51"/>
      <c r="I1721" s="51"/>
      <c r="J1721" s="49"/>
      <c r="K1721" s="51"/>
      <c r="L1721" s="51"/>
      <c r="M1721" s="52"/>
      <c r="N1721" s="51"/>
      <c r="O1721" s="51"/>
      <c r="P1721" s="25"/>
    </row>
    <row r="1722">
      <c r="A1722" s="25"/>
      <c r="B1722" s="49"/>
      <c r="C1722" s="50"/>
      <c r="D1722" s="50"/>
      <c r="E1722" s="50"/>
      <c r="F1722" s="51"/>
      <c r="G1722" s="51"/>
      <c r="H1722" s="51"/>
      <c r="I1722" s="51"/>
      <c r="J1722" s="49"/>
      <c r="K1722" s="51"/>
      <c r="L1722" s="51"/>
      <c r="M1722" s="52"/>
      <c r="N1722" s="51"/>
      <c r="O1722" s="51"/>
      <c r="P1722" s="25"/>
    </row>
    <row r="1723">
      <c r="A1723" s="25"/>
      <c r="B1723" s="49"/>
      <c r="C1723" s="50"/>
      <c r="D1723" s="50"/>
      <c r="E1723" s="50"/>
      <c r="F1723" s="51"/>
      <c r="G1723" s="51"/>
      <c r="H1723" s="51"/>
      <c r="I1723" s="51"/>
      <c r="J1723" s="49"/>
      <c r="K1723" s="51"/>
      <c r="L1723" s="51"/>
      <c r="M1723" s="52"/>
      <c r="N1723" s="51"/>
      <c r="O1723" s="51"/>
      <c r="P1723" s="25"/>
    </row>
    <row r="1724">
      <c r="A1724" s="25"/>
      <c r="B1724" s="49"/>
      <c r="C1724" s="50"/>
      <c r="D1724" s="50"/>
      <c r="E1724" s="50"/>
      <c r="F1724" s="51"/>
      <c r="G1724" s="51"/>
      <c r="H1724" s="51"/>
      <c r="I1724" s="51"/>
      <c r="J1724" s="49"/>
      <c r="K1724" s="51"/>
      <c r="L1724" s="51"/>
      <c r="M1724" s="52"/>
      <c r="N1724" s="51"/>
      <c r="O1724" s="51"/>
      <c r="P1724" s="25"/>
    </row>
    <row r="1725">
      <c r="A1725" s="25"/>
      <c r="B1725" s="49"/>
      <c r="C1725" s="50"/>
      <c r="D1725" s="50"/>
      <c r="E1725" s="50"/>
      <c r="F1725" s="51"/>
      <c r="G1725" s="51"/>
      <c r="H1725" s="51"/>
      <c r="I1725" s="51"/>
      <c r="J1725" s="49"/>
      <c r="K1725" s="51"/>
      <c r="L1725" s="51"/>
      <c r="M1725" s="52"/>
      <c r="N1725" s="51"/>
      <c r="O1725" s="51"/>
      <c r="P1725" s="25"/>
    </row>
    <row r="1726">
      <c r="A1726" s="25"/>
      <c r="B1726" s="49"/>
      <c r="C1726" s="50"/>
      <c r="D1726" s="50"/>
      <c r="E1726" s="50"/>
      <c r="F1726" s="51"/>
      <c r="G1726" s="51"/>
      <c r="H1726" s="51"/>
      <c r="I1726" s="51"/>
      <c r="J1726" s="49"/>
      <c r="K1726" s="51"/>
      <c r="L1726" s="51"/>
      <c r="M1726" s="52"/>
      <c r="N1726" s="51"/>
      <c r="O1726" s="51"/>
      <c r="P1726" s="25"/>
    </row>
    <row r="1727">
      <c r="A1727" s="25"/>
      <c r="B1727" s="49"/>
      <c r="C1727" s="50"/>
      <c r="D1727" s="50"/>
      <c r="E1727" s="50"/>
      <c r="F1727" s="51"/>
      <c r="G1727" s="51"/>
      <c r="H1727" s="51"/>
      <c r="I1727" s="51"/>
      <c r="J1727" s="49"/>
      <c r="K1727" s="51"/>
      <c r="L1727" s="51"/>
      <c r="M1727" s="52"/>
      <c r="N1727" s="51"/>
      <c r="O1727" s="51"/>
      <c r="P1727" s="25"/>
    </row>
    <row r="1728">
      <c r="A1728" s="25"/>
      <c r="B1728" s="49"/>
      <c r="C1728" s="50"/>
      <c r="D1728" s="50"/>
      <c r="E1728" s="50"/>
      <c r="F1728" s="51"/>
      <c r="G1728" s="51"/>
      <c r="H1728" s="51"/>
      <c r="I1728" s="51"/>
      <c r="J1728" s="49"/>
      <c r="K1728" s="51"/>
      <c r="L1728" s="51"/>
      <c r="M1728" s="52"/>
      <c r="N1728" s="51"/>
      <c r="O1728" s="51"/>
      <c r="P1728" s="25"/>
    </row>
    <row r="1729">
      <c r="A1729" s="25"/>
      <c r="B1729" s="49"/>
      <c r="C1729" s="50"/>
      <c r="D1729" s="50"/>
      <c r="E1729" s="50"/>
      <c r="F1729" s="51"/>
      <c r="G1729" s="51"/>
      <c r="H1729" s="51"/>
      <c r="I1729" s="51"/>
      <c r="J1729" s="49"/>
      <c r="K1729" s="51"/>
      <c r="L1729" s="51"/>
      <c r="M1729" s="52"/>
      <c r="N1729" s="51"/>
      <c r="O1729" s="51"/>
      <c r="P1729" s="25"/>
    </row>
    <row r="1730">
      <c r="A1730" s="25"/>
      <c r="B1730" s="49"/>
      <c r="C1730" s="50"/>
      <c r="D1730" s="50"/>
      <c r="E1730" s="50"/>
      <c r="F1730" s="51"/>
      <c r="G1730" s="51"/>
      <c r="H1730" s="51"/>
      <c r="I1730" s="51"/>
      <c r="J1730" s="49"/>
      <c r="K1730" s="51"/>
      <c r="L1730" s="51"/>
      <c r="M1730" s="52"/>
      <c r="N1730" s="51"/>
      <c r="O1730" s="51"/>
      <c r="P1730" s="25"/>
    </row>
    <row r="1731">
      <c r="A1731" s="25"/>
      <c r="B1731" s="49"/>
      <c r="C1731" s="50"/>
      <c r="D1731" s="50"/>
      <c r="E1731" s="50"/>
      <c r="F1731" s="51"/>
      <c r="G1731" s="51"/>
      <c r="H1731" s="51"/>
      <c r="I1731" s="51"/>
      <c r="J1731" s="49"/>
      <c r="K1731" s="51"/>
      <c r="L1731" s="51"/>
      <c r="M1731" s="52"/>
      <c r="N1731" s="51"/>
      <c r="O1731" s="51"/>
      <c r="P1731" s="25"/>
    </row>
    <row r="1732">
      <c r="A1732" s="25"/>
      <c r="B1732" s="49"/>
      <c r="C1732" s="50"/>
      <c r="D1732" s="50"/>
      <c r="E1732" s="50"/>
      <c r="F1732" s="51"/>
      <c r="G1732" s="51"/>
      <c r="H1732" s="51"/>
      <c r="I1732" s="51"/>
      <c r="J1732" s="49"/>
      <c r="K1732" s="51"/>
      <c r="L1732" s="51"/>
      <c r="M1732" s="52"/>
      <c r="N1732" s="51"/>
      <c r="O1732" s="51"/>
      <c r="P1732" s="25"/>
    </row>
    <row r="1733">
      <c r="A1733" s="25"/>
      <c r="B1733" s="49"/>
      <c r="C1733" s="50"/>
      <c r="D1733" s="50"/>
      <c r="E1733" s="50"/>
      <c r="F1733" s="51"/>
      <c r="G1733" s="51"/>
      <c r="H1733" s="51"/>
      <c r="I1733" s="51"/>
      <c r="J1733" s="49"/>
      <c r="K1733" s="51"/>
      <c r="L1733" s="51"/>
      <c r="M1733" s="52"/>
      <c r="N1733" s="51"/>
      <c r="O1733" s="51"/>
      <c r="P1733" s="25"/>
    </row>
    <row r="1734">
      <c r="A1734" s="25"/>
      <c r="B1734" s="49"/>
      <c r="C1734" s="50"/>
      <c r="D1734" s="50"/>
      <c r="E1734" s="50"/>
      <c r="F1734" s="51"/>
      <c r="G1734" s="51"/>
      <c r="H1734" s="51"/>
      <c r="I1734" s="51"/>
      <c r="J1734" s="49"/>
      <c r="K1734" s="51"/>
      <c r="L1734" s="51"/>
      <c r="M1734" s="52"/>
      <c r="N1734" s="51"/>
      <c r="O1734" s="51"/>
      <c r="P1734" s="25"/>
    </row>
    <row r="1735">
      <c r="A1735" s="25"/>
      <c r="B1735" s="49"/>
      <c r="C1735" s="50"/>
      <c r="D1735" s="50"/>
      <c r="E1735" s="50"/>
      <c r="F1735" s="51"/>
      <c r="G1735" s="51"/>
      <c r="H1735" s="51"/>
      <c r="I1735" s="51"/>
      <c r="J1735" s="49"/>
      <c r="K1735" s="51"/>
      <c r="L1735" s="51"/>
      <c r="M1735" s="52"/>
      <c r="N1735" s="51"/>
      <c r="O1735" s="51"/>
      <c r="P1735" s="25"/>
    </row>
    <row r="1736">
      <c r="A1736" s="25"/>
      <c r="B1736" s="49"/>
      <c r="C1736" s="50"/>
      <c r="D1736" s="50"/>
      <c r="E1736" s="50"/>
      <c r="F1736" s="51"/>
      <c r="G1736" s="51"/>
      <c r="H1736" s="51"/>
      <c r="I1736" s="51"/>
      <c r="J1736" s="49"/>
      <c r="K1736" s="51"/>
      <c r="L1736" s="51"/>
      <c r="M1736" s="52"/>
      <c r="N1736" s="51"/>
      <c r="O1736" s="51"/>
      <c r="P1736" s="25"/>
    </row>
    <row r="1737">
      <c r="A1737" s="25"/>
      <c r="B1737" s="49"/>
      <c r="C1737" s="50"/>
      <c r="D1737" s="50"/>
      <c r="E1737" s="50"/>
      <c r="F1737" s="51"/>
      <c r="G1737" s="51"/>
      <c r="H1737" s="51"/>
      <c r="I1737" s="51"/>
      <c r="J1737" s="49"/>
      <c r="K1737" s="51"/>
      <c r="L1737" s="51"/>
      <c r="M1737" s="52"/>
      <c r="N1737" s="51"/>
      <c r="O1737" s="51"/>
      <c r="P1737" s="25"/>
    </row>
    <row r="1738">
      <c r="A1738" s="25"/>
      <c r="B1738" s="49"/>
      <c r="C1738" s="50"/>
      <c r="D1738" s="50"/>
      <c r="E1738" s="50"/>
      <c r="F1738" s="51"/>
      <c r="G1738" s="51"/>
      <c r="H1738" s="51"/>
      <c r="I1738" s="51"/>
      <c r="J1738" s="49"/>
      <c r="K1738" s="51"/>
      <c r="L1738" s="51"/>
      <c r="M1738" s="52"/>
      <c r="N1738" s="51"/>
      <c r="O1738" s="51"/>
      <c r="P1738" s="25"/>
    </row>
    <row r="1739">
      <c r="A1739" s="25"/>
      <c r="B1739" s="49"/>
      <c r="C1739" s="50"/>
      <c r="D1739" s="50"/>
      <c r="E1739" s="50"/>
      <c r="F1739" s="51"/>
      <c r="G1739" s="51"/>
      <c r="H1739" s="51"/>
      <c r="I1739" s="51"/>
      <c r="J1739" s="49"/>
      <c r="K1739" s="51"/>
      <c r="L1739" s="51"/>
      <c r="M1739" s="52"/>
      <c r="N1739" s="51"/>
      <c r="O1739" s="51"/>
      <c r="P1739" s="25"/>
    </row>
    <row r="1740">
      <c r="A1740" s="25"/>
      <c r="B1740" s="49"/>
      <c r="C1740" s="50"/>
      <c r="D1740" s="50"/>
      <c r="E1740" s="50"/>
      <c r="F1740" s="51"/>
      <c r="G1740" s="51"/>
      <c r="H1740" s="51"/>
      <c r="I1740" s="51"/>
      <c r="J1740" s="49"/>
      <c r="K1740" s="51"/>
      <c r="L1740" s="51"/>
      <c r="M1740" s="52"/>
      <c r="N1740" s="51"/>
      <c r="O1740" s="51"/>
      <c r="P1740" s="25"/>
    </row>
    <row r="1741">
      <c r="A1741" s="25"/>
      <c r="B1741" s="49"/>
      <c r="C1741" s="50"/>
      <c r="D1741" s="50"/>
      <c r="E1741" s="50"/>
      <c r="F1741" s="51"/>
      <c r="G1741" s="51"/>
      <c r="H1741" s="51"/>
      <c r="I1741" s="51"/>
      <c r="J1741" s="49"/>
      <c r="K1741" s="51"/>
      <c r="L1741" s="51"/>
      <c r="M1741" s="52"/>
      <c r="N1741" s="51"/>
      <c r="O1741" s="51"/>
      <c r="P1741" s="25"/>
    </row>
    <row r="1742">
      <c r="A1742" s="25"/>
      <c r="B1742" s="49"/>
      <c r="C1742" s="50"/>
      <c r="D1742" s="50"/>
      <c r="E1742" s="50"/>
      <c r="F1742" s="51"/>
      <c r="G1742" s="51"/>
      <c r="H1742" s="51"/>
      <c r="I1742" s="51"/>
      <c r="J1742" s="49"/>
      <c r="K1742" s="51"/>
      <c r="L1742" s="51"/>
      <c r="M1742" s="52"/>
      <c r="N1742" s="51"/>
      <c r="O1742" s="51"/>
      <c r="P1742" s="25"/>
    </row>
    <row r="1743">
      <c r="A1743" s="25"/>
      <c r="B1743" s="49"/>
      <c r="C1743" s="50"/>
      <c r="D1743" s="50"/>
      <c r="E1743" s="50"/>
      <c r="F1743" s="51"/>
      <c r="G1743" s="51"/>
      <c r="H1743" s="51"/>
      <c r="I1743" s="51"/>
      <c r="J1743" s="49"/>
      <c r="K1743" s="51"/>
      <c r="L1743" s="51"/>
      <c r="M1743" s="52"/>
      <c r="N1743" s="51"/>
      <c r="O1743" s="51"/>
      <c r="P1743" s="25"/>
    </row>
    <row r="1744">
      <c r="A1744" s="25"/>
      <c r="B1744" s="49"/>
      <c r="C1744" s="50"/>
      <c r="D1744" s="50"/>
      <c r="E1744" s="50"/>
      <c r="F1744" s="51"/>
      <c r="G1744" s="51"/>
      <c r="H1744" s="51"/>
      <c r="I1744" s="51"/>
      <c r="J1744" s="49"/>
      <c r="K1744" s="51"/>
      <c r="L1744" s="51"/>
      <c r="M1744" s="52"/>
      <c r="N1744" s="51"/>
      <c r="O1744" s="51"/>
      <c r="P1744" s="25"/>
    </row>
    <row r="1745">
      <c r="A1745" s="25"/>
      <c r="B1745" s="49"/>
      <c r="C1745" s="50"/>
      <c r="D1745" s="50"/>
      <c r="E1745" s="50"/>
      <c r="F1745" s="51"/>
      <c r="G1745" s="51"/>
      <c r="H1745" s="51"/>
      <c r="I1745" s="51"/>
      <c r="J1745" s="49"/>
      <c r="K1745" s="51"/>
      <c r="L1745" s="51"/>
      <c r="M1745" s="52"/>
      <c r="N1745" s="51"/>
      <c r="O1745" s="51"/>
      <c r="P1745" s="25"/>
    </row>
    <row r="1746">
      <c r="A1746" s="25"/>
      <c r="B1746" s="49"/>
      <c r="C1746" s="50"/>
      <c r="D1746" s="50"/>
      <c r="E1746" s="50"/>
      <c r="F1746" s="51"/>
      <c r="G1746" s="51"/>
      <c r="H1746" s="51"/>
      <c r="I1746" s="51"/>
      <c r="J1746" s="49"/>
      <c r="K1746" s="51"/>
      <c r="L1746" s="51"/>
      <c r="M1746" s="52"/>
      <c r="N1746" s="51"/>
      <c r="O1746" s="51"/>
      <c r="P1746" s="25"/>
    </row>
    <row r="1747">
      <c r="A1747" s="25"/>
      <c r="B1747" s="49"/>
      <c r="C1747" s="50"/>
      <c r="D1747" s="50"/>
      <c r="E1747" s="50"/>
      <c r="F1747" s="51"/>
      <c r="G1747" s="51"/>
      <c r="H1747" s="51"/>
      <c r="I1747" s="51"/>
      <c r="J1747" s="49"/>
      <c r="K1747" s="51"/>
      <c r="L1747" s="51"/>
      <c r="M1747" s="52"/>
      <c r="N1747" s="51"/>
      <c r="O1747" s="51"/>
      <c r="P1747" s="25"/>
    </row>
    <row r="1748">
      <c r="A1748" s="25"/>
      <c r="B1748" s="49"/>
      <c r="C1748" s="50"/>
      <c r="D1748" s="50"/>
      <c r="E1748" s="50"/>
      <c r="F1748" s="51"/>
      <c r="G1748" s="51"/>
      <c r="H1748" s="51"/>
      <c r="I1748" s="51"/>
      <c r="J1748" s="49"/>
      <c r="K1748" s="51"/>
      <c r="L1748" s="51"/>
      <c r="M1748" s="52"/>
      <c r="N1748" s="51"/>
      <c r="O1748" s="51"/>
      <c r="P1748" s="25"/>
    </row>
    <row r="1749">
      <c r="A1749" s="25"/>
      <c r="B1749" s="49"/>
      <c r="C1749" s="50"/>
      <c r="D1749" s="50"/>
      <c r="E1749" s="50"/>
      <c r="F1749" s="51"/>
      <c r="G1749" s="51"/>
      <c r="H1749" s="51"/>
      <c r="I1749" s="51"/>
      <c r="J1749" s="49"/>
      <c r="K1749" s="51"/>
      <c r="L1749" s="51"/>
      <c r="M1749" s="52"/>
      <c r="N1749" s="51"/>
      <c r="O1749" s="51"/>
      <c r="P1749" s="25"/>
    </row>
    <row r="1750">
      <c r="A1750" s="25"/>
      <c r="B1750" s="49"/>
      <c r="C1750" s="50"/>
      <c r="D1750" s="50"/>
      <c r="E1750" s="50"/>
      <c r="F1750" s="51"/>
      <c r="G1750" s="51"/>
      <c r="H1750" s="51"/>
      <c r="I1750" s="51"/>
      <c r="J1750" s="49"/>
      <c r="K1750" s="51"/>
      <c r="L1750" s="51"/>
      <c r="M1750" s="52"/>
      <c r="N1750" s="51"/>
      <c r="O1750" s="51"/>
      <c r="P1750" s="25"/>
    </row>
    <row r="1751">
      <c r="A1751" s="25"/>
      <c r="B1751" s="49"/>
      <c r="C1751" s="50"/>
      <c r="D1751" s="50"/>
      <c r="E1751" s="50"/>
      <c r="F1751" s="51"/>
      <c r="G1751" s="51"/>
      <c r="H1751" s="51"/>
      <c r="I1751" s="51"/>
      <c r="J1751" s="49"/>
      <c r="K1751" s="51"/>
      <c r="L1751" s="51"/>
      <c r="M1751" s="52"/>
      <c r="N1751" s="51"/>
      <c r="O1751" s="51"/>
      <c r="P1751" s="25"/>
    </row>
    <row r="1752">
      <c r="A1752" s="25"/>
      <c r="B1752" s="49"/>
      <c r="C1752" s="50"/>
      <c r="D1752" s="50"/>
      <c r="E1752" s="50"/>
      <c r="F1752" s="51"/>
      <c r="G1752" s="51"/>
      <c r="H1752" s="51"/>
      <c r="I1752" s="51"/>
      <c r="J1752" s="49"/>
      <c r="K1752" s="51"/>
      <c r="L1752" s="51"/>
      <c r="M1752" s="52"/>
      <c r="N1752" s="51"/>
      <c r="O1752" s="51"/>
      <c r="P1752" s="25"/>
    </row>
    <row r="1753">
      <c r="A1753" s="25"/>
      <c r="B1753" s="49"/>
      <c r="C1753" s="50"/>
      <c r="D1753" s="50"/>
      <c r="E1753" s="50"/>
      <c r="F1753" s="51"/>
      <c r="G1753" s="51"/>
      <c r="H1753" s="51"/>
      <c r="I1753" s="51"/>
      <c r="J1753" s="49"/>
      <c r="K1753" s="51"/>
      <c r="L1753" s="51"/>
      <c r="M1753" s="52"/>
      <c r="N1753" s="51"/>
      <c r="O1753" s="51"/>
      <c r="P1753" s="25"/>
    </row>
    <row r="1754">
      <c r="A1754" s="25"/>
      <c r="B1754" s="49"/>
      <c r="C1754" s="50"/>
      <c r="D1754" s="50"/>
      <c r="E1754" s="50"/>
      <c r="F1754" s="51"/>
      <c r="G1754" s="51"/>
      <c r="H1754" s="51"/>
      <c r="I1754" s="51"/>
      <c r="J1754" s="49"/>
      <c r="K1754" s="51"/>
      <c r="L1754" s="51"/>
      <c r="M1754" s="52"/>
      <c r="N1754" s="51"/>
      <c r="O1754" s="51"/>
      <c r="P1754" s="25"/>
    </row>
    <row r="1755">
      <c r="A1755" s="25"/>
      <c r="B1755" s="49"/>
      <c r="C1755" s="50"/>
      <c r="D1755" s="50"/>
      <c r="E1755" s="50"/>
      <c r="F1755" s="51"/>
      <c r="G1755" s="51"/>
      <c r="H1755" s="51"/>
      <c r="I1755" s="51"/>
      <c r="J1755" s="49"/>
      <c r="K1755" s="51"/>
      <c r="L1755" s="51"/>
      <c r="M1755" s="52"/>
      <c r="N1755" s="51"/>
      <c r="O1755" s="51"/>
      <c r="P1755" s="25"/>
    </row>
    <row r="1756">
      <c r="A1756" s="25"/>
      <c r="B1756" s="49"/>
      <c r="C1756" s="50"/>
      <c r="D1756" s="50"/>
      <c r="E1756" s="50"/>
      <c r="F1756" s="51"/>
      <c r="G1756" s="51"/>
      <c r="H1756" s="51"/>
      <c r="I1756" s="51"/>
      <c r="J1756" s="49"/>
      <c r="K1756" s="51"/>
      <c r="L1756" s="51"/>
      <c r="M1756" s="52"/>
      <c r="N1756" s="51"/>
      <c r="O1756" s="51"/>
      <c r="P1756" s="25"/>
    </row>
    <row r="1757">
      <c r="A1757" s="25"/>
      <c r="B1757" s="49"/>
      <c r="C1757" s="50"/>
      <c r="D1757" s="50"/>
      <c r="E1757" s="50"/>
      <c r="F1757" s="51"/>
      <c r="G1757" s="51"/>
      <c r="H1757" s="51"/>
      <c r="I1757" s="51"/>
      <c r="J1757" s="49"/>
      <c r="K1757" s="51"/>
      <c r="L1757" s="51"/>
      <c r="M1757" s="52"/>
      <c r="N1757" s="51"/>
      <c r="O1757" s="51"/>
      <c r="P1757" s="25"/>
    </row>
    <row r="1758">
      <c r="A1758" s="25"/>
      <c r="B1758" s="49"/>
      <c r="C1758" s="50"/>
      <c r="D1758" s="50"/>
      <c r="E1758" s="50"/>
      <c r="F1758" s="51"/>
      <c r="G1758" s="51"/>
      <c r="H1758" s="51"/>
      <c r="I1758" s="51"/>
      <c r="J1758" s="49"/>
      <c r="K1758" s="51"/>
      <c r="L1758" s="51"/>
      <c r="M1758" s="52"/>
      <c r="N1758" s="51"/>
      <c r="O1758" s="51"/>
      <c r="P1758" s="25"/>
    </row>
    <row r="1759">
      <c r="A1759" s="25"/>
      <c r="B1759" s="49"/>
      <c r="C1759" s="50"/>
      <c r="D1759" s="50"/>
      <c r="E1759" s="50"/>
      <c r="F1759" s="51"/>
      <c r="G1759" s="51"/>
      <c r="H1759" s="51"/>
      <c r="I1759" s="51"/>
      <c r="J1759" s="49"/>
      <c r="K1759" s="51"/>
      <c r="L1759" s="51"/>
      <c r="M1759" s="52"/>
      <c r="N1759" s="51"/>
      <c r="O1759" s="51"/>
      <c r="P1759" s="25"/>
    </row>
    <row r="1760">
      <c r="A1760" s="25"/>
      <c r="B1760" s="49"/>
      <c r="C1760" s="50"/>
      <c r="D1760" s="50"/>
      <c r="E1760" s="50"/>
      <c r="F1760" s="51"/>
      <c r="G1760" s="51"/>
      <c r="H1760" s="51"/>
      <c r="I1760" s="51"/>
      <c r="J1760" s="49"/>
      <c r="K1760" s="51"/>
      <c r="L1760" s="51"/>
      <c r="M1760" s="52"/>
      <c r="N1760" s="51"/>
      <c r="O1760" s="51"/>
      <c r="P1760" s="25"/>
    </row>
    <row r="1761">
      <c r="A1761" s="25"/>
      <c r="B1761" s="49"/>
      <c r="C1761" s="50"/>
      <c r="D1761" s="50"/>
      <c r="E1761" s="50"/>
      <c r="F1761" s="51"/>
      <c r="G1761" s="51"/>
      <c r="H1761" s="51"/>
      <c r="I1761" s="51"/>
      <c r="J1761" s="49"/>
      <c r="K1761" s="51"/>
      <c r="L1761" s="51"/>
      <c r="M1761" s="52"/>
      <c r="N1761" s="51"/>
      <c r="O1761" s="51"/>
      <c r="P1761" s="25"/>
    </row>
    <row r="1762">
      <c r="A1762" s="25"/>
      <c r="B1762" s="49"/>
      <c r="C1762" s="50"/>
      <c r="D1762" s="50"/>
      <c r="E1762" s="50"/>
      <c r="F1762" s="51"/>
      <c r="G1762" s="51"/>
      <c r="H1762" s="51"/>
      <c r="I1762" s="51"/>
      <c r="J1762" s="49"/>
      <c r="K1762" s="51"/>
      <c r="L1762" s="51"/>
      <c r="M1762" s="52"/>
      <c r="N1762" s="51"/>
      <c r="O1762" s="51"/>
      <c r="P1762" s="25"/>
    </row>
    <row r="1763">
      <c r="A1763" s="25"/>
      <c r="B1763" s="49"/>
      <c r="C1763" s="50"/>
      <c r="D1763" s="50"/>
      <c r="E1763" s="50"/>
      <c r="F1763" s="51"/>
      <c r="G1763" s="51"/>
      <c r="H1763" s="51"/>
      <c r="I1763" s="51"/>
      <c r="J1763" s="49"/>
      <c r="K1763" s="51"/>
      <c r="L1763" s="51"/>
      <c r="M1763" s="52"/>
      <c r="N1763" s="51"/>
      <c r="O1763" s="51"/>
      <c r="P1763" s="25"/>
    </row>
    <row r="1764">
      <c r="A1764" s="25"/>
      <c r="B1764" s="49"/>
      <c r="C1764" s="50"/>
      <c r="D1764" s="50"/>
      <c r="E1764" s="50"/>
      <c r="F1764" s="51"/>
      <c r="G1764" s="51"/>
      <c r="H1764" s="51"/>
      <c r="I1764" s="51"/>
      <c r="J1764" s="49"/>
      <c r="K1764" s="51"/>
      <c r="L1764" s="51"/>
      <c r="M1764" s="52"/>
      <c r="N1764" s="51"/>
      <c r="O1764" s="51"/>
      <c r="P1764" s="25"/>
    </row>
    <row r="1765">
      <c r="A1765" s="25"/>
      <c r="B1765" s="49"/>
      <c r="C1765" s="50"/>
      <c r="D1765" s="50"/>
      <c r="E1765" s="50"/>
      <c r="F1765" s="51"/>
      <c r="G1765" s="51"/>
      <c r="H1765" s="51"/>
      <c r="I1765" s="51"/>
      <c r="J1765" s="49"/>
      <c r="K1765" s="51"/>
      <c r="L1765" s="51"/>
      <c r="M1765" s="52"/>
      <c r="N1765" s="51"/>
      <c r="O1765" s="51"/>
      <c r="P1765" s="25"/>
    </row>
    <row r="1766">
      <c r="A1766" s="25"/>
      <c r="B1766" s="49"/>
      <c r="C1766" s="50"/>
      <c r="D1766" s="50"/>
      <c r="E1766" s="50"/>
      <c r="F1766" s="51"/>
      <c r="G1766" s="51"/>
      <c r="H1766" s="51"/>
      <c r="I1766" s="51"/>
      <c r="J1766" s="49"/>
      <c r="K1766" s="51"/>
      <c r="L1766" s="51"/>
      <c r="M1766" s="52"/>
      <c r="N1766" s="51"/>
      <c r="O1766" s="51"/>
      <c r="P1766" s="25"/>
    </row>
    <row r="1767">
      <c r="A1767" s="25"/>
      <c r="B1767" s="49"/>
      <c r="C1767" s="50"/>
      <c r="D1767" s="50"/>
      <c r="E1767" s="50"/>
      <c r="F1767" s="51"/>
      <c r="G1767" s="51"/>
      <c r="H1767" s="51"/>
      <c r="I1767" s="51"/>
      <c r="J1767" s="49"/>
      <c r="K1767" s="51"/>
      <c r="L1767" s="51"/>
      <c r="M1767" s="52"/>
      <c r="N1767" s="51"/>
      <c r="O1767" s="51"/>
      <c r="P1767" s="25"/>
    </row>
    <row r="1768">
      <c r="A1768" s="25"/>
      <c r="B1768" s="49"/>
      <c r="C1768" s="50"/>
      <c r="D1768" s="50"/>
      <c r="E1768" s="50"/>
      <c r="F1768" s="51"/>
      <c r="G1768" s="51"/>
      <c r="H1768" s="51"/>
      <c r="I1768" s="51"/>
      <c r="J1768" s="49"/>
      <c r="K1768" s="51"/>
      <c r="L1768" s="51"/>
      <c r="M1768" s="52"/>
      <c r="N1768" s="51"/>
      <c r="O1768" s="51"/>
      <c r="P1768" s="25"/>
    </row>
    <row r="1769">
      <c r="A1769" s="25"/>
      <c r="B1769" s="49"/>
      <c r="C1769" s="50"/>
      <c r="D1769" s="50"/>
      <c r="E1769" s="50"/>
      <c r="F1769" s="51"/>
      <c r="G1769" s="51"/>
      <c r="H1769" s="51"/>
      <c r="I1769" s="51"/>
      <c r="J1769" s="49"/>
      <c r="K1769" s="51"/>
      <c r="L1769" s="51"/>
      <c r="M1769" s="52"/>
      <c r="N1769" s="51"/>
      <c r="O1769" s="51"/>
      <c r="P1769" s="25"/>
    </row>
    <row r="1770">
      <c r="A1770" s="25"/>
      <c r="B1770" s="49"/>
      <c r="C1770" s="50"/>
      <c r="D1770" s="50"/>
      <c r="E1770" s="50"/>
      <c r="F1770" s="51"/>
      <c r="G1770" s="51"/>
      <c r="H1770" s="51"/>
      <c r="I1770" s="51"/>
      <c r="J1770" s="49"/>
      <c r="K1770" s="51"/>
      <c r="L1770" s="51"/>
      <c r="M1770" s="52"/>
      <c r="N1770" s="51"/>
      <c r="O1770" s="51"/>
      <c r="P1770" s="25"/>
    </row>
    <row r="1771">
      <c r="A1771" s="25"/>
      <c r="B1771" s="49"/>
      <c r="C1771" s="50"/>
      <c r="D1771" s="50"/>
      <c r="E1771" s="50"/>
      <c r="F1771" s="51"/>
      <c r="G1771" s="51"/>
      <c r="H1771" s="51"/>
      <c r="I1771" s="51"/>
      <c r="J1771" s="49"/>
      <c r="K1771" s="51"/>
      <c r="L1771" s="51"/>
      <c r="M1771" s="52"/>
      <c r="N1771" s="51"/>
      <c r="O1771" s="51"/>
      <c r="P1771" s="25"/>
    </row>
    <row r="1772">
      <c r="A1772" s="25"/>
      <c r="B1772" s="49"/>
      <c r="C1772" s="50"/>
      <c r="D1772" s="50"/>
      <c r="E1772" s="50"/>
      <c r="F1772" s="51"/>
      <c r="G1772" s="51"/>
      <c r="H1772" s="51"/>
      <c r="I1772" s="51"/>
      <c r="J1772" s="49"/>
      <c r="K1772" s="51"/>
      <c r="L1772" s="51"/>
      <c r="M1772" s="52"/>
      <c r="N1772" s="51"/>
      <c r="O1772" s="51"/>
      <c r="P1772" s="25"/>
    </row>
    <row r="1773">
      <c r="A1773" s="25"/>
      <c r="B1773" s="49"/>
      <c r="C1773" s="50"/>
      <c r="D1773" s="50"/>
      <c r="E1773" s="50"/>
      <c r="F1773" s="51"/>
      <c r="G1773" s="51"/>
      <c r="H1773" s="51"/>
      <c r="I1773" s="51"/>
      <c r="J1773" s="49"/>
      <c r="K1773" s="51"/>
      <c r="L1773" s="51"/>
      <c r="M1773" s="52"/>
      <c r="N1773" s="51"/>
      <c r="O1773" s="51"/>
      <c r="P1773" s="25"/>
    </row>
    <row r="1774">
      <c r="A1774" s="25"/>
      <c r="B1774" s="49"/>
      <c r="C1774" s="50"/>
      <c r="D1774" s="50"/>
      <c r="E1774" s="50"/>
      <c r="F1774" s="51"/>
      <c r="G1774" s="51"/>
      <c r="H1774" s="51"/>
      <c r="I1774" s="51"/>
      <c r="J1774" s="49"/>
      <c r="K1774" s="51"/>
      <c r="L1774" s="51"/>
      <c r="M1774" s="52"/>
      <c r="N1774" s="51"/>
      <c r="O1774" s="51"/>
      <c r="P1774" s="25"/>
    </row>
    <row r="1775">
      <c r="A1775" s="25"/>
      <c r="B1775" s="49"/>
      <c r="C1775" s="50"/>
      <c r="D1775" s="50"/>
      <c r="E1775" s="50"/>
      <c r="F1775" s="51"/>
      <c r="G1775" s="51"/>
      <c r="H1775" s="51"/>
      <c r="I1775" s="51"/>
      <c r="J1775" s="49"/>
      <c r="K1775" s="51"/>
      <c r="L1775" s="51"/>
      <c r="M1775" s="52"/>
      <c r="N1775" s="51"/>
      <c r="O1775" s="51"/>
      <c r="P1775" s="25"/>
    </row>
    <row r="1776">
      <c r="A1776" s="25"/>
      <c r="B1776" s="49"/>
      <c r="C1776" s="50"/>
      <c r="D1776" s="50"/>
      <c r="E1776" s="50"/>
      <c r="F1776" s="51"/>
      <c r="G1776" s="51"/>
      <c r="H1776" s="51"/>
      <c r="I1776" s="51"/>
      <c r="J1776" s="49"/>
      <c r="K1776" s="51"/>
      <c r="L1776" s="51"/>
      <c r="M1776" s="52"/>
      <c r="N1776" s="51"/>
      <c r="O1776" s="51"/>
      <c r="P1776" s="25"/>
    </row>
    <row r="1777">
      <c r="A1777" s="25"/>
      <c r="B1777" s="49"/>
      <c r="C1777" s="50"/>
      <c r="D1777" s="50"/>
      <c r="E1777" s="50"/>
      <c r="F1777" s="51"/>
      <c r="G1777" s="51"/>
      <c r="H1777" s="51"/>
      <c r="I1777" s="51"/>
      <c r="J1777" s="49"/>
      <c r="K1777" s="51"/>
      <c r="L1777" s="51"/>
      <c r="M1777" s="52"/>
      <c r="N1777" s="51"/>
      <c r="O1777" s="51"/>
      <c r="P1777" s="25"/>
    </row>
    <row r="1778">
      <c r="A1778" s="25"/>
      <c r="B1778" s="49"/>
      <c r="C1778" s="50"/>
      <c r="D1778" s="50"/>
      <c r="E1778" s="50"/>
      <c r="F1778" s="51"/>
      <c r="G1778" s="51"/>
      <c r="H1778" s="51"/>
      <c r="I1778" s="51"/>
      <c r="J1778" s="49"/>
      <c r="K1778" s="51"/>
      <c r="L1778" s="51"/>
      <c r="M1778" s="52"/>
      <c r="N1778" s="51"/>
      <c r="O1778" s="51"/>
      <c r="P1778" s="25"/>
    </row>
    <row r="1779">
      <c r="A1779" s="25"/>
      <c r="B1779" s="49"/>
      <c r="C1779" s="50"/>
      <c r="D1779" s="50"/>
      <c r="E1779" s="50"/>
      <c r="F1779" s="51"/>
      <c r="G1779" s="51"/>
      <c r="H1779" s="51"/>
      <c r="I1779" s="51"/>
      <c r="J1779" s="49"/>
      <c r="K1779" s="51"/>
      <c r="L1779" s="51"/>
      <c r="M1779" s="52"/>
      <c r="N1779" s="51"/>
      <c r="O1779" s="51"/>
      <c r="P1779" s="25"/>
    </row>
    <row r="1780">
      <c r="A1780" s="25"/>
      <c r="B1780" s="49"/>
      <c r="C1780" s="50"/>
      <c r="D1780" s="50"/>
      <c r="E1780" s="50"/>
      <c r="F1780" s="51"/>
      <c r="G1780" s="51"/>
      <c r="H1780" s="51"/>
      <c r="I1780" s="51"/>
      <c r="J1780" s="49"/>
      <c r="K1780" s="51"/>
      <c r="L1780" s="51"/>
      <c r="M1780" s="52"/>
      <c r="N1780" s="51"/>
      <c r="O1780" s="51"/>
      <c r="P1780" s="25"/>
    </row>
    <row r="1781">
      <c r="A1781" s="25"/>
      <c r="B1781" s="49"/>
      <c r="C1781" s="50"/>
      <c r="D1781" s="50"/>
      <c r="E1781" s="50"/>
      <c r="F1781" s="51"/>
      <c r="G1781" s="51"/>
      <c r="H1781" s="51"/>
      <c r="I1781" s="51"/>
      <c r="J1781" s="49"/>
      <c r="K1781" s="51"/>
      <c r="L1781" s="51"/>
      <c r="M1781" s="52"/>
      <c r="N1781" s="51"/>
      <c r="O1781" s="51"/>
      <c r="P1781" s="25"/>
    </row>
    <row r="1782">
      <c r="A1782" s="25"/>
      <c r="B1782" s="49"/>
      <c r="C1782" s="50"/>
      <c r="D1782" s="50"/>
      <c r="E1782" s="50"/>
      <c r="F1782" s="51"/>
      <c r="G1782" s="51"/>
      <c r="H1782" s="51"/>
      <c r="I1782" s="51"/>
      <c r="J1782" s="49"/>
      <c r="K1782" s="51"/>
      <c r="L1782" s="51"/>
      <c r="M1782" s="52"/>
      <c r="N1782" s="51"/>
      <c r="O1782" s="51"/>
      <c r="P1782" s="25"/>
    </row>
    <row r="1783">
      <c r="A1783" s="25"/>
      <c r="B1783" s="49"/>
      <c r="C1783" s="50"/>
      <c r="D1783" s="50"/>
      <c r="E1783" s="50"/>
      <c r="F1783" s="51"/>
      <c r="G1783" s="51"/>
      <c r="H1783" s="51"/>
      <c r="I1783" s="51"/>
      <c r="J1783" s="49"/>
      <c r="K1783" s="51"/>
      <c r="L1783" s="51"/>
      <c r="M1783" s="52"/>
      <c r="N1783" s="51"/>
      <c r="O1783" s="51"/>
      <c r="P1783" s="25"/>
    </row>
    <row r="1784">
      <c r="A1784" s="25"/>
      <c r="B1784" s="49"/>
      <c r="C1784" s="50"/>
      <c r="D1784" s="50"/>
      <c r="E1784" s="50"/>
      <c r="F1784" s="51"/>
      <c r="G1784" s="51"/>
      <c r="H1784" s="51"/>
      <c r="I1784" s="51"/>
      <c r="J1784" s="49"/>
      <c r="K1784" s="51"/>
      <c r="L1784" s="51"/>
      <c r="M1784" s="52"/>
      <c r="N1784" s="51"/>
      <c r="O1784" s="51"/>
      <c r="P1784" s="25"/>
    </row>
    <row r="1785">
      <c r="A1785" s="25"/>
      <c r="B1785" s="49"/>
      <c r="C1785" s="50"/>
      <c r="D1785" s="50"/>
      <c r="E1785" s="50"/>
      <c r="F1785" s="51"/>
      <c r="G1785" s="51"/>
      <c r="H1785" s="51"/>
      <c r="I1785" s="51"/>
      <c r="J1785" s="49"/>
      <c r="K1785" s="51"/>
      <c r="L1785" s="51"/>
      <c r="M1785" s="52"/>
      <c r="N1785" s="51"/>
      <c r="O1785" s="51"/>
      <c r="P1785" s="25"/>
    </row>
    <row r="1786">
      <c r="A1786" s="25"/>
      <c r="B1786" s="49"/>
      <c r="C1786" s="50"/>
      <c r="D1786" s="50"/>
      <c r="E1786" s="50"/>
      <c r="F1786" s="51"/>
      <c r="G1786" s="51"/>
      <c r="H1786" s="51"/>
      <c r="I1786" s="51"/>
      <c r="J1786" s="49"/>
      <c r="K1786" s="51"/>
      <c r="L1786" s="51"/>
      <c r="M1786" s="52"/>
      <c r="N1786" s="51"/>
      <c r="O1786" s="51"/>
      <c r="P1786" s="25"/>
    </row>
    <row r="1787">
      <c r="A1787" s="25"/>
      <c r="B1787" s="49"/>
      <c r="C1787" s="50"/>
      <c r="D1787" s="50"/>
      <c r="E1787" s="50"/>
      <c r="F1787" s="51"/>
      <c r="G1787" s="51"/>
      <c r="H1787" s="51"/>
      <c r="I1787" s="51"/>
      <c r="J1787" s="49"/>
      <c r="K1787" s="51"/>
      <c r="L1787" s="51"/>
      <c r="M1787" s="52"/>
      <c r="N1787" s="51"/>
      <c r="O1787" s="51"/>
      <c r="P1787" s="25"/>
    </row>
    <row r="1788">
      <c r="A1788" s="25"/>
      <c r="B1788" s="49"/>
      <c r="C1788" s="50"/>
      <c r="D1788" s="50"/>
      <c r="E1788" s="50"/>
      <c r="F1788" s="51"/>
      <c r="G1788" s="51"/>
      <c r="H1788" s="51"/>
      <c r="I1788" s="51"/>
      <c r="J1788" s="49"/>
      <c r="K1788" s="51"/>
      <c r="L1788" s="51"/>
      <c r="M1788" s="52"/>
      <c r="N1788" s="51"/>
      <c r="O1788" s="51"/>
      <c r="P1788" s="25"/>
    </row>
    <row r="1789">
      <c r="A1789" s="25"/>
      <c r="B1789" s="49"/>
      <c r="C1789" s="50"/>
      <c r="D1789" s="50"/>
      <c r="E1789" s="50"/>
      <c r="F1789" s="51"/>
      <c r="G1789" s="51"/>
      <c r="H1789" s="51"/>
      <c r="I1789" s="51"/>
      <c r="J1789" s="49"/>
      <c r="K1789" s="51"/>
      <c r="L1789" s="51"/>
      <c r="M1789" s="52"/>
      <c r="N1789" s="51"/>
      <c r="O1789" s="51"/>
      <c r="P1789" s="25"/>
    </row>
    <row r="1790">
      <c r="A1790" s="25"/>
      <c r="B1790" s="49"/>
      <c r="C1790" s="50"/>
      <c r="D1790" s="50"/>
      <c r="E1790" s="50"/>
      <c r="F1790" s="51"/>
      <c r="G1790" s="51"/>
      <c r="H1790" s="51"/>
      <c r="I1790" s="51"/>
      <c r="J1790" s="49"/>
      <c r="K1790" s="51"/>
      <c r="L1790" s="51"/>
      <c r="M1790" s="52"/>
      <c r="N1790" s="51"/>
      <c r="O1790" s="51"/>
      <c r="P1790" s="25"/>
    </row>
    <row r="1791">
      <c r="A1791" s="25"/>
      <c r="B1791" s="49"/>
      <c r="C1791" s="50"/>
      <c r="D1791" s="50"/>
      <c r="E1791" s="50"/>
      <c r="F1791" s="51"/>
      <c r="G1791" s="51"/>
      <c r="H1791" s="51"/>
      <c r="I1791" s="51"/>
      <c r="J1791" s="49"/>
      <c r="K1791" s="51"/>
      <c r="L1791" s="51"/>
      <c r="M1791" s="52"/>
      <c r="N1791" s="51"/>
      <c r="O1791" s="51"/>
      <c r="P1791" s="25"/>
    </row>
    <row r="1792">
      <c r="A1792" s="25"/>
      <c r="B1792" s="49"/>
      <c r="C1792" s="50"/>
      <c r="D1792" s="50"/>
      <c r="E1792" s="50"/>
      <c r="F1792" s="51"/>
      <c r="G1792" s="51"/>
      <c r="H1792" s="51"/>
      <c r="I1792" s="51"/>
      <c r="J1792" s="49"/>
      <c r="K1792" s="51"/>
      <c r="L1792" s="51"/>
      <c r="M1792" s="52"/>
      <c r="N1792" s="51"/>
      <c r="O1792" s="51"/>
      <c r="P1792" s="25"/>
    </row>
    <row r="1793">
      <c r="A1793" s="25"/>
      <c r="B1793" s="49"/>
      <c r="C1793" s="50"/>
      <c r="D1793" s="50"/>
      <c r="E1793" s="50"/>
      <c r="F1793" s="51"/>
      <c r="G1793" s="51"/>
      <c r="H1793" s="51"/>
      <c r="I1793" s="51"/>
      <c r="J1793" s="49"/>
      <c r="K1793" s="51"/>
      <c r="L1793" s="51"/>
      <c r="M1793" s="52"/>
      <c r="N1793" s="51"/>
      <c r="O1793" s="51"/>
      <c r="P1793" s="25"/>
    </row>
    <row r="1794">
      <c r="A1794" s="25"/>
      <c r="B1794" s="49"/>
      <c r="C1794" s="50"/>
      <c r="D1794" s="50"/>
      <c r="E1794" s="50"/>
      <c r="F1794" s="51"/>
      <c r="G1794" s="51"/>
      <c r="H1794" s="51"/>
      <c r="I1794" s="51"/>
      <c r="J1794" s="49"/>
      <c r="K1794" s="51"/>
      <c r="L1794" s="51"/>
      <c r="M1794" s="52"/>
      <c r="N1794" s="51"/>
      <c r="O1794" s="51"/>
      <c r="P1794" s="25"/>
    </row>
    <row r="1795">
      <c r="A1795" s="25"/>
      <c r="B1795" s="49"/>
      <c r="C1795" s="50"/>
      <c r="D1795" s="50"/>
      <c r="E1795" s="50"/>
      <c r="F1795" s="51"/>
      <c r="G1795" s="51"/>
      <c r="H1795" s="51"/>
      <c r="I1795" s="51"/>
      <c r="J1795" s="49"/>
      <c r="K1795" s="51"/>
      <c r="L1795" s="51"/>
      <c r="M1795" s="52"/>
      <c r="N1795" s="51"/>
      <c r="O1795" s="51"/>
      <c r="P1795" s="25"/>
    </row>
    <row r="1796">
      <c r="A1796" s="25"/>
      <c r="B1796" s="49"/>
      <c r="C1796" s="50"/>
      <c r="D1796" s="50"/>
      <c r="E1796" s="50"/>
      <c r="F1796" s="51"/>
      <c r="G1796" s="51"/>
      <c r="H1796" s="51"/>
      <c r="I1796" s="51"/>
      <c r="J1796" s="49"/>
      <c r="K1796" s="51"/>
      <c r="L1796" s="51"/>
      <c r="M1796" s="52"/>
      <c r="N1796" s="51"/>
      <c r="O1796" s="51"/>
      <c r="P1796" s="25"/>
    </row>
    <row r="1797">
      <c r="A1797" s="25"/>
      <c r="B1797" s="49"/>
      <c r="C1797" s="50"/>
      <c r="D1797" s="50"/>
      <c r="E1797" s="50"/>
      <c r="F1797" s="51"/>
      <c r="G1797" s="51"/>
      <c r="H1797" s="51"/>
      <c r="I1797" s="51"/>
      <c r="J1797" s="49"/>
      <c r="K1797" s="51"/>
      <c r="L1797" s="51"/>
      <c r="M1797" s="52"/>
      <c r="N1797" s="51"/>
      <c r="O1797" s="51"/>
      <c r="P1797" s="25"/>
    </row>
    <row r="1798">
      <c r="A1798" s="25"/>
      <c r="B1798" s="49"/>
      <c r="C1798" s="50"/>
      <c r="D1798" s="50"/>
      <c r="E1798" s="50"/>
      <c r="F1798" s="51"/>
      <c r="G1798" s="51"/>
      <c r="H1798" s="51"/>
      <c r="I1798" s="51"/>
      <c r="J1798" s="49"/>
      <c r="K1798" s="51"/>
      <c r="L1798" s="51"/>
      <c r="M1798" s="52"/>
      <c r="N1798" s="51"/>
      <c r="O1798" s="51"/>
      <c r="P1798" s="25"/>
    </row>
    <row r="1799">
      <c r="A1799" s="25"/>
      <c r="B1799" s="49"/>
      <c r="C1799" s="50"/>
      <c r="D1799" s="50"/>
      <c r="E1799" s="50"/>
      <c r="F1799" s="51"/>
      <c r="G1799" s="51"/>
      <c r="H1799" s="51"/>
      <c r="I1799" s="51"/>
      <c r="J1799" s="49"/>
      <c r="K1799" s="51"/>
      <c r="L1799" s="51"/>
      <c r="M1799" s="52"/>
      <c r="N1799" s="51"/>
      <c r="O1799" s="51"/>
      <c r="P1799" s="25"/>
    </row>
    <row r="1800">
      <c r="A1800" s="25"/>
      <c r="B1800" s="49"/>
      <c r="C1800" s="50"/>
      <c r="D1800" s="50"/>
      <c r="E1800" s="50"/>
      <c r="F1800" s="51"/>
      <c r="G1800" s="51"/>
      <c r="H1800" s="51"/>
      <c r="I1800" s="51"/>
      <c r="J1800" s="49"/>
      <c r="K1800" s="51"/>
      <c r="L1800" s="51"/>
      <c r="M1800" s="52"/>
      <c r="N1800" s="51"/>
      <c r="O1800" s="51"/>
      <c r="P1800" s="25"/>
    </row>
    <row r="1801">
      <c r="A1801" s="25"/>
      <c r="B1801" s="49"/>
      <c r="C1801" s="50"/>
      <c r="D1801" s="50"/>
      <c r="E1801" s="50"/>
      <c r="F1801" s="51"/>
      <c r="G1801" s="51"/>
      <c r="H1801" s="51"/>
      <c r="I1801" s="51"/>
      <c r="J1801" s="49"/>
      <c r="K1801" s="51"/>
      <c r="L1801" s="51"/>
      <c r="M1801" s="52"/>
      <c r="N1801" s="51"/>
      <c r="O1801" s="51"/>
      <c r="P1801" s="25"/>
    </row>
    <row r="1802">
      <c r="A1802" s="25"/>
      <c r="B1802" s="49"/>
      <c r="C1802" s="50"/>
      <c r="D1802" s="50"/>
      <c r="E1802" s="50"/>
      <c r="F1802" s="51"/>
      <c r="G1802" s="51"/>
      <c r="H1802" s="51"/>
      <c r="I1802" s="51"/>
      <c r="J1802" s="49"/>
      <c r="K1802" s="51"/>
      <c r="L1802" s="51"/>
      <c r="M1802" s="52"/>
      <c r="N1802" s="51"/>
      <c r="O1802" s="51"/>
      <c r="P1802" s="25"/>
    </row>
    <row r="1803">
      <c r="A1803" s="25"/>
      <c r="B1803" s="49"/>
      <c r="C1803" s="50"/>
      <c r="D1803" s="50"/>
      <c r="E1803" s="50"/>
      <c r="F1803" s="51"/>
      <c r="G1803" s="51"/>
      <c r="H1803" s="51"/>
      <c r="I1803" s="51"/>
      <c r="J1803" s="49"/>
      <c r="K1803" s="51"/>
      <c r="L1803" s="51"/>
      <c r="M1803" s="52"/>
      <c r="N1803" s="51"/>
      <c r="O1803" s="51"/>
      <c r="P1803" s="25"/>
    </row>
    <row r="1804">
      <c r="A1804" s="25"/>
      <c r="B1804" s="49"/>
      <c r="C1804" s="50"/>
      <c r="D1804" s="50"/>
      <c r="E1804" s="50"/>
      <c r="F1804" s="51"/>
      <c r="G1804" s="51"/>
      <c r="H1804" s="51"/>
      <c r="I1804" s="51"/>
      <c r="J1804" s="49"/>
      <c r="K1804" s="51"/>
      <c r="L1804" s="51"/>
      <c r="M1804" s="52"/>
      <c r="N1804" s="51"/>
      <c r="O1804" s="51"/>
      <c r="P1804" s="25"/>
    </row>
    <row r="1805">
      <c r="A1805" s="25"/>
      <c r="B1805" s="49"/>
      <c r="C1805" s="50"/>
      <c r="D1805" s="50"/>
      <c r="E1805" s="50"/>
      <c r="F1805" s="51"/>
      <c r="G1805" s="51"/>
      <c r="H1805" s="51"/>
      <c r="I1805" s="51"/>
      <c r="J1805" s="49"/>
      <c r="K1805" s="51"/>
      <c r="L1805" s="51"/>
      <c r="M1805" s="52"/>
      <c r="N1805" s="51"/>
      <c r="O1805" s="51"/>
      <c r="P1805" s="25"/>
    </row>
    <row r="1806">
      <c r="A1806" s="25"/>
      <c r="B1806" s="49"/>
      <c r="C1806" s="50"/>
      <c r="D1806" s="50"/>
      <c r="E1806" s="50"/>
      <c r="F1806" s="51"/>
      <c r="G1806" s="51"/>
      <c r="H1806" s="51"/>
      <c r="I1806" s="51"/>
      <c r="J1806" s="49"/>
      <c r="K1806" s="51"/>
      <c r="L1806" s="51"/>
      <c r="M1806" s="52"/>
      <c r="N1806" s="51"/>
      <c r="O1806" s="51"/>
      <c r="P1806" s="25"/>
    </row>
    <row r="1807">
      <c r="A1807" s="25"/>
      <c r="B1807" s="49"/>
      <c r="C1807" s="50"/>
      <c r="D1807" s="50"/>
      <c r="E1807" s="50"/>
      <c r="F1807" s="51"/>
      <c r="G1807" s="51"/>
      <c r="H1807" s="51"/>
      <c r="I1807" s="51"/>
      <c r="J1807" s="49"/>
      <c r="K1807" s="51"/>
      <c r="L1807" s="51"/>
      <c r="M1807" s="52"/>
      <c r="N1807" s="51"/>
      <c r="O1807" s="51"/>
      <c r="P1807" s="25"/>
    </row>
    <row r="1808">
      <c r="A1808" s="25"/>
      <c r="B1808" s="49"/>
      <c r="C1808" s="50"/>
      <c r="D1808" s="50"/>
      <c r="E1808" s="50"/>
      <c r="F1808" s="51"/>
      <c r="G1808" s="51"/>
      <c r="H1808" s="51"/>
      <c r="I1808" s="51"/>
      <c r="J1808" s="49"/>
      <c r="K1808" s="51"/>
      <c r="L1808" s="51"/>
      <c r="M1808" s="52"/>
      <c r="N1808" s="51"/>
      <c r="O1808" s="51"/>
      <c r="P1808" s="25"/>
    </row>
    <row r="1809">
      <c r="A1809" s="25"/>
      <c r="B1809" s="49"/>
      <c r="C1809" s="50"/>
      <c r="D1809" s="50"/>
      <c r="E1809" s="50"/>
      <c r="F1809" s="51"/>
      <c r="G1809" s="51"/>
      <c r="H1809" s="51"/>
      <c r="I1809" s="51"/>
      <c r="J1809" s="49"/>
      <c r="K1809" s="51"/>
      <c r="L1809" s="51"/>
      <c r="M1809" s="52"/>
      <c r="N1809" s="51"/>
      <c r="O1809" s="51"/>
      <c r="P1809" s="25"/>
    </row>
    <row r="1810">
      <c r="A1810" s="25"/>
      <c r="B1810" s="49"/>
      <c r="C1810" s="50"/>
      <c r="D1810" s="50"/>
      <c r="E1810" s="50"/>
      <c r="F1810" s="51"/>
      <c r="G1810" s="51"/>
      <c r="H1810" s="51"/>
      <c r="I1810" s="51"/>
      <c r="J1810" s="49"/>
      <c r="K1810" s="51"/>
      <c r="L1810" s="51"/>
      <c r="M1810" s="52"/>
      <c r="N1810" s="51"/>
      <c r="O1810" s="51"/>
      <c r="P1810" s="25"/>
    </row>
    <row r="1811">
      <c r="A1811" s="25"/>
      <c r="B1811" s="49"/>
      <c r="C1811" s="50"/>
      <c r="D1811" s="50"/>
      <c r="E1811" s="50"/>
      <c r="F1811" s="51"/>
      <c r="G1811" s="51"/>
      <c r="H1811" s="51"/>
      <c r="I1811" s="51"/>
      <c r="J1811" s="49"/>
      <c r="K1811" s="51"/>
      <c r="L1811" s="51"/>
      <c r="M1811" s="52"/>
      <c r="N1811" s="51"/>
      <c r="O1811" s="51"/>
      <c r="P1811" s="25"/>
    </row>
    <row r="1812">
      <c r="A1812" s="25"/>
      <c r="B1812" s="49"/>
      <c r="C1812" s="50"/>
      <c r="D1812" s="50"/>
      <c r="E1812" s="50"/>
      <c r="F1812" s="51"/>
      <c r="G1812" s="51"/>
      <c r="H1812" s="51"/>
      <c r="I1812" s="51"/>
      <c r="J1812" s="49"/>
      <c r="K1812" s="51"/>
      <c r="L1812" s="51"/>
      <c r="M1812" s="52"/>
      <c r="N1812" s="51"/>
      <c r="O1812" s="51"/>
      <c r="P1812" s="25"/>
    </row>
    <row r="1813">
      <c r="A1813" s="25"/>
      <c r="B1813" s="49"/>
      <c r="C1813" s="50"/>
      <c r="D1813" s="50"/>
      <c r="E1813" s="50"/>
      <c r="F1813" s="51"/>
      <c r="G1813" s="51"/>
      <c r="H1813" s="51"/>
      <c r="I1813" s="51"/>
      <c r="J1813" s="49"/>
      <c r="K1813" s="51"/>
      <c r="L1813" s="51"/>
      <c r="M1813" s="52"/>
      <c r="N1813" s="51"/>
      <c r="O1813" s="51"/>
      <c r="P1813" s="25"/>
    </row>
    <row r="1814">
      <c r="A1814" s="25"/>
      <c r="B1814" s="49"/>
      <c r="C1814" s="50"/>
      <c r="D1814" s="50"/>
      <c r="E1814" s="50"/>
      <c r="F1814" s="51"/>
      <c r="G1814" s="51"/>
      <c r="H1814" s="51"/>
      <c r="I1814" s="51"/>
      <c r="J1814" s="49"/>
      <c r="K1814" s="51"/>
      <c r="L1814" s="51"/>
      <c r="M1814" s="52"/>
      <c r="N1814" s="51"/>
      <c r="O1814" s="51"/>
      <c r="P1814" s="25"/>
    </row>
    <row r="1815">
      <c r="A1815" s="25"/>
      <c r="B1815" s="49"/>
      <c r="C1815" s="50"/>
      <c r="D1815" s="50"/>
      <c r="E1815" s="50"/>
      <c r="F1815" s="51"/>
      <c r="G1815" s="51"/>
      <c r="H1815" s="51"/>
      <c r="I1815" s="51"/>
      <c r="J1815" s="49"/>
      <c r="K1815" s="51"/>
      <c r="L1815" s="51"/>
      <c r="M1815" s="52"/>
      <c r="N1815" s="51"/>
      <c r="O1815" s="51"/>
      <c r="P1815" s="25"/>
    </row>
    <row r="1816">
      <c r="A1816" s="25"/>
      <c r="B1816" s="49"/>
      <c r="C1816" s="50"/>
      <c r="D1816" s="50"/>
      <c r="E1816" s="50"/>
      <c r="F1816" s="51"/>
      <c r="G1816" s="51"/>
      <c r="H1816" s="51"/>
      <c r="I1816" s="51"/>
      <c r="J1816" s="49"/>
      <c r="K1816" s="51"/>
      <c r="L1816" s="51"/>
      <c r="M1816" s="52"/>
      <c r="N1816" s="51"/>
      <c r="O1816" s="51"/>
      <c r="P1816" s="25"/>
    </row>
    <row r="1817">
      <c r="A1817" s="25"/>
      <c r="B1817" s="49"/>
      <c r="C1817" s="50"/>
      <c r="D1817" s="50"/>
      <c r="E1817" s="50"/>
      <c r="F1817" s="51"/>
      <c r="G1817" s="51"/>
      <c r="H1817" s="51"/>
      <c r="I1817" s="51"/>
      <c r="J1817" s="49"/>
      <c r="K1817" s="51"/>
      <c r="L1817" s="51"/>
      <c r="M1817" s="52"/>
      <c r="N1817" s="51"/>
      <c r="O1817" s="51"/>
      <c r="P1817" s="25"/>
    </row>
    <row r="1818">
      <c r="A1818" s="25"/>
      <c r="B1818" s="49"/>
      <c r="C1818" s="50"/>
      <c r="D1818" s="50"/>
      <c r="E1818" s="50"/>
      <c r="F1818" s="51"/>
      <c r="G1818" s="51"/>
      <c r="H1818" s="51"/>
      <c r="I1818" s="51"/>
      <c r="J1818" s="49"/>
      <c r="K1818" s="51"/>
      <c r="L1818" s="51"/>
      <c r="M1818" s="52"/>
      <c r="N1818" s="51"/>
      <c r="O1818" s="51"/>
      <c r="P1818" s="25"/>
    </row>
    <row r="1819">
      <c r="A1819" s="25"/>
      <c r="B1819" s="49"/>
      <c r="C1819" s="50"/>
      <c r="D1819" s="50"/>
      <c r="E1819" s="50"/>
      <c r="F1819" s="51"/>
      <c r="G1819" s="51"/>
      <c r="H1819" s="51"/>
      <c r="I1819" s="51"/>
      <c r="J1819" s="49"/>
      <c r="K1819" s="51"/>
      <c r="L1819" s="51"/>
      <c r="M1819" s="52"/>
      <c r="N1819" s="51"/>
      <c r="O1819" s="51"/>
      <c r="P1819" s="25"/>
    </row>
    <row r="1820">
      <c r="A1820" s="25"/>
      <c r="B1820" s="49"/>
      <c r="C1820" s="50"/>
      <c r="D1820" s="50"/>
      <c r="E1820" s="50"/>
      <c r="F1820" s="51"/>
      <c r="G1820" s="51"/>
      <c r="H1820" s="51"/>
      <c r="I1820" s="51"/>
      <c r="J1820" s="49"/>
      <c r="K1820" s="51"/>
      <c r="L1820" s="51"/>
      <c r="M1820" s="52"/>
      <c r="N1820" s="51"/>
      <c r="O1820" s="51"/>
      <c r="P1820" s="25"/>
    </row>
    <row r="1821">
      <c r="A1821" s="25"/>
      <c r="B1821" s="49"/>
      <c r="C1821" s="50"/>
      <c r="D1821" s="50"/>
      <c r="E1821" s="50"/>
      <c r="F1821" s="51"/>
      <c r="G1821" s="51"/>
      <c r="H1821" s="51"/>
      <c r="I1821" s="51"/>
      <c r="J1821" s="49"/>
      <c r="K1821" s="51"/>
      <c r="L1821" s="51"/>
      <c r="M1821" s="52"/>
      <c r="N1821" s="51"/>
      <c r="O1821" s="51"/>
      <c r="P1821" s="25"/>
    </row>
    <row r="1822">
      <c r="A1822" s="25"/>
      <c r="B1822" s="49"/>
      <c r="C1822" s="50"/>
      <c r="D1822" s="50"/>
      <c r="E1822" s="50"/>
      <c r="F1822" s="51"/>
      <c r="G1822" s="51"/>
      <c r="H1822" s="51"/>
      <c r="I1822" s="51"/>
      <c r="J1822" s="49"/>
      <c r="K1822" s="51"/>
      <c r="L1822" s="51"/>
      <c r="M1822" s="52"/>
      <c r="N1822" s="51"/>
      <c r="O1822" s="51"/>
      <c r="P1822" s="25"/>
    </row>
    <row r="1823">
      <c r="A1823" s="25"/>
      <c r="B1823" s="49"/>
      <c r="C1823" s="50"/>
      <c r="D1823" s="50"/>
      <c r="E1823" s="50"/>
      <c r="F1823" s="51"/>
      <c r="G1823" s="51"/>
      <c r="H1823" s="51"/>
      <c r="I1823" s="51"/>
      <c r="J1823" s="49"/>
      <c r="K1823" s="51"/>
      <c r="L1823" s="51"/>
      <c r="M1823" s="52"/>
      <c r="N1823" s="51"/>
      <c r="O1823" s="51"/>
      <c r="P1823" s="25"/>
    </row>
    <row r="1824">
      <c r="A1824" s="25"/>
      <c r="B1824" s="49"/>
      <c r="C1824" s="50"/>
      <c r="D1824" s="50"/>
      <c r="E1824" s="50"/>
      <c r="F1824" s="51"/>
      <c r="G1824" s="51"/>
      <c r="H1824" s="51"/>
      <c r="I1824" s="51"/>
      <c r="J1824" s="49"/>
      <c r="K1824" s="51"/>
      <c r="L1824" s="51"/>
      <c r="M1824" s="52"/>
      <c r="N1824" s="51"/>
      <c r="O1824" s="51"/>
      <c r="P1824" s="25"/>
    </row>
    <row r="1825">
      <c r="A1825" s="25"/>
      <c r="B1825" s="49"/>
      <c r="C1825" s="50"/>
      <c r="D1825" s="50"/>
      <c r="E1825" s="50"/>
      <c r="F1825" s="51"/>
      <c r="G1825" s="51"/>
      <c r="H1825" s="51"/>
      <c r="I1825" s="51"/>
      <c r="J1825" s="49"/>
      <c r="K1825" s="51"/>
      <c r="L1825" s="51"/>
      <c r="M1825" s="52"/>
      <c r="N1825" s="51"/>
      <c r="O1825" s="51"/>
      <c r="P1825" s="25"/>
    </row>
    <row r="1826">
      <c r="A1826" s="25"/>
      <c r="B1826" s="49"/>
      <c r="C1826" s="50"/>
      <c r="D1826" s="50"/>
      <c r="E1826" s="50"/>
      <c r="F1826" s="51"/>
      <c r="G1826" s="51"/>
      <c r="H1826" s="51"/>
      <c r="I1826" s="51"/>
      <c r="J1826" s="49"/>
      <c r="K1826" s="51"/>
      <c r="L1826" s="51"/>
      <c r="M1826" s="52"/>
      <c r="N1826" s="51"/>
      <c r="O1826" s="51"/>
      <c r="P1826" s="25"/>
    </row>
    <row r="1827">
      <c r="A1827" s="25"/>
      <c r="B1827" s="49"/>
      <c r="C1827" s="50"/>
      <c r="D1827" s="50"/>
      <c r="E1827" s="50"/>
      <c r="F1827" s="51"/>
      <c r="G1827" s="51"/>
      <c r="H1827" s="51"/>
      <c r="I1827" s="51"/>
      <c r="J1827" s="49"/>
      <c r="K1827" s="51"/>
      <c r="L1827" s="51"/>
      <c r="M1827" s="52"/>
      <c r="N1827" s="51"/>
      <c r="O1827" s="51"/>
      <c r="P1827" s="25"/>
    </row>
    <row r="1828">
      <c r="A1828" s="25"/>
      <c r="B1828" s="49"/>
      <c r="C1828" s="50"/>
      <c r="D1828" s="50"/>
      <c r="E1828" s="50"/>
      <c r="F1828" s="51"/>
      <c r="G1828" s="51"/>
      <c r="H1828" s="51"/>
      <c r="I1828" s="51"/>
      <c r="J1828" s="49"/>
      <c r="K1828" s="51"/>
      <c r="L1828" s="51"/>
      <c r="M1828" s="52"/>
      <c r="N1828" s="51"/>
      <c r="O1828" s="51"/>
      <c r="P1828" s="25"/>
    </row>
    <row r="1829">
      <c r="A1829" s="25"/>
      <c r="B1829" s="49"/>
      <c r="C1829" s="50"/>
      <c r="D1829" s="50"/>
      <c r="E1829" s="50"/>
      <c r="F1829" s="51"/>
      <c r="G1829" s="51"/>
      <c r="H1829" s="51"/>
      <c r="I1829" s="51"/>
      <c r="J1829" s="49"/>
      <c r="K1829" s="51"/>
      <c r="L1829" s="51"/>
      <c r="M1829" s="52"/>
      <c r="N1829" s="51"/>
      <c r="O1829" s="51"/>
      <c r="P1829" s="25"/>
    </row>
    <row r="1830">
      <c r="A1830" s="25"/>
      <c r="B1830" s="49"/>
      <c r="C1830" s="50"/>
      <c r="D1830" s="50"/>
      <c r="E1830" s="50"/>
      <c r="F1830" s="51"/>
      <c r="G1830" s="51"/>
      <c r="H1830" s="51"/>
      <c r="I1830" s="51"/>
      <c r="J1830" s="49"/>
      <c r="K1830" s="51"/>
      <c r="L1830" s="51"/>
      <c r="M1830" s="52"/>
      <c r="N1830" s="51"/>
      <c r="O1830" s="51"/>
      <c r="P1830" s="25"/>
    </row>
    <row r="1831">
      <c r="A1831" s="25"/>
      <c r="B1831" s="49"/>
      <c r="C1831" s="50"/>
      <c r="D1831" s="50"/>
      <c r="E1831" s="50"/>
      <c r="F1831" s="51"/>
      <c r="G1831" s="51"/>
      <c r="H1831" s="51"/>
      <c r="I1831" s="51"/>
      <c r="J1831" s="49"/>
      <c r="K1831" s="51"/>
      <c r="L1831" s="51"/>
      <c r="M1831" s="52"/>
      <c r="N1831" s="51"/>
      <c r="O1831" s="51"/>
      <c r="P1831" s="25"/>
    </row>
    <row r="1832">
      <c r="A1832" s="25"/>
      <c r="B1832" s="49"/>
      <c r="C1832" s="50"/>
      <c r="D1832" s="50"/>
      <c r="E1832" s="50"/>
      <c r="F1832" s="51"/>
      <c r="G1832" s="51"/>
      <c r="H1832" s="51"/>
      <c r="I1832" s="51"/>
      <c r="J1832" s="49"/>
      <c r="K1832" s="51"/>
      <c r="L1832" s="51"/>
      <c r="M1832" s="52"/>
      <c r="N1832" s="51"/>
      <c r="O1832" s="51"/>
      <c r="P1832" s="25"/>
    </row>
    <row r="1833">
      <c r="A1833" s="25"/>
      <c r="B1833" s="49"/>
      <c r="C1833" s="50"/>
      <c r="D1833" s="50"/>
      <c r="E1833" s="50"/>
      <c r="F1833" s="51"/>
      <c r="G1833" s="51"/>
      <c r="H1833" s="51"/>
      <c r="I1833" s="51"/>
      <c r="J1833" s="49"/>
      <c r="K1833" s="51"/>
      <c r="L1833" s="51"/>
      <c r="M1833" s="52"/>
      <c r="N1833" s="51"/>
      <c r="O1833" s="51"/>
      <c r="P1833" s="25"/>
    </row>
    <row r="1834">
      <c r="A1834" s="25"/>
      <c r="B1834" s="49"/>
      <c r="C1834" s="50"/>
      <c r="D1834" s="50"/>
      <c r="E1834" s="50"/>
      <c r="F1834" s="51"/>
      <c r="G1834" s="51"/>
      <c r="H1834" s="51"/>
      <c r="I1834" s="51"/>
      <c r="J1834" s="49"/>
      <c r="K1834" s="51"/>
      <c r="L1834" s="51"/>
      <c r="M1834" s="52"/>
      <c r="N1834" s="51"/>
      <c r="O1834" s="51"/>
      <c r="P1834" s="25"/>
    </row>
    <row r="1835">
      <c r="A1835" s="25"/>
      <c r="B1835" s="49"/>
      <c r="C1835" s="50"/>
      <c r="D1835" s="50"/>
      <c r="E1835" s="50"/>
      <c r="F1835" s="51"/>
      <c r="G1835" s="51"/>
      <c r="H1835" s="51"/>
      <c r="I1835" s="51"/>
      <c r="J1835" s="49"/>
      <c r="K1835" s="51"/>
      <c r="L1835" s="51"/>
      <c r="M1835" s="52"/>
      <c r="N1835" s="51"/>
      <c r="O1835" s="51"/>
      <c r="P1835" s="25"/>
    </row>
    <row r="1836">
      <c r="A1836" s="25"/>
      <c r="B1836" s="49"/>
      <c r="C1836" s="50"/>
      <c r="D1836" s="50"/>
      <c r="E1836" s="50"/>
      <c r="F1836" s="51"/>
      <c r="G1836" s="51"/>
      <c r="H1836" s="51"/>
      <c r="I1836" s="51"/>
      <c r="J1836" s="49"/>
      <c r="K1836" s="51"/>
      <c r="L1836" s="51"/>
      <c r="M1836" s="52"/>
      <c r="N1836" s="51"/>
      <c r="O1836" s="51"/>
      <c r="P1836" s="25"/>
    </row>
    <row r="1837">
      <c r="A1837" s="25"/>
      <c r="B1837" s="49"/>
      <c r="C1837" s="50"/>
      <c r="D1837" s="50"/>
      <c r="E1837" s="50"/>
      <c r="F1837" s="51"/>
      <c r="G1837" s="51"/>
      <c r="H1837" s="51"/>
      <c r="I1837" s="51"/>
      <c r="J1837" s="49"/>
      <c r="K1837" s="51"/>
      <c r="L1837" s="51"/>
      <c r="M1837" s="52"/>
      <c r="N1837" s="51"/>
      <c r="O1837" s="51"/>
      <c r="P1837" s="25"/>
    </row>
    <row r="1838">
      <c r="A1838" s="25"/>
      <c r="B1838" s="49"/>
      <c r="C1838" s="50"/>
      <c r="D1838" s="50"/>
      <c r="E1838" s="50"/>
      <c r="F1838" s="51"/>
      <c r="G1838" s="51"/>
      <c r="H1838" s="51"/>
      <c r="I1838" s="51"/>
      <c r="J1838" s="49"/>
      <c r="K1838" s="51"/>
      <c r="L1838" s="51"/>
      <c r="M1838" s="52"/>
      <c r="N1838" s="51"/>
      <c r="O1838" s="51"/>
      <c r="P1838" s="25"/>
    </row>
    <row r="1839">
      <c r="A1839" s="25"/>
      <c r="B1839" s="49"/>
      <c r="C1839" s="50"/>
      <c r="D1839" s="50"/>
      <c r="E1839" s="50"/>
      <c r="F1839" s="51"/>
      <c r="G1839" s="51"/>
      <c r="H1839" s="51"/>
      <c r="I1839" s="51"/>
      <c r="J1839" s="49"/>
      <c r="K1839" s="51"/>
      <c r="L1839" s="51"/>
      <c r="M1839" s="52"/>
      <c r="N1839" s="51"/>
      <c r="O1839" s="51"/>
      <c r="P1839" s="25"/>
    </row>
    <row r="1840">
      <c r="A1840" s="25"/>
      <c r="B1840" s="49"/>
      <c r="C1840" s="50"/>
      <c r="D1840" s="50"/>
      <c r="E1840" s="50"/>
      <c r="F1840" s="51"/>
      <c r="G1840" s="51"/>
      <c r="H1840" s="51"/>
      <c r="I1840" s="51"/>
      <c r="J1840" s="49"/>
      <c r="K1840" s="51"/>
      <c r="L1840" s="51"/>
      <c r="M1840" s="52"/>
      <c r="N1840" s="51"/>
      <c r="O1840" s="51"/>
      <c r="P1840" s="25"/>
    </row>
    <row r="1841">
      <c r="A1841" s="25"/>
      <c r="B1841" s="49"/>
      <c r="C1841" s="50"/>
      <c r="D1841" s="50"/>
      <c r="E1841" s="50"/>
      <c r="F1841" s="51"/>
      <c r="G1841" s="51"/>
      <c r="H1841" s="51"/>
      <c r="I1841" s="51"/>
      <c r="J1841" s="49"/>
      <c r="K1841" s="51"/>
      <c r="L1841" s="51"/>
      <c r="M1841" s="52"/>
      <c r="N1841" s="51"/>
      <c r="O1841" s="51"/>
      <c r="P1841" s="25"/>
    </row>
    <row r="1842">
      <c r="A1842" s="25"/>
      <c r="B1842" s="49"/>
      <c r="C1842" s="50"/>
      <c r="D1842" s="50"/>
      <c r="E1842" s="50"/>
      <c r="F1842" s="51"/>
      <c r="G1842" s="51"/>
      <c r="H1842" s="51"/>
      <c r="I1842" s="51"/>
      <c r="J1842" s="49"/>
      <c r="K1842" s="51"/>
      <c r="L1842" s="51"/>
      <c r="M1842" s="52"/>
      <c r="N1842" s="51"/>
      <c r="O1842" s="51"/>
      <c r="P1842" s="25"/>
    </row>
    <row r="1843">
      <c r="A1843" s="25"/>
      <c r="B1843" s="49"/>
      <c r="C1843" s="50"/>
      <c r="D1843" s="50"/>
      <c r="E1843" s="50"/>
      <c r="F1843" s="51"/>
      <c r="G1843" s="51"/>
      <c r="H1843" s="51"/>
      <c r="I1843" s="51"/>
      <c r="J1843" s="49"/>
      <c r="K1843" s="51"/>
      <c r="L1843" s="51"/>
      <c r="M1843" s="52"/>
      <c r="N1843" s="51"/>
      <c r="O1843" s="51"/>
      <c r="P1843" s="25"/>
    </row>
    <row r="1844">
      <c r="A1844" s="25"/>
      <c r="B1844" s="49"/>
      <c r="C1844" s="50"/>
      <c r="D1844" s="50"/>
      <c r="E1844" s="50"/>
      <c r="F1844" s="51"/>
      <c r="G1844" s="51"/>
      <c r="H1844" s="51"/>
      <c r="I1844" s="51"/>
      <c r="J1844" s="49"/>
      <c r="K1844" s="51"/>
      <c r="L1844" s="51"/>
      <c r="M1844" s="52"/>
      <c r="N1844" s="51"/>
      <c r="O1844" s="51"/>
      <c r="P1844" s="25"/>
    </row>
    <row r="1845">
      <c r="A1845" s="25"/>
      <c r="B1845" s="49"/>
      <c r="C1845" s="50"/>
      <c r="D1845" s="50"/>
      <c r="E1845" s="50"/>
      <c r="F1845" s="51"/>
      <c r="G1845" s="51"/>
      <c r="H1845" s="51"/>
      <c r="I1845" s="51"/>
      <c r="J1845" s="49"/>
      <c r="K1845" s="51"/>
      <c r="L1845" s="51"/>
      <c r="M1845" s="52"/>
      <c r="N1845" s="51"/>
      <c r="O1845" s="51"/>
      <c r="P1845" s="25"/>
    </row>
    <row r="1846">
      <c r="A1846" s="25"/>
      <c r="B1846" s="49"/>
      <c r="C1846" s="50"/>
      <c r="D1846" s="50"/>
      <c r="E1846" s="50"/>
      <c r="F1846" s="51"/>
      <c r="G1846" s="51"/>
      <c r="H1846" s="51"/>
      <c r="I1846" s="51"/>
      <c r="J1846" s="49"/>
      <c r="K1846" s="51"/>
      <c r="L1846" s="51"/>
      <c r="M1846" s="52"/>
      <c r="N1846" s="51"/>
      <c r="O1846" s="51"/>
      <c r="P1846" s="25"/>
    </row>
    <row r="1847">
      <c r="A1847" s="25"/>
      <c r="B1847" s="49"/>
      <c r="C1847" s="50"/>
      <c r="D1847" s="50"/>
      <c r="E1847" s="50"/>
      <c r="F1847" s="51"/>
      <c r="G1847" s="51"/>
      <c r="H1847" s="51"/>
      <c r="I1847" s="51"/>
      <c r="J1847" s="49"/>
      <c r="K1847" s="51"/>
      <c r="L1847" s="51"/>
      <c r="M1847" s="52"/>
      <c r="N1847" s="51"/>
      <c r="O1847" s="51"/>
      <c r="P1847" s="25"/>
    </row>
    <row r="1848">
      <c r="A1848" s="25"/>
      <c r="B1848" s="49"/>
      <c r="C1848" s="50"/>
      <c r="D1848" s="50"/>
      <c r="E1848" s="50"/>
      <c r="F1848" s="51"/>
      <c r="G1848" s="51"/>
      <c r="H1848" s="51"/>
      <c r="I1848" s="51"/>
      <c r="J1848" s="49"/>
      <c r="K1848" s="51"/>
      <c r="L1848" s="51"/>
      <c r="M1848" s="52"/>
      <c r="N1848" s="51"/>
      <c r="O1848" s="51"/>
      <c r="P1848" s="25"/>
    </row>
    <row r="1849">
      <c r="A1849" s="25"/>
      <c r="B1849" s="49"/>
      <c r="C1849" s="50"/>
      <c r="D1849" s="50"/>
      <c r="E1849" s="50"/>
      <c r="F1849" s="51"/>
      <c r="G1849" s="51"/>
      <c r="H1849" s="51"/>
      <c r="I1849" s="51"/>
      <c r="J1849" s="49"/>
      <c r="K1849" s="51"/>
      <c r="L1849" s="51"/>
      <c r="M1849" s="52"/>
      <c r="N1849" s="51"/>
      <c r="O1849" s="51"/>
      <c r="P1849" s="25"/>
    </row>
    <row r="1850">
      <c r="A1850" s="25"/>
      <c r="B1850" s="49"/>
      <c r="C1850" s="50"/>
      <c r="D1850" s="50"/>
      <c r="E1850" s="50"/>
      <c r="F1850" s="51"/>
      <c r="G1850" s="51"/>
      <c r="H1850" s="51"/>
      <c r="I1850" s="51"/>
      <c r="J1850" s="49"/>
      <c r="K1850" s="51"/>
      <c r="L1850" s="51"/>
      <c r="M1850" s="52"/>
      <c r="N1850" s="51"/>
      <c r="O1850" s="51"/>
      <c r="P1850" s="25"/>
    </row>
    <row r="1851">
      <c r="A1851" s="25"/>
      <c r="B1851" s="49"/>
      <c r="C1851" s="50"/>
      <c r="D1851" s="50"/>
      <c r="E1851" s="50"/>
      <c r="F1851" s="51"/>
      <c r="G1851" s="51"/>
      <c r="H1851" s="51"/>
      <c r="I1851" s="51"/>
      <c r="J1851" s="49"/>
      <c r="K1851" s="51"/>
      <c r="L1851" s="51"/>
      <c r="M1851" s="52"/>
      <c r="N1851" s="51"/>
      <c r="O1851" s="51"/>
      <c r="P1851" s="25"/>
    </row>
    <row r="1852">
      <c r="A1852" s="25"/>
      <c r="B1852" s="49"/>
      <c r="C1852" s="50"/>
      <c r="D1852" s="50"/>
      <c r="E1852" s="50"/>
      <c r="F1852" s="51"/>
      <c r="G1852" s="51"/>
      <c r="H1852" s="51"/>
      <c r="I1852" s="51"/>
      <c r="J1852" s="49"/>
      <c r="K1852" s="51"/>
      <c r="L1852" s="51"/>
      <c r="M1852" s="52"/>
      <c r="N1852" s="51"/>
      <c r="O1852" s="51"/>
      <c r="P1852" s="25"/>
    </row>
    <row r="1853">
      <c r="A1853" s="25"/>
      <c r="B1853" s="49"/>
      <c r="C1853" s="50"/>
      <c r="D1853" s="50"/>
      <c r="E1853" s="50"/>
      <c r="F1853" s="51"/>
      <c r="G1853" s="51"/>
      <c r="H1853" s="51"/>
      <c r="I1853" s="51"/>
      <c r="J1853" s="49"/>
      <c r="K1853" s="51"/>
      <c r="L1853" s="51"/>
      <c r="M1853" s="52"/>
      <c r="N1853" s="51"/>
      <c r="O1853" s="51"/>
      <c r="P1853" s="25"/>
    </row>
    <row r="1854">
      <c r="A1854" s="25"/>
      <c r="B1854" s="49"/>
      <c r="C1854" s="50"/>
      <c r="D1854" s="50"/>
      <c r="E1854" s="50"/>
      <c r="F1854" s="51"/>
      <c r="G1854" s="51"/>
      <c r="H1854" s="51"/>
      <c r="I1854" s="51"/>
      <c r="J1854" s="49"/>
      <c r="K1854" s="51"/>
      <c r="L1854" s="51"/>
      <c r="M1854" s="52"/>
      <c r="N1854" s="51"/>
      <c r="O1854" s="51"/>
      <c r="P1854" s="25"/>
    </row>
    <row r="1855">
      <c r="A1855" s="25"/>
      <c r="B1855" s="49"/>
      <c r="C1855" s="50"/>
      <c r="D1855" s="50"/>
      <c r="E1855" s="50"/>
      <c r="F1855" s="51"/>
      <c r="G1855" s="51"/>
      <c r="H1855" s="51"/>
      <c r="I1855" s="51"/>
      <c r="J1855" s="49"/>
      <c r="K1855" s="51"/>
      <c r="L1855" s="51"/>
      <c r="M1855" s="52"/>
      <c r="N1855" s="51"/>
      <c r="O1855" s="51"/>
      <c r="P1855" s="25"/>
    </row>
    <row r="1856">
      <c r="A1856" s="25"/>
      <c r="B1856" s="49"/>
      <c r="C1856" s="50"/>
      <c r="D1856" s="50"/>
      <c r="E1856" s="50"/>
      <c r="F1856" s="51"/>
      <c r="G1856" s="51"/>
      <c r="H1856" s="51"/>
      <c r="I1856" s="51"/>
      <c r="J1856" s="49"/>
      <c r="K1856" s="51"/>
      <c r="L1856" s="51"/>
      <c r="M1856" s="52"/>
      <c r="N1856" s="51"/>
      <c r="O1856" s="51"/>
      <c r="P1856" s="25"/>
    </row>
    <row r="1857">
      <c r="A1857" s="25"/>
      <c r="B1857" s="49"/>
      <c r="C1857" s="50"/>
      <c r="D1857" s="50"/>
      <c r="E1857" s="50"/>
      <c r="F1857" s="51"/>
      <c r="G1857" s="51"/>
      <c r="H1857" s="51"/>
      <c r="I1857" s="51"/>
      <c r="J1857" s="49"/>
      <c r="K1857" s="51"/>
      <c r="L1857" s="51"/>
      <c r="M1857" s="52"/>
      <c r="N1857" s="51"/>
      <c r="O1857" s="51"/>
      <c r="P1857" s="25"/>
    </row>
    <row r="1858">
      <c r="A1858" s="25"/>
      <c r="B1858" s="49"/>
      <c r="C1858" s="50"/>
      <c r="D1858" s="50"/>
      <c r="E1858" s="50"/>
      <c r="F1858" s="51"/>
      <c r="G1858" s="51"/>
      <c r="H1858" s="51"/>
      <c r="I1858" s="51"/>
      <c r="J1858" s="49"/>
      <c r="K1858" s="51"/>
      <c r="L1858" s="51"/>
      <c r="M1858" s="52"/>
      <c r="N1858" s="51"/>
      <c r="O1858" s="51"/>
      <c r="P1858" s="25"/>
    </row>
    <row r="1859">
      <c r="A1859" s="25"/>
      <c r="B1859" s="49"/>
      <c r="C1859" s="50"/>
      <c r="D1859" s="50"/>
      <c r="E1859" s="50"/>
      <c r="F1859" s="51"/>
      <c r="G1859" s="51"/>
      <c r="H1859" s="51"/>
      <c r="I1859" s="51"/>
      <c r="J1859" s="49"/>
      <c r="K1859" s="51"/>
      <c r="L1859" s="51"/>
      <c r="M1859" s="52"/>
      <c r="N1859" s="51"/>
      <c r="O1859" s="51"/>
      <c r="P1859" s="25"/>
    </row>
    <row r="1860">
      <c r="A1860" s="25"/>
      <c r="B1860" s="49"/>
      <c r="C1860" s="50"/>
      <c r="D1860" s="50"/>
      <c r="E1860" s="50"/>
      <c r="F1860" s="51"/>
      <c r="G1860" s="51"/>
      <c r="H1860" s="51"/>
      <c r="I1860" s="51"/>
      <c r="J1860" s="49"/>
      <c r="K1860" s="51"/>
      <c r="L1860" s="51"/>
      <c r="M1860" s="52"/>
      <c r="N1860" s="51"/>
      <c r="O1860" s="51"/>
      <c r="P1860" s="25"/>
    </row>
    <row r="1861">
      <c r="A1861" s="25"/>
      <c r="B1861" s="49"/>
      <c r="C1861" s="50"/>
      <c r="D1861" s="50"/>
      <c r="E1861" s="50"/>
      <c r="F1861" s="51"/>
      <c r="G1861" s="51"/>
      <c r="H1861" s="51"/>
      <c r="I1861" s="51"/>
      <c r="J1861" s="49"/>
      <c r="K1861" s="51"/>
      <c r="L1861" s="51"/>
      <c r="M1861" s="52"/>
      <c r="N1861" s="51"/>
      <c r="O1861" s="51"/>
      <c r="P1861" s="25"/>
    </row>
    <row r="1862">
      <c r="A1862" s="25"/>
      <c r="B1862" s="49"/>
      <c r="C1862" s="50"/>
      <c r="D1862" s="50"/>
      <c r="E1862" s="50"/>
      <c r="F1862" s="51"/>
      <c r="G1862" s="51"/>
      <c r="H1862" s="51"/>
      <c r="I1862" s="51"/>
      <c r="J1862" s="49"/>
      <c r="K1862" s="51"/>
      <c r="L1862" s="51"/>
      <c r="M1862" s="52"/>
      <c r="N1862" s="51"/>
      <c r="O1862" s="51"/>
      <c r="P1862" s="25"/>
    </row>
    <row r="1863">
      <c r="A1863" s="25"/>
      <c r="B1863" s="49"/>
      <c r="C1863" s="50"/>
      <c r="D1863" s="50"/>
      <c r="E1863" s="50"/>
      <c r="F1863" s="51"/>
      <c r="G1863" s="51"/>
      <c r="H1863" s="51"/>
      <c r="I1863" s="51"/>
      <c r="J1863" s="49"/>
      <c r="K1863" s="51"/>
      <c r="L1863" s="51"/>
      <c r="M1863" s="52"/>
      <c r="N1863" s="51"/>
      <c r="O1863" s="51"/>
      <c r="P1863" s="25"/>
    </row>
    <row r="1864">
      <c r="A1864" s="25"/>
      <c r="B1864" s="49"/>
      <c r="C1864" s="50"/>
      <c r="D1864" s="50"/>
      <c r="E1864" s="50"/>
      <c r="F1864" s="51"/>
      <c r="G1864" s="51"/>
      <c r="H1864" s="51"/>
      <c r="I1864" s="51"/>
      <c r="J1864" s="49"/>
      <c r="K1864" s="51"/>
      <c r="L1864" s="51"/>
      <c r="M1864" s="52"/>
      <c r="N1864" s="51"/>
      <c r="O1864" s="51"/>
      <c r="P1864" s="25"/>
    </row>
    <row r="1865">
      <c r="A1865" s="25"/>
      <c r="B1865" s="49"/>
      <c r="C1865" s="50"/>
      <c r="D1865" s="50"/>
      <c r="E1865" s="50"/>
      <c r="F1865" s="51"/>
      <c r="G1865" s="51"/>
      <c r="H1865" s="51"/>
      <c r="I1865" s="51"/>
      <c r="J1865" s="49"/>
      <c r="K1865" s="51"/>
      <c r="L1865" s="51"/>
      <c r="M1865" s="52"/>
      <c r="N1865" s="51"/>
      <c r="O1865" s="51"/>
      <c r="P1865" s="25"/>
    </row>
    <row r="1866">
      <c r="A1866" s="25"/>
      <c r="B1866" s="49"/>
      <c r="C1866" s="50"/>
      <c r="D1866" s="50"/>
      <c r="E1866" s="50"/>
      <c r="F1866" s="51"/>
      <c r="G1866" s="51"/>
      <c r="H1866" s="51"/>
      <c r="I1866" s="51"/>
      <c r="J1866" s="49"/>
      <c r="K1866" s="51"/>
      <c r="L1866" s="51"/>
      <c r="M1866" s="52"/>
      <c r="N1866" s="51"/>
      <c r="O1866" s="51"/>
      <c r="P1866" s="25"/>
    </row>
    <row r="1867">
      <c r="A1867" s="25"/>
      <c r="B1867" s="49"/>
      <c r="C1867" s="50"/>
      <c r="D1867" s="50"/>
      <c r="E1867" s="50"/>
      <c r="F1867" s="51"/>
      <c r="G1867" s="51"/>
      <c r="H1867" s="51"/>
      <c r="I1867" s="51"/>
      <c r="J1867" s="49"/>
      <c r="K1867" s="51"/>
      <c r="L1867" s="51"/>
      <c r="M1867" s="52"/>
      <c r="N1867" s="51"/>
      <c r="O1867" s="51"/>
      <c r="P1867" s="25"/>
    </row>
    <row r="1868">
      <c r="A1868" s="25"/>
      <c r="B1868" s="49"/>
      <c r="C1868" s="50"/>
      <c r="D1868" s="50"/>
      <c r="E1868" s="50"/>
      <c r="F1868" s="51"/>
      <c r="G1868" s="51"/>
      <c r="H1868" s="51"/>
      <c r="I1868" s="51"/>
      <c r="J1868" s="49"/>
      <c r="K1868" s="51"/>
      <c r="L1868" s="51"/>
      <c r="M1868" s="52"/>
      <c r="N1868" s="51"/>
      <c r="O1868" s="51"/>
      <c r="P1868" s="25"/>
    </row>
    <row r="1869">
      <c r="A1869" s="25"/>
      <c r="B1869" s="49"/>
      <c r="C1869" s="50"/>
      <c r="D1869" s="50"/>
      <c r="E1869" s="50"/>
      <c r="F1869" s="51"/>
      <c r="G1869" s="51"/>
      <c r="H1869" s="51"/>
      <c r="I1869" s="51"/>
      <c r="J1869" s="49"/>
      <c r="K1869" s="51"/>
      <c r="L1869" s="51"/>
      <c r="M1869" s="52"/>
      <c r="N1869" s="51"/>
      <c r="O1869" s="51"/>
      <c r="P1869" s="25"/>
    </row>
    <row r="1870">
      <c r="A1870" s="25"/>
      <c r="B1870" s="49"/>
      <c r="C1870" s="50"/>
      <c r="D1870" s="50"/>
      <c r="E1870" s="50"/>
      <c r="F1870" s="51"/>
      <c r="G1870" s="51"/>
      <c r="H1870" s="51"/>
      <c r="I1870" s="51"/>
      <c r="J1870" s="49"/>
      <c r="K1870" s="51"/>
      <c r="L1870" s="51"/>
      <c r="M1870" s="52"/>
      <c r="N1870" s="51"/>
      <c r="O1870" s="51"/>
      <c r="P1870" s="25"/>
    </row>
    <row r="1871">
      <c r="A1871" s="25"/>
      <c r="B1871" s="49"/>
      <c r="C1871" s="50"/>
      <c r="D1871" s="50"/>
      <c r="E1871" s="50"/>
      <c r="F1871" s="51"/>
      <c r="G1871" s="51"/>
      <c r="H1871" s="51"/>
      <c r="I1871" s="51"/>
      <c r="J1871" s="49"/>
      <c r="K1871" s="51"/>
      <c r="L1871" s="51"/>
      <c r="M1871" s="52"/>
      <c r="N1871" s="51"/>
      <c r="O1871" s="51"/>
      <c r="P1871" s="25"/>
    </row>
    <row r="1872">
      <c r="A1872" s="25"/>
      <c r="B1872" s="49"/>
      <c r="C1872" s="50"/>
      <c r="D1872" s="50"/>
      <c r="E1872" s="50"/>
      <c r="F1872" s="51"/>
      <c r="G1872" s="51"/>
      <c r="H1872" s="51"/>
      <c r="I1872" s="51"/>
      <c r="J1872" s="49"/>
      <c r="K1872" s="51"/>
      <c r="L1872" s="51"/>
      <c r="M1872" s="52"/>
      <c r="N1872" s="51"/>
      <c r="O1872" s="51"/>
      <c r="P1872" s="25"/>
    </row>
    <row r="1873">
      <c r="A1873" s="25"/>
      <c r="B1873" s="49"/>
      <c r="C1873" s="50"/>
      <c r="D1873" s="50"/>
      <c r="E1873" s="50"/>
      <c r="F1873" s="51"/>
      <c r="G1873" s="51"/>
      <c r="H1873" s="51"/>
      <c r="I1873" s="51"/>
      <c r="J1873" s="49"/>
      <c r="K1873" s="51"/>
      <c r="L1873" s="51"/>
      <c r="M1873" s="52"/>
      <c r="N1873" s="51"/>
      <c r="O1873" s="51"/>
      <c r="P1873" s="25"/>
    </row>
    <row r="1874">
      <c r="A1874" s="25"/>
      <c r="B1874" s="49"/>
      <c r="C1874" s="50"/>
      <c r="D1874" s="50"/>
      <c r="E1874" s="50"/>
      <c r="F1874" s="51"/>
      <c r="G1874" s="51"/>
      <c r="H1874" s="51"/>
      <c r="I1874" s="51"/>
      <c r="J1874" s="49"/>
      <c r="K1874" s="51"/>
      <c r="L1874" s="51"/>
      <c r="M1874" s="52"/>
      <c r="N1874" s="51"/>
      <c r="O1874" s="51"/>
      <c r="P1874" s="25"/>
    </row>
    <row r="1875">
      <c r="A1875" s="25"/>
      <c r="B1875" s="49"/>
      <c r="C1875" s="50"/>
      <c r="D1875" s="50"/>
      <c r="E1875" s="50"/>
      <c r="F1875" s="51"/>
      <c r="G1875" s="51"/>
      <c r="H1875" s="51"/>
      <c r="I1875" s="51"/>
      <c r="J1875" s="49"/>
      <c r="K1875" s="51"/>
      <c r="L1875" s="51"/>
      <c r="M1875" s="52"/>
      <c r="N1875" s="51"/>
      <c r="O1875" s="51"/>
      <c r="P1875" s="25"/>
    </row>
    <row r="1876">
      <c r="A1876" s="25"/>
      <c r="B1876" s="49"/>
      <c r="C1876" s="50"/>
      <c r="D1876" s="50"/>
      <c r="E1876" s="50"/>
      <c r="F1876" s="51"/>
      <c r="G1876" s="51"/>
      <c r="H1876" s="51"/>
      <c r="I1876" s="51"/>
      <c r="J1876" s="49"/>
      <c r="K1876" s="51"/>
      <c r="L1876" s="51"/>
      <c r="M1876" s="52"/>
      <c r="N1876" s="51"/>
      <c r="O1876" s="51"/>
      <c r="P1876" s="25"/>
    </row>
    <row r="1877">
      <c r="A1877" s="25"/>
      <c r="B1877" s="49"/>
      <c r="C1877" s="50"/>
      <c r="D1877" s="50"/>
      <c r="E1877" s="50"/>
      <c r="F1877" s="51"/>
      <c r="G1877" s="51"/>
      <c r="H1877" s="51"/>
      <c r="I1877" s="51"/>
      <c r="J1877" s="49"/>
      <c r="K1877" s="51"/>
      <c r="L1877" s="51"/>
      <c r="M1877" s="52"/>
      <c r="N1877" s="51"/>
      <c r="O1877" s="51"/>
      <c r="P1877" s="25"/>
    </row>
    <row r="1878">
      <c r="A1878" s="25"/>
      <c r="B1878" s="49"/>
      <c r="C1878" s="50"/>
      <c r="D1878" s="50"/>
      <c r="E1878" s="50"/>
      <c r="F1878" s="51"/>
      <c r="G1878" s="51"/>
      <c r="H1878" s="51"/>
      <c r="I1878" s="51"/>
      <c r="J1878" s="49"/>
      <c r="K1878" s="51"/>
      <c r="L1878" s="51"/>
      <c r="M1878" s="52"/>
      <c r="N1878" s="51"/>
      <c r="O1878" s="51"/>
      <c r="P1878" s="25"/>
    </row>
    <row r="1879">
      <c r="A1879" s="25"/>
      <c r="B1879" s="49"/>
      <c r="C1879" s="50"/>
      <c r="D1879" s="50"/>
      <c r="E1879" s="50"/>
      <c r="F1879" s="51"/>
      <c r="G1879" s="51"/>
      <c r="H1879" s="51"/>
      <c r="I1879" s="51"/>
      <c r="J1879" s="49"/>
      <c r="K1879" s="51"/>
      <c r="L1879" s="51"/>
      <c r="M1879" s="52"/>
      <c r="N1879" s="51"/>
      <c r="O1879" s="51"/>
      <c r="P1879" s="25"/>
    </row>
    <row r="1880">
      <c r="A1880" s="25"/>
      <c r="B1880" s="49"/>
      <c r="C1880" s="50"/>
      <c r="D1880" s="50"/>
      <c r="E1880" s="50"/>
      <c r="F1880" s="51"/>
      <c r="G1880" s="51"/>
      <c r="H1880" s="51"/>
      <c r="I1880" s="51"/>
      <c r="J1880" s="49"/>
      <c r="K1880" s="51"/>
      <c r="L1880" s="51"/>
      <c r="M1880" s="52"/>
      <c r="N1880" s="51"/>
      <c r="O1880" s="51"/>
      <c r="P1880" s="25"/>
    </row>
    <row r="1881">
      <c r="A1881" s="25"/>
      <c r="B1881" s="49"/>
      <c r="C1881" s="50"/>
      <c r="D1881" s="50"/>
      <c r="E1881" s="50"/>
      <c r="F1881" s="51"/>
      <c r="G1881" s="51"/>
      <c r="H1881" s="51"/>
      <c r="I1881" s="51"/>
      <c r="J1881" s="49"/>
      <c r="K1881" s="51"/>
      <c r="L1881" s="51"/>
      <c r="M1881" s="52"/>
      <c r="N1881" s="51"/>
      <c r="O1881" s="51"/>
      <c r="P1881" s="25"/>
    </row>
    <row r="1882">
      <c r="A1882" s="25"/>
      <c r="B1882" s="49"/>
      <c r="C1882" s="50"/>
      <c r="D1882" s="50"/>
      <c r="E1882" s="50"/>
      <c r="F1882" s="51"/>
      <c r="G1882" s="51"/>
      <c r="H1882" s="51"/>
      <c r="I1882" s="51"/>
      <c r="J1882" s="49"/>
      <c r="K1882" s="51"/>
      <c r="L1882" s="51"/>
      <c r="M1882" s="52"/>
      <c r="N1882" s="51"/>
      <c r="O1882" s="51"/>
      <c r="P1882" s="25"/>
    </row>
    <row r="1883">
      <c r="A1883" s="25"/>
      <c r="B1883" s="49"/>
      <c r="C1883" s="50"/>
      <c r="D1883" s="50"/>
      <c r="E1883" s="50"/>
      <c r="F1883" s="51"/>
      <c r="G1883" s="51"/>
      <c r="H1883" s="51"/>
      <c r="I1883" s="51"/>
      <c r="J1883" s="49"/>
      <c r="K1883" s="51"/>
      <c r="L1883" s="51"/>
      <c r="M1883" s="52"/>
      <c r="N1883" s="51"/>
      <c r="O1883" s="51"/>
      <c r="P1883" s="25"/>
    </row>
    <row r="1884">
      <c r="A1884" s="25"/>
      <c r="B1884" s="49"/>
      <c r="C1884" s="50"/>
      <c r="D1884" s="50"/>
      <c r="E1884" s="50"/>
      <c r="F1884" s="51"/>
      <c r="G1884" s="51"/>
      <c r="H1884" s="51"/>
      <c r="I1884" s="51"/>
      <c r="J1884" s="49"/>
      <c r="K1884" s="51"/>
      <c r="L1884" s="51"/>
      <c r="M1884" s="52"/>
      <c r="N1884" s="51"/>
      <c r="O1884" s="51"/>
      <c r="P1884" s="25"/>
    </row>
    <row r="1885">
      <c r="A1885" s="25"/>
      <c r="B1885" s="49"/>
      <c r="C1885" s="50"/>
      <c r="D1885" s="50"/>
      <c r="E1885" s="50"/>
      <c r="F1885" s="51"/>
      <c r="G1885" s="51"/>
      <c r="H1885" s="51"/>
      <c r="I1885" s="51"/>
      <c r="J1885" s="49"/>
      <c r="K1885" s="51"/>
      <c r="L1885" s="51"/>
      <c r="M1885" s="52"/>
      <c r="N1885" s="51"/>
      <c r="O1885" s="51"/>
      <c r="P1885" s="25"/>
    </row>
    <row r="1886">
      <c r="A1886" s="25"/>
      <c r="B1886" s="49"/>
      <c r="C1886" s="50"/>
      <c r="D1886" s="50"/>
      <c r="E1886" s="50"/>
      <c r="F1886" s="51"/>
      <c r="G1886" s="51"/>
      <c r="H1886" s="51"/>
      <c r="I1886" s="51"/>
      <c r="J1886" s="49"/>
      <c r="K1886" s="51"/>
      <c r="L1886" s="51"/>
      <c r="M1886" s="52"/>
      <c r="N1886" s="51"/>
      <c r="O1886" s="51"/>
      <c r="P1886" s="25"/>
    </row>
    <row r="1887">
      <c r="A1887" s="25"/>
      <c r="B1887" s="49"/>
      <c r="C1887" s="50"/>
      <c r="D1887" s="50"/>
      <c r="E1887" s="50"/>
      <c r="F1887" s="51"/>
      <c r="G1887" s="51"/>
      <c r="H1887" s="51"/>
      <c r="I1887" s="51"/>
      <c r="J1887" s="49"/>
      <c r="K1887" s="51"/>
      <c r="L1887" s="51"/>
      <c r="M1887" s="52"/>
      <c r="N1887" s="51"/>
      <c r="O1887" s="51"/>
      <c r="P1887" s="25"/>
    </row>
    <row r="1888">
      <c r="A1888" s="25"/>
      <c r="B1888" s="49"/>
      <c r="C1888" s="50"/>
      <c r="D1888" s="50"/>
      <c r="E1888" s="50"/>
      <c r="F1888" s="51"/>
      <c r="G1888" s="51"/>
      <c r="H1888" s="51"/>
      <c r="I1888" s="51"/>
      <c r="J1888" s="49"/>
      <c r="K1888" s="51"/>
      <c r="L1888" s="51"/>
      <c r="M1888" s="52"/>
      <c r="N1888" s="51"/>
      <c r="O1888" s="51"/>
      <c r="P1888" s="25"/>
    </row>
    <row r="1889">
      <c r="A1889" s="25"/>
      <c r="B1889" s="49"/>
      <c r="C1889" s="50"/>
      <c r="D1889" s="50"/>
      <c r="E1889" s="50"/>
      <c r="F1889" s="51"/>
      <c r="G1889" s="51"/>
      <c r="H1889" s="51"/>
      <c r="I1889" s="51"/>
      <c r="J1889" s="49"/>
      <c r="K1889" s="51"/>
      <c r="L1889" s="51"/>
      <c r="M1889" s="52"/>
      <c r="N1889" s="51"/>
      <c r="O1889" s="51"/>
      <c r="P1889" s="25"/>
    </row>
    <row r="1890">
      <c r="A1890" s="25"/>
      <c r="B1890" s="49"/>
      <c r="C1890" s="50"/>
      <c r="D1890" s="50"/>
      <c r="E1890" s="50"/>
      <c r="F1890" s="51"/>
      <c r="G1890" s="51"/>
      <c r="H1890" s="51"/>
      <c r="I1890" s="51"/>
      <c r="J1890" s="49"/>
      <c r="K1890" s="51"/>
      <c r="L1890" s="51"/>
      <c r="M1890" s="52"/>
      <c r="N1890" s="51"/>
      <c r="O1890" s="51"/>
      <c r="P1890" s="25"/>
    </row>
    <row r="1891">
      <c r="A1891" s="25"/>
      <c r="B1891" s="49"/>
      <c r="C1891" s="50"/>
      <c r="D1891" s="50"/>
      <c r="E1891" s="50"/>
      <c r="F1891" s="51"/>
      <c r="G1891" s="51"/>
      <c r="H1891" s="51"/>
      <c r="I1891" s="51"/>
      <c r="J1891" s="49"/>
      <c r="K1891" s="51"/>
      <c r="L1891" s="51"/>
      <c r="M1891" s="52"/>
      <c r="N1891" s="51"/>
      <c r="O1891" s="51"/>
      <c r="P1891" s="25"/>
    </row>
    <row r="1892">
      <c r="A1892" s="25"/>
      <c r="B1892" s="49"/>
      <c r="C1892" s="50"/>
      <c r="D1892" s="50"/>
      <c r="E1892" s="50"/>
      <c r="F1892" s="51"/>
      <c r="G1892" s="51"/>
      <c r="H1892" s="51"/>
      <c r="I1892" s="51"/>
      <c r="J1892" s="49"/>
      <c r="K1892" s="51"/>
      <c r="L1892" s="51"/>
      <c r="M1892" s="52"/>
      <c r="N1892" s="51"/>
      <c r="O1892" s="51"/>
      <c r="P1892" s="25"/>
    </row>
    <row r="1893">
      <c r="A1893" s="25"/>
      <c r="B1893" s="49"/>
      <c r="C1893" s="50"/>
      <c r="D1893" s="50"/>
      <c r="E1893" s="50"/>
      <c r="F1893" s="51"/>
      <c r="G1893" s="51"/>
      <c r="H1893" s="51"/>
      <c r="I1893" s="51"/>
      <c r="J1893" s="49"/>
      <c r="K1893" s="51"/>
      <c r="L1893" s="51"/>
      <c r="M1893" s="52"/>
      <c r="N1893" s="51"/>
      <c r="O1893" s="51"/>
      <c r="P1893" s="25"/>
    </row>
    <row r="1894">
      <c r="A1894" s="25"/>
      <c r="B1894" s="49"/>
      <c r="C1894" s="50"/>
      <c r="D1894" s="50"/>
      <c r="E1894" s="50"/>
      <c r="F1894" s="51"/>
      <c r="G1894" s="51"/>
      <c r="H1894" s="51"/>
      <c r="I1894" s="51"/>
      <c r="J1894" s="49"/>
      <c r="K1894" s="51"/>
      <c r="L1894" s="51"/>
      <c r="M1894" s="52"/>
      <c r="N1894" s="51"/>
      <c r="O1894" s="51"/>
      <c r="P1894" s="25"/>
    </row>
    <row r="1895">
      <c r="A1895" s="25"/>
      <c r="B1895" s="49"/>
      <c r="C1895" s="50"/>
      <c r="D1895" s="50"/>
      <c r="E1895" s="50"/>
      <c r="F1895" s="51"/>
      <c r="G1895" s="51"/>
      <c r="H1895" s="51"/>
      <c r="I1895" s="51"/>
      <c r="J1895" s="49"/>
      <c r="K1895" s="51"/>
      <c r="L1895" s="51"/>
      <c r="M1895" s="52"/>
      <c r="N1895" s="51"/>
      <c r="O1895" s="51"/>
      <c r="P1895" s="25"/>
    </row>
    <row r="1896">
      <c r="A1896" s="25"/>
      <c r="B1896" s="49"/>
      <c r="C1896" s="50"/>
      <c r="D1896" s="50"/>
      <c r="E1896" s="50"/>
      <c r="F1896" s="51"/>
      <c r="G1896" s="51"/>
      <c r="H1896" s="51"/>
      <c r="I1896" s="51"/>
      <c r="J1896" s="49"/>
      <c r="K1896" s="51"/>
      <c r="L1896" s="51"/>
      <c r="M1896" s="52"/>
      <c r="N1896" s="51"/>
      <c r="O1896" s="51"/>
      <c r="P1896" s="25"/>
    </row>
    <row r="1897">
      <c r="A1897" s="25"/>
      <c r="B1897" s="49"/>
      <c r="C1897" s="50"/>
      <c r="D1897" s="50"/>
      <c r="E1897" s="50"/>
      <c r="F1897" s="51"/>
      <c r="G1897" s="51"/>
      <c r="H1897" s="51"/>
      <c r="I1897" s="51"/>
      <c r="J1897" s="49"/>
      <c r="K1897" s="51"/>
      <c r="L1897" s="51"/>
      <c r="M1897" s="52"/>
      <c r="N1897" s="51"/>
      <c r="O1897" s="51"/>
      <c r="P1897" s="25"/>
    </row>
    <row r="1898">
      <c r="A1898" s="25"/>
      <c r="B1898" s="49"/>
      <c r="C1898" s="50"/>
      <c r="D1898" s="50"/>
      <c r="E1898" s="50"/>
      <c r="F1898" s="51"/>
      <c r="G1898" s="51"/>
      <c r="H1898" s="51"/>
      <c r="I1898" s="51"/>
      <c r="J1898" s="49"/>
      <c r="K1898" s="51"/>
      <c r="L1898" s="51"/>
      <c r="M1898" s="52"/>
      <c r="N1898" s="51"/>
      <c r="O1898" s="51"/>
      <c r="P1898" s="25"/>
    </row>
    <row r="1899">
      <c r="A1899" s="25"/>
      <c r="B1899" s="49"/>
      <c r="C1899" s="50"/>
      <c r="D1899" s="50"/>
      <c r="E1899" s="50"/>
      <c r="F1899" s="51"/>
      <c r="G1899" s="51"/>
      <c r="H1899" s="51"/>
      <c r="I1899" s="51"/>
      <c r="J1899" s="49"/>
      <c r="K1899" s="51"/>
      <c r="L1899" s="51"/>
      <c r="M1899" s="52"/>
      <c r="N1899" s="51"/>
      <c r="O1899" s="51"/>
      <c r="P1899" s="25"/>
    </row>
    <row r="1900">
      <c r="A1900" s="25"/>
      <c r="B1900" s="49"/>
      <c r="C1900" s="50"/>
      <c r="D1900" s="50"/>
      <c r="E1900" s="50"/>
      <c r="F1900" s="51"/>
      <c r="G1900" s="51"/>
      <c r="H1900" s="51"/>
      <c r="I1900" s="51"/>
      <c r="J1900" s="49"/>
      <c r="K1900" s="51"/>
      <c r="L1900" s="51"/>
      <c r="M1900" s="52"/>
      <c r="N1900" s="51"/>
      <c r="O1900" s="51"/>
      <c r="P1900" s="25"/>
    </row>
    <row r="1901">
      <c r="A1901" s="25"/>
      <c r="B1901" s="49"/>
      <c r="C1901" s="50"/>
      <c r="D1901" s="50"/>
      <c r="E1901" s="50"/>
      <c r="F1901" s="51"/>
      <c r="G1901" s="51"/>
      <c r="H1901" s="51"/>
      <c r="I1901" s="51"/>
      <c r="J1901" s="49"/>
      <c r="K1901" s="51"/>
      <c r="L1901" s="51"/>
      <c r="M1901" s="52"/>
      <c r="N1901" s="51"/>
      <c r="O1901" s="51"/>
      <c r="P1901" s="25"/>
    </row>
    <row r="1902">
      <c r="A1902" s="25"/>
      <c r="B1902" s="49"/>
      <c r="C1902" s="50"/>
      <c r="D1902" s="50"/>
      <c r="E1902" s="50"/>
      <c r="F1902" s="51"/>
      <c r="G1902" s="51"/>
      <c r="H1902" s="51"/>
      <c r="I1902" s="51"/>
      <c r="J1902" s="49"/>
      <c r="K1902" s="51"/>
      <c r="L1902" s="51"/>
      <c r="M1902" s="52"/>
      <c r="N1902" s="51"/>
      <c r="O1902" s="51"/>
      <c r="P1902" s="25"/>
    </row>
    <row r="1903">
      <c r="A1903" s="25"/>
      <c r="B1903" s="49"/>
      <c r="C1903" s="50"/>
      <c r="D1903" s="50"/>
      <c r="E1903" s="50"/>
      <c r="F1903" s="51"/>
      <c r="G1903" s="51"/>
      <c r="H1903" s="51"/>
      <c r="I1903" s="51"/>
      <c r="J1903" s="49"/>
      <c r="K1903" s="51"/>
      <c r="L1903" s="51"/>
      <c r="M1903" s="52"/>
      <c r="N1903" s="51"/>
      <c r="O1903" s="51"/>
      <c r="P1903" s="25"/>
    </row>
    <row r="1904">
      <c r="A1904" s="25"/>
      <c r="B1904" s="49"/>
      <c r="C1904" s="50"/>
      <c r="D1904" s="50"/>
      <c r="E1904" s="50"/>
      <c r="F1904" s="51"/>
      <c r="G1904" s="51"/>
      <c r="H1904" s="51"/>
      <c r="I1904" s="51"/>
      <c r="J1904" s="49"/>
      <c r="K1904" s="51"/>
      <c r="L1904" s="51"/>
      <c r="M1904" s="52"/>
      <c r="N1904" s="51"/>
      <c r="O1904" s="51"/>
      <c r="P1904" s="25"/>
    </row>
    <row r="1905">
      <c r="A1905" s="25"/>
      <c r="B1905" s="49"/>
      <c r="C1905" s="50"/>
      <c r="D1905" s="50"/>
      <c r="E1905" s="50"/>
      <c r="F1905" s="51"/>
      <c r="G1905" s="51"/>
      <c r="H1905" s="51"/>
      <c r="I1905" s="51"/>
      <c r="J1905" s="49"/>
      <c r="K1905" s="51"/>
      <c r="L1905" s="51"/>
      <c r="M1905" s="52"/>
      <c r="N1905" s="51"/>
      <c r="O1905" s="51"/>
      <c r="P1905" s="25"/>
    </row>
    <row r="1906">
      <c r="A1906" s="25"/>
      <c r="B1906" s="49"/>
      <c r="C1906" s="50"/>
      <c r="D1906" s="50"/>
      <c r="E1906" s="50"/>
      <c r="F1906" s="51"/>
      <c r="G1906" s="51"/>
      <c r="H1906" s="51"/>
      <c r="I1906" s="51"/>
      <c r="J1906" s="49"/>
      <c r="K1906" s="51"/>
      <c r="L1906" s="51"/>
      <c r="M1906" s="52"/>
      <c r="N1906" s="51"/>
      <c r="O1906" s="51"/>
      <c r="P1906" s="25"/>
    </row>
    <row r="1907">
      <c r="A1907" s="25"/>
      <c r="B1907" s="49"/>
      <c r="C1907" s="50"/>
      <c r="D1907" s="50"/>
      <c r="E1907" s="50"/>
      <c r="F1907" s="51"/>
      <c r="G1907" s="51"/>
      <c r="H1907" s="51"/>
      <c r="I1907" s="51"/>
      <c r="J1907" s="49"/>
      <c r="K1907" s="51"/>
      <c r="L1907" s="51"/>
      <c r="M1907" s="52"/>
      <c r="N1907" s="51"/>
      <c r="O1907" s="51"/>
      <c r="P1907" s="25"/>
    </row>
    <row r="1908">
      <c r="A1908" s="25"/>
      <c r="B1908" s="49"/>
      <c r="C1908" s="50"/>
      <c r="D1908" s="50"/>
      <c r="E1908" s="50"/>
      <c r="F1908" s="51"/>
      <c r="G1908" s="51"/>
      <c r="H1908" s="51"/>
      <c r="I1908" s="51"/>
      <c r="J1908" s="49"/>
      <c r="K1908" s="51"/>
      <c r="L1908" s="51"/>
      <c r="M1908" s="52"/>
      <c r="N1908" s="51"/>
      <c r="O1908" s="51"/>
      <c r="P1908" s="25"/>
    </row>
    <row r="1909">
      <c r="A1909" s="25"/>
      <c r="B1909" s="49"/>
      <c r="C1909" s="50"/>
      <c r="D1909" s="50"/>
      <c r="E1909" s="50"/>
      <c r="F1909" s="51"/>
      <c r="G1909" s="51"/>
      <c r="H1909" s="51"/>
      <c r="I1909" s="51"/>
      <c r="J1909" s="49"/>
      <c r="K1909" s="51"/>
      <c r="L1909" s="51"/>
      <c r="M1909" s="52"/>
      <c r="N1909" s="51"/>
      <c r="O1909" s="51"/>
      <c r="P1909" s="25"/>
    </row>
    <row r="1910">
      <c r="A1910" s="25"/>
      <c r="B1910" s="49"/>
      <c r="C1910" s="50"/>
      <c r="D1910" s="50"/>
      <c r="E1910" s="50"/>
      <c r="F1910" s="51"/>
      <c r="G1910" s="51"/>
      <c r="H1910" s="51"/>
      <c r="I1910" s="51"/>
      <c r="J1910" s="49"/>
      <c r="K1910" s="51"/>
      <c r="L1910" s="51"/>
      <c r="M1910" s="52"/>
      <c r="N1910" s="51"/>
      <c r="O1910" s="51"/>
      <c r="P1910" s="25"/>
    </row>
    <row r="1911">
      <c r="A1911" s="25"/>
      <c r="B1911" s="49"/>
      <c r="C1911" s="50"/>
      <c r="D1911" s="50"/>
      <c r="E1911" s="50"/>
      <c r="F1911" s="51"/>
      <c r="G1911" s="51"/>
      <c r="H1911" s="51"/>
      <c r="I1911" s="51"/>
      <c r="J1911" s="49"/>
      <c r="K1911" s="51"/>
      <c r="L1911" s="51"/>
      <c r="M1911" s="52"/>
      <c r="N1911" s="51"/>
      <c r="O1911" s="51"/>
      <c r="P1911" s="25"/>
    </row>
    <row r="1912">
      <c r="A1912" s="25"/>
      <c r="B1912" s="49"/>
      <c r="C1912" s="50"/>
      <c r="D1912" s="50"/>
      <c r="E1912" s="50"/>
      <c r="F1912" s="51"/>
      <c r="G1912" s="51"/>
      <c r="H1912" s="51"/>
      <c r="I1912" s="51"/>
      <c r="J1912" s="49"/>
      <c r="K1912" s="51"/>
      <c r="L1912" s="51"/>
      <c r="M1912" s="52"/>
      <c r="N1912" s="51"/>
      <c r="O1912" s="51"/>
      <c r="P1912" s="25"/>
    </row>
    <row r="1913">
      <c r="A1913" s="25"/>
      <c r="B1913" s="49"/>
      <c r="C1913" s="50"/>
      <c r="D1913" s="50"/>
      <c r="E1913" s="50"/>
      <c r="F1913" s="51"/>
      <c r="G1913" s="51"/>
      <c r="H1913" s="51"/>
      <c r="I1913" s="51"/>
      <c r="J1913" s="49"/>
      <c r="K1913" s="51"/>
      <c r="L1913" s="51"/>
      <c r="M1913" s="52"/>
      <c r="N1913" s="51"/>
      <c r="O1913" s="51"/>
      <c r="P1913" s="25"/>
    </row>
    <row r="1914">
      <c r="A1914" s="25"/>
      <c r="B1914" s="49"/>
      <c r="C1914" s="50"/>
      <c r="D1914" s="50"/>
      <c r="E1914" s="50"/>
      <c r="F1914" s="51"/>
      <c r="G1914" s="51"/>
      <c r="H1914" s="51"/>
      <c r="I1914" s="51"/>
      <c r="J1914" s="49"/>
      <c r="K1914" s="51"/>
      <c r="L1914" s="51"/>
      <c r="M1914" s="52"/>
      <c r="N1914" s="51"/>
      <c r="O1914" s="51"/>
      <c r="P1914" s="25"/>
    </row>
    <row r="1915">
      <c r="A1915" s="25"/>
      <c r="B1915" s="49"/>
      <c r="C1915" s="50"/>
      <c r="D1915" s="50"/>
      <c r="E1915" s="50"/>
      <c r="F1915" s="51"/>
      <c r="G1915" s="51"/>
      <c r="H1915" s="51"/>
      <c r="I1915" s="51"/>
      <c r="J1915" s="49"/>
      <c r="K1915" s="51"/>
      <c r="L1915" s="51"/>
      <c r="M1915" s="52"/>
      <c r="N1915" s="51"/>
      <c r="O1915" s="51"/>
      <c r="P1915" s="25"/>
    </row>
    <row r="1916">
      <c r="A1916" s="25"/>
      <c r="B1916" s="49"/>
      <c r="C1916" s="50"/>
      <c r="D1916" s="50"/>
      <c r="E1916" s="50"/>
      <c r="F1916" s="51"/>
      <c r="G1916" s="51"/>
      <c r="H1916" s="51"/>
      <c r="I1916" s="51"/>
      <c r="J1916" s="49"/>
      <c r="K1916" s="51"/>
      <c r="L1916" s="51"/>
      <c r="M1916" s="52"/>
      <c r="N1916" s="51"/>
      <c r="O1916" s="51"/>
      <c r="P1916" s="25"/>
    </row>
    <row r="1917">
      <c r="A1917" s="25"/>
      <c r="B1917" s="49"/>
      <c r="C1917" s="50"/>
      <c r="D1917" s="50"/>
      <c r="E1917" s="50"/>
      <c r="F1917" s="51"/>
      <c r="G1917" s="51"/>
      <c r="H1917" s="51"/>
      <c r="I1917" s="51"/>
      <c r="J1917" s="49"/>
      <c r="K1917" s="51"/>
      <c r="L1917" s="51"/>
      <c r="M1917" s="52"/>
      <c r="N1917" s="51"/>
      <c r="O1917" s="51"/>
      <c r="P1917" s="25"/>
    </row>
    <row r="1918">
      <c r="A1918" s="25"/>
      <c r="B1918" s="49"/>
      <c r="C1918" s="50"/>
      <c r="D1918" s="50"/>
      <c r="E1918" s="50"/>
      <c r="F1918" s="51"/>
      <c r="G1918" s="51"/>
      <c r="H1918" s="51"/>
      <c r="I1918" s="51"/>
      <c r="J1918" s="49"/>
      <c r="K1918" s="51"/>
      <c r="L1918" s="51"/>
      <c r="M1918" s="52"/>
      <c r="N1918" s="51"/>
      <c r="O1918" s="51"/>
      <c r="P1918" s="25"/>
    </row>
    <row r="1919">
      <c r="A1919" s="25"/>
      <c r="B1919" s="49"/>
      <c r="C1919" s="50"/>
      <c r="D1919" s="50"/>
      <c r="E1919" s="50"/>
      <c r="F1919" s="51"/>
      <c r="G1919" s="51"/>
      <c r="H1919" s="51"/>
      <c r="I1919" s="51"/>
      <c r="J1919" s="49"/>
      <c r="K1919" s="51"/>
      <c r="L1919" s="51"/>
      <c r="M1919" s="52"/>
      <c r="N1919" s="51"/>
      <c r="O1919" s="51"/>
      <c r="P1919" s="25"/>
    </row>
    <row r="1920">
      <c r="A1920" s="25"/>
      <c r="B1920" s="49"/>
      <c r="C1920" s="50"/>
      <c r="D1920" s="50"/>
      <c r="E1920" s="50"/>
      <c r="F1920" s="51"/>
      <c r="G1920" s="51"/>
      <c r="H1920" s="51"/>
      <c r="I1920" s="51"/>
      <c r="J1920" s="49"/>
      <c r="K1920" s="51"/>
      <c r="L1920" s="51"/>
      <c r="M1920" s="52"/>
      <c r="N1920" s="51"/>
      <c r="O1920" s="51"/>
      <c r="P1920" s="25"/>
    </row>
    <row r="1921">
      <c r="A1921" s="25"/>
      <c r="B1921" s="49"/>
      <c r="C1921" s="50"/>
      <c r="D1921" s="50"/>
      <c r="E1921" s="50"/>
      <c r="F1921" s="51"/>
      <c r="G1921" s="51"/>
      <c r="H1921" s="51"/>
      <c r="I1921" s="51"/>
      <c r="J1921" s="49"/>
      <c r="K1921" s="51"/>
      <c r="L1921" s="51"/>
      <c r="M1921" s="52"/>
      <c r="N1921" s="51"/>
      <c r="O1921" s="51"/>
      <c r="P1921" s="25"/>
    </row>
    <row r="1922">
      <c r="A1922" s="25"/>
      <c r="B1922" s="49"/>
      <c r="C1922" s="50"/>
      <c r="D1922" s="50"/>
      <c r="E1922" s="50"/>
      <c r="F1922" s="51"/>
      <c r="G1922" s="51"/>
      <c r="H1922" s="51"/>
      <c r="I1922" s="51"/>
      <c r="J1922" s="49"/>
      <c r="K1922" s="51"/>
      <c r="L1922" s="51"/>
      <c r="M1922" s="52"/>
      <c r="N1922" s="51"/>
      <c r="O1922" s="51"/>
      <c r="P1922" s="25"/>
    </row>
    <row r="1923">
      <c r="A1923" s="25"/>
      <c r="B1923" s="49"/>
      <c r="C1923" s="50"/>
      <c r="D1923" s="50"/>
      <c r="E1923" s="50"/>
      <c r="F1923" s="51"/>
      <c r="G1923" s="51"/>
      <c r="H1923" s="51"/>
      <c r="I1923" s="51"/>
      <c r="J1923" s="49"/>
      <c r="K1923" s="51"/>
      <c r="L1923" s="51"/>
      <c r="M1923" s="52"/>
      <c r="N1923" s="51"/>
      <c r="O1923" s="51"/>
      <c r="P1923" s="25"/>
    </row>
    <row r="1924">
      <c r="A1924" s="25"/>
      <c r="B1924" s="49"/>
      <c r="C1924" s="50"/>
      <c r="D1924" s="50"/>
      <c r="E1924" s="50"/>
      <c r="F1924" s="51"/>
      <c r="G1924" s="51"/>
      <c r="H1924" s="51"/>
      <c r="I1924" s="51"/>
      <c r="J1924" s="49"/>
      <c r="K1924" s="51"/>
      <c r="L1924" s="51"/>
      <c r="M1924" s="52"/>
      <c r="N1924" s="51"/>
      <c r="O1924" s="51"/>
      <c r="P1924" s="25"/>
    </row>
    <row r="1925">
      <c r="A1925" s="25"/>
      <c r="B1925" s="49"/>
      <c r="C1925" s="50"/>
      <c r="D1925" s="50"/>
      <c r="E1925" s="50"/>
      <c r="F1925" s="51"/>
      <c r="G1925" s="51"/>
      <c r="H1925" s="51"/>
      <c r="I1925" s="51"/>
      <c r="J1925" s="49"/>
      <c r="K1925" s="51"/>
      <c r="L1925" s="51"/>
      <c r="M1925" s="52"/>
      <c r="N1925" s="51"/>
      <c r="O1925" s="51"/>
      <c r="P1925" s="25"/>
    </row>
    <row r="1926">
      <c r="A1926" s="25"/>
      <c r="B1926" s="49"/>
      <c r="C1926" s="50"/>
      <c r="D1926" s="50"/>
      <c r="E1926" s="50"/>
      <c r="F1926" s="51"/>
      <c r="G1926" s="51"/>
      <c r="H1926" s="51"/>
      <c r="I1926" s="51"/>
      <c r="J1926" s="49"/>
      <c r="K1926" s="51"/>
      <c r="L1926" s="51"/>
      <c r="M1926" s="52"/>
      <c r="N1926" s="51"/>
      <c r="O1926" s="51"/>
      <c r="P1926" s="25"/>
    </row>
    <row r="1927">
      <c r="A1927" s="25"/>
      <c r="B1927" s="49"/>
      <c r="C1927" s="50"/>
      <c r="D1927" s="50"/>
      <c r="E1927" s="50"/>
      <c r="F1927" s="51"/>
      <c r="G1927" s="51"/>
      <c r="H1927" s="51"/>
      <c r="I1927" s="51"/>
      <c r="J1927" s="49"/>
      <c r="K1927" s="51"/>
      <c r="L1927" s="51"/>
      <c r="M1927" s="52"/>
      <c r="N1927" s="51"/>
      <c r="O1927" s="51"/>
      <c r="P1927" s="25"/>
    </row>
    <row r="1928">
      <c r="A1928" s="25"/>
      <c r="B1928" s="49"/>
      <c r="C1928" s="50"/>
      <c r="D1928" s="50"/>
      <c r="E1928" s="50"/>
      <c r="F1928" s="51"/>
      <c r="G1928" s="51"/>
      <c r="H1928" s="51"/>
      <c r="I1928" s="51"/>
      <c r="J1928" s="49"/>
      <c r="K1928" s="51"/>
      <c r="L1928" s="51"/>
      <c r="M1928" s="52"/>
      <c r="N1928" s="51"/>
      <c r="O1928" s="51"/>
      <c r="P1928" s="25"/>
    </row>
    <row r="1929">
      <c r="A1929" s="25"/>
      <c r="B1929" s="49"/>
      <c r="C1929" s="50"/>
      <c r="D1929" s="50"/>
      <c r="E1929" s="50"/>
      <c r="F1929" s="51"/>
      <c r="G1929" s="51"/>
      <c r="H1929" s="51"/>
      <c r="I1929" s="51"/>
      <c r="J1929" s="49"/>
      <c r="K1929" s="51"/>
      <c r="L1929" s="51"/>
      <c r="M1929" s="52"/>
      <c r="N1929" s="51"/>
      <c r="O1929" s="51"/>
      <c r="P1929" s="25"/>
    </row>
    <row r="1930">
      <c r="A1930" s="25"/>
      <c r="B1930" s="49"/>
      <c r="C1930" s="50"/>
      <c r="D1930" s="50"/>
      <c r="E1930" s="50"/>
      <c r="F1930" s="51"/>
      <c r="G1930" s="51"/>
      <c r="H1930" s="51"/>
      <c r="I1930" s="51"/>
      <c r="J1930" s="49"/>
      <c r="K1930" s="51"/>
      <c r="L1930" s="51"/>
      <c r="M1930" s="52"/>
      <c r="N1930" s="51"/>
      <c r="O1930" s="51"/>
      <c r="P1930" s="25"/>
    </row>
    <row r="1931">
      <c r="A1931" s="25"/>
      <c r="B1931" s="49"/>
      <c r="C1931" s="50"/>
      <c r="D1931" s="50"/>
      <c r="E1931" s="50"/>
      <c r="F1931" s="51"/>
      <c r="G1931" s="51"/>
      <c r="H1931" s="51"/>
      <c r="I1931" s="51"/>
      <c r="J1931" s="49"/>
      <c r="K1931" s="51"/>
      <c r="L1931" s="51"/>
      <c r="M1931" s="52"/>
      <c r="N1931" s="51"/>
      <c r="O1931" s="51"/>
      <c r="P1931" s="25"/>
    </row>
    <row r="1932">
      <c r="A1932" s="25"/>
      <c r="B1932" s="49"/>
      <c r="C1932" s="50"/>
      <c r="D1932" s="50"/>
      <c r="E1932" s="50"/>
      <c r="F1932" s="51"/>
      <c r="G1932" s="51"/>
      <c r="H1932" s="51"/>
      <c r="I1932" s="51"/>
      <c r="J1932" s="49"/>
      <c r="K1932" s="51"/>
      <c r="L1932" s="51"/>
      <c r="M1932" s="52"/>
      <c r="N1932" s="51"/>
      <c r="O1932" s="51"/>
      <c r="P1932" s="25"/>
    </row>
    <row r="1933">
      <c r="A1933" s="25"/>
      <c r="B1933" s="49"/>
      <c r="C1933" s="50"/>
      <c r="D1933" s="50"/>
      <c r="E1933" s="50"/>
      <c r="F1933" s="51"/>
      <c r="G1933" s="51"/>
      <c r="H1933" s="51"/>
      <c r="I1933" s="51"/>
      <c r="J1933" s="49"/>
      <c r="K1933" s="51"/>
      <c r="L1933" s="51"/>
      <c r="M1933" s="52"/>
      <c r="N1933" s="51"/>
      <c r="O1933" s="51"/>
      <c r="P1933" s="25"/>
    </row>
    <row r="1934">
      <c r="A1934" s="25"/>
      <c r="B1934" s="49"/>
      <c r="C1934" s="50"/>
      <c r="D1934" s="50"/>
      <c r="E1934" s="50"/>
      <c r="F1934" s="51"/>
      <c r="G1934" s="51"/>
      <c r="H1934" s="51"/>
      <c r="I1934" s="51"/>
      <c r="J1934" s="49"/>
      <c r="K1934" s="51"/>
      <c r="L1934" s="51"/>
      <c r="M1934" s="52"/>
      <c r="N1934" s="51"/>
      <c r="O1934" s="51"/>
      <c r="P1934" s="25"/>
    </row>
    <row r="1935">
      <c r="A1935" s="25"/>
      <c r="B1935" s="49"/>
      <c r="C1935" s="50"/>
      <c r="D1935" s="50"/>
      <c r="E1935" s="50"/>
      <c r="F1935" s="51"/>
      <c r="G1935" s="51"/>
      <c r="H1935" s="51"/>
      <c r="I1935" s="51"/>
      <c r="J1935" s="49"/>
      <c r="K1935" s="51"/>
      <c r="L1935" s="51"/>
      <c r="M1935" s="52"/>
      <c r="N1935" s="51"/>
      <c r="O1935" s="51"/>
      <c r="P1935" s="25"/>
    </row>
    <row r="1936">
      <c r="A1936" s="25"/>
      <c r="B1936" s="49"/>
      <c r="C1936" s="50"/>
      <c r="D1936" s="50"/>
      <c r="E1936" s="50"/>
      <c r="F1936" s="51"/>
      <c r="G1936" s="51"/>
      <c r="H1936" s="51"/>
      <c r="I1936" s="51"/>
      <c r="J1936" s="49"/>
      <c r="K1936" s="51"/>
      <c r="L1936" s="51"/>
      <c r="M1936" s="52"/>
      <c r="N1936" s="51"/>
      <c r="O1936" s="51"/>
      <c r="P1936" s="25"/>
    </row>
    <row r="1937">
      <c r="A1937" s="25"/>
      <c r="B1937" s="49"/>
      <c r="C1937" s="50"/>
      <c r="D1937" s="50"/>
      <c r="E1937" s="50"/>
      <c r="F1937" s="51"/>
      <c r="G1937" s="51"/>
      <c r="H1937" s="51"/>
      <c r="I1937" s="51"/>
      <c r="J1937" s="49"/>
      <c r="K1937" s="51"/>
      <c r="L1937" s="51"/>
      <c r="M1937" s="52"/>
      <c r="N1937" s="51"/>
      <c r="O1937" s="51"/>
      <c r="P1937" s="25"/>
    </row>
    <row r="1938">
      <c r="A1938" s="25"/>
      <c r="B1938" s="49"/>
      <c r="C1938" s="50"/>
      <c r="D1938" s="50"/>
      <c r="E1938" s="50"/>
      <c r="F1938" s="51"/>
      <c r="G1938" s="51"/>
      <c r="H1938" s="51"/>
      <c r="I1938" s="51"/>
      <c r="J1938" s="49"/>
      <c r="K1938" s="51"/>
      <c r="L1938" s="51"/>
      <c r="M1938" s="52"/>
      <c r="N1938" s="51"/>
      <c r="O1938" s="51"/>
      <c r="P1938" s="25"/>
    </row>
    <row r="1939">
      <c r="A1939" s="25"/>
      <c r="B1939" s="49"/>
      <c r="C1939" s="50"/>
      <c r="D1939" s="50"/>
      <c r="E1939" s="50"/>
      <c r="F1939" s="51"/>
      <c r="G1939" s="51"/>
      <c r="H1939" s="51"/>
      <c r="I1939" s="51"/>
      <c r="J1939" s="49"/>
      <c r="K1939" s="51"/>
      <c r="L1939" s="51"/>
      <c r="M1939" s="52"/>
      <c r="N1939" s="51"/>
      <c r="O1939" s="51"/>
      <c r="P1939" s="25"/>
    </row>
    <row r="1940">
      <c r="A1940" s="25"/>
      <c r="B1940" s="49"/>
      <c r="C1940" s="50"/>
      <c r="D1940" s="50"/>
      <c r="E1940" s="50"/>
      <c r="F1940" s="51"/>
      <c r="G1940" s="51"/>
      <c r="H1940" s="51"/>
      <c r="I1940" s="51"/>
      <c r="J1940" s="49"/>
      <c r="K1940" s="51"/>
      <c r="L1940" s="51"/>
      <c r="M1940" s="52"/>
      <c r="N1940" s="51"/>
      <c r="O1940" s="51"/>
      <c r="P1940" s="25"/>
    </row>
    <row r="1941">
      <c r="A1941" s="25"/>
      <c r="B1941" s="49"/>
      <c r="C1941" s="50"/>
      <c r="D1941" s="50"/>
      <c r="E1941" s="50"/>
      <c r="F1941" s="51"/>
      <c r="G1941" s="51"/>
      <c r="H1941" s="51"/>
      <c r="I1941" s="51"/>
      <c r="J1941" s="49"/>
      <c r="K1941" s="51"/>
      <c r="L1941" s="51"/>
      <c r="M1941" s="52"/>
      <c r="N1941" s="51"/>
      <c r="O1941" s="51"/>
      <c r="P1941" s="25"/>
    </row>
    <row r="1942">
      <c r="A1942" s="25"/>
      <c r="B1942" s="49"/>
      <c r="C1942" s="50"/>
      <c r="D1942" s="50"/>
      <c r="E1942" s="50"/>
      <c r="F1942" s="51"/>
      <c r="G1942" s="51"/>
      <c r="H1942" s="51"/>
      <c r="I1942" s="51"/>
      <c r="J1942" s="49"/>
      <c r="K1942" s="51"/>
      <c r="L1942" s="51"/>
      <c r="M1942" s="52"/>
      <c r="N1942" s="51"/>
      <c r="O1942" s="51"/>
      <c r="P1942" s="25"/>
    </row>
    <row r="1943">
      <c r="A1943" s="25"/>
      <c r="B1943" s="49"/>
      <c r="C1943" s="50"/>
      <c r="D1943" s="50"/>
      <c r="E1943" s="50"/>
      <c r="F1943" s="51"/>
      <c r="G1943" s="51"/>
      <c r="H1943" s="51"/>
      <c r="I1943" s="51"/>
      <c r="J1943" s="49"/>
      <c r="K1943" s="51"/>
      <c r="L1943" s="51"/>
      <c r="M1943" s="52"/>
      <c r="N1943" s="51"/>
      <c r="O1943" s="51"/>
      <c r="P1943" s="25"/>
    </row>
    <row r="1944">
      <c r="A1944" s="25"/>
      <c r="B1944" s="49"/>
      <c r="C1944" s="50"/>
      <c r="D1944" s="50"/>
      <c r="E1944" s="50"/>
      <c r="F1944" s="51"/>
      <c r="G1944" s="51"/>
      <c r="H1944" s="51"/>
      <c r="I1944" s="51"/>
      <c r="J1944" s="49"/>
      <c r="K1944" s="51"/>
      <c r="L1944" s="51"/>
      <c r="M1944" s="52"/>
      <c r="N1944" s="51"/>
      <c r="O1944" s="51"/>
      <c r="P1944" s="25"/>
    </row>
    <row r="1945">
      <c r="A1945" s="25"/>
      <c r="B1945" s="49"/>
      <c r="C1945" s="50"/>
      <c r="D1945" s="50"/>
      <c r="E1945" s="50"/>
      <c r="F1945" s="51"/>
      <c r="G1945" s="51"/>
      <c r="H1945" s="51"/>
      <c r="I1945" s="51"/>
      <c r="J1945" s="49"/>
      <c r="K1945" s="51"/>
      <c r="L1945" s="51"/>
      <c r="M1945" s="52"/>
      <c r="N1945" s="51"/>
      <c r="O1945" s="51"/>
      <c r="P1945" s="25"/>
    </row>
    <row r="1946">
      <c r="A1946" s="25"/>
      <c r="B1946" s="49"/>
      <c r="C1946" s="50"/>
      <c r="D1946" s="50"/>
      <c r="E1946" s="50"/>
      <c r="F1946" s="51"/>
      <c r="G1946" s="51"/>
      <c r="H1946" s="51"/>
      <c r="I1946" s="51"/>
      <c r="J1946" s="49"/>
      <c r="K1946" s="51"/>
      <c r="L1946" s="51"/>
      <c r="M1946" s="52"/>
      <c r="N1946" s="51"/>
      <c r="O1946" s="51"/>
      <c r="P1946" s="25"/>
    </row>
    <row r="1947">
      <c r="A1947" s="25"/>
      <c r="B1947" s="49"/>
      <c r="C1947" s="50"/>
      <c r="D1947" s="50"/>
      <c r="E1947" s="50"/>
      <c r="F1947" s="51"/>
      <c r="G1947" s="51"/>
      <c r="H1947" s="51"/>
      <c r="I1947" s="51"/>
      <c r="J1947" s="49"/>
      <c r="K1947" s="51"/>
      <c r="L1947" s="51"/>
      <c r="M1947" s="52"/>
      <c r="N1947" s="51"/>
      <c r="O1947" s="51"/>
      <c r="P1947" s="25"/>
    </row>
    <row r="1948">
      <c r="A1948" s="25"/>
      <c r="B1948" s="49"/>
      <c r="C1948" s="50"/>
      <c r="D1948" s="50"/>
      <c r="E1948" s="50"/>
      <c r="F1948" s="51"/>
      <c r="G1948" s="51"/>
      <c r="H1948" s="51"/>
      <c r="I1948" s="51"/>
      <c r="J1948" s="49"/>
      <c r="K1948" s="51"/>
      <c r="L1948" s="51"/>
      <c r="M1948" s="52"/>
      <c r="N1948" s="51"/>
      <c r="O1948" s="51"/>
      <c r="P1948" s="25"/>
    </row>
    <row r="1949">
      <c r="A1949" s="25"/>
      <c r="B1949" s="49"/>
      <c r="C1949" s="50"/>
      <c r="D1949" s="50"/>
      <c r="E1949" s="50"/>
      <c r="F1949" s="51"/>
      <c r="G1949" s="51"/>
      <c r="H1949" s="51"/>
      <c r="I1949" s="51"/>
      <c r="J1949" s="49"/>
      <c r="K1949" s="51"/>
      <c r="L1949" s="51"/>
      <c r="M1949" s="52"/>
      <c r="N1949" s="51"/>
      <c r="O1949" s="51"/>
      <c r="P1949" s="25"/>
    </row>
    <row r="1950">
      <c r="A1950" s="25"/>
      <c r="B1950" s="49"/>
      <c r="C1950" s="50"/>
      <c r="D1950" s="50"/>
      <c r="E1950" s="50"/>
      <c r="F1950" s="51"/>
      <c r="G1950" s="51"/>
      <c r="H1950" s="51"/>
      <c r="I1950" s="51"/>
      <c r="J1950" s="49"/>
      <c r="K1950" s="51"/>
      <c r="L1950" s="51"/>
      <c r="M1950" s="52"/>
      <c r="N1950" s="51"/>
      <c r="O1950" s="51"/>
      <c r="P1950" s="25"/>
    </row>
    <row r="1951">
      <c r="A1951" s="25"/>
      <c r="B1951" s="49"/>
      <c r="C1951" s="50"/>
      <c r="D1951" s="50"/>
      <c r="E1951" s="50"/>
      <c r="F1951" s="51"/>
      <c r="G1951" s="51"/>
      <c r="H1951" s="51"/>
      <c r="I1951" s="51"/>
      <c r="J1951" s="49"/>
      <c r="K1951" s="51"/>
      <c r="L1951" s="51"/>
      <c r="M1951" s="52"/>
      <c r="N1951" s="51"/>
      <c r="O1951" s="51"/>
      <c r="P1951" s="25"/>
    </row>
    <row r="1952">
      <c r="A1952" s="25"/>
      <c r="B1952" s="49"/>
      <c r="C1952" s="50"/>
      <c r="D1952" s="50"/>
      <c r="E1952" s="50"/>
      <c r="F1952" s="51"/>
      <c r="G1952" s="51"/>
      <c r="H1952" s="51"/>
      <c r="I1952" s="51"/>
      <c r="J1952" s="49"/>
      <c r="K1952" s="51"/>
      <c r="L1952" s="51"/>
      <c r="M1952" s="52"/>
      <c r="N1952" s="51"/>
      <c r="O1952" s="51"/>
      <c r="P1952" s="25"/>
    </row>
    <row r="1953">
      <c r="A1953" s="25"/>
      <c r="B1953" s="49"/>
      <c r="C1953" s="50"/>
      <c r="D1953" s="50"/>
      <c r="E1953" s="50"/>
      <c r="F1953" s="51"/>
      <c r="G1953" s="51"/>
      <c r="H1953" s="51"/>
      <c r="I1953" s="51"/>
      <c r="J1953" s="49"/>
      <c r="K1953" s="51"/>
      <c r="L1953" s="51"/>
      <c r="M1953" s="52"/>
      <c r="N1953" s="51"/>
      <c r="O1953" s="51"/>
      <c r="P1953" s="25"/>
    </row>
    <row r="1954">
      <c r="A1954" s="25"/>
      <c r="B1954" s="49"/>
      <c r="C1954" s="50"/>
      <c r="D1954" s="50"/>
      <c r="E1954" s="50"/>
      <c r="F1954" s="51"/>
      <c r="G1954" s="51"/>
      <c r="H1954" s="51"/>
      <c r="I1954" s="51"/>
      <c r="J1954" s="49"/>
      <c r="K1954" s="51"/>
      <c r="L1954" s="51"/>
      <c r="M1954" s="52"/>
      <c r="N1954" s="51"/>
      <c r="O1954" s="51"/>
      <c r="P1954" s="25"/>
    </row>
    <row r="1955">
      <c r="A1955" s="25"/>
      <c r="B1955" s="49"/>
      <c r="C1955" s="50"/>
      <c r="D1955" s="50"/>
      <c r="E1955" s="50"/>
      <c r="F1955" s="51"/>
      <c r="G1955" s="51"/>
      <c r="H1955" s="51"/>
      <c r="I1955" s="51"/>
      <c r="J1955" s="49"/>
      <c r="K1955" s="51"/>
      <c r="L1955" s="51"/>
      <c r="M1955" s="52"/>
      <c r="N1955" s="51"/>
      <c r="O1955" s="51"/>
      <c r="P1955" s="25"/>
    </row>
    <row r="1956">
      <c r="A1956" s="25"/>
      <c r="B1956" s="49"/>
      <c r="C1956" s="50"/>
      <c r="D1956" s="50"/>
      <c r="E1956" s="50"/>
      <c r="F1956" s="51"/>
      <c r="G1956" s="51"/>
      <c r="H1956" s="51"/>
      <c r="I1956" s="51"/>
      <c r="J1956" s="49"/>
      <c r="K1956" s="51"/>
      <c r="L1956" s="51"/>
      <c r="M1956" s="52"/>
      <c r="N1956" s="51"/>
      <c r="O1956" s="51"/>
      <c r="P1956" s="25"/>
    </row>
    <row r="1957">
      <c r="A1957" s="25"/>
      <c r="B1957" s="49"/>
      <c r="C1957" s="50"/>
      <c r="D1957" s="50"/>
      <c r="E1957" s="50"/>
      <c r="F1957" s="51"/>
      <c r="G1957" s="51"/>
      <c r="H1957" s="51"/>
      <c r="I1957" s="51"/>
      <c r="J1957" s="49"/>
      <c r="K1957" s="51"/>
      <c r="L1957" s="51"/>
      <c r="M1957" s="52"/>
      <c r="N1957" s="51"/>
      <c r="O1957" s="51"/>
      <c r="P1957" s="25"/>
    </row>
    <row r="1958">
      <c r="A1958" s="25"/>
      <c r="B1958" s="49"/>
      <c r="C1958" s="50"/>
      <c r="D1958" s="50"/>
      <c r="E1958" s="50"/>
      <c r="F1958" s="51"/>
      <c r="G1958" s="51"/>
      <c r="H1958" s="51"/>
      <c r="I1958" s="51"/>
      <c r="J1958" s="49"/>
      <c r="K1958" s="51"/>
      <c r="L1958" s="51"/>
      <c r="M1958" s="52"/>
      <c r="N1958" s="51"/>
      <c r="O1958" s="51"/>
      <c r="P1958" s="25"/>
    </row>
    <row r="1959">
      <c r="A1959" s="25"/>
      <c r="B1959" s="49"/>
      <c r="C1959" s="50"/>
      <c r="D1959" s="50"/>
      <c r="E1959" s="50"/>
      <c r="F1959" s="51"/>
      <c r="G1959" s="51"/>
      <c r="H1959" s="51"/>
      <c r="I1959" s="51"/>
      <c r="J1959" s="49"/>
      <c r="K1959" s="51"/>
      <c r="L1959" s="51"/>
      <c r="M1959" s="52"/>
      <c r="N1959" s="51"/>
      <c r="O1959" s="51"/>
      <c r="P1959" s="25"/>
    </row>
    <row r="1960">
      <c r="A1960" s="25"/>
      <c r="B1960" s="49"/>
      <c r="C1960" s="50"/>
      <c r="D1960" s="50"/>
      <c r="E1960" s="50"/>
      <c r="F1960" s="51"/>
      <c r="G1960" s="51"/>
      <c r="H1960" s="51"/>
      <c r="I1960" s="51"/>
      <c r="J1960" s="49"/>
      <c r="K1960" s="51"/>
      <c r="L1960" s="51"/>
      <c r="M1960" s="52"/>
      <c r="N1960" s="51"/>
      <c r="O1960" s="51"/>
      <c r="P1960" s="25"/>
    </row>
    <row r="1961">
      <c r="A1961" s="25"/>
      <c r="B1961" s="49"/>
      <c r="C1961" s="50"/>
      <c r="D1961" s="50"/>
      <c r="E1961" s="50"/>
      <c r="F1961" s="51"/>
      <c r="G1961" s="51"/>
      <c r="H1961" s="51"/>
      <c r="I1961" s="51"/>
      <c r="J1961" s="49"/>
      <c r="K1961" s="51"/>
      <c r="L1961" s="51"/>
      <c r="M1961" s="52"/>
      <c r="N1961" s="51"/>
      <c r="O1961" s="51"/>
      <c r="P1961" s="25"/>
    </row>
    <row r="1962">
      <c r="A1962" s="25"/>
      <c r="B1962" s="49"/>
      <c r="C1962" s="50"/>
      <c r="D1962" s="50"/>
      <c r="E1962" s="50"/>
      <c r="F1962" s="51"/>
      <c r="G1962" s="51"/>
      <c r="H1962" s="51"/>
      <c r="I1962" s="51"/>
      <c r="J1962" s="49"/>
      <c r="K1962" s="51"/>
      <c r="L1962" s="51"/>
      <c r="M1962" s="52"/>
      <c r="N1962" s="51"/>
      <c r="O1962" s="51"/>
      <c r="P1962" s="25"/>
    </row>
    <row r="1963">
      <c r="A1963" s="25"/>
      <c r="B1963" s="49"/>
      <c r="C1963" s="50"/>
      <c r="D1963" s="50"/>
      <c r="E1963" s="50"/>
      <c r="F1963" s="51"/>
      <c r="G1963" s="51"/>
      <c r="H1963" s="51"/>
      <c r="I1963" s="51"/>
      <c r="J1963" s="49"/>
      <c r="K1963" s="51"/>
      <c r="L1963" s="51"/>
      <c r="M1963" s="52"/>
      <c r="N1963" s="51"/>
      <c r="O1963" s="51"/>
      <c r="P1963" s="25"/>
    </row>
    <row r="1964">
      <c r="A1964" s="25"/>
      <c r="B1964" s="49"/>
      <c r="C1964" s="50"/>
      <c r="D1964" s="50"/>
      <c r="E1964" s="50"/>
      <c r="F1964" s="51"/>
      <c r="G1964" s="51"/>
      <c r="H1964" s="51"/>
      <c r="I1964" s="51"/>
      <c r="J1964" s="49"/>
      <c r="K1964" s="51"/>
      <c r="L1964" s="51"/>
      <c r="M1964" s="52"/>
      <c r="N1964" s="51"/>
      <c r="O1964" s="51"/>
      <c r="P1964" s="25"/>
    </row>
    <row r="1965">
      <c r="A1965" s="25"/>
      <c r="B1965" s="49"/>
      <c r="C1965" s="50"/>
      <c r="D1965" s="50"/>
      <c r="E1965" s="50"/>
      <c r="F1965" s="51"/>
      <c r="G1965" s="51"/>
      <c r="H1965" s="51"/>
      <c r="I1965" s="51"/>
      <c r="J1965" s="49"/>
      <c r="K1965" s="51"/>
      <c r="L1965" s="51"/>
      <c r="M1965" s="52"/>
      <c r="N1965" s="51"/>
      <c r="O1965" s="51"/>
      <c r="P1965" s="25"/>
    </row>
    <row r="1966">
      <c r="A1966" s="25"/>
      <c r="B1966" s="49"/>
      <c r="C1966" s="50"/>
      <c r="D1966" s="50"/>
      <c r="E1966" s="50"/>
      <c r="F1966" s="51"/>
      <c r="G1966" s="51"/>
      <c r="H1966" s="51"/>
      <c r="I1966" s="51"/>
      <c r="J1966" s="49"/>
      <c r="K1966" s="51"/>
      <c r="L1966" s="51"/>
      <c r="M1966" s="52"/>
      <c r="N1966" s="51"/>
      <c r="O1966" s="51"/>
      <c r="P1966" s="25"/>
    </row>
    <row r="1967">
      <c r="A1967" s="25"/>
      <c r="B1967" s="49"/>
      <c r="C1967" s="50"/>
      <c r="D1967" s="50"/>
      <c r="E1967" s="50"/>
      <c r="F1967" s="51"/>
      <c r="G1967" s="51"/>
      <c r="H1967" s="51"/>
      <c r="I1967" s="51"/>
      <c r="J1967" s="49"/>
      <c r="K1967" s="51"/>
      <c r="L1967" s="51"/>
      <c r="M1967" s="52"/>
      <c r="N1967" s="51"/>
      <c r="O1967" s="51"/>
      <c r="P1967" s="25"/>
    </row>
    <row r="1968">
      <c r="A1968" s="25"/>
      <c r="B1968" s="49"/>
      <c r="C1968" s="50"/>
      <c r="D1968" s="50"/>
      <c r="E1968" s="50"/>
      <c r="F1968" s="51"/>
      <c r="G1968" s="51"/>
      <c r="H1968" s="51"/>
      <c r="I1968" s="51"/>
      <c r="J1968" s="49"/>
      <c r="K1968" s="51"/>
      <c r="L1968" s="51"/>
      <c r="M1968" s="52"/>
      <c r="N1968" s="51"/>
      <c r="O1968" s="51"/>
      <c r="P1968" s="25"/>
    </row>
    <row r="1969">
      <c r="A1969" s="25"/>
      <c r="B1969" s="49"/>
      <c r="C1969" s="50"/>
      <c r="D1969" s="50"/>
      <c r="E1969" s="50"/>
      <c r="F1969" s="51"/>
      <c r="G1969" s="51"/>
      <c r="H1969" s="51"/>
      <c r="I1969" s="51"/>
      <c r="J1969" s="49"/>
      <c r="K1969" s="51"/>
      <c r="L1969" s="51"/>
      <c r="M1969" s="52"/>
      <c r="N1969" s="51"/>
      <c r="O1969" s="51"/>
      <c r="P1969" s="25"/>
    </row>
    <row r="1970">
      <c r="A1970" s="25"/>
      <c r="B1970" s="49"/>
      <c r="C1970" s="50"/>
      <c r="D1970" s="50"/>
      <c r="E1970" s="50"/>
      <c r="F1970" s="51"/>
      <c r="G1970" s="51"/>
      <c r="H1970" s="51"/>
      <c r="I1970" s="51"/>
      <c r="J1970" s="49"/>
      <c r="K1970" s="51"/>
      <c r="L1970" s="51"/>
      <c r="M1970" s="52"/>
      <c r="N1970" s="51"/>
      <c r="O1970" s="51"/>
      <c r="P1970" s="25"/>
    </row>
    <row r="1971">
      <c r="A1971" s="25"/>
      <c r="B1971" s="49"/>
      <c r="C1971" s="50"/>
      <c r="D1971" s="50"/>
      <c r="E1971" s="50"/>
      <c r="F1971" s="51"/>
      <c r="G1971" s="51"/>
      <c r="H1971" s="51"/>
      <c r="I1971" s="51"/>
      <c r="J1971" s="49"/>
      <c r="K1971" s="51"/>
      <c r="L1971" s="51"/>
      <c r="M1971" s="52"/>
      <c r="N1971" s="51"/>
      <c r="O1971" s="51"/>
      <c r="P1971" s="25"/>
    </row>
    <row r="1972">
      <c r="A1972" s="25"/>
      <c r="B1972" s="49"/>
      <c r="C1972" s="50"/>
      <c r="D1972" s="50"/>
      <c r="E1972" s="50"/>
      <c r="F1972" s="51"/>
      <c r="G1972" s="51"/>
      <c r="H1972" s="51"/>
      <c r="I1972" s="51"/>
      <c r="J1972" s="49"/>
      <c r="K1972" s="51"/>
      <c r="L1972" s="51"/>
      <c r="M1972" s="52"/>
      <c r="N1972" s="51"/>
      <c r="O1972" s="51"/>
      <c r="P1972" s="25"/>
    </row>
    <row r="1973">
      <c r="A1973" s="25"/>
      <c r="B1973" s="49"/>
      <c r="C1973" s="50"/>
      <c r="D1973" s="50"/>
      <c r="E1973" s="50"/>
      <c r="F1973" s="51"/>
      <c r="G1973" s="51"/>
      <c r="H1973" s="51"/>
      <c r="I1973" s="51"/>
      <c r="J1973" s="49"/>
      <c r="K1973" s="51"/>
      <c r="L1973" s="51"/>
      <c r="M1973" s="52"/>
      <c r="N1973" s="51"/>
      <c r="O1973" s="51"/>
      <c r="P1973" s="25"/>
    </row>
    <row r="1974">
      <c r="A1974" s="25"/>
      <c r="B1974" s="49"/>
      <c r="C1974" s="50"/>
      <c r="D1974" s="50"/>
      <c r="E1974" s="50"/>
      <c r="F1974" s="51"/>
      <c r="G1974" s="51"/>
      <c r="H1974" s="51"/>
      <c r="I1974" s="51"/>
      <c r="J1974" s="49"/>
      <c r="K1974" s="51"/>
      <c r="L1974" s="51"/>
      <c r="M1974" s="52"/>
      <c r="N1974" s="51"/>
      <c r="O1974" s="51"/>
      <c r="P1974" s="25"/>
    </row>
    <row r="1975">
      <c r="A1975" s="25"/>
      <c r="B1975" s="49"/>
      <c r="C1975" s="50"/>
      <c r="D1975" s="50"/>
      <c r="E1975" s="50"/>
      <c r="F1975" s="51"/>
      <c r="G1975" s="51"/>
      <c r="H1975" s="51"/>
      <c r="I1975" s="51"/>
      <c r="J1975" s="49"/>
      <c r="K1975" s="51"/>
      <c r="L1975" s="51"/>
      <c r="M1975" s="52"/>
      <c r="N1975" s="51"/>
      <c r="O1975" s="51"/>
      <c r="P1975" s="25"/>
    </row>
    <row r="1976">
      <c r="A1976" s="25"/>
      <c r="B1976" s="49"/>
      <c r="C1976" s="50"/>
      <c r="D1976" s="50"/>
      <c r="E1976" s="50"/>
      <c r="F1976" s="51"/>
      <c r="G1976" s="51"/>
      <c r="H1976" s="51"/>
      <c r="I1976" s="51"/>
      <c r="J1976" s="49"/>
      <c r="K1976" s="51"/>
      <c r="L1976" s="51"/>
      <c r="M1976" s="52"/>
      <c r="N1976" s="51"/>
      <c r="O1976" s="51"/>
      <c r="P1976" s="25"/>
    </row>
    <row r="1977">
      <c r="A1977" s="25"/>
      <c r="B1977" s="49"/>
      <c r="C1977" s="50"/>
      <c r="D1977" s="50"/>
      <c r="E1977" s="50"/>
      <c r="F1977" s="51"/>
      <c r="G1977" s="51"/>
      <c r="H1977" s="51"/>
      <c r="I1977" s="51"/>
      <c r="J1977" s="49"/>
      <c r="K1977" s="51"/>
      <c r="L1977" s="51"/>
      <c r="M1977" s="52"/>
      <c r="N1977" s="51"/>
      <c r="O1977" s="51"/>
      <c r="P1977" s="25"/>
    </row>
    <row r="1978">
      <c r="A1978" s="25"/>
      <c r="B1978" s="49"/>
      <c r="C1978" s="50"/>
      <c r="D1978" s="50"/>
      <c r="E1978" s="50"/>
      <c r="F1978" s="51"/>
      <c r="G1978" s="51"/>
      <c r="H1978" s="51"/>
      <c r="I1978" s="51"/>
      <c r="J1978" s="49"/>
      <c r="K1978" s="51"/>
      <c r="L1978" s="51"/>
      <c r="M1978" s="52"/>
      <c r="N1978" s="51"/>
      <c r="O1978" s="51"/>
      <c r="P1978" s="25"/>
    </row>
    <row r="1979">
      <c r="A1979" s="25"/>
      <c r="B1979" s="49"/>
      <c r="C1979" s="50"/>
      <c r="D1979" s="50"/>
      <c r="E1979" s="50"/>
      <c r="F1979" s="51"/>
      <c r="G1979" s="51"/>
      <c r="H1979" s="51"/>
      <c r="I1979" s="51"/>
      <c r="J1979" s="49"/>
      <c r="K1979" s="51"/>
      <c r="L1979" s="51"/>
      <c r="M1979" s="52"/>
      <c r="N1979" s="51"/>
      <c r="O1979" s="51"/>
      <c r="P1979" s="25"/>
    </row>
    <row r="1980">
      <c r="A1980" s="25"/>
      <c r="B1980" s="49"/>
      <c r="C1980" s="50"/>
      <c r="D1980" s="50"/>
      <c r="E1980" s="50"/>
      <c r="F1980" s="51"/>
      <c r="G1980" s="51"/>
      <c r="H1980" s="51"/>
      <c r="I1980" s="51"/>
      <c r="J1980" s="49"/>
      <c r="K1980" s="51"/>
      <c r="L1980" s="51"/>
      <c r="M1980" s="52"/>
      <c r="N1980" s="51"/>
      <c r="O1980" s="51"/>
      <c r="P1980" s="25"/>
    </row>
    <row r="1981">
      <c r="A1981" s="25"/>
      <c r="B1981" s="49"/>
      <c r="C1981" s="50"/>
      <c r="D1981" s="50"/>
      <c r="E1981" s="50"/>
      <c r="F1981" s="51"/>
      <c r="G1981" s="51"/>
      <c r="H1981" s="51"/>
      <c r="I1981" s="51"/>
      <c r="J1981" s="49"/>
      <c r="K1981" s="51"/>
      <c r="L1981" s="51"/>
      <c r="M1981" s="52"/>
      <c r="N1981" s="51"/>
      <c r="O1981" s="51"/>
      <c r="P1981" s="25"/>
    </row>
    <row r="1982">
      <c r="A1982" s="25"/>
      <c r="B1982" s="49"/>
      <c r="C1982" s="50"/>
      <c r="D1982" s="50"/>
      <c r="E1982" s="50"/>
      <c r="F1982" s="51"/>
      <c r="G1982" s="51"/>
      <c r="H1982" s="51"/>
      <c r="I1982" s="51"/>
      <c r="J1982" s="49"/>
      <c r="K1982" s="51"/>
      <c r="L1982" s="51"/>
      <c r="M1982" s="52"/>
      <c r="N1982" s="51"/>
      <c r="O1982" s="51"/>
      <c r="P1982" s="25"/>
    </row>
    <row r="1983">
      <c r="A1983" s="25"/>
      <c r="B1983" s="49"/>
      <c r="C1983" s="50"/>
      <c r="D1983" s="50"/>
      <c r="E1983" s="50"/>
      <c r="F1983" s="51"/>
      <c r="G1983" s="51"/>
      <c r="H1983" s="51"/>
      <c r="I1983" s="51"/>
      <c r="J1983" s="49"/>
      <c r="K1983" s="51"/>
      <c r="L1983" s="51"/>
      <c r="M1983" s="52"/>
      <c r="N1983" s="51"/>
      <c r="O1983" s="51"/>
      <c r="P1983" s="25"/>
    </row>
    <row r="1984">
      <c r="A1984" s="25"/>
      <c r="B1984" s="49"/>
      <c r="C1984" s="50"/>
      <c r="D1984" s="50"/>
      <c r="E1984" s="50"/>
      <c r="F1984" s="51"/>
      <c r="G1984" s="51"/>
      <c r="H1984" s="51"/>
      <c r="I1984" s="51"/>
      <c r="J1984" s="49"/>
      <c r="K1984" s="51"/>
      <c r="L1984" s="51"/>
      <c r="M1984" s="52"/>
      <c r="N1984" s="51"/>
      <c r="O1984" s="51"/>
      <c r="P1984" s="25"/>
    </row>
    <row r="1985">
      <c r="A1985" s="25"/>
      <c r="B1985" s="49"/>
      <c r="C1985" s="50"/>
      <c r="D1985" s="50"/>
      <c r="E1985" s="50"/>
      <c r="F1985" s="51"/>
      <c r="G1985" s="51"/>
      <c r="H1985" s="51"/>
      <c r="I1985" s="51"/>
      <c r="J1985" s="49"/>
      <c r="K1985" s="51"/>
      <c r="L1985" s="51"/>
      <c r="M1985" s="52"/>
      <c r="N1985" s="51"/>
      <c r="O1985" s="51"/>
      <c r="P1985" s="25"/>
    </row>
    <row r="1986">
      <c r="A1986" s="25"/>
      <c r="B1986" s="49"/>
      <c r="C1986" s="50"/>
      <c r="D1986" s="50"/>
      <c r="E1986" s="50"/>
      <c r="F1986" s="51"/>
      <c r="G1986" s="51"/>
      <c r="H1986" s="51"/>
      <c r="I1986" s="51"/>
      <c r="J1986" s="49"/>
      <c r="K1986" s="51"/>
      <c r="L1986" s="51"/>
      <c r="M1986" s="52"/>
      <c r="N1986" s="51"/>
      <c r="O1986" s="51"/>
      <c r="P1986" s="25"/>
    </row>
    <row r="1987">
      <c r="A1987" s="25"/>
      <c r="B1987" s="49"/>
      <c r="C1987" s="50"/>
      <c r="D1987" s="50"/>
      <c r="E1987" s="50"/>
      <c r="F1987" s="51"/>
      <c r="G1987" s="51"/>
      <c r="H1987" s="51"/>
      <c r="I1987" s="51"/>
      <c r="J1987" s="49"/>
      <c r="K1987" s="51"/>
      <c r="L1987" s="51"/>
      <c r="M1987" s="52"/>
      <c r="N1987" s="51"/>
      <c r="O1987" s="51"/>
      <c r="P1987" s="25"/>
    </row>
    <row r="1988">
      <c r="A1988" s="25"/>
      <c r="B1988" s="49"/>
      <c r="C1988" s="50"/>
      <c r="D1988" s="50"/>
      <c r="E1988" s="50"/>
      <c r="F1988" s="51"/>
      <c r="G1988" s="51"/>
      <c r="H1988" s="51"/>
      <c r="I1988" s="51"/>
      <c r="J1988" s="49"/>
      <c r="K1988" s="51"/>
      <c r="L1988" s="51"/>
      <c r="M1988" s="52"/>
      <c r="N1988" s="51"/>
      <c r="O1988" s="51"/>
      <c r="P1988" s="25"/>
    </row>
    <row r="1989">
      <c r="A1989" s="25"/>
      <c r="B1989" s="49"/>
      <c r="C1989" s="50"/>
      <c r="D1989" s="50"/>
      <c r="E1989" s="50"/>
      <c r="F1989" s="51"/>
      <c r="G1989" s="51"/>
      <c r="H1989" s="51"/>
      <c r="I1989" s="51"/>
      <c r="J1989" s="49"/>
      <c r="K1989" s="51"/>
      <c r="L1989" s="51"/>
      <c r="M1989" s="52"/>
      <c r="N1989" s="51"/>
      <c r="O1989" s="51"/>
      <c r="P1989" s="25"/>
    </row>
    <row r="1990">
      <c r="A1990" s="25"/>
      <c r="B1990" s="49"/>
      <c r="C1990" s="50"/>
      <c r="D1990" s="50"/>
      <c r="E1990" s="50"/>
      <c r="F1990" s="51"/>
      <c r="G1990" s="51"/>
      <c r="H1990" s="51"/>
      <c r="I1990" s="51"/>
      <c r="J1990" s="49"/>
      <c r="K1990" s="51"/>
      <c r="L1990" s="51"/>
      <c r="M1990" s="52"/>
      <c r="N1990" s="51"/>
      <c r="O1990" s="51"/>
      <c r="P1990" s="25"/>
    </row>
    <row r="1991">
      <c r="A1991" s="25"/>
      <c r="B1991" s="49"/>
      <c r="C1991" s="50"/>
      <c r="D1991" s="50"/>
      <c r="E1991" s="50"/>
      <c r="F1991" s="51"/>
      <c r="G1991" s="51"/>
      <c r="H1991" s="51"/>
      <c r="I1991" s="51"/>
      <c r="J1991" s="49"/>
      <c r="K1991" s="51"/>
      <c r="L1991" s="51"/>
      <c r="M1991" s="52"/>
      <c r="N1991" s="51"/>
      <c r="O1991" s="51"/>
      <c r="P1991" s="25"/>
    </row>
    <row r="1992">
      <c r="A1992" s="25"/>
      <c r="B1992" s="49"/>
      <c r="C1992" s="50"/>
      <c r="D1992" s="50"/>
      <c r="E1992" s="50"/>
      <c r="F1992" s="51"/>
      <c r="G1992" s="51"/>
      <c r="H1992" s="51"/>
      <c r="I1992" s="51"/>
      <c r="J1992" s="49"/>
      <c r="K1992" s="51"/>
      <c r="L1992" s="51"/>
      <c r="M1992" s="52"/>
      <c r="N1992" s="51"/>
      <c r="O1992" s="51"/>
      <c r="P1992" s="25"/>
    </row>
    <row r="1993">
      <c r="A1993" s="25"/>
      <c r="B1993" s="49"/>
      <c r="C1993" s="50"/>
      <c r="D1993" s="50"/>
      <c r="E1993" s="50"/>
      <c r="F1993" s="51"/>
      <c r="G1993" s="51"/>
      <c r="H1993" s="51"/>
      <c r="I1993" s="51"/>
      <c r="J1993" s="49"/>
      <c r="K1993" s="51"/>
      <c r="L1993" s="51"/>
      <c r="M1993" s="52"/>
      <c r="N1993" s="51"/>
      <c r="O1993" s="51"/>
      <c r="P1993" s="25"/>
    </row>
    <row r="1994">
      <c r="A1994" s="25"/>
      <c r="B1994" s="49"/>
      <c r="C1994" s="50"/>
      <c r="D1994" s="50"/>
      <c r="E1994" s="50"/>
      <c r="F1994" s="51"/>
      <c r="G1994" s="51"/>
      <c r="H1994" s="51"/>
      <c r="I1994" s="51"/>
      <c r="J1994" s="49"/>
      <c r="K1994" s="51"/>
      <c r="L1994" s="51"/>
      <c r="M1994" s="52"/>
      <c r="N1994" s="51"/>
      <c r="O1994" s="51"/>
      <c r="P1994" s="25"/>
    </row>
    <row r="1995">
      <c r="A1995" s="25"/>
      <c r="B1995" s="49"/>
      <c r="C1995" s="50"/>
      <c r="D1995" s="50"/>
      <c r="E1995" s="50"/>
      <c r="F1995" s="51"/>
      <c r="G1995" s="51"/>
      <c r="H1995" s="51"/>
      <c r="I1995" s="51"/>
      <c r="J1995" s="49"/>
      <c r="K1995" s="51"/>
      <c r="L1995" s="51"/>
      <c r="M1995" s="52"/>
      <c r="N1995" s="51"/>
      <c r="O1995" s="51"/>
      <c r="P1995" s="25"/>
    </row>
    <row r="1996">
      <c r="A1996" s="25"/>
      <c r="B1996" s="49"/>
      <c r="C1996" s="50"/>
      <c r="D1996" s="50"/>
      <c r="E1996" s="50"/>
      <c r="F1996" s="51"/>
      <c r="G1996" s="51"/>
      <c r="H1996" s="51"/>
      <c r="I1996" s="51"/>
      <c r="J1996" s="49"/>
      <c r="K1996" s="51"/>
      <c r="L1996" s="51"/>
      <c r="M1996" s="52"/>
      <c r="N1996" s="51"/>
      <c r="O1996" s="51"/>
      <c r="P1996" s="25"/>
    </row>
    <row r="1997">
      <c r="A1997" s="25"/>
      <c r="B1997" s="49"/>
      <c r="C1997" s="50"/>
      <c r="D1997" s="50"/>
      <c r="E1997" s="50"/>
      <c r="F1997" s="51"/>
      <c r="G1997" s="51"/>
      <c r="H1997" s="51"/>
      <c r="I1997" s="51"/>
      <c r="J1997" s="49"/>
      <c r="K1997" s="51"/>
      <c r="L1997" s="51"/>
      <c r="M1997" s="52"/>
      <c r="N1997" s="51"/>
      <c r="O1997" s="51"/>
      <c r="P1997" s="25"/>
    </row>
    <row r="1998">
      <c r="A1998" s="25"/>
      <c r="B1998" s="49"/>
      <c r="C1998" s="50"/>
      <c r="D1998" s="50"/>
      <c r="E1998" s="50"/>
      <c r="F1998" s="51"/>
      <c r="G1998" s="51"/>
      <c r="H1998" s="51"/>
      <c r="I1998" s="51"/>
      <c r="J1998" s="49"/>
      <c r="K1998" s="51"/>
      <c r="L1998" s="51"/>
      <c r="M1998" s="52"/>
      <c r="N1998" s="51"/>
      <c r="O1998" s="51"/>
      <c r="P1998" s="25"/>
    </row>
    <row r="1999">
      <c r="A1999" s="25"/>
      <c r="B1999" s="49"/>
      <c r="C1999" s="50"/>
      <c r="D1999" s="50"/>
      <c r="E1999" s="50"/>
      <c r="F1999" s="51"/>
      <c r="G1999" s="51"/>
      <c r="H1999" s="51"/>
      <c r="I1999" s="51"/>
      <c r="J1999" s="49"/>
      <c r="K1999" s="51"/>
      <c r="L1999" s="51"/>
      <c r="M1999" s="52"/>
      <c r="N1999" s="51"/>
      <c r="O1999" s="51"/>
      <c r="P1999" s="25"/>
    </row>
    <row r="2000">
      <c r="A2000" s="25"/>
      <c r="B2000" s="49"/>
      <c r="C2000" s="50"/>
      <c r="D2000" s="50"/>
      <c r="E2000" s="50"/>
      <c r="F2000" s="51"/>
      <c r="G2000" s="51"/>
      <c r="H2000" s="51"/>
      <c r="I2000" s="51"/>
      <c r="J2000" s="49"/>
      <c r="K2000" s="51"/>
      <c r="L2000" s="51"/>
      <c r="M2000" s="52"/>
      <c r="N2000" s="51"/>
      <c r="O2000" s="51"/>
      <c r="P2000" s="25"/>
    </row>
    <row r="2001">
      <c r="A2001" s="25"/>
      <c r="B2001" s="49"/>
      <c r="C2001" s="50"/>
      <c r="D2001" s="50"/>
      <c r="E2001" s="50"/>
      <c r="F2001" s="51"/>
      <c r="G2001" s="51"/>
      <c r="H2001" s="51"/>
      <c r="I2001" s="51"/>
      <c r="J2001" s="49"/>
      <c r="K2001" s="51"/>
      <c r="L2001" s="51"/>
      <c r="M2001" s="52"/>
      <c r="N2001" s="51"/>
      <c r="O2001" s="51"/>
      <c r="P2001" s="25"/>
    </row>
    <row r="2002">
      <c r="A2002" s="25"/>
      <c r="B2002" s="49"/>
      <c r="C2002" s="50"/>
      <c r="D2002" s="50"/>
      <c r="E2002" s="50"/>
      <c r="F2002" s="51"/>
      <c r="G2002" s="51"/>
      <c r="H2002" s="51"/>
      <c r="I2002" s="51"/>
      <c r="J2002" s="49"/>
      <c r="K2002" s="51"/>
      <c r="L2002" s="51"/>
      <c r="M2002" s="52"/>
      <c r="N2002" s="51"/>
      <c r="O2002" s="51"/>
      <c r="P2002" s="25"/>
    </row>
    <row r="2003">
      <c r="A2003" s="25"/>
      <c r="B2003" s="49"/>
      <c r="C2003" s="50"/>
      <c r="D2003" s="50"/>
      <c r="E2003" s="50"/>
      <c r="F2003" s="51"/>
      <c r="G2003" s="51"/>
      <c r="H2003" s="51"/>
      <c r="I2003" s="51"/>
      <c r="J2003" s="49"/>
      <c r="K2003" s="51"/>
      <c r="L2003" s="51"/>
      <c r="M2003" s="52"/>
      <c r="N2003" s="51"/>
      <c r="O2003" s="51"/>
      <c r="P2003" s="25"/>
    </row>
    <row r="2004">
      <c r="A2004" s="25"/>
      <c r="B2004" s="49"/>
      <c r="C2004" s="50"/>
      <c r="D2004" s="50"/>
      <c r="E2004" s="50"/>
      <c r="F2004" s="51"/>
      <c r="G2004" s="51"/>
      <c r="H2004" s="51"/>
      <c r="I2004" s="51"/>
      <c r="J2004" s="49"/>
      <c r="K2004" s="51"/>
      <c r="L2004" s="51"/>
      <c r="M2004" s="52"/>
      <c r="N2004" s="51"/>
      <c r="O2004" s="51"/>
      <c r="P2004" s="25"/>
    </row>
    <row r="2005">
      <c r="A2005" s="25"/>
      <c r="B2005" s="49"/>
      <c r="C2005" s="50"/>
      <c r="D2005" s="50"/>
      <c r="E2005" s="50"/>
      <c r="F2005" s="51"/>
      <c r="G2005" s="51"/>
      <c r="H2005" s="51"/>
      <c r="I2005" s="51"/>
      <c r="J2005" s="49"/>
      <c r="K2005" s="51"/>
      <c r="L2005" s="51"/>
      <c r="M2005" s="52"/>
      <c r="N2005" s="51"/>
      <c r="O2005" s="51"/>
      <c r="P2005" s="25"/>
    </row>
    <row r="2006">
      <c r="A2006" s="25"/>
      <c r="B2006" s="49"/>
      <c r="C2006" s="50"/>
      <c r="D2006" s="50"/>
      <c r="E2006" s="50"/>
      <c r="F2006" s="51"/>
      <c r="G2006" s="51"/>
      <c r="H2006" s="51"/>
      <c r="I2006" s="51"/>
      <c r="J2006" s="49"/>
      <c r="K2006" s="51"/>
      <c r="L2006" s="51"/>
      <c r="M2006" s="52"/>
      <c r="N2006" s="51"/>
      <c r="O2006" s="51"/>
      <c r="P2006" s="25"/>
    </row>
    <row r="2007">
      <c r="A2007" s="25"/>
      <c r="B2007" s="49"/>
      <c r="C2007" s="50"/>
      <c r="D2007" s="50"/>
      <c r="E2007" s="50"/>
      <c r="F2007" s="51"/>
      <c r="G2007" s="51"/>
      <c r="H2007" s="51"/>
      <c r="I2007" s="51"/>
      <c r="J2007" s="49"/>
      <c r="K2007" s="51"/>
      <c r="L2007" s="51"/>
      <c r="M2007" s="52"/>
      <c r="N2007" s="51"/>
      <c r="O2007" s="51"/>
      <c r="P2007" s="25"/>
    </row>
    <row r="2008">
      <c r="A2008" s="25"/>
      <c r="B2008" s="49"/>
      <c r="C2008" s="50"/>
      <c r="D2008" s="50"/>
      <c r="E2008" s="50"/>
      <c r="F2008" s="51"/>
      <c r="G2008" s="51"/>
      <c r="H2008" s="51"/>
      <c r="I2008" s="51"/>
      <c r="J2008" s="49"/>
      <c r="K2008" s="51"/>
      <c r="L2008" s="51"/>
      <c r="M2008" s="52"/>
      <c r="N2008" s="51"/>
      <c r="O2008" s="51"/>
      <c r="P2008" s="25"/>
    </row>
    <row r="2009">
      <c r="A2009" s="25"/>
      <c r="B2009" s="49"/>
      <c r="C2009" s="50"/>
      <c r="D2009" s="50"/>
      <c r="E2009" s="50"/>
      <c r="F2009" s="51"/>
      <c r="G2009" s="51"/>
      <c r="H2009" s="51"/>
      <c r="I2009" s="51"/>
      <c r="J2009" s="49"/>
      <c r="K2009" s="51"/>
      <c r="L2009" s="51"/>
      <c r="M2009" s="52"/>
      <c r="N2009" s="51"/>
      <c r="O2009" s="51"/>
      <c r="P2009" s="25"/>
    </row>
    <row r="2010">
      <c r="A2010" s="25"/>
      <c r="B2010" s="49"/>
      <c r="C2010" s="50"/>
      <c r="D2010" s="50"/>
      <c r="E2010" s="50"/>
      <c r="F2010" s="51"/>
      <c r="G2010" s="51"/>
      <c r="H2010" s="51"/>
      <c r="I2010" s="51"/>
      <c r="J2010" s="49"/>
      <c r="K2010" s="51"/>
      <c r="L2010" s="51"/>
      <c r="M2010" s="52"/>
      <c r="N2010" s="51"/>
      <c r="O2010" s="51"/>
      <c r="P2010" s="25"/>
    </row>
    <row r="2011">
      <c r="A2011" s="25"/>
      <c r="B2011" s="49"/>
      <c r="C2011" s="50"/>
      <c r="D2011" s="50"/>
      <c r="E2011" s="50"/>
      <c r="F2011" s="51"/>
      <c r="G2011" s="51"/>
      <c r="H2011" s="51"/>
      <c r="I2011" s="51"/>
      <c r="J2011" s="49"/>
      <c r="K2011" s="51"/>
      <c r="L2011" s="51"/>
      <c r="M2011" s="52"/>
      <c r="N2011" s="51"/>
      <c r="O2011" s="51"/>
      <c r="P2011" s="25"/>
    </row>
    <row r="2012">
      <c r="A2012" s="25"/>
      <c r="B2012" s="49"/>
      <c r="C2012" s="50"/>
      <c r="D2012" s="50"/>
      <c r="E2012" s="50"/>
      <c r="F2012" s="51"/>
      <c r="G2012" s="51"/>
      <c r="H2012" s="51"/>
      <c r="I2012" s="51"/>
      <c r="J2012" s="49"/>
      <c r="K2012" s="51"/>
      <c r="L2012" s="51"/>
      <c r="M2012" s="52"/>
      <c r="N2012" s="51"/>
      <c r="O2012" s="51"/>
      <c r="P2012" s="25"/>
    </row>
    <row r="2013">
      <c r="A2013" s="25"/>
      <c r="B2013" s="49"/>
      <c r="C2013" s="50"/>
      <c r="D2013" s="50"/>
      <c r="E2013" s="50"/>
      <c r="F2013" s="51"/>
      <c r="G2013" s="51"/>
      <c r="H2013" s="51"/>
      <c r="I2013" s="51"/>
      <c r="J2013" s="49"/>
      <c r="K2013" s="51"/>
      <c r="L2013" s="51"/>
      <c r="M2013" s="52"/>
      <c r="N2013" s="51"/>
      <c r="O2013" s="51"/>
      <c r="P2013" s="25"/>
    </row>
    <row r="2014">
      <c r="A2014" s="25"/>
      <c r="B2014" s="49"/>
      <c r="C2014" s="50"/>
      <c r="D2014" s="50"/>
      <c r="E2014" s="50"/>
      <c r="F2014" s="51"/>
      <c r="G2014" s="51"/>
      <c r="H2014" s="51"/>
      <c r="I2014" s="51"/>
      <c r="J2014" s="49"/>
      <c r="K2014" s="51"/>
      <c r="L2014" s="51"/>
      <c r="M2014" s="52"/>
      <c r="N2014" s="51"/>
      <c r="O2014" s="51"/>
      <c r="P2014" s="25"/>
    </row>
    <row r="2015">
      <c r="A2015" s="25"/>
      <c r="B2015" s="49"/>
      <c r="C2015" s="50"/>
      <c r="D2015" s="50"/>
      <c r="E2015" s="50"/>
      <c r="F2015" s="51"/>
      <c r="G2015" s="51"/>
      <c r="H2015" s="51"/>
      <c r="I2015" s="51"/>
      <c r="J2015" s="49"/>
      <c r="K2015" s="51"/>
      <c r="L2015" s="51"/>
      <c r="M2015" s="52"/>
      <c r="N2015" s="51"/>
      <c r="O2015" s="51"/>
      <c r="P2015" s="25"/>
    </row>
    <row r="2016">
      <c r="A2016" s="25"/>
      <c r="B2016" s="49"/>
      <c r="C2016" s="50"/>
      <c r="D2016" s="50"/>
      <c r="E2016" s="50"/>
      <c r="F2016" s="51"/>
      <c r="G2016" s="51"/>
      <c r="H2016" s="51"/>
      <c r="I2016" s="51"/>
      <c r="J2016" s="49"/>
      <c r="K2016" s="51"/>
      <c r="L2016" s="51"/>
      <c r="M2016" s="52"/>
      <c r="N2016" s="51"/>
      <c r="O2016" s="51"/>
      <c r="P2016" s="25"/>
    </row>
    <row r="2017">
      <c r="A2017" s="25"/>
      <c r="B2017" s="49"/>
      <c r="C2017" s="50"/>
      <c r="D2017" s="50"/>
      <c r="E2017" s="50"/>
      <c r="F2017" s="51"/>
      <c r="G2017" s="51"/>
      <c r="H2017" s="51"/>
      <c r="I2017" s="51"/>
      <c r="J2017" s="49"/>
      <c r="K2017" s="51"/>
      <c r="L2017" s="51"/>
      <c r="M2017" s="52"/>
      <c r="N2017" s="51"/>
      <c r="O2017" s="51"/>
      <c r="P2017" s="25"/>
    </row>
    <row r="2018">
      <c r="A2018" s="25"/>
      <c r="B2018" s="49"/>
      <c r="C2018" s="50"/>
      <c r="D2018" s="50"/>
      <c r="E2018" s="50"/>
      <c r="F2018" s="51"/>
      <c r="G2018" s="51"/>
      <c r="H2018" s="51"/>
      <c r="I2018" s="51"/>
      <c r="J2018" s="49"/>
      <c r="K2018" s="51"/>
      <c r="L2018" s="51"/>
      <c r="M2018" s="52"/>
      <c r="N2018" s="51"/>
      <c r="O2018" s="51"/>
      <c r="P2018" s="25"/>
    </row>
    <row r="2019">
      <c r="A2019" s="25"/>
      <c r="B2019" s="49"/>
      <c r="C2019" s="50"/>
      <c r="D2019" s="50"/>
      <c r="E2019" s="50"/>
      <c r="F2019" s="51"/>
      <c r="G2019" s="51"/>
      <c r="H2019" s="51"/>
      <c r="I2019" s="51"/>
      <c r="J2019" s="49"/>
      <c r="K2019" s="51"/>
      <c r="L2019" s="51"/>
      <c r="M2019" s="52"/>
      <c r="N2019" s="51"/>
      <c r="O2019" s="51"/>
      <c r="P2019" s="25"/>
    </row>
    <row r="2020">
      <c r="A2020" s="25"/>
      <c r="B2020" s="49"/>
      <c r="C2020" s="50"/>
      <c r="D2020" s="50"/>
      <c r="E2020" s="50"/>
      <c r="F2020" s="51"/>
      <c r="G2020" s="51"/>
      <c r="H2020" s="51"/>
      <c r="I2020" s="51"/>
      <c r="J2020" s="49"/>
      <c r="K2020" s="51"/>
      <c r="L2020" s="51"/>
      <c r="M2020" s="52"/>
      <c r="N2020" s="51"/>
      <c r="O2020" s="51"/>
      <c r="P2020" s="25"/>
    </row>
    <row r="2021">
      <c r="A2021" s="25"/>
      <c r="B2021" s="49"/>
      <c r="C2021" s="50"/>
      <c r="D2021" s="50"/>
      <c r="E2021" s="50"/>
      <c r="F2021" s="51"/>
      <c r="G2021" s="51"/>
      <c r="H2021" s="51"/>
      <c r="I2021" s="51"/>
      <c r="J2021" s="49"/>
      <c r="K2021" s="51"/>
      <c r="L2021" s="51"/>
      <c r="M2021" s="52"/>
      <c r="N2021" s="51"/>
      <c r="O2021" s="51"/>
      <c r="P2021" s="25"/>
    </row>
    <row r="2022">
      <c r="A2022" s="25"/>
      <c r="B2022" s="49"/>
      <c r="C2022" s="50"/>
      <c r="D2022" s="50"/>
      <c r="E2022" s="50"/>
      <c r="F2022" s="51"/>
      <c r="G2022" s="51"/>
      <c r="H2022" s="51"/>
      <c r="I2022" s="51"/>
      <c r="J2022" s="49"/>
      <c r="K2022" s="51"/>
      <c r="L2022" s="51"/>
      <c r="M2022" s="52"/>
      <c r="N2022" s="51"/>
      <c r="O2022" s="51"/>
      <c r="P2022" s="25"/>
    </row>
    <row r="2023">
      <c r="A2023" s="25"/>
      <c r="B2023" s="49"/>
      <c r="C2023" s="50"/>
      <c r="D2023" s="50"/>
      <c r="E2023" s="50"/>
      <c r="F2023" s="51"/>
      <c r="G2023" s="51"/>
      <c r="H2023" s="51"/>
      <c r="I2023" s="51"/>
      <c r="J2023" s="49"/>
      <c r="K2023" s="51"/>
      <c r="L2023" s="51"/>
      <c r="M2023" s="52"/>
      <c r="N2023" s="51"/>
      <c r="O2023" s="51"/>
      <c r="P2023" s="25"/>
    </row>
    <row r="2024">
      <c r="A2024" s="25"/>
      <c r="B2024" s="49"/>
      <c r="C2024" s="50"/>
      <c r="D2024" s="50"/>
      <c r="E2024" s="50"/>
      <c r="F2024" s="51"/>
      <c r="G2024" s="51"/>
      <c r="H2024" s="51"/>
      <c r="I2024" s="51"/>
      <c r="J2024" s="49"/>
      <c r="K2024" s="51"/>
      <c r="L2024" s="51"/>
      <c r="M2024" s="52"/>
      <c r="N2024" s="51"/>
      <c r="O2024" s="51"/>
      <c r="P2024" s="25"/>
    </row>
    <row r="2025">
      <c r="A2025" s="25"/>
      <c r="B2025" s="49"/>
      <c r="C2025" s="50"/>
      <c r="D2025" s="50"/>
      <c r="E2025" s="50"/>
      <c r="F2025" s="51"/>
      <c r="G2025" s="51"/>
      <c r="H2025" s="51"/>
      <c r="I2025" s="51"/>
      <c r="J2025" s="49"/>
      <c r="K2025" s="51"/>
      <c r="L2025" s="51"/>
      <c r="M2025" s="52"/>
      <c r="N2025" s="51"/>
      <c r="O2025" s="51"/>
      <c r="P2025" s="25"/>
    </row>
    <row r="2026">
      <c r="A2026" s="25"/>
      <c r="B2026" s="49"/>
      <c r="C2026" s="50"/>
      <c r="D2026" s="50"/>
      <c r="E2026" s="50"/>
      <c r="F2026" s="51"/>
      <c r="G2026" s="51"/>
      <c r="H2026" s="51"/>
      <c r="I2026" s="51"/>
      <c r="J2026" s="49"/>
      <c r="K2026" s="51"/>
      <c r="L2026" s="51"/>
      <c r="M2026" s="52"/>
      <c r="N2026" s="51"/>
      <c r="O2026" s="51"/>
      <c r="P2026" s="25"/>
    </row>
    <row r="2027">
      <c r="A2027" s="25"/>
      <c r="B2027" s="49"/>
      <c r="C2027" s="50"/>
      <c r="D2027" s="50"/>
      <c r="E2027" s="50"/>
      <c r="F2027" s="51"/>
      <c r="G2027" s="51"/>
      <c r="H2027" s="51"/>
      <c r="I2027" s="51"/>
      <c r="J2027" s="49"/>
      <c r="K2027" s="51"/>
      <c r="L2027" s="51"/>
      <c r="M2027" s="52"/>
      <c r="N2027" s="51"/>
      <c r="O2027" s="51"/>
      <c r="P2027" s="25"/>
    </row>
    <row r="2028">
      <c r="A2028" s="25"/>
      <c r="B2028" s="49"/>
      <c r="C2028" s="50"/>
      <c r="D2028" s="50"/>
      <c r="E2028" s="50"/>
      <c r="F2028" s="51"/>
      <c r="G2028" s="51"/>
      <c r="H2028" s="51"/>
      <c r="I2028" s="51"/>
      <c r="J2028" s="49"/>
      <c r="K2028" s="51"/>
      <c r="L2028" s="51"/>
      <c r="M2028" s="52"/>
      <c r="N2028" s="51"/>
      <c r="O2028" s="51"/>
      <c r="P2028" s="25"/>
    </row>
    <row r="2029">
      <c r="A2029" s="25"/>
      <c r="B2029" s="49"/>
      <c r="C2029" s="50"/>
      <c r="D2029" s="50"/>
      <c r="E2029" s="50"/>
      <c r="F2029" s="51"/>
      <c r="G2029" s="51"/>
      <c r="H2029" s="51"/>
      <c r="I2029" s="51"/>
      <c r="J2029" s="49"/>
      <c r="K2029" s="51"/>
      <c r="L2029" s="51"/>
      <c r="M2029" s="52"/>
      <c r="N2029" s="51"/>
      <c r="O2029" s="51"/>
      <c r="P2029" s="25"/>
    </row>
    <row r="2030">
      <c r="A2030" s="25"/>
      <c r="B2030" s="49"/>
      <c r="C2030" s="50"/>
      <c r="D2030" s="50"/>
      <c r="E2030" s="50"/>
      <c r="F2030" s="51"/>
      <c r="G2030" s="51"/>
      <c r="H2030" s="51"/>
      <c r="I2030" s="51"/>
      <c r="J2030" s="49"/>
      <c r="K2030" s="51"/>
      <c r="L2030" s="51"/>
      <c r="M2030" s="52"/>
      <c r="N2030" s="51"/>
      <c r="O2030" s="51"/>
      <c r="P2030" s="25"/>
    </row>
    <row r="2031">
      <c r="A2031" s="25"/>
      <c r="B2031" s="49"/>
      <c r="C2031" s="50"/>
      <c r="D2031" s="50"/>
      <c r="E2031" s="50"/>
      <c r="F2031" s="51"/>
      <c r="G2031" s="51"/>
      <c r="H2031" s="51"/>
      <c r="I2031" s="51"/>
      <c r="J2031" s="49"/>
      <c r="K2031" s="51"/>
      <c r="L2031" s="51"/>
      <c r="M2031" s="52"/>
      <c r="N2031" s="51"/>
      <c r="O2031" s="51"/>
      <c r="P2031" s="25"/>
    </row>
    <row r="2032">
      <c r="A2032" s="25"/>
      <c r="B2032" s="49"/>
      <c r="C2032" s="50"/>
      <c r="D2032" s="50"/>
      <c r="E2032" s="50"/>
      <c r="F2032" s="51"/>
      <c r="G2032" s="51"/>
      <c r="H2032" s="51"/>
      <c r="I2032" s="51"/>
      <c r="J2032" s="49"/>
      <c r="K2032" s="51"/>
      <c r="L2032" s="51"/>
      <c r="M2032" s="52"/>
      <c r="N2032" s="51"/>
      <c r="O2032" s="51"/>
      <c r="P2032" s="25"/>
    </row>
    <row r="2033">
      <c r="A2033" s="25"/>
      <c r="B2033" s="49"/>
      <c r="C2033" s="50"/>
      <c r="D2033" s="50"/>
      <c r="E2033" s="50"/>
      <c r="F2033" s="51"/>
      <c r="G2033" s="51"/>
      <c r="H2033" s="51"/>
      <c r="I2033" s="51"/>
      <c r="J2033" s="49"/>
      <c r="K2033" s="51"/>
      <c r="L2033" s="51"/>
      <c r="M2033" s="52"/>
      <c r="N2033" s="51"/>
      <c r="O2033" s="51"/>
      <c r="P2033" s="25"/>
    </row>
    <row r="2034">
      <c r="A2034" s="25"/>
      <c r="B2034" s="49"/>
      <c r="C2034" s="50"/>
      <c r="D2034" s="50"/>
      <c r="E2034" s="50"/>
      <c r="F2034" s="51"/>
      <c r="G2034" s="51"/>
      <c r="H2034" s="51"/>
      <c r="I2034" s="51"/>
      <c r="J2034" s="49"/>
      <c r="K2034" s="51"/>
      <c r="L2034" s="51"/>
      <c r="M2034" s="52"/>
      <c r="N2034" s="51"/>
      <c r="O2034" s="51"/>
      <c r="P2034" s="25"/>
    </row>
    <row r="2035">
      <c r="A2035" s="25"/>
      <c r="B2035" s="49"/>
      <c r="C2035" s="50"/>
      <c r="D2035" s="50"/>
      <c r="E2035" s="50"/>
      <c r="F2035" s="51"/>
      <c r="G2035" s="51"/>
      <c r="H2035" s="51"/>
      <c r="I2035" s="51"/>
      <c r="J2035" s="49"/>
      <c r="K2035" s="51"/>
      <c r="L2035" s="51"/>
      <c r="M2035" s="52"/>
      <c r="N2035" s="51"/>
      <c r="O2035" s="51"/>
      <c r="P2035" s="25"/>
    </row>
    <row r="2036">
      <c r="A2036" s="25"/>
      <c r="B2036" s="49"/>
      <c r="C2036" s="50"/>
      <c r="D2036" s="50"/>
      <c r="E2036" s="50"/>
      <c r="F2036" s="51"/>
      <c r="G2036" s="51"/>
      <c r="H2036" s="51"/>
      <c r="I2036" s="51"/>
      <c r="J2036" s="49"/>
      <c r="K2036" s="51"/>
      <c r="L2036" s="51"/>
      <c r="M2036" s="52"/>
      <c r="N2036" s="51"/>
      <c r="O2036" s="51"/>
      <c r="P2036" s="25"/>
    </row>
    <row r="2037">
      <c r="A2037" s="25"/>
      <c r="B2037" s="49"/>
      <c r="C2037" s="50"/>
      <c r="D2037" s="50"/>
      <c r="E2037" s="50"/>
      <c r="F2037" s="51"/>
      <c r="G2037" s="51"/>
      <c r="H2037" s="51"/>
      <c r="I2037" s="51"/>
      <c r="J2037" s="49"/>
      <c r="K2037" s="51"/>
      <c r="L2037" s="51"/>
      <c r="M2037" s="52"/>
      <c r="N2037" s="51"/>
      <c r="O2037" s="51"/>
      <c r="P2037" s="25"/>
    </row>
    <row r="2038">
      <c r="A2038" s="25"/>
      <c r="B2038" s="49"/>
      <c r="C2038" s="50"/>
      <c r="D2038" s="50"/>
      <c r="E2038" s="50"/>
      <c r="F2038" s="51"/>
      <c r="G2038" s="51"/>
      <c r="H2038" s="51"/>
      <c r="I2038" s="51"/>
      <c r="J2038" s="49"/>
      <c r="K2038" s="51"/>
      <c r="L2038" s="51"/>
      <c r="M2038" s="52"/>
      <c r="N2038" s="51"/>
      <c r="O2038" s="51"/>
      <c r="P2038" s="25"/>
    </row>
    <row r="2039">
      <c r="A2039" s="25"/>
      <c r="B2039" s="49"/>
      <c r="C2039" s="50"/>
      <c r="D2039" s="50"/>
      <c r="E2039" s="50"/>
      <c r="F2039" s="51"/>
      <c r="G2039" s="51"/>
      <c r="H2039" s="51"/>
      <c r="I2039" s="51"/>
      <c r="J2039" s="49"/>
      <c r="K2039" s="51"/>
      <c r="L2039" s="51"/>
      <c r="M2039" s="52"/>
      <c r="N2039" s="51"/>
      <c r="O2039" s="51"/>
      <c r="P2039" s="25"/>
    </row>
    <row r="2040">
      <c r="A2040" s="25"/>
      <c r="B2040" s="49"/>
      <c r="C2040" s="50"/>
      <c r="D2040" s="50"/>
      <c r="E2040" s="50"/>
      <c r="F2040" s="51"/>
      <c r="G2040" s="51"/>
      <c r="H2040" s="51"/>
      <c r="I2040" s="51"/>
      <c r="J2040" s="49"/>
      <c r="K2040" s="51"/>
      <c r="L2040" s="51"/>
      <c r="M2040" s="52"/>
      <c r="N2040" s="51"/>
      <c r="O2040" s="51"/>
      <c r="P2040" s="25"/>
    </row>
    <row r="2041">
      <c r="A2041" s="25"/>
      <c r="B2041" s="49"/>
      <c r="C2041" s="50"/>
      <c r="D2041" s="50"/>
      <c r="E2041" s="50"/>
      <c r="F2041" s="51"/>
      <c r="G2041" s="51"/>
      <c r="H2041" s="51"/>
      <c r="I2041" s="51"/>
      <c r="J2041" s="49"/>
      <c r="K2041" s="51"/>
      <c r="L2041" s="51"/>
      <c r="M2041" s="52"/>
      <c r="N2041" s="51"/>
      <c r="O2041" s="51"/>
      <c r="P2041" s="25"/>
    </row>
    <row r="2042">
      <c r="A2042" s="25"/>
      <c r="B2042" s="49"/>
      <c r="C2042" s="50"/>
      <c r="D2042" s="50"/>
      <c r="E2042" s="50"/>
      <c r="F2042" s="51"/>
      <c r="G2042" s="51"/>
      <c r="H2042" s="51"/>
      <c r="I2042" s="51"/>
      <c r="J2042" s="49"/>
      <c r="K2042" s="51"/>
      <c r="L2042" s="51"/>
      <c r="M2042" s="52"/>
      <c r="N2042" s="51"/>
      <c r="O2042" s="51"/>
      <c r="P2042" s="25"/>
    </row>
    <row r="2043">
      <c r="A2043" s="25"/>
      <c r="B2043" s="49"/>
      <c r="C2043" s="50"/>
      <c r="D2043" s="50"/>
      <c r="E2043" s="50"/>
      <c r="F2043" s="51"/>
      <c r="G2043" s="51"/>
      <c r="H2043" s="51"/>
      <c r="I2043" s="51"/>
      <c r="J2043" s="49"/>
      <c r="K2043" s="51"/>
      <c r="L2043" s="51"/>
      <c r="M2043" s="52"/>
      <c r="N2043" s="51"/>
      <c r="O2043" s="51"/>
      <c r="P2043" s="25"/>
    </row>
    <row r="2044">
      <c r="A2044" s="25"/>
      <c r="B2044" s="49"/>
      <c r="C2044" s="50"/>
      <c r="D2044" s="50"/>
      <c r="E2044" s="50"/>
      <c r="F2044" s="51"/>
      <c r="G2044" s="51"/>
      <c r="H2044" s="51"/>
      <c r="I2044" s="51"/>
      <c r="J2044" s="49"/>
      <c r="K2044" s="51"/>
      <c r="L2044" s="51"/>
      <c r="M2044" s="52"/>
      <c r="N2044" s="51"/>
      <c r="O2044" s="51"/>
      <c r="P2044" s="25"/>
    </row>
    <row r="2045">
      <c r="A2045" s="25"/>
      <c r="B2045" s="49"/>
      <c r="C2045" s="50"/>
      <c r="D2045" s="50"/>
      <c r="E2045" s="50"/>
      <c r="F2045" s="51"/>
      <c r="G2045" s="51"/>
      <c r="H2045" s="51"/>
      <c r="I2045" s="51"/>
      <c r="J2045" s="49"/>
      <c r="K2045" s="51"/>
      <c r="L2045" s="51"/>
      <c r="M2045" s="52"/>
      <c r="N2045" s="51"/>
      <c r="O2045" s="51"/>
      <c r="P2045" s="25"/>
    </row>
    <row r="2046">
      <c r="A2046" s="25"/>
      <c r="B2046" s="49"/>
      <c r="C2046" s="50"/>
      <c r="D2046" s="50"/>
      <c r="E2046" s="50"/>
      <c r="F2046" s="51"/>
      <c r="G2046" s="51"/>
      <c r="H2046" s="51"/>
      <c r="I2046" s="51"/>
      <c r="J2046" s="49"/>
      <c r="K2046" s="51"/>
      <c r="L2046" s="51"/>
      <c r="M2046" s="52"/>
      <c r="N2046" s="51"/>
      <c r="O2046" s="51"/>
      <c r="P2046" s="25"/>
    </row>
    <row r="2047">
      <c r="A2047" s="25"/>
      <c r="B2047" s="49"/>
      <c r="C2047" s="50"/>
      <c r="D2047" s="50"/>
      <c r="E2047" s="50"/>
      <c r="F2047" s="51"/>
      <c r="G2047" s="51"/>
      <c r="H2047" s="51"/>
      <c r="I2047" s="51"/>
      <c r="J2047" s="49"/>
      <c r="K2047" s="51"/>
      <c r="L2047" s="51"/>
      <c r="M2047" s="52"/>
      <c r="N2047" s="51"/>
      <c r="O2047" s="51"/>
      <c r="P2047" s="25"/>
    </row>
    <row r="2048">
      <c r="A2048" s="25"/>
      <c r="B2048" s="49"/>
      <c r="C2048" s="50"/>
      <c r="D2048" s="50"/>
      <c r="E2048" s="50"/>
      <c r="F2048" s="51"/>
      <c r="G2048" s="51"/>
      <c r="H2048" s="51"/>
      <c r="I2048" s="51"/>
      <c r="J2048" s="49"/>
      <c r="K2048" s="51"/>
      <c r="L2048" s="51"/>
      <c r="M2048" s="52"/>
      <c r="N2048" s="51"/>
      <c r="O2048" s="51"/>
      <c r="P2048" s="25"/>
    </row>
    <row r="2049">
      <c r="A2049" s="25"/>
      <c r="B2049" s="49"/>
      <c r="C2049" s="50"/>
      <c r="D2049" s="50"/>
      <c r="E2049" s="50"/>
      <c r="F2049" s="51"/>
      <c r="G2049" s="51"/>
      <c r="H2049" s="51"/>
      <c r="I2049" s="51"/>
      <c r="J2049" s="49"/>
      <c r="K2049" s="51"/>
      <c r="L2049" s="51"/>
      <c r="M2049" s="52"/>
      <c r="N2049" s="51"/>
      <c r="O2049" s="51"/>
      <c r="P2049" s="25"/>
    </row>
    <row r="2050">
      <c r="A2050" s="25"/>
      <c r="B2050" s="49"/>
      <c r="C2050" s="50"/>
      <c r="D2050" s="50"/>
      <c r="E2050" s="50"/>
      <c r="F2050" s="51"/>
      <c r="G2050" s="51"/>
      <c r="H2050" s="51"/>
      <c r="I2050" s="51"/>
      <c r="J2050" s="49"/>
      <c r="K2050" s="51"/>
      <c r="L2050" s="51"/>
      <c r="M2050" s="52"/>
      <c r="N2050" s="51"/>
      <c r="O2050" s="51"/>
      <c r="P2050" s="25"/>
    </row>
    <row r="2051">
      <c r="A2051" s="25"/>
      <c r="B2051" s="49"/>
      <c r="C2051" s="50"/>
      <c r="D2051" s="50"/>
      <c r="E2051" s="50"/>
      <c r="F2051" s="51"/>
      <c r="G2051" s="51"/>
      <c r="H2051" s="51"/>
      <c r="I2051" s="51"/>
      <c r="J2051" s="49"/>
      <c r="K2051" s="51"/>
      <c r="L2051" s="51"/>
      <c r="M2051" s="52"/>
      <c r="N2051" s="51"/>
      <c r="O2051" s="51"/>
      <c r="P2051" s="25"/>
    </row>
    <row r="2052">
      <c r="A2052" s="25"/>
      <c r="B2052" s="49"/>
      <c r="C2052" s="50"/>
      <c r="D2052" s="50"/>
      <c r="E2052" s="50"/>
      <c r="F2052" s="51"/>
      <c r="G2052" s="51"/>
      <c r="H2052" s="51"/>
      <c r="I2052" s="51"/>
      <c r="J2052" s="49"/>
      <c r="K2052" s="51"/>
      <c r="L2052" s="51"/>
      <c r="M2052" s="52"/>
      <c r="N2052" s="51"/>
      <c r="O2052" s="51"/>
      <c r="P2052" s="25"/>
    </row>
    <row r="2053">
      <c r="A2053" s="25"/>
      <c r="B2053" s="49"/>
      <c r="C2053" s="50"/>
      <c r="D2053" s="50"/>
      <c r="E2053" s="50"/>
      <c r="F2053" s="51"/>
      <c r="G2053" s="51"/>
      <c r="H2053" s="51"/>
      <c r="I2053" s="51"/>
      <c r="J2053" s="49"/>
      <c r="K2053" s="51"/>
      <c r="L2053" s="51"/>
      <c r="M2053" s="52"/>
      <c r="N2053" s="51"/>
      <c r="O2053" s="51"/>
      <c r="P2053" s="25"/>
    </row>
    <row r="2054">
      <c r="A2054" s="25"/>
      <c r="B2054" s="49"/>
      <c r="C2054" s="50"/>
      <c r="D2054" s="50"/>
      <c r="E2054" s="50"/>
      <c r="F2054" s="51"/>
      <c r="G2054" s="51"/>
      <c r="H2054" s="51"/>
      <c r="I2054" s="51"/>
      <c r="J2054" s="49"/>
      <c r="K2054" s="51"/>
      <c r="L2054" s="51"/>
      <c r="M2054" s="52"/>
      <c r="N2054" s="51"/>
      <c r="O2054" s="51"/>
      <c r="P2054" s="25"/>
    </row>
    <row r="2055">
      <c r="A2055" s="25"/>
      <c r="B2055" s="49"/>
      <c r="C2055" s="50"/>
      <c r="D2055" s="50"/>
      <c r="E2055" s="50"/>
      <c r="F2055" s="51"/>
      <c r="G2055" s="51"/>
      <c r="H2055" s="51"/>
      <c r="I2055" s="51"/>
      <c r="J2055" s="49"/>
      <c r="K2055" s="51"/>
      <c r="L2055" s="51"/>
      <c r="M2055" s="52"/>
      <c r="N2055" s="51"/>
      <c r="O2055" s="51"/>
      <c r="P2055" s="25"/>
    </row>
    <row r="2056">
      <c r="A2056" s="25"/>
      <c r="B2056" s="49"/>
      <c r="C2056" s="50"/>
      <c r="D2056" s="50"/>
      <c r="E2056" s="50"/>
      <c r="F2056" s="51"/>
      <c r="G2056" s="51"/>
      <c r="H2056" s="51"/>
      <c r="I2056" s="51"/>
      <c r="J2056" s="49"/>
      <c r="K2056" s="51"/>
      <c r="L2056" s="51"/>
      <c r="M2056" s="52"/>
      <c r="N2056" s="51"/>
      <c r="O2056" s="51"/>
      <c r="P2056" s="25"/>
    </row>
    <row r="2057">
      <c r="A2057" s="25"/>
      <c r="B2057" s="49"/>
      <c r="C2057" s="50"/>
      <c r="D2057" s="50"/>
      <c r="E2057" s="50"/>
      <c r="F2057" s="51"/>
      <c r="G2057" s="51"/>
      <c r="H2057" s="51"/>
      <c r="I2057" s="51"/>
      <c r="J2057" s="49"/>
      <c r="K2057" s="51"/>
      <c r="L2057" s="51"/>
      <c r="M2057" s="52"/>
      <c r="N2057" s="51"/>
      <c r="O2057" s="51"/>
      <c r="P2057" s="25"/>
    </row>
    <row r="2058">
      <c r="A2058" s="25"/>
      <c r="B2058" s="49"/>
      <c r="C2058" s="50"/>
      <c r="D2058" s="50"/>
      <c r="E2058" s="50"/>
      <c r="F2058" s="51"/>
      <c r="G2058" s="51"/>
      <c r="H2058" s="51"/>
      <c r="I2058" s="51"/>
      <c r="J2058" s="49"/>
      <c r="K2058" s="51"/>
      <c r="L2058" s="51"/>
      <c r="M2058" s="52"/>
      <c r="N2058" s="51"/>
      <c r="O2058" s="51"/>
      <c r="P2058" s="25"/>
    </row>
    <row r="2059">
      <c r="A2059" s="25"/>
      <c r="B2059" s="49"/>
      <c r="C2059" s="50"/>
      <c r="D2059" s="50"/>
      <c r="E2059" s="50"/>
      <c r="F2059" s="51"/>
      <c r="G2059" s="51"/>
      <c r="H2059" s="51"/>
      <c r="I2059" s="51"/>
      <c r="J2059" s="49"/>
      <c r="K2059" s="51"/>
      <c r="L2059" s="51"/>
      <c r="M2059" s="52"/>
      <c r="N2059" s="51"/>
      <c r="O2059" s="51"/>
      <c r="P2059" s="25"/>
    </row>
    <row r="2060">
      <c r="A2060" s="25"/>
      <c r="B2060" s="49"/>
      <c r="C2060" s="50"/>
      <c r="D2060" s="50"/>
      <c r="E2060" s="50"/>
      <c r="F2060" s="51"/>
      <c r="G2060" s="51"/>
      <c r="H2060" s="51"/>
      <c r="I2060" s="51"/>
      <c r="J2060" s="49"/>
      <c r="K2060" s="51"/>
      <c r="L2060" s="51"/>
      <c r="M2060" s="52"/>
      <c r="N2060" s="51"/>
      <c r="O2060" s="51"/>
      <c r="P2060" s="25"/>
    </row>
    <row r="2061">
      <c r="A2061" s="25"/>
      <c r="B2061" s="49"/>
      <c r="C2061" s="50"/>
      <c r="D2061" s="50"/>
      <c r="E2061" s="50"/>
      <c r="F2061" s="51"/>
      <c r="G2061" s="51"/>
      <c r="H2061" s="51"/>
      <c r="I2061" s="51"/>
      <c r="J2061" s="49"/>
      <c r="K2061" s="51"/>
      <c r="L2061" s="51"/>
      <c r="M2061" s="52"/>
      <c r="N2061" s="51"/>
      <c r="O2061" s="51"/>
      <c r="P2061" s="25"/>
    </row>
    <row r="2062">
      <c r="A2062" s="25"/>
      <c r="B2062" s="49"/>
      <c r="C2062" s="50"/>
      <c r="D2062" s="50"/>
      <c r="E2062" s="50"/>
      <c r="F2062" s="51"/>
      <c r="G2062" s="51"/>
      <c r="H2062" s="51"/>
      <c r="I2062" s="51"/>
      <c r="J2062" s="49"/>
      <c r="K2062" s="51"/>
      <c r="L2062" s="51"/>
      <c r="M2062" s="52"/>
      <c r="N2062" s="51"/>
      <c r="O2062" s="51"/>
      <c r="P2062" s="25"/>
    </row>
    <row r="2063">
      <c r="A2063" s="25"/>
      <c r="B2063" s="49"/>
      <c r="C2063" s="50"/>
      <c r="D2063" s="50"/>
      <c r="E2063" s="50"/>
      <c r="F2063" s="51"/>
      <c r="G2063" s="51"/>
      <c r="H2063" s="51"/>
      <c r="I2063" s="51"/>
      <c r="J2063" s="49"/>
      <c r="K2063" s="51"/>
      <c r="L2063" s="51"/>
      <c r="M2063" s="52"/>
      <c r="N2063" s="51"/>
      <c r="O2063" s="51"/>
      <c r="P2063" s="25"/>
    </row>
    <row r="2064">
      <c r="A2064" s="25"/>
      <c r="B2064" s="49"/>
      <c r="C2064" s="50"/>
      <c r="D2064" s="50"/>
      <c r="E2064" s="50"/>
      <c r="F2064" s="51"/>
      <c r="G2064" s="51"/>
      <c r="H2064" s="51"/>
      <c r="I2064" s="51"/>
      <c r="J2064" s="49"/>
      <c r="K2064" s="51"/>
      <c r="L2064" s="51"/>
      <c r="M2064" s="52"/>
      <c r="N2064" s="51"/>
      <c r="O2064" s="51"/>
      <c r="P2064" s="25"/>
    </row>
    <row r="2065">
      <c r="A2065" s="25"/>
      <c r="B2065" s="49"/>
      <c r="C2065" s="50"/>
      <c r="D2065" s="50"/>
      <c r="E2065" s="50"/>
      <c r="F2065" s="51"/>
      <c r="G2065" s="51"/>
      <c r="H2065" s="51"/>
      <c r="I2065" s="51"/>
      <c r="J2065" s="49"/>
      <c r="K2065" s="51"/>
      <c r="L2065" s="51"/>
      <c r="M2065" s="52"/>
      <c r="N2065" s="51"/>
      <c r="O2065" s="51"/>
      <c r="P2065" s="25"/>
    </row>
    <row r="2066">
      <c r="A2066" s="25"/>
      <c r="B2066" s="49"/>
      <c r="C2066" s="50"/>
      <c r="D2066" s="50"/>
      <c r="E2066" s="50"/>
      <c r="F2066" s="51"/>
      <c r="G2066" s="51"/>
      <c r="H2066" s="51"/>
      <c r="I2066" s="51"/>
      <c r="J2066" s="49"/>
      <c r="K2066" s="51"/>
      <c r="L2066" s="51"/>
      <c r="M2066" s="52"/>
      <c r="N2066" s="51"/>
      <c r="O2066" s="51"/>
      <c r="P2066" s="25"/>
    </row>
    <row r="2067">
      <c r="A2067" s="25"/>
      <c r="B2067" s="49"/>
      <c r="C2067" s="50"/>
      <c r="D2067" s="50"/>
      <c r="E2067" s="50"/>
      <c r="F2067" s="51"/>
      <c r="G2067" s="51"/>
      <c r="H2067" s="51"/>
      <c r="I2067" s="51"/>
      <c r="J2067" s="49"/>
      <c r="K2067" s="51"/>
      <c r="L2067" s="51"/>
      <c r="M2067" s="52"/>
      <c r="N2067" s="51"/>
      <c r="O2067" s="51"/>
      <c r="P2067" s="25"/>
    </row>
    <row r="2068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</row>
    <row r="2069">
      <c r="A2069" s="25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</row>
    <row r="2070">
      <c r="A2070" s="25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</row>
    <row r="2071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</row>
    <row r="2072">
      <c r="A2072" s="25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</row>
    <row r="2073">
      <c r="A2073" s="25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</row>
    <row r="2074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</row>
    <row r="2075">
      <c r="A2075" s="25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</row>
    <row r="2076">
      <c r="A2076" s="25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</row>
    <row r="2077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</row>
    <row r="2078">
      <c r="A2078" s="25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</row>
    <row r="2079">
      <c r="A2079" s="25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</row>
    <row r="2080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</row>
    <row r="2081">
      <c r="A2081" s="25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</row>
    <row r="2082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</row>
    <row r="2083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</row>
    <row r="2084">
      <c r="A2084" s="25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</row>
    <row r="2085">
      <c r="A2085" s="25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</row>
    <row r="2086">
      <c r="A2086" s="25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</row>
    <row r="2087">
      <c r="A2087" s="25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</row>
    <row r="2088">
      <c r="A2088" s="25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</row>
    <row r="2089">
      <c r="A2089" s="25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</row>
    <row r="2090">
      <c r="A2090" s="25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</row>
    <row r="2091">
      <c r="A2091" s="25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</row>
    <row r="2092">
      <c r="A2092" s="25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</row>
    <row r="2093">
      <c r="A2093" s="25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</row>
    <row r="2094">
      <c r="A2094" s="25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</row>
    <row r="2095">
      <c r="A2095" s="25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</row>
    <row r="2096">
      <c r="A2096" s="25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</row>
    <row r="2097">
      <c r="A2097" s="25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</row>
    <row r="2098">
      <c r="A2098" s="25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</row>
    <row r="2099">
      <c r="A2099" s="25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</row>
    <row r="2100">
      <c r="A2100" s="25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</row>
    <row r="2101">
      <c r="A2101" s="25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</row>
    <row r="2102">
      <c r="A2102" s="25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</row>
    <row r="2103">
      <c r="A2103" s="25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</row>
    <row r="2104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</row>
    <row r="2105">
      <c r="A2105" s="25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</row>
    <row r="2106">
      <c r="A2106" s="25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</row>
    <row r="2107">
      <c r="A2107" s="25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</row>
    <row r="2108">
      <c r="A2108" s="25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</row>
    <row r="2109">
      <c r="A2109" s="25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</row>
    <row r="2110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</row>
    <row r="2111">
      <c r="A2111" s="25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</row>
    <row r="2112">
      <c r="A2112" s="25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</row>
    <row r="2113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</row>
    <row r="2114">
      <c r="A2114" s="25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</row>
    <row r="2115">
      <c r="A2115" s="25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</row>
    <row r="2116">
      <c r="A2116" s="25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</row>
    <row r="2117">
      <c r="A2117" s="25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</row>
    <row r="2118">
      <c r="A2118" s="25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</row>
    <row r="2119">
      <c r="A2119" s="25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</row>
    <row r="2120">
      <c r="A2120" s="25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</row>
    <row r="2121">
      <c r="A2121" s="25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</row>
    <row r="2122">
      <c r="A2122" s="25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</row>
    <row r="2123">
      <c r="A2123" s="25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</row>
    <row r="2124">
      <c r="A2124" s="25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</row>
    <row r="2125">
      <c r="A2125" s="25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</row>
    <row r="2126">
      <c r="A2126" s="25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</row>
    <row r="2127">
      <c r="A2127" s="25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</row>
    <row r="2128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</row>
    <row r="2129">
      <c r="A2129" s="25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</row>
    <row r="2130">
      <c r="A2130" s="25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</row>
    <row r="2131">
      <c r="A2131" s="25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</row>
    <row r="2132">
      <c r="A2132" s="25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</row>
    <row r="2133">
      <c r="A2133" s="25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</row>
    <row r="2134">
      <c r="A2134" s="25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</row>
    <row r="2135">
      <c r="A2135" s="25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</row>
    <row r="2136">
      <c r="A2136" s="25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</row>
    <row r="2137">
      <c r="A2137" s="25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</row>
    <row r="2138">
      <c r="A2138" s="25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</row>
    <row r="2139">
      <c r="A2139" s="25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</row>
    <row r="2140">
      <c r="A2140" s="25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</row>
    <row r="2141">
      <c r="A2141" s="25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</row>
    <row r="2142">
      <c r="A2142" s="25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</row>
    <row r="2143">
      <c r="A2143" s="25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</row>
    <row r="2144">
      <c r="A2144" s="25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</row>
    <row r="2145">
      <c r="A2145" s="25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</row>
    <row r="2146">
      <c r="A2146" s="25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</row>
    <row r="2147">
      <c r="A2147" s="25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</row>
    <row r="2148">
      <c r="A2148" s="25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</row>
    <row r="2149">
      <c r="A2149" s="25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</row>
    <row r="2150">
      <c r="A2150" s="25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</row>
  </sheetData>
  <mergeCells count="22">
    <mergeCell ref="F6:G6"/>
    <mergeCell ref="F7:G7"/>
    <mergeCell ref="D6:E6"/>
    <mergeCell ref="H6:I6"/>
    <mergeCell ref="H7:I7"/>
    <mergeCell ref="H8:I8"/>
    <mergeCell ref="J6:K6"/>
    <mergeCell ref="J7:K7"/>
    <mergeCell ref="L4:O4"/>
    <mergeCell ref="L6:M6"/>
    <mergeCell ref="L7:M7"/>
    <mergeCell ref="L8:M8"/>
    <mergeCell ref="N6:O6"/>
    <mergeCell ref="N7:O7"/>
    <mergeCell ref="N8:O8"/>
    <mergeCell ref="B6:C6"/>
    <mergeCell ref="B7:C7"/>
    <mergeCell ref="B8:C8"/>
    <mergeCell ref="D7:E7"/>
    <mergeCell ref="D8:E8"/>
    <mergeCell ref="F8:G8"/>
    <mergeCell ref="J8:K8"/>
  </mergeCells>
  <dataValidations>
    <dataValidation type="list" allowBlank="1" sqref="G4">
      <formula1>LISTAS!$B$1:$B$600</formula1>
    </dataValidation>
    <dataValidation type="list" allowBlank="1" sqref="K4">
      <formula1>LISTAS!$F$1:$F$600</formula1>
    </dataValidation>
    <dataValidation type="decimal" allowBlank="1" showDropDown="1" showInputMessage="1" showErrorMessage="1" prompt="Informe o prazo em dias ou deixe vazio." sqref="D4:E4">
      <formula1>0.0</formula1>
      <formula2>999.0</formula2>
    </dataValidation>
    <dataValidation type="list" allowBlank="1" sqref="F4">
      <formula1>LISTAS!$A$1:$A$600</formula1>
    </dataValidation>
    <dataValidation type="list" allowBlank="1" sqref="J4">
      <formula1>LISTAS!$E$1:$E$600</formula1>
    </dataValidation>
    <dataValidation type="custom" allowBlank="1" showDropDown="1" showInputMessage="1" showErrorMessage="1" prompt="Informe uma data (dd/mm/aaaa) ou deixe vazio." sqref="B4:C4">
      <formula1>OR(NOT(ISERROR(DATEVALUE(B4))), AND(ISNUMBER(B4), LEFT(CELL("format", B4))="D"))</formula1>
    </dataValidation>
    <dataValidation type="list" allowBlank="1" sqref="I4">
      <formula1>LISTAS!$D$1:$D$600</formula1>
    </dataValidation>
    <dataValidation type="list" allowBlank="1" sqref="H4">
      <formula1>LISTAS!$C$1:$C$600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6DB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88"/>
    <col customWidth="1" min="2" max="7" width="15.13"/>
  </cols>
  <sheetData>
    <row r="1">
      <c r="A1" s="2" t="s">
        <v>1</v>
      </c>
    </row>
    <row r="2">
      <c r="A2" s="4" t="s">
        <v>4</v>
      </c>
    </row>
    <row r="4">
      <c r="A4" s="10" t="str">
        <f>IFERROR(__xludf.DUMMYFUNCTION("IFERROR(QUERY(DADOS!$A$1:$V$5001,""select Col4, count(Col7), sum(Col17), sum(Col16), avg(Col3), min(Col3), max(Col3) where Col22 = true and Col4 &lt;&gt; '' group by Col4 order by count(Col7) desc, Col4 label Col4 'Destino', count(Col7) 'CT-es', sum(Col17) 'Vol"&amp;"umes', sum(Col16) 'Frete (R$)', avg(Col3) 'Prazo médio (dias)', min(Col3) 'Prazo mín.', max(Col3) 'Prazo máx.'"",1),""Nenhum registro"")"),"Destino")</f>
        <v>Destino</v>
      </c>
      <c r="B4" s="10" t="str">
        <f>IFERROR(__xludf.DUMMYFUNCTION("""COMPUTED_VALUE"""),"CT-es")</f>
        <v>CT-es</v>
      </c>
      <c r="C4" s="10" t="str">
        <f>IFERROR(__xludf.DUMMYFUNCTION("""COMPUTED_VALUE"""),"Volumes")</f>
        <v>Volumes</v>
      </c>
      <c r="D4" s="10" t="str">
        <f>IFERROR(__xludf.DUMMYFUNCTION("""COMPUTED_VALUE"""),"Frete (R$)")</f>
        <v>Frete (R$)</v>
      </c>
      <c r="E4" s="10" t="str">
        <f>IFERROR(__xludf.DUMMYFUNCTION("""COMPUTED_VALUE"""),"Prazo médio (dias)")</f>
        <v>Prazo médio (dias)</v>
      </c>
      <c r="F4" s="10" t="str">
        <f>IFERROR(__xludf.DUMMYFUNCTION("""COMPUTED_VALUE"""),"Prazo mín.")</f>
        <v>Prazo mín.</v>
      </c>
      <c r="G4" s="10" t="str">
        <f>IFERROR(__xludf.DUMMYFUNCTION("""COMPUTED_VALUE"""),"Prazo máx.")</f>
        <v>Prazo máx.</v>
      </c>
    </row>
    <row r="5">
      <c r="A5" s="15" t="str">
        <f>IFERROR(__xludf.DUMMYFUNCTION("""COMPUTED_VALUE"""),"ABS")</f>
        <v>ABS</v>
      </c>
      <c r="B5" s="15">
        <f>IFERROR(__xludf.DUMMYFUNCTION("""COMPUTED_VALUE"""),1.0)</f>
        <v>1</v>
      </c>
      <c r="C5" s="15">
        <f>IFERROR(__xludf.DUMMYFUNCTION("""COMPUTED_VALUE"""),1.0)</f>
        <v>1</v>
      </c>
      <c r="D5" s="16">
        <f>IFERROR(__xludf.DUMMYFUNCTION("""COMPUTED_VALUE"""),191.58)</f>
        <v>191.58</v>
      </c>
      <c r="E5" s="17">
        <f>IFERROR(__xludf.DUMMYFUNCTION("""COMPUTED_VALUE"""),10.0)</f>
        <v>10</v>
      </c>
      <c r="F5" s="15">
        <f>IFERROR(__xludf.DUMMYFUNCTION("""COMPUTED_VALUE"""),10.0)</f>
        <v>10</v>
      </c>
      <c r="G5" s="15">
        <f>IFERROR(__xludf.DUMMYFUNCTION("""COMPUTED_VALUE"""),10.0)</f>
        <v>10</v>
      </c>
    </row>
    <row r="6">
      <c r="A6" s="15" t="str">
        <f>IFERROR(__xludf.DUMMYFUNCTION("""COMPUTED_VALUE"""),"BAU")</f>
        <v>BAU</v>
      </c>
      <c r="B6" s="15">
        <f>IFERROR(__xludf.DUMMYFUNCTION("""COMPUTED_VALUE"""),1.0)</f>
        <v>1</v>
      </c>
      <c r="C6" s="15">
        <f>IFERROR(__xludf.DUMMYFUNCTION("""COMPUTED_VALUE"""),2.0)</f>
        <v>2</v>
      </c>
      <c r="D6" s="16">
        <f>IFERROR(__xludf.DUMMYFUNCTION("""COMPUTED_VALUE"""),127.64)</f>
        <v>127.64</v>
      </c>
      <c r="E6" s="17">
        <f>IFERROR(__xludf.DUMMYFUNCTION("""COMPUTED_VALUE"""),10.0)</f>
        <v>10</v>
      </c>
      <c r="F6" s="15">
        <f>IFERROR(__xludf.DUMMYFUNCTION("""COMPUTED_VALUE"""),10.0)</f>
        <v>10</v>
      </c>
      <c r="G6" s="15">
        <f>IFERROR(__xludf.DUMMYFUNCTION("""COMPUTED_VALUE"""),10.0)</f>
        <v>10</v>
      </c>
    </row>
    <row r="7">
      <c r="A7" s="15" t="str">
        <f>IFERROR(__xludf.DUMMYFUNCTION("""COMPUTED_VALUE"""),"BHZ")</f>
        <v>BHZ</v>
      </c>
      <c r="B7" s="15">
        <f>IFERROR(__xludf.DUMMYFUNCTION("""COMPUTED_VALUE"""),1.0)</f>
        <v>1</v>
      </c>
      <c r="C7" s="15">
        <f>IFERROR(__xludf.DUMMYFUNCTION("""COMPUTED_VALUE"""),2.0)</f>
        <v>2</v>
      </c>
      <c r="D7" s="16">
        <f>IFERROR(__xludf.DUMMYFUNCTION("""COMPUTED_VALUE"""),118.41)</f>
        <v>118.41</v>
      </c>
      <c r="E7" s="17">
        <f>IFERROR(__xludf.DUMMYFUNCTION("""COMPUTED_VALUE"""),10.0)</f>
        <v>10</v>
      </c>
      <c r="F7" s="15">
        <f>IFERROR(__xludf.DUMMYFUNCTION("""COMPUTED_VALUE"""),10.0)</f>
        <v>10</v>
      </c>
      <c r="G7" s="15">
        <f>IFERROR(__xludf.DUMMYFUNCTION("""COMPUTED_VALUE"""),10.0)</f>
        <v>10</v>
      </c>
    </row>
    <row r="8">
      <c r="A8" s="15" t="str">
        <f>IFERROR(__xludf.DUMMYFUNCTION("""COMPUTED_VALUE"""),"BSB")</f>
        <v>BSB</v>
      </c>
      <c r="B8" s="15">
        <f>IFERROR(__xludf.DUMMYFUNCTION("""COMPUTED_VALUE"""),1.0)</f>
        <v>1</v>
      </c>
      <c r="C8" s="15">
        <f>IFERROR(__xludf.DUMMYFUNCTION("""COMPUTED_VALUE"""),1.0)</f>
        <v>1</v>
      </c>
      <c r="D8" s="16">
        <f>IFERROR(__xludf.DUMMYFUNCTION("""COMPUTED_VALUE"""),122.47)</f>
        <v>122.47</v>
      </c>
      <c r="E8" s="17">
        <f>IFERROR(__xludf.DUMMYFUNCTION("""COMPUTED_VALUE"""),10.0)</f>
        <v>10</v>
      </c>
      <c r="F8" s="15">
        <f>IFERROR(__xludf.DUMMYFUNCTION("""COMPUTED_VALUE"""),10.0)</f>
        <v>10</v>
      </c>
      <c r="G8" s="15">
        <f>IFERROR(__xludf.DUMMYFUNCTION("""COMPUTED_VALUE"""),10.0)</f>
        <v>10</v>
      </c>
    </row>
    <row r="9">
      <c r="A9" s="15" t="str">
        <f>IFERROR(__xludf.DUMMYFUNCTION("""COMPUTED_VALUE"""),"BUQ")</f>
        <v>BUQ</v>
      </c>
      <c r="B9" s="15">
        <f>IFERROR(__xludf.DUMMYFUNCTION("""COMPUTED_VALUE"""),1.0)</f>
        <v>1</v>
      </c>
      <c r="C9" s="15">
        <f>IFERROR(__xludf.DUMMYFUNCTION("""COMPUTED_VALUE"""),1.0)</f>
        <v>1</v>
      </c>
      <c r="D9" s="16">
        <f>IFERROR(__xludf.DUMMYFUNCTION("""COMPUTED_VALUE"""),155.51)</f>
        <v>155.51</v>
      </c>
      <c r="E9" s="17">
        <f>IFERROR(__xludf.DUMMYFUNCTION("""COMPUTED_VALUE"""),12.0)</f>
        <v>12</v>
      </c>
      <c r="F9" s="15">
        <f>IFERROR(__xludf.DUMMYFUNCTION("""COMPUTED_VALUE"""),12.0)</f>
        <v>12</v>
      </c>
      <c r="G9" s="15">
        <f>IFERROR(__xludf.DUMMYFUNCTION("""COMPUTED_VALUE"""),12.0)</f>
        <v>12</v>
      </c>
    </row>
    <row r="10">
      <c r="A10" s="15" t="str">
        <f>IFERROR(__xludf.DUMMYFUNCTION("""COMPUTED_VALUE"""),"FSA")</f>
        <v>FSA</v>
      </c>
      <c r="B10" s="15">
        <f>IFERROR(__xludf.DUMMYFUNCTION("""COMPUTED_VALUE"""),1.0)</f>
        <v>1</v>
      </c>
      <c r="C10" s="15">
        <f>IFERROR(__xludf.DUMMYFUNCTION("""COMPUTED_VALUE"""),1.0)</f>
        <v>1</v>
      </c>
      <c r="D10" s="16">
        <f>IFERROR(__xludf.DUMMYFUNCTION("""COMPUTED_VALUE"""),131.21)</f>
        <v>131.21</v>
      </c>
      <c r="E10" s="17">
        <f>IFERROR(__xludf.DUMMYFUNCTION("""COMPUTED_VALUE"""),8.0)</f>
        <v>8</v>
      </c>
      <c r="F10" s="15">
        <f>IFERROR(__xludf.DUMMYFUNCTION("""COMPUTED_VALUE"""),8.0)</f>
        <v>8</v>
      </c>
      <c r="G10" s="15">
        <f>IFERROR(__xludf.DUMMYFUNCTION("""COMPUTED_VALUE"""),8.0)</f>
        <v>8</v>
      </c>
    </row>
    <row r="11">
      <c r="A11" s="15" t="str">
        <f>IFERROR(__xludf.DUMMYFUNCTION("""COMPUTED_VALUE"""),"ITJ")</f>
        <v>ITJ</v>
      </c>
      <c r="B11" s="15">
        <f>IFERROR(__xludf.DUMMYFUNCTION("""COMPUTED_VALUE"""),1.0)</f>
        <v>1</v>
      </c>
      <c r="C11" s="15">
        <f>IFERROR(__xludf.DUMMYFUNCTION("""COMPUTED_VALUE"""),1.0)</f>
        <v>1</v>
      </c>
      <c r="D11" s="16">
        <f>IFERROR(__xludf.DUMMYFUNCTION("""COMPUTED_VALUE"""),139.21)</f>
        <v>139.21</v>
      </c>
      <c r="E11" s="17">
        <f>IFERROR(__xludf.DUMMYFUNCTION("""COMPUTED_VALUE"""),11.0)</f>
        <v>11</v>
      </c>
      <c r="F11" s="15">
        <f>IFERROR(__xludf.DUMMYFUNCTION("""COMPUTED_VALUE"""),11.0)</f>
        <v>11</v>
      </c>
      <c r="G11" s="15">
        <f>IFERROR(__xludf.DUMMYFUNCTION("""COMPUTED_VALUE"""),11.0)</f>
        <v>11</v>
      </c>
    </row>
    <row r="12">
      <c r="A12" s="15" t="str">
        <f>IFERROR(__xludf.DUMMYFUNCTION("""COMPUTED_VALUE"""),"MCZ")</f>
        <v>MCZ</v>
      </c>
      <c r="B12" s="15">
        <f>IFERROR(__xludf.DUMMYFUNCTION("""COMPUTED_VALUE"""),1.0)</f>
        <v>1</v>
      </c>
      <c r="C12" s="15">
        <f>IFERROR(__xludf.DUMMYFUNCTION("""COMPUTED_VALUE"""),3.0)</f>
        <v>3</v>
      </c>
      <c r="D12" s="16">
        <f>IFERROR(__xludf.DUMMYFUNCTION("""COMPUTED_VALUE"""),85.87)</f>
        <v>85.87</v>
      </c>
      <c r="E12" s="17">
        <f>IFERROR(__xludf.DUMMYFUNCTION("""COMPUTED_VALUE"""),9.0)</f>
        <v>9</v>
      </c>
      <c r="F12" s="15">
        <f>IFERROR(__xludf.DUMMYFUNCTION("""COMPUTED_VALUE"""),9.0)</f>
        <v>9</v>
      </c>
      <c r="G12" s="15">
        <f>IFERROR(__xludf.DUMMYFUNCTION("""COMPUTED_VALUE"""),9.0)</f>
        <v>9</v>
      </c>
    </row>
    <row r="13">
      <c r="A13" s="15" t="str">
        <f>IFERROR(__xludf.DUMMYFUNCTION("""COMPUTED_VALUE"""),"NAT")</f>
        <v>NAT</v>
      </c>
      <c r="B13" s="15">
        <f>IFERROR(__xludf.DUMMYFUNCTION("""COMPUTED_VALUE"""),1.0)</f>
        <v>1</v>
      </c>
      <c r="C13" s="15">
        <f>IFERROR(__xludf.DUMMYFUNCTION("""COMPUTED_VALUE"""),2.0)</f>
        <v>2</v>
      </c>
      <c r="D13" s="16">
        <f>IFERROR(__xludf.DUMMYFUNCTION("""COMPUTED_VALUE"""),96.56)</f>
        <v>96.56</v>
      </c>
      <c r="E13" s="17">
        <f>IFERROR(__xludf.DUMMYFUNCTION("""COMPUTED_VALUE"""),9.0)</f>
        <v>9</v>
      </c>
      <c r="F13" s="15">
        <f>IFERROR(__xludf.DUMMYFUNCTION("""COMPUTED_VALUE"""),9.0)</f>
        <v>9</v>
      </c>
      <c r="G13" s="15">
        <f>IFERROR(__xludf.DUMMYFUNCTION("""COMPUTED_VALUE"""),9.0)</f>
        <v>9</v>
      </c>
    </row>
    <row r="14">
      <c r="A14" s="15" t="str">
        <f>IFERROR(__xludf.DUMMYFUNCTION("""COMPUTED_VALUE"""),"REC")</f>
        <v>REC</v>
      </c>
      <c r="B14" s="15">
        <f>IFERROR(__xludf.DUMMYFUNCTION("""COMPUTED_VALUE"""),1.0)</f>
        <v>1</v>
      </c>
      <c r="C14" s="15">
        <f>IFERROR(__xludf.DUMMYFUNCTION("""COMPUTED_VALUE"""),1.0)</f>
        <v>1</v>
      </c>
      <c r="D14" s="16">
        <f>IFERROR(__xludf.DUMMYFUNCTION("""COMPUTED_VALUE"""),173.6)</f>
        <v>173.6</v>
      </c>
      <c r="E14" s="17">
        <f>IFERROR(__xludf.DUMMYFUNCTION("""COMPUTED_VALUE"""),9.0)</f>
        <v>9</v>
      </c>
      <c r="F14" s="15">
        <f>IFERROR(__xludf.DUMMYFUNCTION("""COMPUTED_VALUE"""),9.0)</f>
        <v>9</v>
      </c>
      <c r="G14" s="15">
        <f>IFERROR(__xludf.DUMMYFUNCTION("""COMPUTED_VALUE"""),9.0)</f>
        <v>9</v>
      </c>
    </row>
    <row r="15">
      <c r="A15" s="15" t="str">
        <f>IFERROR(__xludf.DUMMYFUNCTION("""COMPUTED_VALUE"""),"RIO")</f>
        <v>RIO</v>
      </c>
      <c r="B15" s="15">
        <f>IFERROR(__xludf.DUMMYFUNCTION("""COMPUTED_VALUE"""),1.0)</f>
        <v>1</v>
      </c>
      <c r="C15" s="15">
        <f>IFERROR(__xludf.DUMMYFUNCTION("""COMPUTED_VALUE"""),1.0)</f>
        <v>1</v>
      </c>
      <c r="D15" s="16">
        <f>IFERROR(__xludf.DUMMYFUNCTION("""COMPUTED_VALUE"""),103.77)</f>
        <v>103.77</v>
      </c>
      <c r="E15" s="17">
        <f>IFERROR(__xludf.DUMMYFUNCTION("""COMPUTED_VALUE"""),10.0)</f>
        <v>10</v>
      </c>
      <c r="F15" s="15">
        <f>IFERROR(__xludf.DUMMYFUNCTION("""COMPUTED_VALUE"""),10.0)</f>
        <v>10</v>
      </c>
      <c r="G15" s="15">
        <f>IFERROR(__xludf.DUMMYFUNCTION("""COMPUTED_VALUE"""),10.0)</f>
        <v>10</v>
      </c>
    </row>
    <row r="16">
      <c r="D16" s="16"/>
      <c r="E16" s="17"/>
    </row>
    <row r="17">
      <c r="D17" s="16"/>
      <c r="E17" s="17"/>
    </row>
    <row r="18">
      <c r="D18" s="16"/>
      <c r="E18" s="17"/>
    </row>
    <row r="19">
      <c r="D19" s="16"/>
      <c r="E19" s="17"/>
    </row>
    <row r="20">
      <c r="D20" s="16"/>
      <c r="E20" s="17"/>
    </row>
    <row r="21">
      <c r="D21" s="16"/>
      <c r="E21" s="17"/>
    </row>
    <row r="22">
      <c r="D22" s="16"/>
      <c r="E22" s="17"/>
    </row>
    <row r="23">
      <c r="D23" s="16"/>
      <c r="E23" s="17"/>
    </row>
    <row r="24">
      <c r="D24" s="16"/>
      <c r="E24" s="17"/>
    </row>
    <row r="25">
      <c r="D25" s="16"/>
      <c r="E25" s="17"/>
    </row>
    <row r="26">
      <c r="D26" s="16"/>
      <c r="E26" s="17"/>
    </row>
    <row r="27">
      <c r="D27" s="16"/>
      <c r="E27" s="17"/>
    </row>
    <row r="28">
      <c r="D28" s="16"/>
      <c r="E28" s="17"/>
    </row>
    <row r="29">
      <c r="D29" s="16"/>
      <c r="E29" s="17"/>
    </row>
    <row r="30">
      <c r="D30" s="16"/>
      <c r="E30" s="17"/>
    </row>
    <row r="31">
      <c r="D31" s="16"/>
      <c r="E31" s="17"/>
    </row>
    <row r="32">
      <c r="D32" s="16"/>
      <c r="E32" s="17"/>
    </row>
    <row r="33">
      <c r="D33" s="16"/>
      <c r="E33" s="17"/>
    </row>
    <row r="34">
      <c r="D34" s="16"/>
      <c r="E34" s="17"/>
    </row>
    <row r="35">
      <c r="D35" s="16"/>
      <c r="E35" s="17"/>
    </row>
    <row r="36">
      <c r="D36" s="16"/>
      <c r="E36" s="17"/>
    </row>
    <row r="37">
      <c r="D37" s="16"/>
      <c r="E37" s="17"/>
    </row>
    <row r="38">
      <c r="D38" s="16"/>
      <c r="E38" s="17"/>
    </row>
    <row r="39">
      <c r="D39" s="16"/>
      <c r="E39" s="17"/>
    </row>
    <row r="40">
      <c r="D40" s="16"/>
      <c r="E40" s="17"/>
    </row>
    <row r="41">
      <c r="D41" s="16"/>
      <c r="E41" s="17"/>
    </row>
    <row r="42">
      <c r="D42" s="16"/>
      <c r="E42" s="17"/>
    </row>
    <row r="43">
      <c r="D43" s="16"/>
      <c r="E43" s="17"/>
    </row>
    <row r="44">
      <c r="D44" s="16"/>
      <c r="E44" s="17"/>
    </row>
    <row r="45">
      <c r="D45" s="16"/>
      <c r="E45" s="17"/>
    </row>
    <row r="46">
      <c r="D46" s="16"/>
      <c r="E46" s="17"/>
    </row>
    <row r="47">
      <c r="D47" s="16"/>
      <c r="E47" s="17"/>
    </row>
    <row r="48">
      <c r="D48" s="16"/>
      <c r="E48" s="17"/>
    </row>
    <row r="49">
      <c r="D49" s="16"/>
      <c r="E49" s="17"/>
    </row>
    <row r="50">
      <c r="D50" s="16"/>
      <c r="E50" s="17"/>
    </row>
    <row r="51">
      <c r="D51" s="16"/>
      <c r="E51" s="17"/>
    </row>
    <row r="52">
      <c r="D52" s="16"/>
      <c r="E52" s="17"/>
    </row>
    <row r="53">
      <c r="D53" s="16"/>
      <c r="E53" s="17"/>
    </row>
    <row r="54">
      <c r="D54" s="16"/>
      <c r="E54" s="17"/>
    </row>
    <row r="55">
      <c r="D55" s="16"/>
      <c r="E55" s="17"/>
    </row>
    <row r="56">
      <c r="D56" s="16"/>
      <c r="E56" s="17"/>
    </row>
    <row r="57">
      <c r="D57" s="16"/>
      <c r="E57" s="17"/>
    </row>
    <row r="58">
      <c r="D58" s="16"/>
      <c r="E58" s="17"/>
    </row>
    <row r="59">
      <c r="D59" s="16"/>
      <c r="E59" s="17"/>
    </row>
    <row r="60">
      <c r="D60" s="16"/>
      <c r="E60" s="17"/>
    </row>
    <row r="61">
      <c r="D61" s="16"/>
      <c r="E61" s="17"/>
    </row>
    <row r="62">
      <c r="D62" s="16"/>
      <c r="E62" s="17"/>
    </row>
    <row r="63">
      <c r="D63" s="16"/>
      <c r="E63" s="17"/>
    </row>
    <row r="64">
      <c r="D64" s="16"/>
      <c r="E64" s="17"/>
    </row>
    <row r="65">
      <c r="D65" s="16"/>
      <c r="E65" s="17"/>
    </row>
    <row r="66">
      <c r="D66" s="16"/>
      <c r="E66" s="17"/>
    </row>
    <row r="67">
      <c r="D67" s="16"/>
      <c r="E67" s="17"/>
    </row>
    <row r="68">
      <c r="D68" s="16"/>
      <c r="E68" s="17"/>
    </row>
    <row r="69">
      <c r="D69" s="16"/>
      <c r="E69" s="17"/>
    </row>
    <row r="70">
      <c r="D70" s="16"/>
      <c r="E70" s="17"/>
    </row>
    <row r="71">
      <c r="D71" s="16"/>
      <c r="E71" s="17"/>
    </row>
    <row r="72">
      <c r="D72" s="16"/>
      <c r="E72" s="17"/>
    </row>
    <row r="73">
      <c r="D73" s="16"/>
      <c r="E73" s="17"/>
    </row>
    <row r="74">
      <c r="D74" s="16"/>
      <c r="E74" s="17"/>
    </row>
    <row r="75">
      <c r="D75" s="16"/>
      <c r="E75" s="17"/>
    </row>
    <row r="76">
      <c r="D76" s="16"/>
      <c r="E76" s="17"/>
    </row>
    <row r="77">
      <c r="D77" s="16"/>
      <c r="E77" s="17"/>
    </row>
    <row r="78">
      <c r="D78" s="16"/>
      <c r="E78" s="17"/>
    </row>
    <row r="79">
      <c r="D79" s="16"/>
      <c r="E79" s="17"/>
    </row>
    <row r="80">
      <c r="D80" s="16"/>
      <c r="E80" s="17"/>
    </row>
    <row r="81">
      <c r="D81" s="16"/>
      <c r="E81" s="17"/>
    </row>
    <row r="82">
      <c r="D82" s="16"/>
      <c r="E82" s="17"/>
    </row>
    <row r="83">
      <c r="D83" s="16"/>
      <c r="E83" s="17"/>
    </row>
    <row r="84">
      <c r="D84" s="16"/>
      <c r="E84" s="17"/>
    </row>
    <row r="85">
      <c r="D85" s="16"/>
      <c r="E85" s="17"/>
    </row>
    <row r="86">
      <c r="D86" s="16"/>
      <c r="E86" s="17"/>
    </row>
    <row r="87">
      <c r="D87" s="16"/>
      <c r="E87" s="17"/>
    </row>
    <row r="88">
      <c r="D88" s="16"/>
      <c r="E88" s="17"/>
    </row>
    <row r="89">
      <c r="D89" s="16"/>
      <c r="E89" s="17"/>
    </row>
    <row r="90">
      <c r="D90" s="16"/>
      <c r="E90" s="17"/>
    </row>
    <row r="91">
      <c r="D91" s="16"/>
      <c r="E91" s="17"/>
    </row>
    <row r="92">
      <c r="D92" s="16"/>
      <c r="E92" s="17"/>
    </row>
    <row r="93">
      <c r="D93" s="16"/>
      <c r="E93" s="17"/>
    </row>
    <row r="94">
      <c r="D94" s="16"/>
      <c r="E94" s="17"/>
    </row>
    <row r="95">
      <c r="D95" s="16"/>
      <c r="E95" s="17"/>
    </row>
    <row r="96">
      <c r="D96" s="16"/>
      <c r="E96" s="17"/>
    </row>
    <row r="97">
      <c r="D97" s="16"/>
      <c r="E97" s="17"/>
    </row>
    <row r="98">
      <c r="D98" s="16"/>
      <c r="E98" s="17"/>
    </row>
    <row r="99">
      <c r="D99" s="16"/>
      <c r="E99" s="17"/>
    </row>
    <row r="100">
      <c r="D100" s="16"/>
      <c r="E100" s="17"/>
    </row>
    <row r="101">
      <c r="D101" s="16"/>
      <c r="E101" s="17"/>
    </row>
    <row r="102">
      <c r="D102" s="16"/>
      <c r="E102" s="17"/>
    </row>
    <row r="103">
      <c r="D103" s="16"/>
      <c r="E103" s="17"/>
    </row>
    <row r="104">
      <c r="D104" s="16"/>
      <c r="E104" s="17"/>
    </row>
    <row r="105">
      <c r="D105" s="16"/>
      <c r="E105" s="17"/>
    </row>
    <row r="106">
      <c r="D106" s="16"/>
      <c r="E106" s="17"/>
    </row>
    <row r="107">
      <c r="D107" s="16"/>
      <c r="E107" s="17"/>
    </row>
    <row r="108">
      <c r="D108" s="16"/>
      <c r="E108" s="17"/>
    </row>
    <row r="109">
      <c r="D109" s="16"/>
      <c r="E109" s="17"/>
    </row>
    <row r="110">
      <c r="D110" s="16"/>
      <c r="E110" s="17"/>
    </row>
    <row r="111">
      <c r="D111" s="16"/>
      <c r="E111" s="17"/>
    </row>
    <row r="112">
      <c r="D112" s="16"/>
      <c r="E112" s="17"/>
    </row>
    <row r="113">
      <c r="D113" s="16"/>
      <c r="E113" s="17"/>
    </row>
    <row r="114">
      <c r="D114" s="16"/>
      <c r="E114" s="17"/>
    </row>
    <row r="115">
      <c r="D115" s="16"/>
      <c r="E115" s="17"/>
    </row>
    <row r="116">
      <c r="D116" s="16"/>
      <c r="E116" s="17"/>
    </row>
    <row r="117">
      <c r="D117" s="16"/>
      <c r="E117" s="17"/>
    </row>
    <row r="118">
      <c r="D118" s="16"/>
      <c r="E118" s="17"/>
    </row>
    <row r="119">
      <c r="D119" s="16"/>
      <c r="E119" s="17"/>
    </row>
    <row r="120">
      <c r="D120" s="16"/>
      <c r="E120" s="17"/>
    </row>
    <row r="121">
      <c r="D121" s="16"/>
      <c r="E121" s="17"/>
    </row>
    <row r="122">
      <c r="D122" s="16"/>
      <c r="E122" s="17"/>
    </row>
    <row r="123">
      <c r="D123" s="16"/>
      <c r="E123" s="17"/>
    </row>
    <row r="124">
      <c r="D124" s="16"/>
      <c r="E124" s="17"/>
    </row>
    <row r="125">
      <c r="D125" s="16"/>
      <c r="E125" s="17"/>
    </row>
    <row r="126">
      <c r="D126" s="16"/>
      <c r="E126" s="17"/>
    </row>
    <row r="127">
      <c r="D127" s="16"/>
      <c r="E127" s="17"/>
    </row>
    <row r="128">
      <c r="D128" s="16"/>
      <c r="E128" s="17"/>
    </row>
    <row r="129">
      <c r="D129" s="16"/>
      <c r="E129" s="17"/>
    </row>
    <row r="130">
      <c r="D130" s="16"/>
      <c r="E130" s="17"/>
    </row>
    <row r="131">
      <c r="D131" s="16"/>
      <c r="E131" s="17"/>
    </row>
    <row r="132">
      <c r="D132" s="16"/>
      <c r="E132" s="17"/>
    </row>
    <row r="133">
      <c r="D133" s="16"/>
      <c r="E133" s="17"/>
    </row>
    <row r="134">
      <c r="D134" s="16"/>
      <c r="E134" s="17"/>
    </row>
    <row r="135">
      <c r="D135" s="16"/>
      <c r="E135" s="17"/>
    </row>
    <row r="136">
      <c r="D136" s="16"/>
      <c r="E136" s="17"/>
    </row>
    <row r="137">
      <c r="D137" s="16"/>
      <c r="E137" s="17"/>
    </row>
    <row r="138">
      <c r="D138" s="16"/>
      <c r="E138" s="17"/>
    </row>
    <row r="139">
      <c r="D139" s="16"/>
      <c r="E139" s="17"/>
    </row>
    <row r="140">
      <c r="D140" s="16"/>
      <c r="E140" s="17"/>
    </row>
    <row r="141">
      <c r="D141" s="16"/>
      <c r="E141" s="17"/>
    </row>
    <row r="142">
      <c r="D142" s="16"/>
      <c r="E142" s="17"/>
    </row>
    <row r="143">
      <c r="D143" s="16"/>
      <c r="E143" s="17"/>
    </row>
    <row r="144">
      <c r="D144" s="16"/>
      <c r="E144" s="17"/>
    </row>
    <row r="145">
      <c r="D145" s="16"/>
      <c r="E145" s="17"/>
    </row>
    <row r="146">
      <c r="D146" s="16"/>
      <c r="E146" s="17"/>
    </row>
    <row r="147">
      <c r="D147" s="16"/>
      <c r="E147" s="17"/>
    </row>
    <row r="148">
      <c r="D148" s="16"/>
      <c r="E148" s="17"/>
    </row>
    <row r="149">
      <c r="D149" s="16"/>
      <c r="E149" s="17"/>
    </row>
    <row r="150">
      <c r="D150" s="16"/>
      <c r="E150" s="17"/>
    </row>
    <row r="151">
      <c r="D151" s="16"/>
      <c r="E151" s="17"/>
    </row>
    <row r="152">
      <c r="D152" s="16"/>
      <c r="E152" s="17"/>
    </row>
    <row r="153">
      <c r="D153" s="16"/>
      <c r="E153" s="17"/>
    </row>
    <row r="154">
      <c r="D154" s="16"/>
      <c r="E154" s="17"/>
    </row>
    <row r="155">
      <c r="D155" s="16"/>
      <c r="E155" s="17"/>
    </row>
    <row r="156">
      <c r="D156" s="16"/>
      <c r="E156" s="17"/>
    </row>
    <row r="157">
      <c r="D157" s="16"/>
      <c r="E157" s="17"/>
    </row>
    <row r="158">
      <c r="D158" s="16"/>
      <c r="E158" s="17"/>
    </row>
    <row r="159">
      <c r="D159" s="16"/>
      <c r="E159" s="17"/>
    </row>
    <row r="160">
      <c r="D160" s="16"/>
      <c r="E160" s="17"/>
    </row>
    <row r="161">
      <c r="D161" s="16"/>
      <c r="E161" s="17"/>
    </row>
    <row r="162">
      <c r="D162" s="16"/>
      <c r="E162" s="17"/>
    </row>
    <row r="163">
      <c r="D163" s="16"/>
      <c r="E163" s="17"/>
    </row>
    <row r="164">
      <c r="D164" s="16"/>
      <c r="E164" s="17"/>
    </row>
    <row r="165">
      <c r="D165" s="16"/>
      <c r="E165" s="17"/>
    </row>
    <row r="166">
      <c r="D166" s="16"/>
      <c r="E166" s="17"/>
    </row>
    <row r="167">
      <c r="D167" s="16"/>
      <c r="E167" s="17"/>
    </row>
    <row r="168">
      <c r="D168" s="16"/>
      <c r="E168" s="17"/>
    </row>
    <row r="169">
      <c r="D169" s="16"/>
      <c r="E169" s="17"/>
    </row>
    <row r="170">
      <c r="D170" s="16"/>
      <c r="E170" s="17"/>
    </row>
    <row r="171">
      <c r="D171" s="16"/>
      <c r="E171" s="17"/>
    </row>
    <row r="172">
      <c r="D172" s="16"/>
      <c r="E172" s="17"/>
    </row>
    <row r="173">
      <c r="D173" s="16"/>
      <c r="E173" s="17"/>
    </row>
    <row r="174">
      <c r="D174" s="16"/>
      <c r="E174" s="17"/>
    </row>
    <row r="175">
      <c r="D175" s="16"/>
      <c r="E175" s="17"/>
    </row>
    <row r="176">
      <c r="D176" s="16"/>
      <c r="E176" s="17"/>
    </row>
    <row r="177">
      <c r="D177" s="16"/>
      <c r="E177" s="17"/>
    </row>
    <row r="178">
      <c r="D178" s="16"/>
      <c r="E178" s="17"/>
    </row>
    <row r="179">
      <c r="D179" s="16"/>
      <c r="E179" s="17"/>
    </row>
    <row r="180">
      <c r="D180" s="16"/>
      <c r="E180" s="17"/>
    </row>
    <row r="181">
      <c r="D181" s="16"/>
      <c r="E181" s="17"/>
    </row>
    <row r="182">
      <c r="D182" s="16"/>
      <c r="E182" s="17"/>
    </row>
    <row r="183">
      <c r="D183" s="16"/>
      <c r="E183" s="17"/>
    </row>
    <row r="184">
      <c r="D184" s="16"/>
      <c r="E184" s="17"/>
    </row>
    <row r="185">
      <c r="D185" s="16"/>
      <c r="E185" s="17"/>
    </row>
    <row r="186">
      <c r="D186" s="16"/>
      <c r="E186" s="17"/>
    </row>
    <row r="187">
      <c r="D187" s="16"/>
      <c r="E187" s="17"/>
    </row>
    <row r="188">
      <c r="D188" s="16"/>
      <c r="E188" s="17"/>
    </row>
    <row r="189">
      <c r="D189" s="16"/>
      <c r="E189" s="17"/>
    </row>
    <row r="190">
      <c r="D190" s="16"/>
      <c r="E190" s="17"/>
    </row>
    <row r="191">
      <c r="D191" s="16"/>
      <c r="E191" s="17"/>
    </row>
    <row r="192">
      <c r="D192" s="16"/>
      <c r="E192" s="17"/>
    </row>
    <row r="193">
      <c r="D193" s="16"/>
      <c r="E193" s="17"/>
    </row>
    <row r="194">
      <c r="D194" s="16"/>
      <c r="E194" s="17"/>
    </row>
    <row r="195">
      <c r="D195" s="16"/>
      <c r="E195" s="17"/>
    </row>
    <row r="196">
      <c r="D196" s="16"/>
      <c r="E196" s="17"/>
    </row>
    <row r="197">
      <c r="D197" s="16"/>
      <c r="E197" s="17"/>
    </row>
    <row r="198">
      <c r="D198" s="16"/>
      <c r="E198" s="17"/>
    </row>
    <row r="199">
      <c r="D199" s="16"/>
      <c r="E199" s="17"/>
    </row>
    <row r="200">
      <c r="D200" s="16"/>
      <c r="E200" s="17"/>
    </row>
    <row r="201">
      <c r="D201" s="16"/>
      <c r="E201" s="17"/>
    </row>
    <row r="202">
      <c r="D202" s="16"/>
      <c r="E202" s="17"/>
    </row>
    <row r="203">
      <c r="D203" s="16"/>
      <c r="E203" s="17"/>
    </row>
    <row r="204">
      <c r="D204" s="16"/>
      <c r="E204" s="17"/>
    </row>
    <row r="205">
      <c r="D205" s="16"/>
      <c r="E205" s="17"/>
    </row>
    <row r="206">
      <c r="D206" s="16"/>
      <c r="E206" s="17"/>
    </row>
    <row r="207">
      <c r="D207" s="16"/>
      <c r="E207" s="17"/>
    </row>
    <row r="208">
      <c r="D208" s="16"/>
      <c r="E208" s="17"/>
    </row>
    <row r="209">
      <c r="D209" s="16"/>
      <c r="E209" s="17"/>
    </row>
    <row r="210">
      <c r="D210" s="16"/>
      <c r="E210" s="17"/>
    </row>
    <row r="211">
      <c r="D211" s="16"/>
      <c r="E211" s="17"/>
    </row>
    <row r="212">
      <c r="D212" s="16"/>
      <c r="E212" s="17"/>
    </row>
    <row r="213">
      <c r="D213" s="16"/>
      <c r="E213" s="17"/>
    </row>
    <row r="214">
      <c r="D214" s="16"/>
      <c r="E214" s="17"/>
    </row>
    <row r="215">
      <c r="D215" s="16"/>
      <c r="E215" s="17"/>
    </row>
    <row r="216">
      <c r="D216" s="16"/>
      <c r="E216" s="17"/>
    </row>
    <row r="217">
      <c r="D217" s="16"/>
      <c r="E217" s="17"/>
    </row>
    <row r="218">
      <c r="D218" s="16"/>
      <c r="E218" s="17"/>
    </row>
    <row r="219">
      <c r="D219" s="16"/>
      <c r="E219" s="17"/>
    </row>
    <row r="220">
      <c r="D220" s="16"/>
      <c r="E220" s="17"/>
    </row>
    <row r="221">
      <c r="D221" s="16"/>
      <c r="E221" s="17"/>
    </row>
    <row r="222">
      <c r="D222" s="16"/>
      <c r="E222" s="17"/>
    </row>
    <row r="223">
      <c r="D223" s="16"/>
      <c r="E223" s="17"/>
    </row>
    <row r="224">
      <c r="D224" s="16"/>
      <c r="E224" s="17"/>
    </row>
    <row r="225">
      <c r="D225" s="16"/>
      <c r="E225" s="17"/>
    </row>
    <row r="226">
      <c r="D226" s="16"/>
      <c r="E226" s="17"/>
    </row>
    <row r="227">
      <c r="D227" s="16"/>
      <c r="E227" s="17"/>
    </row>
    <row r="228">
      <c r="D228" s="16"/>
      <c r="E228" s="17"/>
    </row>
    <row r="229">
      <c r="D229" s="16"/>
      <c r="E229" s="17"/>
    </row>
    <row r="230">
      <c r="D230" s="16"/>
      <c r="E230" s="17"/>
    </row>
    <row r="231">
      <c r="D231" s="16"/>
      <c r="E231" s="17"/>
    </row>
    <row r="232">
      <c r="D232" s="16"/>
      <c r="E232" s="17"/>
    </row>
    <row r="233">
      <c r="D233" s="16"/>
      <c r="E233" s="17"/>
    </row>
    <row r="234">
      <c r="D234" s="16"/>
      <c r="E234" s="17"/>
    </row>
    <row r="235">
      <c r="D235" s="16"/>
      <c r="E235" s="17"/>
    </row>
    <row r="236">
      <c r="D236" s="16"/>
      <c r="E236" s="17"/>
    </row>
    <row r="237">
      <c r="D237" s="16"/>
      <c r="E237" s="17"/>
    </row>
    <row r="238">
      <c r="D238" s="16"/>
      <c r="E238" s="17"/>
    </row>
    <row r="239">
      <c r="D239" s="16"/>
      <c r="E239" s="17"/>
    </row>
    <row r="240">
      <c r="D240" s="16"/>
      <c r="E240" s="17"/>
    </row>
    <row r="241">
      <c r="D241" s="16"/>
      <c r="E241" s="17"/>
    </row>
    <row r="242">
      <c r="D242" s="16"/>
      <c r="E242" s="17"/>
    </row>
    <row r="243">
      <c r="D243" s="16"/>
      <c r="E243" s="17"/>
    </row>
    <row r="244">
      <c r="D244" s="16"/>
      <c r="E244" s="17"/>
    </row>
    <row r="245">
      <c r="D245" s="16"/>
      <c r="E245" s="17"/>
    </row>
    <row r="246">
      <c r="D246" s="16"/>
      <c r="E246" s="17"/>
    </row>
    <row r="247">
      <c r="D247" s="16"/>
      <c r="E247" s="17"/>
    </row>
    <row r="248">
      <c r="D248" s="16"/>
      <c r="E248" s="17"/>
    </row>
    <row r="249">
      <c r="D249" s="16"/>
      <c r="E249" s="17"/>
    </row>
    <row r="250">
      <c r="D250" s="16"/>
      <c r="E250" s="17"/>
    </row>
    <row r="251">
      <c r="D251" s="16"/>
      <c r="E251" s="17"/>
    </row>
    <row r="252">
      <c r="D252" s="16"/>
      <c r="E252" s="17"/>
    </row>
    <row r="253">
      <c r="D253" s="16"/>
      <c r="E253" s="17"/>
    </row>
    <row r="254">
      <c r="D254" s="16"/>
      <c r="E254" s="17"/>
    </row>
    <row r="255">
      <c r="D255" s="16"/>
      <c r="E255" s="17"/>
    </row>
    <row r="256">
      <c r="D256" s="16"/>
      <c r="E256" s="17"/>
    </row>
    <row r="257">
      <c r="D257" s="16"/>
      <c r="E257" s="17"/>
    </row>
    <row r="258">
      <c r="D258" s="16"/>
      <c r="E258" s="17"/>
    </row>
    <row r="259">
      <c r="D259" s="16"/>
      <c r="E259" s="17"/>
    </row>
    <row r="260">
      <c r="D260" s="16"/>
      <c r="E260" s="17"/>
    </row>
    <row r="261">
      <c r="D261" s="16"/>
      <c r="E261" s="17"/>
    </row>
    <row r="262">
      <c r="D262" s="16"/>
      <c r="E262" s="17"/>
    </row>
    <row r="263">
      <c r="D263" s="16"/>
      <c r="E263" s="17"/>
    </row>
    <row r="264">
      <c r="D264" s="16"/>
      <c r="E264" s="17"/>
    </row>
    <row r="265">
      <c r="D265" s="16"/>
      <c r="E265" s="17"/>
    </row>
    <row r="266">
      <c r="D266" s="16"/>
      <c r="E266" s="17"/>
    </row>
    <row r="267">
      <c r="D267" s="16"/>
      <c r="E267" s="17"/>
    </row>
    <row r="268">
      <c r="D268" s="16"/>
      <c r="E268" s="17"/>
    </row>
    <row r="269">
      <c r="D269" s="16"/>
      <c r="E269" s="17"/>
    </row>
    <row r="270">
      <c r="D270" s="16"/>
      <c r="E270" s="17"/>
    </row>
    <row r="271">
      <c r="D271" s="16"/>
      <c r="E271" s="17"/>
    </row>
    <row r="272">
      <c r="D272" s="16"/>
      <c r="E272" s="17"/>
    </row>
    <row r="273">
      <c r="D273" s="16"/>
      <c r="E273" s="17"/>
    </row>
    <row r="274">
      <c r="D274" s="16"/>
      <c r="E274" s="17"/>
    </row>
    <row r="275">
      <c r="D275" s="16"/>
      <c r="E275" s="17"/>
    </row>
    <row r="276">
      <c r="D276" s="16"/>
      <c r="E276" s="17"/>
    </row>
    <row r="277">
      <c r="D277" s="16"/>
      <c r="E277" s="17"/>
    </row>
    <row r="278">
      <c r="D278" s="16"/>
      <c r="E278" s="17"/>
    </row>
    <row r="279">
      <c r="D279" s="16"/>
      <c r="E279" s="17"/>
    </row>
    <row r="280">
      <c r="D280" s="16"/>
      <c r="E280" s="17"/>
    </row>
    <row r="281">
      <c r="D281" s="16"/>
      <c r="E281" s="17"/>
    </row>
    <row r="282">
      <c r="D282" s="16"/>
      <c r="E282" s="17"/>
    </row>
    <row r="283">
      <c r="D283" s="16"/>
      <c r="E283" s="17"/>
    </row>
    <row r="284">
      <c r="D284" s="16"/>
      <c r="E284" s="17"/>
    </row>
    <row r="285">
      <c r="D285" s="16"/>
      <c r="E285" s="17"/>
    </row>
    <row r="286">
      <c r="D286" s="16"/>
      <c r="E286" s="17"/>
    </row>
    <row r="287">
      <c r="D287" s="16"/>
      <c r="E287" s="17"/>
    </row>
    <row r="288">
      <c r="D288" s="16"/>
      <c r="E288" s="17"/>
    </row>
    <row r="289">
      <c r="D289" s="16"/>
      <c r="E289" s="17"/>
    </row>
    <row r="290">
      <c r="D290" s="16"/>
      <c r="E290" s="17"/>
    </row>
    <row r="291">
      <c r="D291" s="16"/>
      <c r="E291" s="17"/>
    </row>
    <row r="292">
      <c r="D292" s="16"/>
      <c r="E292" s="17"/>
    </row>
    <row r="293">
      <c r="D293" s="16"/>
      <c r="E293" s="17"/>
    </row>
    <row r="294">
      <c r="D294" s="16"/>
      <c r="E294" s="17"/>
    </row>
    <row r="295">
      <c r="D295" s="16"/>
      <c r="E295" s="17"/>
    </row>
    <row r="296">
      <c r="D296" s="16"/>
      <c r="E296" s="17"/>
    </row>
    <row r="297">
      <c r="D297" s="16"/>
      <c r="E297" s="17"/>
    </row>
    <row r="298">
      <c r="D298" s="16"/>
      <c r="E298" s="17"/>
    </row>
    <row r="299">
      <c r="D299" s="16"/>
      <c r="E299" s="17"/>
    </row>
    <row r="300">
      <c r="D300" s="16"/>
      <c r="E300" s="17"/>
    </row>
    <row r="301">
      <c r="D301" s="16"/>
      <c r="E301" s="17"/>
    </row>
    <row r="302">
      <c r="D302" s="16"/>
      <c r="E302" s="17"/>
    </row>
    <row r="303">
      <c r="D303" s="16"/>
      <c r="E303" s="17"/>
    </row>
    <row r="304">
      <c r="D304" s="16"/>
      <c r="E304" s="17"/>
    </row>
    <row r="305">
      <c r="D305" s="16"/>
      <c r="E305" s="17"/>
    </row>
    <row r="306">
      <c r="D306" s="16"/>
      <c r="E306" s="17"/>
    </row>
    <row r="307">
      <c r="D307" s="16"/>
      <c r="E307" s="17"/>
    </row>
    <row r="308">
      <c r="D308" s="16"/>
      <c r="E308" s="17"/>
    </row>
    <row r="309">
      <c r="D309" s="16"/>
      <c r="E309" s="17"/>
    </row>
    <row r="310">
      <c r="D310" s="16"/>
      <c r="E310" s="17"/>
    </row>
    <row r="311">
      <c r="D311" s="16"/>
      <c r="E311" s="17"/>
    </row>
    <row r="312">
      <c r="D312" s="16"/>
      <c r="E312" s="17"/>
    </row>
    <row r="313">
      <c r="D313" s="16"/>
      <c r="E313" s="17"/>
    </row>
    <row r="314">
      <c r="D314" s="16"/>
      <c r="E314" s="17"/>
    </row>
    <row r="315">
      <c r="D315" s="16"/>
      <c r="E315" s="17"/>
    </row>
    <row r="316">
      <c r="D316" s="16"/>
      <c r="E316" s="17"/>
    </row>
    <row r="317">
      <c r="D317" s="16"/>
      <c r="E317" s="17"/>
    </row>
    <row r="318">
      <c r="D318" s="16"/>
      <c r="E318" s="17"/>
    </row>
    <row r="319">
      <c r="D319" s="16"/>
      <c r="E319" s="17"/>
    </row>
    <row r="320">
      <c r="D320" s="16"/>
      <c r="E320" s="17"/>
    </row>
    <row r="321">
      <c r="D321" s="16"/>
      <c r="E321" s="17"/>
    </row>
    <row r="322">
      <c r="D322" s="16"/>
      <c r="E322" s="17"/>
    </row>
    <row r="323">
      <c r="D323" s="16"/>
      <c r="E323" s="17"/>
    </row>
    <row r="324">
      <c r="D324" s="16"/>
      <c r="E324" s="17"/>
    </row>
    <row r="325">
      <c r="D325" s="16"/>
      <c r="E325" s="17"/>
    </row>
    <row r="326">
      <c r="D326" s="16"/>
      <c r="E326" s="17"/>
    </row>
    <row r="327">
      <c r="D327" s="16"/>
      <c r="E327" s="17"/>
    </row>
    <row r="328">
      <c r="D328" s="16"/>
      <c r="E328" s="17"/>
    </row>
    <row r="329">
      <c r="D329" s="16"/>
      <c r="E329" s="17"/>
    </row>
    <row r="330">
      <c r="D330" s="16"/>
      <c r="E330" s="17"/>
    </row>
    <row r="331">
      <c r="D331" s="16"/>
      <c r="E331" s="17"/>
    </row>
    <row r="332">
      <c r="D332" s="16"/>
      <c r="E332" s="17"/>
    </row>
    <row r="333">
      <c r="D333" s="16"/>
      <c r="E333" s="17"/>
    </row>
    <row r="334">
      <c r="D334" s="16"/>
      <c r="E334" s="17"/>
    </row>
    <row r="335">
      <c r="D335" s="16"/>
      <c r="E335" s="17"/>
    </row>
    <row r="336">
      <c r="D336" s="16"/>
      <c r="E336" s="17"/>
    </row>
    <row r="337">
      <c r="D337" s="16"/>
      <c r="E337" s="17"/>
    </row>
    <row r="338">
      <c r="D338" s="16"/>
      <c r="E338" s="17"/>
    </row>
    <row r="339">
      <c r="D339" s="16"/>
      <c r="E339" s="17"/>
    </row>
    <row r="340">
      <c r="D340" s="16"/>
      <c r="E340" s="17"/>
    </row>
    <row r="341">
      <c r="D341" s="16"/>
      <c r="E341" s="17"/>
    </row>
    <row r="342">
      <c r="D342" s="16"/>
      <c r="E342" s="17"/>
    </row>
    <row r="343">
      <c r="D343" s="16"/>
      <c r="E343" s="17"/>
    </row>
    <row r="344">
      <c r="D344" s="16"/>
      <c r="E344" s="17"/>
    </row>
    <row r="345">
      <c r="D345" s="16"/>
      <c r="E345" s="17"/>
    </row>
    <row r="346">
      <c r="D346" s="16"/>
      <c r="E346" s="17"/>
    </row>
    <row r="347">
      <c r="D347" s="16"/>
      <c r="E347" s="17"/>
    </row>
    <row r="348">
      <c r="D348" s="16"/>
      <c r="E348" s="17"/>
    </row>
    <row r="349">
      <c r="D349" s="16"/>
      <c r="E349" s="17"/>
    </row>
    <row r="350">
      <c r="D350" s="16"/>
      <c r="E350" s="17"/>
    </row>
    <row r="351">
      <c r="D351" s="16"/>
      <c r="E351" s="17"/>
    </row>
    <row r="352">
      <c r="D352" s="16"/>
      <c r="E352" s="17"/>
    </row>
    <row r="353">
      <c r="D353" s="16"/>
      <c r="E353" s="17"/>
    </row>
    <row r="354">
      <c r="D354" s="16"/>
      <c r="E354" s="17"/>
    </row>
    <row r="355">
      <c r="D355" s="16"/>
      <c r="E355" s="17"/>
    </row>
    <row r="356">
      <c r="D356" s="16"/>
      <c r="E356" s="17"/>
    </row>
    <row r="357">
      <c r="D357" s="16"/>
      <c r="E357" s="17"/>
    </row>
    <row r="358">
      <c r="D358" s="16"/>
      <c r="E358" s="17"/>
    </row>
    <row r="359">
      <c r="D359" s="16"/>
      <c r="E359" s="17"/>
    </row>
    <row r="360">
      <c r="D360" s="16"/>
      <c r="E360" s="17"/>
    </row>
    <row r="361">
      <c r="D361" s="16"/>
      <c r="E361" s="17"/>
    </row>
    <row r="362">
      <c r="D362" s="16"/>
      <c r="E362" s="17"/>
    </row>
    <row r="363">
      <c r="D363" s="16"/>
      <c r="E363" s="17"/>
    </row>
    <row r="364">
      <c r="D364" s="16"/>
      <c r="E364" s="17"/>
    </row>
    <row r="365">
      <c r="D365" s="16"/>
      <c r="E365" s="17"/>
    </row>
    <row r="366">
      <c r="D366" s="16"/>
      <c r="E366" s="17"/>
    </row>
    <row r="367">
      <c r="D367" s="16"/>
      <c r="E367" s="17"/>
    </row>
    <row r="368">
      <c r="D368" s="16"/>
      <c r="E368" s="17"/>
    </row>
    <row r="369">
      <c r="D369" s="16"/>
      <c r="E369" s="17"/>
    </row>
    <row r="370">
      <c r="D370" s="16"/>
      <c r="E370" s="17"/>
    </row>
    <row r="371">
      <c r="D371" s="16"/>
      <c r="E371" s="17"/>
    </row>
    <row r="372">
      <c r="D372" s="16"/>
      <c r="E372" s="17"/>
    </row>
    <row r="373">
      <c r="D373" s="16"/>
      <c r="E373" s="17"/>
    </row>
    <row r="374">
      <c r="D374" s="16"/>
      <c r="E374" s="17"/>
    </row>
    <row r="375">
      <c r="D375" s="16"/>
      <c r="E375" s="17"/>
    </row>
    <row r="376">
      <c r="D376" s="16"/>
      <c r="E376" s="17"/>
    </row>
    <row r="377">
      <c r="D377" s="16"/>
      <c r="E377" s="17"/>
    </row>
    <row r="378">
      <c r="D378" s="16"/>
      <c r="E378" s="17"/>
    </row>
    <row r="379">
      <c r="D379" s="16"/>
      <c r="E379" s="17"/>
    </row>
    <row r="380">
      <c r="D380" s="16"/>
      <c r="E380" s="17"/>
    </row>
    <row r="381">
      <c r="D381" s="16"/>
      <c r="E381" s="17"/>
    </row>
    <row r="382">
      <c r="D382" s="16"/>
      <c r="E382" s="17"/>
    </row>
    <row r="383">
      <c r="D383" s="16"/>
      <c r="E383" s="17"/>
    </row>
    <row r="384">
      <c r="D384" s="16"/>
      <c r="E384" s="17"/>
    </row>
    <row r="385">
      <c r="D385" s="16"/>
      <c r="E385" s="17"/>
    </row>
    <row r="386">
      <c r="D386" s="16"/>
      <c r="E386" s="17"/>
    </row>
    <row r="387">
      <c r="D387" s="16"/>
      <c r="E387" s="17"/>
    </row>
    <row r="388">
      <c r="D388" s="16"/>
      <c r="E388" s="17"/>
    </row>
    <row r="389">
      <c r="D389" s="16"/>
      <c r="E389" s="17"/>
    </row>
    <row r="390">
      <c r="D390" s="16"/>
      <c r="E390" s="17"/>
    </row>
    <row r="391">
      <c r="D391" s="16"/>
      <c r="E391" s="17"/>
    </row>
    <row r="392">
      <c r="D392" s="16"/>
      <c r="E392" s="17"/>
    </row>
    <row r="393">
      <c r="D393" s="16"/>
      <c r="E393" s="17"/>
    </row>
    <row r="394">
      <c r="D394" s="16"/>
      <c r="E394" s="17"/>
    </row>
    <row r="395">
      <c r="D395" s="16"/>
      <c r="E395" s="17"/>
    </row>
    <row r="396">
      <c r="D396" s="16"/>
      <c r="E396" s="17"/>
    </row>
    <row r="397">
      <c r="D397" s="16"/>
      <c r="E397" s="17"/>
    </row>
    <row r="398">
      <c r="D398" s="16"/>
      <c r="E398" s="17"/>
    </row>
    <row r="399">
      <c r="D399" s="16"/>
      <c r="E399" s="17"/>
    </row>
    <row r="400">
      <c r="D400" s="16"/>
      <c r="E400" s="17"/>
    </row>
    <row r="401">
      <c r="D401" s="16"/>
      <c r="E401" s="17"/>
    </row>
    <row r="402">
      <c r="D402" s="16"/>
      <c r="E402" s="17"/>
    </row>
    <row r="403">
      <c r="D403" s="16"/>
      <c r="E403" s="17"/>
    </row>
    <row r="404">
      <c r="D404" s="16"/>
      <c r="E404" s="17"/>
    </row>
    <row r="405">
      <c r="D405" s="16"/>
      <c r="E405" s="17"/>
    </row>
    <row r="406">
      <c r="D406" s="16"/>
      <c r="E406" s="17"/>
    </row>
    <row r="407">
      <c r="D407" s="16"/>
      <c r="E407" s="17"/>
    </row>
    <row r="408">
      <c r="D408" s="16"/>
      <c r="E408" s="17"/>
    </row>
    <row r="409">
      <c r="D409" s="16"/>
      <c r="E409" s="17"/>
    </row>
    <row r="410">
      <c r="D410" s="16"/>
      <c r="E410" s="17"/>
    </row>
    <row r="411">
      <c r="D411" s="16"/>
      <c r="E411" s="17"/>
    </row>
    <row r="412">
      <c r="D412" s="16"/>
      <c r="E412" s="17"/>
    </row>
    <row r="413">
      <c r="D413" s="16"/>
      <c r="E413" s="17"/>
    </row>
    <row r="414">
      <c r="D414" s="16"/>
      <c r="E414" s="17"/>
    </row>
    <row r="415">
      <c r="D415" s="16"/>
      <c r="E415" s="17"/>
    </row>
    <row r="416">
      <c r="D416" s="16"/>
      <c r="E416" s="17"/>
    </row>
    <row r="417">
      <c r="D417" s="16"/>
      <c r="E417" s="17"/>
    </row>
    <row r="418">
      <c r="D418" s="16"/>
      <c r="E418" s="17"/>
    </row>
    <row r="419">
      <c r="D419" s="16"/>
      <c r="E419" s="17"/>
    </row>
    <row r="420">
      <c r="D420" s="16"/>
      <c r="E420" s="17"/>
    </row>
    <row r="421">
      <c r="D421" s="16"/>
      <c r="E421" s="17"/>
    </row>
    <row r="422">
      <c r="D422" s="16"/>
      <c r="E422" s="17"/>
    </row>
    <row r="423">
      <c r="D423" s="16"/>
      <c r="E423" s="17"/>
    </row>
    <row r="424">
      <c r="D424" s="16"/>
      <c r="E424" s="17"/>
    </row>
    <row r="425">
      <c r="D425" s="16"/>
      <c r="E425" s="17"/>
    </row>
    <row r="426">
      <c r="D426" s="16"/>
      <c r="E426" s="17"/>
    </row>
    <row r="427">
      <c r="D427" s="16"/>
      <c r="E427" s="17"/>
    </row>
    <row r="428">
      <c r="D428" s="16"/>
      <c r="E428" s="17"/>
    </row>
    <row r="429">
      <c r="D429" s="16"/>
      <c r="E429" s="17"/>
    </row>
    <row r="430">
      <c r="D430" s="16"/>
      <c r="E430" s="17"/>
    </row>
    <row r="431">
      <c r="D431" s="16"/>
      <c r="E431" s="17"/>
    </row>
    <row r="432">
      <c r="D432" s="16"/>
      <c r="E432" s="17"/>
    </row>
    <row r="433">
      <c r="D433" s="16"/>
      <c r="E433" s="17"/>
    </row>
    <row r="434">
      <c r="D434" s="16"/>
      <c r="E434" s="17"/>
    </row>
    <row r="435">
      <c r="D435" s="16"/>
      <c r="E435" s="17"/>
    </row>
    <row r="436">
      <c r="D436" s="16"/>
      <c r="E436" s="17"/>
    </row>
    <row r="437">
      <c r="D437" s="16"/>
      <c r="E437" s="17"/>
    </row>
    <row r="438">
      <c r="D438" s="16"/>
      <c r="E438" s="17"/>
    </row>
    <row r="439">
      <c r="D439" s="16"/>
      <c r="E439" s="17"/>
    </row>
    <row r="440">
      <c r="D440" s="16"/>
      <c r="E440" s="17"/>
    </row>
    <row r="441">
      <c r="D441" s="16"/>
      <c r="E441" s="17"/>
    </row>
    <row r="442">
      <c r="D442" s="16"/>
      <c r="E442" s="17"/>
    </row>
    <row r="443">
      <c r="D443" s="16"/>
      <c r="E443" s="17"/>
    </row>
    <row r="444">
      <c r="D444" s="16"/>
      <c r="E444" s="17"/>
    </row>
    <row r="445">
      <c r="D445" s="16"/>
      <c r="E445" s="17"/>
    </row>
    <row r="446">
      <c r="D446" s="16"/>
      <c r="E446" s="17"/>
    </row>
    <row r="447">
      <c r="D447" s="16"/>
      <c r="E447" s="17"/>
    </row>
    <row r="448">
      <c r="D448" s="16"/>
      <c r="E448" s="17"/>
    </row>
    <row r="449">
      <c r="D449" s="16"/>
      <c r="E449" s="17"/>
    </row>
    <row r="450">
      <c r="D450" s="16"/>
      <c r="E450" s="17"/>
    </row>
    <row r="451">
      <c r="D451" s="16"/>
      <c r="E451" s="17"/>
    </row>
    <row r="452">
      <c r="D452" s="16"/>
      <c r="E452" s="17"/>
    </row>
    <row r="453">
      <c r="D453" s="16"/>
      <c r="E453" s="17"/>
    </row>
    <row r="454">
      <c r="D454" s="16"/>
      <c r="E454" s="17"/>
    </row>
    <row r="455">
      <c r="D455" s="16"/>
      <c r="E455" s="17"/>
    </row>
    <row r="456">
      <c r="D456" s="16"/>
      <c r="E456" s="17"/>
    </row>
    <row r="457">
      <c r="D457" s="16"/>
      <c r="E457" s="17"/>
    </row>
    <row r="458">
      <c r="D458" s="16"/>
      <c r="E458" s="17"/>
    </row>
    <row r="459">
      <c r="D459" s="16"/>
      <c r="E459" s="17"/>
    </row>
    <row r="460">
      <c r="D460" s="16"/>
      <c r="E460" s="17"/>
    </row>
    <row r="461">
      <c r="D461" s="16"/>
      <c r="E461" s="17"/>
    </row>
    <row r="462">
      <c r="D462" s="16"/>
      <c r="E462" s="17"/>
    </row>
    <row r="463">
      <c r="D463" s="16"/>
      <c r="E463" s="17"/>
    </row>
    <row r="464">
      <c r="D464" s="16"/>
      <c r="E464" s="17"/>
    </row>
    <row r="465">
      <c r="D465" s="16"/>
      <c r="E465" s="17"/>
    </row>
    <row r="466">
      <c r="D466" s="16"/>
      <c r="E466" s="17"/>
    </row>
    <row r="467">
      <c r="D467" s="16"/>
      <c r="E467" s="17"/>
    </row>
    <row r="468">
      <c r="D468" s="16"/>
      <c r="E468" s="17"/>
    </row>
    <row r="469">
      <c r="D469" s="16"/>
      <c r="E469" s="17"/>
    </row>
    <row r="470">
      <c r="D470" s="16"/>
      <c r="E470" s="17"/>
    </row>
    <row r="471">
      <c r="D471" s="16"/>
      <c r="E471" s="17"/>
    </row>
    <row r="472">
      <c r="D472" s="16"/>
      <c r="E472" s="17"/>
    </row>
    <row r="473">
      <c r="D473" s="16"/>
      <c r="E473" s="17"/>
    </row>
    <row r="474">
      <c r="D474" s="16"/>
      <c r="E474" s="17"/>
    </row>
    <row r="475">
      <c r="D475" s="16"/>
      <c r="E475" s="17"/>
    </row>
    <row r="476">
      <c r="D476" s="16"/>
      <c r="E476" s="17"/>
    </row>
    <row r="477">
      <c r="D477" s="16"/>
      <c r="E477" s="17"/>
    </row>
    <row r="478">
      <c r="D478" s="16"/>
      <c r="E478" s="17"/>
    </row>
    <row r="479">
      <c r="D479" s="16"/>
      <c r="E479" s="17"/>
    </row>
    <row r="480">
      <c r="D480" s="16"/>
      <c r="E480" s="17"/>
    </row>
    <row r="481">
      <c r="D481" s="16"/>
      <c r="E481" s="17"/>
    </row>
    <row r="482">
      <c r="D482" s="16"/>
      <c r="E482" s="17"/>
    </row>
    <row r="483">
      <c r="D483" s="16"/>
      <c r="E483" s="17"/>
    </row>
    <row r="484">
      <c r="D484" s="16"/>
      <c r="E484" s="17"/>
    </row>
    <row r="485">
      <c r="D485" s="16"/>
      <c r="E485" s="17"/>
    </row>
    <row r="486">
      <c r="D486" s="16"/>
      <c r="E486" s="17"/>
    </row>
    <row r="487">
      <c r="D487" s="16"/>
      <c r="E487" s="17"/>
    </row>
    <row r="488">
      <c r="D488" s="16"/>
      <c r="E488" s="17"/>
    </row>
    <row r="489">
      <c r="D489" s="16"/>
      <c r="E489" s="17"/>
    </row>
    <row r="490">
      <c r="D490" s="16"/>
      <c r="E490" s="17"/>
    </row>
    <row r="491">
      <c r="D491" s="16"/>
      <c r="E491" s="17"/>
    </row>
    <row r="492">
      <c r="D492" s="16"/>
      <c r="E492" s="17"/>
    </row>
    <row r="493">
      <c r="D493" s="16"/>
      <c r="E493" s="17"/>
    </row>
    <row r="494">
      <c r="D494" s="16"/>
      <c r="E494" s="17"/>
    </row>
    <row r="495">
      <c r="D495" s="16"/>
      <c r="E495" s="17"/>
    </row>
    <row r="496">
      <c r="D496" s="16"/>
      <c r="E496" s="17"/>
    </row>
    <row r="497">
      <c r="D497" s="16"/>
      <c r="E497" s="17"/>
    </row>
    <row r="498">
      <c r="D498" s="16"/>
      <c r="E498" s="17"/>
    </row>
    <row r="499">
      <c r="D499" s="16"/>
      <c r="E499" s="17"/>
    </row>
    <row r="500">
      <c r="D500" s="16"/>
      <c r="E500" s="17"/>
    </row>
    <row r="501">
      <c r="D501" s="16"/>
      <c r="E501" s="17"/>
    </row>
    <row r="502">
      <c r="D502" s="16"/>
      <c r="E502" s="17"/>
    </row>
    <row r="503">
      <c r="D503" s="16"/>
      <c r="E503" s="17"/>
    </row>
    <row r="504">
      <c r="D504" s="16"/>
      <c r="E504" s="17"/>
    </row>
    <row r="505">
      <c r="D505" s="16"/>
      <c r="E505" s="17"/>
    </row>
    <row r="506">
      <c r="D506" s="16"/>
      <c r="E506" s="17"/>
    </row>
    <row r="507">
      <c r="D507" s="16"/>
      <c r="E507" s="17"/>
    </row>
    <row r="508">
      <c r="D508" s="16"/>
      <c r="E508" s="17"/>
    </row>
    <row r="509">
      <c r="D509" s="16"/>
      <c r="E509" s="17"/>
    </row>
    <row r="510">
      <c r="D510" s="16"/>
      <c r="E510" s="17"/>
    </row>
    <row r="511">
      <c r="D511" s="16"/>
      <c r="E511" s="17"/>
    </row>
    <row r="512">
      <c r="D512" s="16"/>
      <c r="E512" s="17"/>
    </row>
    <row r="513">
      <c r="D513" s="16"/>
      <c r="E513" s="17"/>
    </row>
    <row r="514">
      <c r="D514" s="16"/>
      <c r="E514" s="17"/>
    </row>
    <row r="515">
      <c r="D515" s="16"/>
      <c r="E515" s="17"/>
    </row>
    <row r="516">
      <c r="D516" s="16"/>
      <c r="E516" s="17"/>
    </row>
    <row r="517">
      <c r="D517" s="16"/>
      <c r="E517" s="17"/>
    </row>
    <row r="518">
      <c r="D518" s="16"/>
      <c r="E518" s="17"/>
    </row>
    <row r="519">
      <c r="D519" s="16"/>
      <c r="E519" s="17"/>
    </row>
    <row r="520">
      <c r="D520" s="16"/>
      <c r="E520" s="17"/>
    </row>
    <row r="521">
      <c r="D521" s="16"/>
      <c r="E521" s="17"/>
    </row>
    <row r="522">
      <c r="D522" s="16"/>
      <c r="E522" s="17"/>
    </row>
    <row r="523">
      <c r="D523" s="16"/>
      <c r="E523" s="17"/>
    </row>
    <row r="524">
      <c r="D524" s="16"/>
      <c r="E524" s="17"/>
    </row>
    <row r="525">
      <c r="D525" s="16"/>
      <c r="E525" s="17"/>
    </row>
    <row r="526">
      <c r="D526" s="16"/>
      <c r="E526" s="17"/>
    </row>
    <row r="527">
      <c r="D527" s="16"/>
      <c r="E527" s="17"/>
    </row>
    <row r="528">
      <c r="D528" s="16"/>
      <c r="E528" s="17"/>
    </row>
    <row r="529">
      <c r="D529" s="16"/>
      <c r="E529" s="17"/>
    </row>
    <row r="530">
      <c r="D530" s="16"/>
      <c r="E530" s="17"/>
    </row>
    <row r="531">
      <c r="D531" s="16"/>
      <c r="E531" s="17"/>
    </row>
    <row r="532">
      <c r="D532" s="16"/>
      <c r="E532" s="17"/>
    </row>
    <row r="533">
      <c r="D533" s="16"/>
      <c r="E533" s="17"/>
    </row>
    <row r="534">
      <c r="D534" s="16"/>
      <c r="E534" s="17"/>
    </row>
    <row r="535">
      <c r="D535" s="16"/>
      <c r="E535" s="17"/>
    </row>
    <row r="536">
      <c r="D536" s="16"/>
      <c r="E536" s="17"/>
    </row>
    <row r="537">
      <c r="D537" s="16"/>
      <c r="E537" s="17"/>
    </row>
    <row r="538">
      <c r="D538" s="16"/>
      <c r="E538" s="17"/>
    </row>
    <row r="539">
      <c r="D539" s="16"/>
      <c r="E539" s="17"/>
    </row>
    <row r="540">
      <c r="D540" s="16"/>
      <c r="E540" s="17"/>
    </row>
    <row r="541">
      <c r="D541" s="16"/>
      <c r="E541" s="17"/>
    </row>
    <row r="542">
      <c r="D542" s="16"/>
      <c r="E542" s="17"/>
    </row>
    <row r="543">
      <c r="D543" s="16"/>
      <c r="E543" s="17"/>
    </row>
    <row r="544">
      <c r="D544" s="16"/>
      <c r="E544" s="17"/>
    </row>
    <row r="545">
      <c r="D545" s="16"/>
      <c r="E545" s="17"/>
    </row>
    <row r="546">
      <c r="D546" s="16"/>
      <c r="E546" s="17"/>
    </row>
    <row r="547">
      <c r="D547" s="16"/>
      <c r="E547" s="17"/>
    </row>
    <row r="548">
      <c r="D548" s="16"/>
      <c r="E548" s="17"/>
    </row>
    <row r="549">
      <c r="D549" s="16"/>
      <c r="E549" s="17"/>
    </row>
    <row r="550">
      <c r="D550" s="16"/>
      <c r="E550" s="17"/>
    </row>
    <row r="551">
      <c r="D551" s="16"/>
      <c r="E551" s="17"/>
    </row>
    <row r="552">
      <c r="D552" s="16"/>
      <c r="E552" s="17"/>
    </row>
    <row r="553">
      <c r="D553" s="16"/>
      <c r="E553" s="17"/>
    </row>
    <row r="554">
      <c r="D554" s="16"/>
      <c r="E554" s="17"/>
    </row>
    <row r="555">
      <c r="D555" s="16"/>
      <c r="E555" s="17"/>
    </row>
    <row r="556">
      <c r="D556" s="16"/>
      <c r="E556" s="17"/>
    </row>
    <row r="557">
      <c r="D557" s="16"/>
      <c r="E557" s="17"/>
    </row>
    <row r="558">
      <c r="D558" s="16"/>
      <c r="E558" s="17"/>
    </row>
    <row r="559">
      <c r="D559" s="16"/>
      <c r="E559" s="17"/>
    </row>
    <row r="560">
      <c r="D560" s="16"/>
      <c r="E560" s="17"/>
    </row>
    <row r="561">
      <c r="D561" s="16"/>
      <c r="E561" s="17"/>
    </row>
    <row r="562">
      <c r="D562" s="16"/>
      <c r="E562" s="17"/>
    </row>
    <row r="563">
      <c r="D563" s="16"/>
      <c r="E563" s="17"/>
    </row>
    <row r="564">
      <c r="D564" s="16"/>
      <c r="E564" s="17"/>
    </row>
    <row r="565">
      <c r="D565" s="16"/>
      <c r="E565" s="17"/>
    </row>
    <row r="566">
      <c r="D566" s="16"/>
      <c r="E566" s="17"/>
    </row>
    <row r="567">
      <c r="D567" s="16"/>
      <c r="E567" s="17"/>
    </row>
    <row r="568">
      <c r="D568" s="16"/>
      <c r="E568" s="17"/>
    </row>
    <row r="569">
      <c r="D569" s="16"/>
      <c r="E569" s="17"/>
    </row>
    <row r="570">
      <c r="D570" s="16"/>
      <c r="E570" s="17"/>
    </row>
    <row r="571">
      <c r="D571" s="16"/>
      <c r="E571" s="17"/>
    </row>
    <row r="572">
      <c r="D572" s="16"/>
      <c r="E572" s="17"/>
    </row>
    <row r="573">
      <c r="D573" s="16"/>
      <c r="E573" s="17"/>
    </row>
    <row r="574">
      <c r="D574" s="16"/>
      <c r="E574" s="17"/>
    </row>
    <row r="575">
      <c r="D575" s="16"/>
      <c r="E575" s="17"/>
    </row>
    <row r="576">
      <c r="D576" s="16"/>
      <c r="E576" s="17"/>
    </row>
    <row r="577">
      <c r="D577" s="16"/>
      <c r="E577" s="17"/>
    </row>
    <row r="578">
      <c r="D578" s="16"/>
      <c r="E578" s="17"/>
    </row>
    <row r="579">
      <c r="D579" s="16"/>
      <c r="E579" s="17"/>
    </row>
    <row r="580">
      <c r="D580" s="16"/>
      <c r="E580" s="17"/>
    </row>
    <row r="581">
      <c r="D581" s="16"/>
      <c r="E581" s="17"/>
    </row>
    <row r="582">
      <c r="D582" s="16"/>
      <c r="E582" s="17"/>
    </row>
    <row r="583">
      <c r="D583" s="16"/>
      <c r="E583" s="17"/>
    </row>
    <row r="584">
      <c r="D584" s="16"/>
      <c r="E584" s="17"/>
    </row>
    <row r="585">
      <c r="D585" s="16"/>
      <c r="E585" s="17"/>
    </row>
    <row r="586">
      <c r="D586" s="16"/>
      <c r="E586" s="17"/>
    </row>
    <row r="587">
      <c r="D587" s="16"/>
      <c r="E587" s="17"/>
    </row>
    <row r="588">
      <c r="D588" s="16"/>
      <c r="E588" s="17"/>
    </row>
    <row r="589">
      <c r="D589" s="16"/>
      <c r="E589" s="17"/>
    </row>
    <row r="590">
      <c r="D590" s="16"/>
      <c r="E590" s="17"/>
    </row>
    <row r="591">
      <c r="D591" s="16"/>
      <c r="E591" s="17"/>
    </row>
    <row r="592">
      <c r="D592" s="16"/>
      <c r="E592" s="17"/>
    </row>
    <row r="593">
      <c r="D593" s="16"/>
      <c r="E593" s="17"/>
    </row>
    <row r="594">
      <c r="D594" s="16"/>
      <c r="E594" s="17"/>
    </row>
    <row r="595">
      <c r="D595" s="16"/>
      <c r="E595" s="17"/>
    </row>
    <row r="596">
      <c r="D596" s="16"/>
      <c r="E596" s="17"/>
    </row>
    <row r="597">
      <c r="D597" s="16"/>
      <c r="E597" s="17"/>
    </row>
    <row r="598">
      <c r="D598" s="16"/>
      <c r="E598" s="17"/>
    </row>
    <row r="599">
      <c r="D599" s="16"/>
      <c r="E599" s="17"/>
    </row>
    <row r="600">
      <c r="D600" s="16"/>
      <c r="E6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8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29</v>
      </c>
      <c r="AB1" s="3" t="s">
        <v>30</v>
      </c>
      <c r="AC1" s="3" t="s">
        <v>31</v>
      </c>
    </row>
    <row r="2">
      <c r="A2" s="9" t="s">
        <v>33</v>
      </c>
      <c r="B2" s="11">
        <v>6.0</v>
      </c>
      <c r="C2" s="9" t="s">
        <v>43</v>
      </c>
      <c r="D2" s="9" t="s">
        <v>44</v>
      </c>
      <c r="E2" s="12"/>
      <c r="F2" s="9" t="s">
        <v>45</v>
      </c>
      <c r="G2" s="9" t="s">
        <v>46</v>
      </c>
      <c r="H2" s="9" t="s">
        <v>46</v>
      </c>
      <c r="I2" s="11">
        <v>946.0</v>
      </c>
      <c r="J2" s="11">
        <v>2.66801541E8</v>
      </c>
      <c r="K2" s="13">
        <v>46304.0</v>
      </c>
      <c r="L2" s="14">
        <v>46314.0</v>
      </c>
      <c r="M2" s="12"/>
      <c r="N2" s="9">
        <v>1.0</v>
      </c>
      <c r="O2" s="11">
        <v>5.0</v>
      </c>
      <c r="P2" s="9" t="s">
        <v>44</v>
      </c>
      <c r="Q2" s="12"/>
      <c r="R2" s="12"/>
      <c r="S2" s="9" t="s">
        <v>47</v>
      </c>
      <c r="T2" s="9" t="s">
        <v>44</v>
      </c>
      <c r="U2" s="9" t="s">
        <v>44</v>
      </c>
      <c r="V2" s="11">
        <v>34.87</v>
      </c>
      <c r="W2" s="11">
        <v>3.0</v>
      </c>
      <c r="X2" s="9" t="s">
        <v>48</v>
      </c>
      <c r="Y2" s="9" t="s">
        <v>49</v>
      </c>
      <c r="Z2" s="12"/>
      <c r="AA2" s="9">
        <v>1302858.0</v>
      </c>
      <c r="AB2" s="12"/>
      <c r="AC2" s="9" t="s">
        <v>50</v>
      </c>
    </row>
    <row r="3">
      <c r="A3" s="9" t="s">
        <v>33</v>
      </c>
      <c r="B3" s="11">
        <v>6.0</v>
      </c>
      <c r="C3" s="9" t="s">
        <v>43</v>
      </c>
      <c r="D3" s="9" t="s">
        <v>44</v>
      </c>
      <c r="E3" s="12"/>
      <c r="F3" s="9" t="s">
        <v>45</v>
      </c>
      <c r="G3" s="9" t="s">
        <v>46</v>
      </c>
      <c r="H3" s="9" t="s">
        <v>51</v>
      </c>
      <c r="I3" s="11">
        <v>8176609.0</v>
      </c>
      <c r="J3" s="11">
        <v>2.6680185E8</v>
      </c>
      <c r="K3" s="13">
        <v>46304.0</v>
      </c>
      <c r="L3" s="14">
        <v>46316.0</v>
      </c>
      <c r="M3" s="12"/>
      <c r="N3" s="9">
        <v>34.0</v>
      </c>
      <c r="O3" s="11">
        <v>7.0</v>
      </c>
      <c r="P3" s="9" t="s">
        <v>44</v>
      </c>
      <c r="Q3" s="12"/>
      <c r="R3" s="9" t="s">
        <v>52</v>
      </c>
      <c r="S3" s="9" t="s">
        <v>53</v>
      </c>
      <c r="T3" s="9" t="s">
        <v>44</v>
      </c>
      <c r="U3" s="9" t="s">
        <v>44</v>
      </c>
      <c r="V3" s="11">
        <v>1.0</v>
      </c>
      <c r="W3" s="11">
        <v>1.0</v>
      </c>
      <c r="X3" s="9" t="s">
        <v>48</v>
      </c>
      <c r="Y3" s="9" t="s">
        <v>54</v>
      </c>
      <c r="Z3" s="12"/>
      <c r="AA3" s="9">
        <v>7.0000284E7</v>
      </c>
      <c r="AB3" s="12"/>
      <c r="AC3" s="12"/>
    </row>
    <row r="4">
      <c r="A4" s="9" t="s">
        <v>33</v>
      </c>
      <c r="B4" s="11">
        <v>6.0</v>
      </c>
      <c r="C4" s="9" t="s">
        <v>43</v>
      </c>
      <c r="D4" s="9" t="s">
        <v>55</v>
      </c>
      <c r="E4" s="9" t="s">
        <v>56</v>
      </c>
      <c r="F4" s="9" t="s">
        <v>45</v>
      </c>
      <c r="G4" s="9" t="s">
        <v>46</v>
      </c>
      <c r="H4" s="9" t="s">
        <v>57</v>
      </c>
      <c r="I4" s="11">
        <v>8177101.0</v>
      </c>
      <c r="J4" s="11">
        <v>2.66802183E8</v>
      </c>
      <c r="K4" s="13">
        <v>46304.0</v>
      </c>
      <c r="L4" s="14">
        <v>46317.0</v>
      </c>
      <c r="M4" s="12"/>
      <c r="N4" s="9">
        <v>103.0</v>
      </c>
      <c r="O4" s="11">
        <v>8.0</v>
      </c>
      <c r="P4" s="9" t="s">
        <v>44</v>
      </c>
      <c r="Q4" s="12"/>
      <c r="R4" s="9" t="s">
        <v>52</v>
      </c>
      <c r="S4" s="9" t="s">
        <v>47</v>
      </c>
      <c r="T4" s="9" t="s">
        <v>44</v>
      </c>
      <c r="U4" s="9" t="s">
        <v>44</v>
      </c>
      <c r="V4" s="11">
        <v>38.46</v>
      </c>
      <c r="W4" s="11">
        <v>3.0</v>
      </c>
      <c r="X4" s="9" t="s">
        <v>48</v>
      </c>
      <c r="Y4" s="9" t="s">
        <v>58</v>
      </c>
      <c r="Z4" s="12"/>
      <c r="AA4" s="9">
        <v>1306031.0</v>
      </c>
      <c r="AB4" s="12"/>
      <c r="AC4" s="9" t="s">
        <v>50</v>
      </c>
    </row>
    <row r="5">
      <c r="A5" s="9" t="s">
        <v>33</v>
      </c>
      <c r="B5" s="11">
        <v>6.0</v>
      </c>
      <c r="C5" s="9" t="s">
        <v>43</v>
      </c>
      <c r="D5" s="9" t="s">
        <v>55</v>
      </c>
      <c r="E5" s="9" t="s">
        <v>56</v>
      </c>
      <c r="F5" s="9" t="s">
        <v>45</v>
      </c>
      <c r="G5" s="9" t="s">
        <v>46</v>
      </c>
      <c r="H5" s="9" t="s">
        <v>59</v>
      </c>
      <c r="I5" s="11">
        <v>8177082.0</v>
      </c>
      <c r="J5" s="11">
        <v>2.66802184E8</v>
      </c>
      <c r="K5" s="13">
        <v>46304.0</v>
      </c>
      <c r="L5" s="14">
        <v>46317.0</v>
      </c>
      <c r="M5" s="12"/>
      <c r="N5" s="9">
        <v>40.0</v>
      </c>
      <c r="O5" s="11">
        <v>8.0</v>
      </c>
      <c r="P5" s="9" t="s">
        <v>44</v>
      </c>
      <c r="Q5" s="12"/>
      <c r="R5" s="9" t="s">
        <v>52</v>
      </c>
      <c r="S5" s="9" t="s">
        <v>47</v>
      </c>
      <c r="T5" s="9" t="s">
        <v>44</v>
      </c>
      <c r="U5" s="9" t="s">
        <v>44</v>
      </c>
      <c r="V5" s="11">
        <v>38.46</v>
      </c>
      <c r="W5" s="11">
        <v>2.0</v>
      </c>
      <c r="X5" s="9" t="s">
        <v>48</v>
      </c>
      <c r="Y5" s="9" t="s">
        <v>60</v>
      </c>
      <c r="Z5" s="12"/>
      <c r="AA5" s="9">
        <v>1305597.0</v>
      </c>
      <c r="AB5" s="12"/>
      <c r="AC5" s="9" t="s">
        <v>50</v>
      </c>
    </row>
    <row r="6">
      <c r="A6" s="9" t="s">
        <v>33</v>
      </c>
      <c r="B6" s="11">
        <v>6.0</v>
      </c>
      <c r="C6" s="9" t="s">
        <v>43</v>
      </c>
      <c r="D6" s="9" t="s">
        <v>55</v>
      </c>
      <c r="E6" s="9" t="s">
        <v>56</v>
      </c>
      <c r="F6" s="9" t="s">
        <v>45</v>
      </c>
      <c r="G6" s="9" t="s">
        <v>46</v>
      </c>
      <c r="H6" s="9" t="s">
        <v>61</v>
      </c>
      <c r="I6" s="11">
        <v>8177106.0</v>
      </c>
      <c r="J6" s="11">
        <v>2.66802185E8</v>
      </c>
      <c r="K6" s="13">
        <v>46304.0</v>
      </c>
      <c r="L6" s="14">
        <v>46317.0</v>
      </c>
      <c r="M6" s="12"/>
      <c r="N6" s="9">
        <v>101.0</v>
      </c>
      <c r="O6" s="11">
        <v>8.0</v>
      </c>
      <c r="P6" s="9" t="s">
        <v>44</v>
      </c>
      <c r="Q6" s="12"/>
      <c r="R6" s="9" t="s">
        <v>52</v>
      </c>
      <c r="S6" s="9" t="s">
        <v>47</v>
      </c>
      <c r="T6" s="9" t="s">
        <v>44</v>
      </c>
      <c r="U6" s="9" t="s">
        <v>44</v>
      </c>
      <c r="V6" s="11">
        <v>136.07</v>
      </c>
      <c r="W6" s="11">
        <v>37.0</v>
      </c>
      <c r="X6" s="9" t="s">
        <v>48</v>
      </c>
      <c r="Y6" s="9" t="s">
        <v>62</v>
      </c>
      <c r="Z6" s="12"/>
      <c r="AA6" s="9">
        <v>1306021.0</v>
      </c>
      <c r="AB6" s="12"/>
      <c r="AC6" s="9" t="s">
        <v>50</v>
      </c>
    </row>
    <row r="7">
      <c r="A7" s="9" t="s">
        <v>33</v>
      </c>
      <c r="B7" s="11">
        <v>6.0</v>
      </c>
      <c r="C7" s="9" t="s">
        <v>43</v>
      </c>
      <c r="D7" s="9" t="s">
        <v>55</v>
      </c>
      <c r="E7" s="9" t="s">
        <v>56</v>
      </c>
      <c r="F7" s="9" t="s">
        <v>45</v>
      </c>
      <c r="G7" s="9" t="s">
        <v>46</v>
      </c>
      <c r="H7" s="9" t="s">
        <v>63</v>
      </c>
      <c r="I7" s="11">
        <v>8177107.0</v>
      </c>
      <c r="J7" s="11">
        <v>2.66802186E8</v>
      </c>
      <c r="K7" s="13">
        <v>46304.0</v>
      </c>
      <c r="L7" s="14">
        <v>46316.0</v>
      </c>
      <c r="M7" s="12"/>
      <c r="N7" s="9">
        <v>2.0</v>
      </c>
      <c r="O7" s="11">
        <v>7.0</v>
      </c>
      <c r="P7" s="9" t="s">
        <v>44</v>
      </c>
      <c r="Q7" s="12"/>
      <c r="R7" s="9" t="s">
        <v>52</v>
      </c>
      <c r="S7" s="9" t="s">
        <v>47</v>
      </c>
      <c r="T7" s="9" t="s">
        <v>44</v>
      </c>
      <c r="U7" s="9" t="s">
        <v>44</v>
      </c>
      <c r="V7" s="11">
        <v>310.68</v>
      </c>
      <c r="W7" s="11">
        <v>56.0</v>
      </c>
      <c r="X7" s="9" t="s">
        <v>48</v>
      </c>
      <c r="Y7" s="9" t="s">
        <v>64</v>
      </c>
      <c r="Z7" s="12"/>
      <c r="AA7" s="9">
        <v>1304628.0</v>
      </c>
      <c r="AB7" s="12"/>
      <c r="AC7" s="9" t="s">
        <v>50</v>
      </c>
    </row>
    <row r="8">
      <c r="A8" s="9" t="s">
        <v>33</v>
      </c>
      <c r="B8" s="11">
        <v>6.0</v>
      </c>
      <c r="C8" s="9" t="s">
        <v>43</v>
      </c>
      <c r="D8" s="9" t="s">
        <v>55</v>
      </c>
      <c r="E8" s="9" t="s">
        <v>56</v>
      </c>
      <c r="F8" s="9" t="s">
        <v>45</v>
      </c>
      <c r="G8" s="9" t="s">
        <v>46</v>
      </c>
      <c r="H8" s="9" t="s">
        <v>65</v>
      </c>
      <c r="I8" s="11">
        <v>8177083.0</v>
      </c>
      <c r="J8" s="11">
        <v>2.66802187E8</v>
      </c>
      <c r="K8" s="13">
        <v>46304.0</v>
      </c>
      <c r="L8" s="14">
        <v>46323.0</v>
      </c>
      <c r="M8" s="12"/>
      <c r="N8" s="9">
        <v>107.0</v>
      </c>
      <c r="O8" s="11">
        <v>12.0</v>
      </c>
      <c r="P8" s="9" t="s">
        <v>44</v>
      </c>
      <c r="Q8" s="12"/>
      <c r="R8" s="9" t="s">
        <v>52</v>
      </c>
      <c r="S8" s="9" t="s">
        <v>47</v>
      </c>
      <c r="T8" s="9" t="s">
        <v>44</v>
      </c>
      <c r="U8" s="9" t="s">
        <v>44</v>
      </c>
      <c r="V8" s="11">
        <v>38.46</v>
      </c>
      <c r="W8" s="11">
        <v>3.0</v>
      </c>
      <c r="X8" s="9" t="s">
        <v>48</v>
      </c>
      <c r="Y8" s="9" t="s">
        <v>66</v>
      </c>
      <c r="Z8" s="12"/>
      <c r="AA8" s="9">
        <v>1305607.0</v>
      </c>
      <c r="AB8" s="12"/>
      <c r="AC8" s="9" t="s">
        <v>50</v>
      </c>
    </row>
    <row r="9">
      <c r="A9" s="9" t="s">
        <v>33</v>
      </c>
      <c r="B9" s="11">
        <v>6.0</v>
      </c>
      <c r="C9" s="9" t="s">
        <v>43</v>
      </c>
      <c r="D9" s="9" t="s">
        <v>55</v>
      </c>
      <c r="E9" s="9" t="s">
        <v>56</v>
      </c>
      <c r="F9" s="9" t="s">
        <v>45</v>
      </c>
      <c r="G9" s="9" t="s">
        <v>46</v>
      </c>
      <c r="H9" s="9" t="s">
        <v>65</v>
      </c>
      <c r="I9" s="11">
        <v>8177084.0</v>
      </c>
      <c r="J9" s="11">
        <v>2.66802188E8</v>
      </c>
      <c r="K9" s="13">
        <v>46304.0</v>
      </c>
      <c r="L9" s="14">
        <v>46317.0</v>
      </c>
      <c r="M9" s="12"/>
      <c r="N9" s="9">
        <v>104.0</v>
      </c>
      <c r="O9" s="11">
        <v>8.0</v>
      </c>
      <c r="P9" s="9" t="s">
        <v>44</v>
      </c>
      <c r="Q9" s="12"/>
      <c r="R9" s="9" t="s">
        <v>52</v>
      </c>
      <c r="S9" s="9" t="s">
        <v>47</v>
      </c>
      <c r="T9" s="9" t="s">
        <v>44</v>
      </c>
      <c r="U9" s="9" t="s">
        <v>44</v>
      </c>
      <c r="V9" s="11">
        <v>38.46</v>
      </c>
      <c r="W9" s="11">
        <v>2.0</v>
      </c>
      <c r="X9" s="9" t="s">
        <v>48</v>
      </c>
      <c r="Y9" s="9" t="s">
        <v>67</v>
      </c>
      <c r="Z9" s="12"/>
      <c r="AA9" s="9">
        <v>1305858.0</v>
      </c>
      <c r="AB9" s="12"/>
      <c r="AC9" s="9" t="s">
        <v>50</v>
      </c>
    </row>
    <row r="10">
      <c r="A10" s="9" t="s">
        <v>33</v>
      </c>
      <c r="B10" s="11">
        <v>6.0</v>
      </c>
      <c r="C10" s="9" t="s">
        <v>43</v>
      </c>
      <c r="D10" s="9" t="s">
        <v>55</v>
      </c>
      <c r="E10" s="9" t="s">
        <v>56</v>
      </c>
      <c r="F10" s="9" t="s">
        <v>45</v>
      </c>
      <c r="G10" s="9" t="s">
        <v>46</v>
      </c>
      <c r="H10" s="9" t="s">
        <v>68</v>
      </c>
      <c r="I10" s="11">
        <v>8177078.0</v>
      </c>
      <c r="J10" s="11">
        <v>2.66802189E8</v>
      </c>
      <c r="K10" s="13">
        <v>46304.0</v>
      </c>
      <c r="L10" s="14">
        <v>46316.0</v>
      </c>
      <c r="M10" s="12"/>
      <c r="N10" s="9">
        <v>62.0</v>
      </c>
      <c r="O10" s="11">
        <v>7.0</v>
      </c>
      <c r="P10" s="9" t="s">
        <v>44</v>
      </c>
      <c r="Q10" s="12"/>
      <c r="R10" s="12"/>
      <c r="S10" s="9" t="s">
        <v>47</v>
      </c>
      <c r="T10" s="9" t="s">
        <v>44</v>
      </c>
      <c r="U10" s="9" t="s">
        <v>44</v>
      </c>
      <c r="V10" s="11">
        <v>69.49</v>
      </c>
      <c r="W10" s="11">
        <v>1.0</v>
      </c>
      <c r="X10" s="9" t="s">
        <v>48</v>
      </c>
      <c r="Y10" s="9" t="s">
        <v>69</v>
      </c>
      <c r="Z10" s="12"/>
      <c r="AA10" s="9">
        <v>1305850.0</v>
      </c>
      <c r="AB10" s="12"/>
      <c r="AC10" s="9" t="s">
        <v>50</v>
      </c>
    </row>
    <row r="11">
      <c r="A11" s="9" t="s">
        <v>33</v>
      </c>
      <c r="B11" s="11">
        <v>6.0</v>
      </c>
      <c r="C11" s="9" t="s">
        <v>43</v>
      </c>
      <c r="D11" s="9" t="s">
        <v>55</v>
      </c>
      <c r="E11" s="9" t="s">
        <v>56</v>
      </c>
      <c r="F11" s="9" t="s">
        <v>45</v>
      </c>
      <c r="G11" s="9" t="s">
        <v>46</v>
      </c>
      <c r="H11" s="9" t="s">
        <v>70</v>
      </c>
      <c r="I11" s="11">
        <v>8177085.0</v>
      </c>
      <c r="J11" s="11">
        <v>2.6680219E8</v>
      </c>
      <c r="K11" s="13">
        <v>46304.0</v>
      </c>
      <c r="L11" s="14">
        <v>46316.0</v>
      </c>
      <c r="M11" s="12"/>
      <c r="N11" s="9">
        <v>2.0</v>
      </c>
      <c r="O11" s="11">
        <v>7.0</v>
      </c>
      <c r="P11" s="9" t="s">
        <v>44</v>
      </c>
      <c r="Q11" s="12"/>
      <c r="R11" s="12"/>
      <c r="S11" s="9" t="s">
        <v>47</v>
      </c>
      <c r="T11" s="9" t="s">
        <v>44</v>
      </c>
      <c r="U11" s="9" t="s">
        <v>44</v>
      </c>
      <c r="V11" s="11">
        <v>66.52</v>
      </c>
      <c r="W11" s="11">
        <v>7.0</v>
      </c>
      <c r="X11" s="9" t="s">
        <v>48</v>
      </c>
      <c r="Y11" s="9" t="s">
        <v>71</v>
      </c>
      <c r="Z11" s="12"/>
      <c r="AA11" s="9">
        <v>1305803.0</v>
      </c>
      <c r="AB11" s="12"/>
      <c r="AC11" s="9" t="s">
        <v>50</v>
      </c>
    </row>
    <row r="12">
      <c r="A12" s="9" t="s">
        <v>33</v>
      </c>
      <c r="B12" s="11">
        <v>6.0</v>
      </c>
      <c r="C12" s="9" t="s">
        <v>43</v>
      </c>
      <c r="D12" s="9" t="s">
        <v>55</v>
      </c>
      <c r="E12" s="9" t="s">
        <v>56</v>
      </c>
      <c r="F12" s="9" t="s">
        <v>45</v>
      </c>
      <c r="G12" s="9" t="s">
        <v>46</v>
      </c>
      <c r="H12" s="9" t="s">
        <v>72</v>
      </c>
      <c r="I12" s="11">
        <v>8177102.0</v>
      </c>
      <c r="J12" s="11">
        <v>2.66802191E8</v>
      </c>
      <c r="K12" s="13">
        <v>46304.0</v>
      </c>
      <c r="L12" s="14">
        <v>46318.0</v>
      </c>
      <c r="M12" s="12"/>
      <c r="N12" s="9">
        <v>127.0</v>
      </c>
      <c r="O12" s="11">
        <v>9.0</v>
      </c>
      <c r="P12" s="9" t="s">
        <v>44</v>
      </c>
      <c r="Q12" s="12"/>
      <c r="R12" s="12"/>
      <c r="S12" s="9" t="s">
        <v>47</v>
      </c>
      <c r="T12" s="9" t="s">
        <v>44</v>
      </c>
      <c r="U12" s="9" t="s">
        <v>44</v>
      </c>
      <c r="V12" s="11">
        <v>51.62</v>
      </c>
      <c r="W12" s="11">
        <v>5.0</v>
      </c>
      <c r="X12" s="9" t="s">
        <v>48</v>
      </c>
      <c r="Y12" s="9" t="s">
        <v>73</v>
      </c>
      <c r="Z12" s="12"/>
      <c r="AA12" s="9">
        <v>1306008.0</v>
      </c>
      <c r="AB12" s="12"/>
      <c r="AC12" s="9" t="s">
        <v>50</v>
      </c>
    </row>
    <row r="13">
      <c r="A13" s="9" t="s">
        <v>33</v>
      </c>
      <c r="B13" s="11">
        <v>6.0</v>
      </c>
      <c r="C13" s="9" t="s">
        <v>43</v>
      </c>
      <c r="D13" s="9" t="s">
        <v>55</v>
      </c>
      <c r="E13" s="9" t="s">
        <v>56</v>
      </c>
      <c r="F13" s="9" t="s">
        <v>45</v>
      </c>
      <c r="G13" s="9" t="s">
        <v>46</v>
      </c>
      <c r="H13" s="9" t="s">
        <v>74</v>
      </c>
      <c r="I13" s="11">
        <v>8177103.0</v>
      </c>
      <c r="J13" s="11">
        <v>2.66802192E8</v>
      </c>
      <c r="K13" s="13">
        <v>46304.0</v>
      </c>
      <c r="L13" s="14">
        <v>46322.0</v>
      </c>
      <c r="M13" s="12"/>
      <c r="N13" s="9">
        <v>103.0</v>
      </c>
      <c r="O13" s="11">
        <v>11.0</v>
      </c>
      <c r="P13" s="9" t="s">
        <v>44</v>
      </c>
      <c r="Q13" s="12"/>
      <c r="R13" s="12"/>
      <c r="S13" s="9" t="s">
        <v>47</v>
      </c>
      <c r="T13" s="9" t="s">
        <v>44</v>
      </c>
      <c r="U13" s="9" t="s">
        <v>44</v>
      </c>
      <c r="V13" s="11">
        <v>49.43</v>
      </c>
      <c r="W13" s="11">
        <v>2.0</v>
      </c>
      <c r="X13" s="9" t="s">
        <v>48</v>
      </c>
      <c r="Y13" s="9" t="s">
        <v>75</v>
      </c>
      <c r="Z13" s="12"/>
      <c r="AA13" s="9">
        <v>1306003.0</v>
      </c>
      <c r="AB13" s="12"/>
      <c r="AC13" s="9" t="s">
        <v>50</v>
      </c>
    </row>
    <row r="14">
      <c r="A14" s="9" t="s">
        <v>33</v>
      </c>
      <c r="B14" s="11">
        <v>6.0</v>
      </c>
      <c r="C14" s="9" t="s">
        <v>43</v>
      </c>
      <c r="D14" s="9" t="s">
        <v>55</v>
      </c>
      <c r="E14" s="9" t="s">
        <v>56</v>
      </c>
      <c r="F14" s="9" t="s">
        <v>45</v>
      </c>
      <c r="G14" s="9" t="s">
        <v>46</v>
      </c>
      <c r="H14" s="9" t="s">
        <v>76</v>
      </c>
      <c r="I14" s="11">
        <v>8177104.0</v>
      </c>
      <c r="J14" s="11">
        <v>2.66802193E8</v>
      </c>
      <c r="K14" s="13">
        <v>46304.0</v>
      </c>
      <c r="L14" s="14">
        <v>46321.0</v>
      </c>
      <c r="M14" s="12"/>
      <c r="N14" s="9">
        <v>102.0</v>
      </c>
      <c r="O14" s="11">
        <v>10.0</v>
      </c>
      <c r="P14" s="9" t="s">
        <v>44</v>
      </c>
      <c r="Q14" s="12"/>
      <c r="R14" s="12"/>
      <c r="S14" s="9" t="s">
        <v>47</v>
      </c>
      <c r="T14" s="9" t="s">
        <v>44</v>
      </c>
      <c r="U14" s="9" t="s">
        <v>44</v>
      </c>
      <c r="V14" s="11">
        <v>61.68</v>
      </c>
      <c r="W14" s="11">
        <v>8.0</v>
      </c>
      <c r="X14" s="9" t="s">
        <v>48</v>
      </c>
      <c r="Y14" s="9" t="s">
        <v>77</v>
      </c>
      <c r="Z14" s="12"/>
      <c r="AA14" s="9">
        <v>1306020.0</v>
      </c>
      <c r="AB14" s="12"/>
      <c r="AC14" s="9" t="s">
        <v>50</v>
      </c>
    </row>
    <row r="15">
      <c r="A15" s="9" t="s">
        <v>33</v>
      </c>
      <c r="B15" s="11">
        <v>6.0</v>
      </c>
      <c r="C15" s="9" t="s">
        <v>43</v>
      </c>
      <c r="D15" s="9" t="s">
        <v>55</v>
      </c>
      <c r="E15" s="9" t="s">
        <v>56</v>
      </c>
      <c r="F15" s="9" t="s">
        <v>45</v>
      </c>
      <c r="G15" s="9" t="s">
        <v>46</v>
      </c>
      <c r="H15" s="9" t="s">
        <v>78</v>
      </c>
      <c r="I15" s="11">
        <v>8177086.0</v>
      </c>
      <c r="J15" s="11">
        <v>2.66802195E8</v>
      </c>
      <c r="K15" s="13">
        <v>46304.0</v>
      </c>
      <c r="L15" s="14">
        <v>46322.0</v>
      </c>
      <c r="M15" s="12"/>
      <c r="N15" s="9">
        <v>102.0</v>
      </c>
      <c r="O15" s="11">
        <v>11.0</v>
      </c>
      <c r="P15" s="9" t="s">
        <v>44</v>
      </c>
      <c r="Q15" s="12"/>
      <c r="R15" s="12"/>
      <c r="S15" s="9" t="s">
        <v>47</v>
      </c>
      <c r="T15" s="9" t="s">
        <v>44</v>
      </c>
      <c r="U15" s="9" t="s">
        <v>44</v>
      </c>
      <c r="V15" s="11">
        <v>49.43</v>
      </c>
      <c r="W15" s="11">
        <v>2.0</v>
      </c>
      <c r="X15" s="9" t="s">
        <v>48</v>
      </c>
      <c r="Y15" s="9" t="s">
        <v>79</v>
      </c>
      <c r="Z15" s="12"/>
      <c r="AA15" s="9">
        <v>1305622.0</v>
      </c>
      <c r="AB15" s="12"/>
      <c r="AC15" s="9" t="s">
        <v>50</v>
      </c>
    </row>
    <row r="16">
      <c r="A16" s="9" t="s">
        <v>33</v>
      </c>
      <c r="B16" s="11">
        <v>6.0</v>
      </c>
      <c r="C16" s="9" t="s">
        <v>43</v>
      </c>
      <c r="D16" s="9" t="s">
        <v>55</v>
      </c>
      <c r="E16" s="9" t="s">
        <v>56</v>
      </c>
      <c r="F16" s="9" t="s">
        <v>45</v>
      </c>
      <c r="G16" s="9" t="s">
        <v>46</v>
      </c>
      <c r="H16" s="9" t="s">
        <v>80</v>
      </c>
      <c r="I16" s="11">
        <v>8177087.0</v>
      </c>
      <c r="J16" s="11">
        <v>2.66802197E8</v>
      </c>
      <c r="K16" s="13">
        <v>46304.0</v>
      </c>
      <c r="L16" s="14">
        <v>46323.0</v>
      </c>
      <c r="M16" s="12"/>
      <c r="N16" s="9">
        <v>217.0</v>
      </c>
      <c r="O16" s="11">
        <v>12.0</v>
      </c>
      <c r="P16" s="9" t="s">
        <v>44</v>
      </c>
      <c r="Q16" s="12"/>
      <c r="R16" s="12"/>
      <c r="S16" s="9" t="s">
        <v>47</v>
      </c>
      <c r="T16" s="9" t="s">
        <v>44</v>
      </c>
      <c r="U16" s="9" t="s">
        <v>44</v>
      </c>
      <c r="V16" s="11">
        <v>37.78</v>
      </c>
      <c r="W16" s="11">
        <v>1.0</v>
      </c>
      <c r="X16" s="9" t="s">
        <v>48</v>
      </c>
      <c r="Y16" s="9" t="s">
        <v>82</v>
      </c>
      <c r="Z16" s="12"/>
      <c r="AA16" s="9">
        <v>1305600.0</v>
      </c>
      <c r="AB16" s="12"/>
      <c r="AC16" s="9" t="s">
        <v>50</v>
      </c>
    </row>
    <row r="17">
      <c r="A17" s="9" t="s">
        <v>33</v>
      </c>
      <c r="B17" s="11">
        <v>6.0</v>
      </c>
      <c r="C17" s="9" t="s">
        <v>43</v>
      </c>
      <c r="D17" s="9" t="s">
        <v>55</v>
      </c>
      <c r="E17" s="9" t="s">
        <v>56</v>
      </c>
      <c r="F17" s="9" t="s">
        <v>45</v>
      </c>
      <c r="G17" s="9" t="s">
        <v>46</v>
      </c>
      <c r="H17" s="9" t="s">
        <v>87</v>
      </c>
      <c r="I17" s="11">
        <v>8177088.0</v>
      </c>
      <c r="J17" s="11">
        <v>2.66802204E8</v>
      </c>
      <c r="K17" s="13">
        <v>46304.0</v>
      </c>
      <c r="L17" s="14">
        <v>46321.0</v>
      </c>
      <c r="M17" s="12"/>
      <c r="N17" s="9">
        <v>108.0</v>
      </c>
      <c r="O17" s="11">
        <v>10.0</v>
      </c>
      <c r="P17" s="9" t="s">
        <v>44</v>
      </c>
      <c r="Q17" s="12"/>
      <c r="R17" s="9" t="s">
        <v>90</v>
      </c>
      <c r="S17" s="9" t="s">
        <v>47</v>
      </c>
      <c r="T17" s="9" t="s">
        <v>44</v>
      </c>
      <c r="U17" s="9" t="s">
        <v>44</v>
      </c>
      <c r="V17" s="11">
        <v>63.12</v>
      </c>
      <c r="W17" s="11">
        <v>2.0</v>
      </c>
      <c r="X17" s="9" t="s">
        <v>48</v>
      </c>
      <c r="Y17" s="9" t="s">
        <v>94</v>
      </c>
      <c r="Z17" s="12"/>
      <c r="AA17" s="9">
        <v>1305857.0</v>
      </c>
      <c r="AB17" s="12"/>
      <c r="AC17" s="9" t="s">
        <v>50</v>
      </c>
    </row>
    <row r="18">
      <c r="A18" s="9" t="s">
        <v>33</v>
      </c>
      <c r="B18" s="11">
        <v>6.0</v>
      </c>
      <c r="C18" s="9" t="s">
        <v>43</v>
      </c>
      <c r="D18" s="9" t="s">
        <v>55</v>
      </c>
      <c r="E18" s="9" t="s">
        <v>56</v>
      </c>
      <c r="F18" s="9" t="s">
        <v>45</v>
      </c>
      <c r="G18" s="9" t="s">
        <v>46</v>
      </c>
      <c r="H18" s="9" t="s">
        <v>99</v>
      </c>
      <c r="I18" s="11">
        <v>8177108.0</v>
      </c>
      <c r="J18" s="11">
        <v>2.66802206E8</v>
      </c>
      <c r="K18" s="13">
        <v>46304.0</v>
      </c>
      <c r="L18" s="14">
        <v>46316.0</v>
      </c>
      <c r="M18" s="12"/>
      <c r="N18" s="9">
        <v>101.0</v>
      </c>
      <c r="O18" s="11">
        <v>7.0</v>
      </c>
      <c r="P18" s="9" t="s">
        <v>44</v>
      </c>
      <c r="Q18" s="12"/>
      <c r="R18" s="9" t="s">
        <v>90</v>
      </c>
      <c r="S18" s="9" t="s">
        <v>47</v>
      </c>
      <c r="T18" s="9" t="s">
        <v>44</v>
      </c>
      <c r="U18" s="9" t="s">
        <v>44</v>
      </c>
      <c r="V18" s="11">
        <v>183.84</v>
      </c>
      <c r="W18" s="11">
        <v>24.0</v>
      </c>
      <c r="X18" s="9" t="s">
        <v>48</v>
      </c>
      <c r="Y18" s="9" t="s">
        <v>102</v>
      </c>
      <c r="Z18" s="12"/>
      <c r="AA18" s="9">
        <v>1306056.0</v>
      </c>
      <c r="AB18" s="12"/>
      <c r="AC18" s="9" t="s">
        <v>50</v>
      </c>
    </row>
    <row r="19">
      <c r="A19" s="9" t="s">
        <v>33</v>
      </c>
      <c r="B19" s="11">
        <v>6.0</v>
      </c>
      <c r="C19" s="9" t="s">
        <v>43</v>
      </c>
      <c r="D19" s="9" t="s">
        <v>55</v>
      </c>
      <c r="E19" s="9" t="s">
        <v>56</v>
      </c>
      <c r="F19" s="9" t="s">
        <v>45</v>
      </c>
      <c r="G19" s="9" t="s">
        <v>46</v>
      </c>
      <c r="H19" s="9" t="s">
        <v>107</v>
      </c>
      <c r="I19" s="11">
        <v>8177089.0</v>
      </c>
      <c r="J19" s="11">
        <v>2.66802207E8</v>
      </c>
      <c r="K19" s="13">
        <v>46304.0</v>
      </c>
      <c r="L19" s="14">
        <v>46315.0</v>
      </c>
      <c r="M19" s="12"/>
      <c r="N19" s="9">
        <v>23.0</v>
      </c>
      <c r="O19" s="11">
        <v>6.0</v>
      </c>
      <c r="P19" s="9" t="s">
        <v>44</v>
      </c>
      <c r="Q19" s="12"/>
      <c r="R19" s="9" t="s">
        <v>90</v>
      </c>
      <c r="S19" s="9" t="s">
        <v>47</v>
      </c>
      <c r="T19" s="9" t="s">
        <v>44</v>
      </c>
      <c r="U19" s="9" t="s">
        <v>44</v>
      </c>
      <c r="V19" s="11">
        <v>64.23</v>
      </c>
      <c r="W19" s="11">
        <v>1.0</v>
      </c>
      <c r="X19" s="9" t="s">
        <v>48</v>
      </c>
      <c r="Y19" s="9" t="s">
        <v>108</v>
      </c>
      <c r="Z19" s="12"/>
      <c r="AA19" s="9">
        <v>1305606.0</v>
      </c>
      <c r="AB19" s="12"/>
      <c r="AC19" s="9" t="s">
        <v>50</v>
      </c>
    </row>
    <row r="20">
      <c r="A20" s="9" t="s">
        <v>33</v>
      </c>
      <c r="B20" s="11">
        <v>6.0</v>
      </c>
      <c r="C20" s="9" t="s">
        <v>43</v>
      </c>
      <c r="D20" s="9" t="s">
        <v>55</v>
      </c>
      <c r="E20" s="9" t="s">
        <v>56</v>
      </c>
      <c r="F20" s="9" t="s">
        <v>45</v>
      </c>
      <c r="G20" s="9" t="s">
        <v>46</v>
      </c>
      <c r="H20" s="9" t="s">
        <v>107</v>
      </c>
      <c r="I20" s="11">
        <v>8177079.0</v>
      </c>
      <c r="J20" s="11">
        <v>2.66802209E8</v>
      </c>
      <c r="K20" s="13">
        <v>46304.0</v>
      </c>
      <c r="L20" s="14">
        <v>46315.0</v>
      </c>
      <c r="M20" s="12"/>
      <c r="N20" s="9">
        <v>1.0</v>
      </c>
      <c r="O20" s="11">
        <v>6.0</v>
      </c>
      <c r="P20" s="9" t="s">
        <v>44</v>
      </c>
      <c r="Q20" s="12"/>
      <c r="R20" s="9" t="s">
        <v>90</v>
      </c>
      <c r="S20" s="9" t="s">
        <v>47</v>
      </c>
      <c r="T20" s="9" t="s">
        <v>44</v>
      </c>
      <c r="U20" s="9" t="s">
        <v>44</v>
      </c>
      <c r="V20" s="11">
        <v>64.23</v>
      </c>
      <c r="W20" s="11">
        <v>1.0</v>
      </c>
      <c r="X20" s="9" t="s">
        <v>48</v>
      </c>
      <c r="Y20" s="9" t="s">
        <v>109</v>
      </c>
      <c r="Z20" s="12"/>
      <c r="AA20" s="9">
        <v>1305834.0</v>
      </c>
      <c r="AB20" s="12"/>
      <c r="AC20" s="9" t="s">
        <v>50</v>
      </c>
    </row>
    <row r="21">
      <c r="A21" s="9" t="s">
        <v>33</v>
      </c>
      <c r="B21" s="11">
        <v>6.0</v>
      </c>
      <c r="C21" s="9" t="s">
        <v>43</v>
      </c>
      <c r="D21" s="9" t="s">
        <v>55</v>
      </c>
      <c r="E21" s="9" t="s">
        <v>56</v>
      </c>
      <c r="F21" s="9" t="s">
        <v>45</v>
      </c>
      <c r="G21" s="9" t="s">
        <v>46</v>
      </c>
      <c r="H21" s="9" t="s">
        <v>107</v>
      </c>
      <c r="I21" s="11">
        <v>8177090.0</v>
      </c>
      <c r="J21" s="11">
        <v>2.66802211E8</v>
      </c>
      <c r="K21" s="13">
        <v>46304.0</v>
      </c>
      <c r="L21" s="14">
        <v>46315.0</v>
      </c>
      <c r="M21" s="12"/>
      <c r="N21" s="9">
        <v>16.0</v>
      </c>
      <c r="O21" s="11">
        <v>6.0</v>
      </c>
      <c r="P21" s="9" t="s">
        <v>44</v>
      </c>
      <c r="Q21" s="12"/>
      <c r="R21" s="9" t="s">
        <v>90</v>
      </c>
      <c r="S21" s="9" t="s">
        <v>47</v>
      </c>
      <c r="T21" s="9" t="s">
        <v>44</v>
      </c>
      <c r="U21" s="9" t="s">
        <v>44</v>
      </c>
      <c r="V21" s="11">
        <v>64.23</v>
      </c>
      <c r="W21" s="11">
        <v>1.0</v>
      </c>
      <c r="X21" s="9" t="s">
        <v>48</v>
      </c>
      <c r="Y21" s="9" t="s">
        <v>110</v>
      </c>
      <c r="Z21" s="12"/>
      <c r="AA21" s="9">
        <v>1305627.0</v>
      </c>
      <c r="AB21" s="12"/>
      <c r="AC21" s="9" t="s">
        <v>50</v>
      </c>
    </row>
    <row r="22">
      <c r="A22" s="9" t="s">
        <v>33</v>
      </c>
      <c r="B22" s="11">
        <v>6.0</v>
      </c>
      <c r="C22" s="9" t="s">
        <v>43</v>
      </c>
      <c r="D22" s="9" t="s">
        <v>55</v>
      </c>
      <c r="E22" s="9" t="s">
        <v>56</v>
      </c>
      <c r="F22" s="9" t="s">
        <v>45</v>
      </c>
      <c r="G22" s="9" t="s">
        <v>46</v>
      </c>
      <c r="H22" s="9" t="s">
        <v>107</v>
      </c>
      <c r="I22" s="11">
        <v>8177091.0</v>
      </c>
      <c r="J22" s="11">
        <v>2.66802213E8</v>
      </c>
      <c r="K22" s="13">
        <v>46304.0</v>
      </c>
      <c r="L22" s="14">
        <v>46316.0</v>
      </c>
      <c r="M22" s="12"/>
      <c r="N22" s="9">
        <v>104.0</v>
      </c>
      <c r="O22" s="11">
        <v>7.0</v>
      </c>
      <c r="P22" s="9" t="s">
        <v>44</v>
      </c>
      <c r="Q22" s="12"/>
      <c r="R22" s="9" t="s">
        <v>90</v>
      </c>
      <c r="S22" s="9" t="s">
        <v>47</v>
      </c>
      <c r="T22" s="9" t="s">
        <v>44</v>
      </c>
      <c r="U22" s="9" t="s">
        <v>44</v>
      </c>
      <c r="V22" s="11">
        <v>64.23</v>
      </c>
      <c r="W22" s="11">
        <v>1.0</v>
      </c>
      <c r="X22" s="9" t="s">
        <v>48</v>
      </c>
      <c r="Y22" s="9" t="s">
        <v>111</v>
      </c>
      <c r="Z22" s="12"/>
      <c r="AA22" s="9">
        <v>1305634.0</v>
      </c>
      <c r="AB22" s="12"/>
      <c r="AC22" s="9" t="s">
        <v>50</v>
      </c>
    </row>
    <row r="23">
      <c r="A23" s="9" t="s">
        <v>33</v>
      </c>
      <c r="B23" s="11">
        <v>6.0</v>
      </c>
      <c r="C23" s="9" t="s">
        <v>43</v>
      </c>
      <c r="D23" s="9" t="s">
        <v>55</v>
      </c>
      <c r="E23" s="9" t="s">
        <v>56</v>
      </c>
      <c r="F23" s="9" t="s">
        <v>45</v>
      </c>
      <c r="G23" s="9" t="s">
        <v>46</v>
      </c>
      <c r="H23" s="9" t="s">
        <v>107</v>
      </c>
      <c r="I23" s="11">
        <v>8177092.0</v>
      </c>
      <c r="J23" s="11">
        <v>2.66802214E8</v>
      </c>
      <c r="K23" s="13">
        <v>46304.0</v>
      </c>
      <c r="L23" s="14">
        <v>46316.0</v>
      </c>
      <c r="M23" s="12"/>
      <c r="N23" s="9">
        <v>27.0</v>
      </c>
      <c r="O23" s="11">
        <v>7.0</v>
      </c>
      <c r="P23" s="9" t="s">
        <v>44</v>
      </c>
      <c r="Q23" s="12"/>
      <c r="R23" s="9" t="s">
        <v>90</v>
      </c>
      <c r="S23" s="9" t="s">
        <v>47</v>
      </c>
      <c r="T23" s="9" t="s">
        <v>44</v>
      </c>
      <c r="U23" s="9" t="s">
        <v>44</v>
      </c>
      <c r="V23" s="11">
        <v>64.23</v>
      </c>
      <c r="W23" s="11">
        <v>1.0</v>
      </c>
      <c r="X23" s="9" t="s">
        <v>48</v>
      </c>
      <c r="Y23" s="9" t="s">
        <v>112</v>
      </c>
      <c r="Z23" s="12"/>
      <c r="AA23" s="9">
        <v>1305602.0</v>
      </c>
      <c r="AB23" s="12"/>
      <c r="AC23" s="9" t="s">
        <v>50</v>
      </c>
    </row>
    <row r="24">
      <c r="A24" s="9" t="s">
        <v>33</v>
      </c>
      <c r="B24" s="11">
        <v>6.0</v>
      </c>
      <c r="C24" s="9" t="s">
        <v>43</v>
      </c>
      <c r="D24" s="9" t="s">
        <v>55</v>
      </c>
      <c r="E24" s="9" t="s">
        <v>56</v>
      </c>
      <c r="F24" s="9" t="s">
        <v>45</v>
      </c>
      <c r="G24" s="9" t="s">
        <v>46</v>
      </c>
      <c r="H24" s="9" t="s">
        <v>113</v>
      </c>
      <c r="I24" s="11">
        <v>8177093.0</v>
      </c>
      <c r="J24" s="11">
        <v>2.66802215E8</v>
      </c>
      <c r="K24" s="13">
        <v>46304.0</v>
      </c>
      <c r="L24" s="14">
        <v>46315.0</v>
      </c>
      <c r="M24" s="12"/>
      <c r="N24" s="9">
        <v>4.0</v>
      </c>
      <c r="O24" s="11">
        <v>6.0</v>
      </c>
      <c r="P24" s="9" t="s">
        <v>44</v>
      </c>
      <c r="Q24" s="12"/>
      <c r="R24" s="9" t="s">
        <v>90</v>
      </c>
      <c r="S24" s="9" t="s">
        <v>47</v>
      </c>
      <c r="T24" s="9" t="s">
        <v>44</v>
      </c>
      <c r="U24" s="9" t="s">
        <v>44</v>
      </c>
      <c r="V24" s="11">
        <v>51.54</v>
      </c>
      <c r="W24" s="11">
        <v>1.0</v>
      </c>
      <c r="X24" s="9" t="s">
        <v>48</v>
      </c>
      <c r="Y24" s="9" t="s">
        <v>114</v>
      </c>
      <c r="Z24" s="12"/>
      <c r="AA24" s="9">
        <v>1305561.0</v>
      </c>
      <c r="AB24" s="12"/>
      <c r="AC24" s="9" t="s">
        <v>50</v>
      </c>
    </row>
    <row r="25">
      <c r="A25" s="9" t="s">
        <v>33</v>
      </c>
      <c r="B25" s="11">
        <v>6.0</v>
      </c>
      <c r="C25" s="9" t="s">
        <v>43</v>
      </c>
      <c r="D25" s="9" t="s">
        <v>55</v>
      </c>
      <c r="E25" s="9" t="s">
        <v>56</v>
      </c>
      <c r="F25" s="9" t="s">
        <v>45</v>
      </c>
      <c r="G25" s="9" t="s">
        <v>46</v>
      </c>
      <c r="H25" s="9" t="s">
        <v>115</v>
      </c>
      <c r="I25" s="11">
        <v>8177094.0</v>
      </c>
      <c r="J25" s="11">
        <v>2.66802216E8</v>
      </c>
      <c r="K25" s="13">
        <v>46304.0</v>
      </c>
      <c r="L25" s="14">
        <v>46324.0</v>
      </c>
      <c r="M25" s="12"/>
      <c r="N25" s="9">
        <v>103.0</v>
      </c>
      <c r="O25" s="11">
        <v>13.0</v>
      </c>
      <c r="P25" s="9" t="s">
        <v>44</v>
      </c>
      <c r="Q25" s="12"/>
      <c r="R25" s="9" t="s">
        <v>90</v>
      </c>
      <c r="S25" s="9" t="s">
        <v>47</v>
      </c>
      <c r="T25" s="9" t="s">
        <v>44</v>
      </c>
      <c r="U25" s="9" t="s">
        <v>44</v>
      </c>
      <c r="V25" s="11">
        <v>71.9</v>
      </c>
      <c r="W25" s="11">
        <v>2.0</v>
      </c>
      <c r="X25" s="9" t="s">
        <v>48</v>
      </c>
      <c r="Y25" s="9" t="s">
        <v>116</v>
      </c>
      <c r="Z25" s="12"/>
      <c r="AA25" s="9">
        <v>1305599.0</v>
      </c>
      <c r="AB25" s="12"/>
      <c r="AC25" s="9" t="s">
        <v>50</v>
      </c>
    </row>
    <row r="26">
      <c r="A26" s="9" t="s">
        <v>33</v>
      </c>
      <c r="B26" s="11">
        <v>6.0</v>
      </c>
      <c r="C26" s="9" t="s">
        <v>43</v>
      </c>
      <c r="D26" s="9" t="s">
        <v>55</v>
      </c>
      <c r="E26" s="9" t="s">
        <v>56</v>
      </c>
      <c r="F26" s="9" t="s">
        <v>45</v>
      </c>
      <c r="G26" s="9" t="s">
        <v>46</v>
      </c>
      <c r="H26" s="9" t="s">
        <v>117</v>
      </c>
      <c r="I26" s="11">
        <v>8177095.0</v>
      </c>
      <c r="J26" s="11">
        <v>2.66802217E8</v>
      </c>
      <c r="K26" s="13">
        <v>46304.0</v>
      </c>
      <c r="L26" s="13">
        <v>46335.0</v>
      </c>
      <c r="M26" s="12"/>
      <c r="N26" s="9">
        <v>500.0</v>
      </c>
      <c r="O26" s="11">
        <v>19.0</v>
      </c>
      <c r="P26" s="9" t="s">
        <v>44</v>
      </c>
      <c r="Q26" s="12"/>
      <c r="R26" s="9" t="s">
        <v>90</v>
      </c>
      <c r="S26" s="9" t="s">
        <v>47</v>
      </c>
      <c r="T26" s="9" t="s">
        <v>44</v>
      </c>
      <c r="U26" s="9" t="s">
        <v>44</v>
      </c>
      <c r="V26" s="11">
        <v>71.87</v>
      </c>
      <c r="W26" s="11">
        <v>5.0</v>
      </c>
      <c r="X26" s="9" t="s">
        <v>48</v>
      </c>
      <c r="Y26" s="9" t="s">
        <v>118</v>
      </c>
      <c r="Z26" s="12"/>
      <c r="AA26" s="9">
        <v>1305818.0</v>
      </c>
      <c r="AB26" s="12"/>
      <c r="AC26" s="9" t="s">
        <v>50</v>
      </c>
    </row>
    <row r="27">
      <c r="A27" s="9" t="s">
        <v>33</v>
      </c>
      <c r="B27" s="11">
        <v>6.0</v>
      </c>
      <c r="C27" s="9" t="s">
        <v>43</v>
      </c>
      <c r="D27" s="9" t="s">
        <v>55</v>
      </c>
      <c r="E27" s="9" t="s">
        <v>56</v>
      </c>
      <c r="F27" s="9" t="s">
        <v>45</v>
      </c>
      <c r="G27" s="9" t="s">
        <v>46</v>
      </c>
      <c r="H27" s="9" t="s">
        <v>119</v>
      </c>
      <c r="I27" s="11">
        <v>8177068.0</v>
      </c>
      <c r="J27" s="11">
        <v>2.66802218E8</v>
      </c>
      <c r="K27" s="13">
        <v>46304.0</v>
      </c>
      <c r="L27" s="13">
        <v>46332.0</v>
      </c>
      <c r="M27" s="12"/>
      <c r="N27" s="9">
        <v>902.0</v>
      </c>
      <c r="O27" s="11">
        <v>18.0</v>
      </c>
      <c r="P27" s="9" t="s">
        <v>44</v>
      </c>
      <c r="Q27" s="12"/>
      <c r="R27" s="9" t="s">
        <v>90</v>
      </c>
      <c r="S27" s="9" t="s">
        <v>47</v>
      </c>
      <c r="T27" s="9" t="s">
        <v>44</v>
      </c>
      <c r="U27" s="9" t="s">
        <v>44</v>
      </c>
      <c r="V27" s="11">
        <v>203.43</v>
      </c>
      <c r="W27" s="11">
        <v>1.0</v>
      </c>
      <c r="X27" s="9" t="s">
        <v>48</v>
      </c>
      <c r="Y27" s="9" t="s">
        <v>120</v>
      </c>
      <c r="Z27" s="12"/>
      <c r="AA27" s="9">
        <v>1305240.0</v>
      </c>
      <c r="AB27" s="12"/>
      <c r="AC27" s="9" t="s">
        <v>50</v>
      </c>
    </row>
    <row r="28">
      <c r="A28" s="9" t="s">
        <v>33</v>
      </c>
      <c r="B28" s="11">
        <v>6.0</v>
      </c>
      <c r="C28" s="9" t="s">
        <v>43</v>
      </c>
      <c r="D28" s="9" t="s">
        <v>55</v>
      </c>
      <c r="E28" s="9" t="s">
        <v>56</v>
      </c>
      <c r="F28" s="9" t="s">
        <v>45</v>
      </c>
      <c r="G28" s="9" t="s">
        <v>46</v>
      </c>
      <c r="H28" s="9" t="s">
        <v>119</v>
      </c>
      <c r="I28" s="11">
        <v>8177069.0</v>
      </c>
      <c r="J28" s="11">
        <v>2.66802219E8</v>
      </c>
      <c r="K28" s="13">
        <v>46304.0</v>
      </c>
      <c r="L28" s="13">
        <v>46332.0</v>
      </c>
      <c r="M28" s="12"/>
      <c r="N28" s="9">
        <v>902.0</v>
      </c>
      <c r="O28" s="11">
        <v>18.0</v>
      </c>
      <c r="P28" s="9" t="s">
        <v>44</v>
      </c>
      <c r="Q28" s="12"/>
      <c r="R28" s="9" t="s">
        <v>90</v>
      </c>
      <c r="S28" s="9" t="s">
        <v>47</v>
      </c>
      <c r="T28" s="9" t="s">
        <v>44</v>
      </c>
      <c r="U28" s="9" t="s">
        <v>44</v>
      </c>
      <c r="V28" s="11">
        <v>203.43</v>
      </c>
      <c r="W28" s="11">
        <v>3.0</v>
      </c>
      <c r="X28" s="9" t="s">
        <v>48</v>
      </c>
      <c r="Y28" s="9" t="s">
        <v>121</v>
      </c>
      <c r="Z28" s="12"/>
      <c r="AA28" s="9">
        <v>1304675.0</v>
      </c>
      <c r="AB28" s="12"/>
      <c r="AC28" s="9" t="s">
        <v>50</v>
      </c>
    </row>
    <row r="29">
      <c r="A29" s="9" t="s">
        <v>33</v>
      </c>
      <c r="B29" s="11">
        <v>6.0</v>
      </c>
      <c r="C29" s="9" t="s">
        <v>43</v>
      </c>
      <c r="D29" s="9" t="s">
        <v>55</v>
      </c>
      <c r="E29" s="9" t="s">
        <v>56</v>
      </c>
      <c r="F29" s="9" t="s">
        <v>45</v>
      </c>
      <c r="G29" s="9" t="s">
        <v>46</v>
      </c>
      <c r="H29" s="9" t="s">
        <v>119</v>
      </c>
      <c r="I29" s="11">
        <v>8177070.0</v>
      </c>
      <c r="J29" s="11">
        <v>2.6680222E8</v>
      </c>
      <c r="K29" s="13">
        <v>46304.0</v>
      </c>
      <c r="L29" s="13">
        <v>46332.0</v>
      </c>
      <c r="M29" s="12"/>
      <c r="N29" s="9">
        <v>902.0</v>
      </c>
      <c r="O29" s="11">
        <v>18.0</v>
      </c>
      <c r="P29" s="9" t="s">
        <v>44</v>
      </c>
      <c r="Q29" s="12"/>
      <c r="R29" s="9" t="s">
        <v>90</v>
      </c>
      <c r="S29" s="9" t="s">
        <v>47</v>
      </c>
      <c r="T29" s="9" t="s">
        <v>44</v>
      </c>
      <c r="U29" s="9" t="s">
        <v>44</v>
      </c>
      <c r="V29" s="11">
        <v>353.85</v>
      </c>
      <c r="W29" s="11">
        <v>13.0</v>
      </c>
      <c r="X29" s="9" t="s">
        <v>48</v>
      </c>
      <c r="Y29" s="9" t="s">
        <v>122</v>
      </c>
      <c r="Z29" s="12"/>
      <c r="AA29" s="9">
        <v>1305268.0</v>
      </c>
      <c r="AB29" s="12"/>
      <c r="AC29" s="9" t="s">
        <v>50</v>
      </c>
    </row>
    <row r="30">
      <c r="A30" s="9" t="s">
        <v>33</v>
      </c>
      <c r="B30" s="11">
        <v>6.0</v>
      </c>
      <c r="C30" s="9" t="s">
        <v>43</v>
      </c>
      <c r="D30" s="9" t="s">
        <v>55</v>
      </c>
      <c r="E30" s="9" t="s">
        <v>56</v>
      </c>
      <c r="F30" s="9" t="s">
        <v>45</v>
      </c>
      <c r="G30" s="9" t="s">
        <v>46</v>
      </c>
      <c r="H30" s="9" t="s">
        <v>119</v>
      </c>
      <c r="I30" s="11">
        <v>8177071.0</v>
      </c>
      <c r="J30" s="11">
        <v>2.66802221E8</v>
      </c>
      <c r="K30" s="13">
        <v>46304.0</v>
      </c>
      <c r="L30" s="13">
        <v>46332.0</v>
      </c>
      <c r="M30" s="12"/>
      <c r="N30" s="9">
        <v>902.0</v>
      </c>
      <c r="O30" s="11">
        <v>18.0</v>
      </c>
      <c r="P30" s="9" t="s">
        <v>44</v>
      </c>
      <c r="Q30" s="12"/>
      <c r="R30" s="12"/>
      <c r="S30" s="9" t="s">
        <v>47</v>
      </c>
      <c r="T30" s="9" t="s">
        <v>44</v>
      </c>
      <c r="U30" s="9" t="s">
        <v>44</v>
      </c>
      <c r="V30" s="11">
        <v>203.43</v>
      </c>
      <c r="W30" s="11">
        <v>1.0</v>
      </c>
      <c r="X30" s="9" t="s">
        <v>48</v>
      </c>
      <c r="Y30" s="9" t="s">
        <v>123</v>
      </c>
      <c r="Z30" s="12"/>
      <c r="AA30" s="9">
        <v>1304849.0</v>
      </c>
      <c r="AB30" s="12"/>
      <c r="AC30" s="9" t="s">
        <v>50</v>
      </c>
    </row>
    <row r="31">
      <c r="A31" s="9" t="s">
        <v>33</v>
      </c>
      <c r="B31" s="11">
        <v>6.0</v>
      </c>
      <c r="C31" s="9" t="s">
        <v>43</v>
      </c>
      <c r="D31" s="9" t="s">
        <v>55</v>
      </c>
      <c r="E31" s="9" t="s">
        <v>56</v>
      </c>
      <c r="F31" s="9" t="s">
        <v>45</v>
      </c>
      <c r="G31" s="9" t="s">
        <v>46</v>
      </c>
      <c r="H31" s="9" t="s">
        <v>124</v>
      </c>
      <c r="I31" s="11">
        <v>8177072.0</v>
      </c>
      <c r="J31" s="11">
        <v>2.66802222E8</v>
      </c>
      <c r="K31" s="13">
        <v>46304.0</v>
      </c>
      <c r="L31" s="14">
        <v>46344.0</v>
      </c>
      <c r="M31" s="12"/>
      <c r="N31" s="9">
        <v>2.0</v>
      </c>
      <c r="O31" s="11">
        <v>26.0</v>
      </c>
      <c r="P31" s="9" t="s">
        <v>44</v>
      </c>
      <c r="Q31" s="12"/>
      <c r="R31" s="12"/>
      <c r="S31" s="9" t="s">
        <v>47</v>
      </c>
      <c r="T31" s="9" t="s">
        <v>44</v>
      </c>
      <c r="U31" s="9" t="s">
        <v>44</v>
      </c>
      <c r="V31" s="11">
        <v>118.27</v>
      </c>
      <c r="W31" s="11">
        <v>1.0</v>
      </c>
      <c r="X31" s="9" t="s">
        <v>48</v>
      </c>
      <c r="Y31" s="9" t="s">
        <v>125</v>
      </c>
      <c r="Z31" s="12"/>
      <c r="AA31" s="9">
        <v>1305190.0</v>
      </c>
      <c r="AB31" s="12"/>
      <c r="AC31" s="9" t="s">
        <v>50</v>
      </c>
    </row>
    <row r="32">
      <c r="A32" s="9" t="s">
        <v>33</v>
      </c>
      <c r="B32" s="11">
        <v>6.0</v>
      </c>
      <c r="C32" s="9" t="s">
        <v>43</v>
      </c>
      <c r="D32" s="9" t="s">
        <v>55</v>
      </c>
      <c r="E32" s="9" t="s">
        <v>56</v>
      </c>
      <c r="F32" s="9" t="s">
        <v>45</v>
      </c>
      <c r="G32" s="9" t="s">
        <v>46</v>
      </c>
      <c r="H32" s="9" t="s">
        <v>124</v>
      </c>
      <c r="I32" s="11">
        <v>8177073.0</v>
      </c>
      <c r="J32" s="11">
        <v>2.66802223E8</v>
      </c>
      <c r="K32" s="13">
        <v>46304.0</v>
      </c>
      <c r="L32" s="14">
        <v>46344.0</v>
      </c>
      <c r="M32" s="12"/>
      <c r="N32" s="9">
        <v>2.0</v>
      </c>
      <c r="O32" s="11">
        <v>26.0</v>
      </c>
      <c r="P32" s="9" t="s">
        <v>44</v>
      </c>
      <c r="Q32" s="12"/>
      <c r="R32" s="9" t="s">
        <v>52</v>
      </c>
      <c r="S32" s="9" t="s">
        <v>47</v>
      </c>
      <c r="T32" s="9" t="s">
        <v>44</v>
      </c>
      <c r="U32" s="9" t="s">
        <v>44</v>
      </c>
      <c r="V32" s="11">
        <v>135.22</v>
      </c>
      <c r="W32" s="11">
        <v>3.0</v>
      </c>
      <c r="X32" s="9" t="s">
        <v>48</v>
      </c>
      <c r="Y32" s="9" t="s">
        <v>126</v>
      </c>
      <c r="Z32" s="12"/>
      <c r="AA32" s="9">
        <v>1303667.0</v>
      </c>
      <c r="AB32" s="12"/>
      <c r="AC32" s="9" t="s">
        <v>50</v>
      </c>
    </row>
    <row r="33">
      <c r="A33" s="9" t="s">
        <v>33</v>
      </c>
      <c r="B33" s="11">
        <v>6.0</v>
      </c>
      <c r="C33" s="9" t="s">
        <v>43</v>
      </c>
      <c r="D33" s="9" t="s">
        <v>55</v>
      </c>
      <c r="E33" s="9" t="s">
        <v>56</v>
      </c>
      <c r="F33" s="9" t="s">
        <v>45</v>
      </c>
      <c r="G33" s="9" t="s">
        <v>46</v>
      </c>
      <c r="H33" s="9" t="s">
        <v>124</v>
      </c>
      <c r="I33" s="11">
        <v>8177074.0</v>
      </c>
      <c r="J33" s="11">
        <v>2.66802224E8</v>
      </c>
      <c r="K33" s="13">
        <v>46304.0</v>
      </c>
      <c r="L33" s="14">
        <v>46344.0</v>
      </c>
      <c r="M33" s="12"/>
      <c r="N33" s="9">
        <v>4.0</v>
      </c>
      <c r="O33" s="11">
        <v>26.0</v>
      </c>
      <c r="P33" s="9" t="s">
        <v>44</v>
      </c>
      <c r="Q33" s="12"/>
      <c r="R33" s="9" t="s">
        <v>52</v>
      </c>
      <c r="S33" s="9" t="s">
        <v>47</v>
      </c>
      <c r="T33" s="9" t="s">
        <v>44</v>
      </c>
      <c r="U33" s="9" t="s">
        <v>44</v>
      </c>
      <c r="V33" s="11">
        <v>317.02</v>
      </c>
      <c r="W33" s="11">
        <v>13.0</v>
      </c>
      <c r="X33" s="9" t="s">
        <v>48</v>
      </c>
      <c r="Y33" s="9" t="s">
        <v>127</v>
      </c>
      <c r="Z33" s="12"/>
      <c r="AA33" s="9">
        <v>1304781.0</v>
      </c>
      <c r="AB33" s="12"/>
      <c r="AC33" s="9" t="s">
        <v>50</v>
      </c>
    </row>
    <row r="34">
      <c r="A34" s="9" t="s">
        <v>33</v>
      </c>
      <c r="B34" s="11">
        <v>6.0</v>
      </c>
      <c r="C34" s="9" t="s">
        <v>43</v>
      </c>
      <c r="D34" s="9" t="s">
        <v>55</v>
      </c>
      <c r="E34" s="9" t="s">
        <v>56</v>
      </c>
      <c r="F34" s="9" t="s">
        <v>45</v>
      </c>
      <c r="G34" s="9" t="s">
        <v>46</v>
      </c>
      <c r="H34" s="9" t="s">
        <v>128</v>
      </c>
      <c r="I34" s="11">
        <v>8177075.0</v>
      </c>
      <c r="J34" s="11">
        <v>2.66802225E8</v>
      </c>
      <c r="K34" s="13">
        <v>46304.0</v>
      </c>
      <c r="L34" s="13">
        <v>46359.0</v>
      </c>
      <c r="M34" s="12"/>
      <c r="N34" s="9">
        <v>101.0</v>
      </c>
      <c r="O34" s="11">
        <v>36.0</v>
      </c>
      <c r="P34" s="9" t="s">
        <v>44</v>
      </c>
      <c r="Q34" s="12"/>
      <c r="R34" s="9" t="s">
        <v>52</v>
      </c>
      <c r="S34" s="9" t="s">
        <v>47</v>
      </c>
      <c r="T34" s="9" t="s">
        <v>44</v>
      </c>
      <c r="U34" s="9" t="s">
        <v>44</v>
      </c>
      <c r="V34" s="11">
        <v>130.9</v>
      </c>
      <c r="W34" s="11">
        <v>2.0</v>
      </c>
      <c r="X34" s="9" t="s">
        <v>48</v>
      </c>
      <c r="Y34" s="9" t="s">
        <v>129</v>
      </c>
      <c r="Z34" s="12"/>
      <c r="AA34" s="9">
        <v>1305112.0</v>
      </c>
      <c r="AB34" s="12"/>
      <c r="AC34" s="9" t="s">
        <v>50</v>
      </c>
    </row>
    <row r="35">
      <c r="A35" s="9" t="s">
        <v>33</v>
      </c>
      <c r="B35" s="11">
        <v>6.0</v>
      </c>
      <c r="C35" s="9" t="s">
        <v>43</v>
      </c>
      <c r="D35" s="9" t="s">
        <v>55</v>
      </c>
      <c r="E35" s="9" t="s">
        <v>56</v>
      </c>
      <c r="F35" s="9" t="s">
        <v>45</v>
      </c>
      <c r="G35" s="9" t="s">
        <v>46</v>
      </c>
      <c r="H35" s="9" t="s">
        <v>128</v>
      </c>
      <c r="I35" s="11">
        <v>8177076.0</v>
      </c>
      <c r="J35" s="11">
        <v>2.66802226E8</v>
      </c>
      <c r="K35" s="13">
        <v>46304.0</v>
      </c>
      <c r="L35" s="14">
        <v>46366.0</v>
      </c>
      <c r="M35" s="12"/>
      <c r="N35" s="9">
        <v>103.0</v>
      </c>
      <c r="O35" s="11">
        <v>41.0</v>
      </c>
      <c r="P35" s="9" t="s">
        <v>44</v>
      </c>
      <c r="Q35" s="12"/>
      <c r="R35" s="9" t="s">
        <v>52</v>
      </c>
      <c r="S35" s="9" t="s">
        <v>47</v>
      </c>
      <c r="T35" s="9" t="s">
        <v>44</v>
      </c>
      <c r="U35" s="9" t="s">
        <v>44</v>
      </c>
      <c r="V35" s="11">
        <v>130.9</v>
      </c>
      <c r="W35" s="11">
        <v>3.0</v>
      </c>
      <c r="X35" s="9" t="s">
        <v>48</v>
      </c>
      <c r="Y35" s="9" t="s">
        <v>130</v>
      </c>
      <c r="Z35" s="12"/>
      <c r="AA35" s="9">
        <v>1305261.0</v>
      </c>
      <c r="AB35" s="12"/>
      <c r="AC35" s="9" t="s">
        <v>50</v>
      </c>
    </row>
    <row r="36">
      <c r="A36" s="9" t="s">
        <v>33</v>
      </c>
      <c r="B36" s="11">
        <v>6.0</v>
      </c>
      <c r="C36" s="9" t="s">
        <v>43</v>
      </c>
      <c r="D36" s="9" t="s">
        <v>55</v>
      </c>
      <c r="E36" s="9" t="s">
        <v>56</v>
      </c>
      <c r="F36" s="9" t="s">
        <v>45</v>
      </c>
      <c r="G36" s="9" t="s">
        <v>46</v>
      </c>
      <c r="H36" s="9" t="s">
        <v>131</v>
      </c>
      <c r="I36" s="11">
        <v>8177077.0</v>
      </c>
      <c r="J36" s="11">
        <v>2.66802227E8</v>
      </c>
      <c r="K36" s="13">
        <v>46304.0</v>
      </c>
      <c r="L36" s="14">
        <v>46342.0</v>
      </c>
      <c r="M36" s="12"/>
      <c r="N36" s="9">
        <v>1.0</v>
      </c>
      <c r="O36" s="11">
        <v>24.0</v>
      </c>
      <c r="P36" s="9" t="s">
        <v>44</v>
      </c>
      <c r="Q36" s="12"/>
      <c r="R36" s="9" t="s">
        <v>52</v>
      </c>
      <c r="S36" s="9" t="s">
        <v>47</v>
      </c>
      <c r="T36" s="9" t="s">
        <v>44</v>
      </c>
      <c r="U36" s="9" t="s">
        <v>44</v>
      </c>
      <c r="V36" s="11">
        <v>119.2</v>
      </c>
      <c r="W36" s="11">
        <v>1.0</v>
      </c>
      <c r="X36" s="9" t="s">
        <v>48</v>
      </c>
      <c r="Y36" s="9" t="s">
        <v>132</v>
      </c>
      <c r="Z36" s="12"/>
      <c r="AA36" s="9">
        <v>1303067.0</v>
      </c>
      <c r="AB36" s="12"/>
      <c r="AC36" s="9" t="s">
        <v>50</v>
      </c>
    </row>
    <row r="37">
      <c r="A37" s="9" t="s">
        <v>33</v>
      </c>
      <c r="B37" s="11">
        <v>6.0</v>
      </c>
      <c r="C37" s="9" t="s">
        <v>43</v>
      </c>
      <c r="D37" s="9" t="s">
        <v>55</v>
      </c>
      <c r="E37" s="9" t="s">
        <v>56</v>
      </c>
      <c r="F37" s="9" t="s">
        <v>45</v>
      </c>
      <c r="G37" s="9" t="s">
        <v>46</v>
      </c>
      <c r="H37" s="9" t="s">
        <v>133</v>
      </c>
      <c r="I37" s="11">
        <v>8177096.0</v>
      </c>
      <c r="J37" s="11">
        <v>2.66802228E8</v>
      </c>
      <c r="K37" s="13">
        <v>46304.0</v>
      </c>
      <c r="L37" s="14">
        <v>46316.0</v>
      </c>
      <c r="M37" s="12"/>
      <c r="N37" s="9">
        <v>6.0</v>
      </c>
      <c r="O37" s="11">
        <v>7.0</v>
      </c>
      <c r="P37" s="9" t="s">
        <v>44</v>
      </c>
      <c r="Q37" s="12"/>
      <c r="R37" s="9" t="s">
        <v>90</v>
      </c>
      <c r="S37" s="9" t="s">
        <v>47</v>
      </c>
      <c r="T37" s="9" t="s">
        <v>44</v>
      </c>
      <c r="U37" s="9" t="s">
        <v>44</v>
      </c>
      <c r="V37" s="11">
        <v>55.69</v>
      </c>
      <c r="W37" s="11">
        <v>4.0</v>
      </c>
      <c r="X37" s="9" t="s">
        <v>48</v>
      </c>
      <c r="Y37" s="9" t="s">
        <v>134</v>
      </c>
      <c r="Z37" s="12"/>
      <c r="AA37" s="9">
        <v>1306078.0</v>
      </c>
      <c r="AB37" s="12"/>
      <c r="AC37" s="9" t="s">
        <v>50</v>
      </c>
    </row>
    <row r="38">
      <c r="A38" s="9" t="s">
        <v>33</v>
      </c>
      <c r="B38" s="11">
        <v>6.0</v>
      </c>
      <c r="C38" s="9" t="s">
        <v>43</v>
      </c>
      <c r="D38" s="9" t="s">
        <v>55</v>
      </c>
      <c r="E38" s="9" t="s">
        <v>56</v>
      </c>
      <c r="F38" s="9" t="s">
        <v>45</v>
      </c>
      <c r="G38" s="9" t="s">
        <v>46</v>
      </c>
      <c r="H38" s="9" t="s">
        <v>133</v>
      </c>
      <c r="I38" s="11">
        <v>8177097.0</v>
      </c>
      <c r="J38" s="11">
        <v>2.66802229E8</v>
      </c>
      <c r="K38" s="13">
        <v>46304.0</v>
      </c>
      <c r="L38" s="14">
        <v>46316.0</v>
      </c>
      <c r="M38" s="12"/>
      <c r="N38" s="9">
        <v>19.0</v>
      </c>
      <c r="O38" s="11">
        <v>7.0</v>
      </c>
      <c r="P38" s="9" t="s">
        <v>44</v>
      </c>
      <c r="Q38" s="12"/>
      <c r="R38" s="9" t="s">
        <v>90</v>
      </c>
      <c r="S38" s="9" t="s">
        <v>47</v>
      </c>
      <c r="T38" s="9" t="s">
        <v>44</v>
      </c>
      <c r="U38" s="9" t="s">
        <v>44</v>
      </c>
      <c r="V38" s="11">
        <v>60.6</v>
      </c>
      <c r="W38" s="11">
        <v>5.0</v>
      </c>
      <c r="X38" s="9" t="s">
        <v>48</v>
      </c>
      <c r="Y38" s="9" t="s">
        <v>135</v>
      </c>
      <c r="Z38" s="12"/>
      <c r="AA38" s="9">
        <v>1305652.0</v>
      </c>
      <c r="AB38" s="12"/>
      <c r="AC38" s="9" t="s">
        <v>50</v>
      </c>
    </row>
    <row r="39">
      <c r="A39" s="9" t="s">
        <v>33</v>
      </c>
      <c r="B39" s="11">
        <v>6.0</v>
      </c>
      <c r="C39" s="9" t="s">
        <v>43</v>
      </c>
      <c r="D39" s="9" t="s">
        <v>55</v>
      </c>
      <c r="E39" s="9" t="s">
        <v>56</v>
      </c>
      <c r="F39" s="9" t="s">
        <v>45</v>
      </c>
      <c r="G39" s="9" t="s">
        <v>46</v>
      </c>
      <c r="H39" s="9" t="s">
        <v>136</v>
      </c>
      <c r="I39" s="11">
        <v>8177098.0</v>
      </c>
      <c r="J39" s="11">
        <v>2.6680223E8</v>
      </c>
      <c r="K39" s="13">
        <v>46304.0</v>
      </c>
      <c r="L39" s="14">
        <v>46325.0</v>
      </c>
      <c r="M39" s="12"/>
      <c r="N39" s="9">
        <v>102.0</v>
      </c>
      <c r="O39" s="11">
        <v>14.0</v>
      </c>
      <c r="P39" s="9" t="s">
        <v>44</v>
      </c>
      <c r="Q39" s="12"/>
      <c r="R39" s="9" t="s">
        <v>90</v>
      </c>
      <c r="S39" s="9" t="s">
        <v>47</v>
      </c>
      <c r="T39" s="9" t="s">
        <v>44</v>
      </c>
      <c r="U39" s="9" t="s">
        <v>44</v>
      </c>
      <c r="V39" s="11">
        <v>62.65</v>
      </c>
      <c r="W39" s="11">
        <v>4.0</v>
      </c>
      <c r="X39" s="9" t="s">
        <v>48</v>
      </c>
      <c r="Y39" s="9" t="s">
        <v>137</v>
      </c>
      <c r="Z39" s="12"/>
      <c r="AA39" s="9">
        <v>1305832.0</v>
      </c>
      <c r="AB39" s="12"/>
      <c r="AC39" s="9" t="s">
        <v>50</v>
      </c>
    </row>
    <row r="40">
      <c r="A40" s="9" t="s">
        <v>33</v>
      </c>
      <c r="B40" s="11">
        <v>6.0</v>
      </c>
      <c r="C40" s="9" t="s">
        <v>43</v>
      </c>
      <c r="D40" s="9" t="s">
        <v>55</v>
      </c>
      <c r="E40" s="9" t="s">
        <v>56</v>
      </c>
      <c r="F40" s="9" t="s">
        <v>45</v>
      </c>
      <c r="G40" s="9" t="s">
        <v>46</v>
      </c>
      <c r="H40" s="9" t="s">
        <v>138</v>
      </c>
      <c r="I40" s="11">
        <v>8177080.0</v>
      </c>
      <c r="J40" s="11">
        <v>2.66802231E8</v>
      </c>
      <c r="K40" s="13">
        <v>46304.0</v>
      </c>
      <c r="L40" s="14">
        <v>46323.0</v>
      </c>
      <c r="M40" s="12"/>
      <c r="N40" s="9">
        <v>104.0</v>
      </c>
      <c r="O40" s="11">
        <v>12.0</v>
      </c>
      <c r="P40" s="9" t="s">
        <v>44</v>
      </c>
      <c r="Q40" s="12"/>
      <c r="R40" s="9" t="s">
        <v>90</v>
      </c>
      <c r="S40" s="9" t="s">
        <v>47</v>
      </c>
      <c r="T40" s="9" t="s">
        <v>44</v>
      </c>
      <c r="U40" s="9" t="s">
        <v>44</v>
      </c>
      <c r="V40" s="11">
        <v>90.12</v>
      </c>
      <c r="W40" s="11">
        <v>17.0</v>
      </c>
      <c r="X40" s="9" t="s">
        <v>48</v>
      </c>
      <c r="Y40" s="9" t="s">
        <v>139</v>
      </c>
      <c r="Z40" s="12"/>
      <c r="AA40" s="9">
        <v>1305777.0</v>
      </c>
      <c r="AB40" s="12"/>
      <c r="AC40" s="9" t="s">
        <v>50</v>
      </c>
    </row>
    <row r="41">
      <c r="A41" s="9" t="s">
        <v>33</v>
      </c>
      <c r="B41" s="11">
        <v>6.0</v>
      </c>
      <c r="C41" s="9" t="s">
        <v>43</v>
      </c>
      <c r="D41" s="9" t="s">
        <v>55</v>
      </c>
      <c r="E41" s="9" t="s">
        <v>56</v>
      </c>
      <c r="F41" s="9" t="s">
        <v>45</v>
      </c>
      <c r="G41" s="9" t="s">
        <v>46</v>
      </c>
      <c r="H41" s="9" t="s">
        <v>140</v>
      </c>
      <c r="I41" s="11">
        <v>8177105.0</v>
      </c>
      <c r="J41" s="11">
        <v>2.66802232E8</v>
      </c>
      <c r="K41" s="13">
        <v>46304.0</v>
      </c>
      <c r="L41" s="14">
        <v>46317.0</v>
      </c>
      <c r="M41" s="12"/>
      <c r="N41" s="9">
        <v>87.0</v>
      </c>
      <c r="O41" s="11">
        <v>8.0</v>
      </c>
      <c r="P41" s="9" t="s">
        <v>44</v>
      </c>
      <c r="Q41" s="12"/>
      <c r="R41" s="9" t="s">
        <v>90</v>
      </c>
      <c r="S41" s="9" t="s">
        <v>47</v>
      </c>
      <c r="T41" s="9" t="s">
        <v>44</v>
      </c>
      <c r="U41" s="9" t="s">
        <v>44</v>
      </c>
      <c r="V41" s="11">
        <v>76.76</v>
      </c>
      <c r="W41" s="11">
        <v>5.0</v>
      </c>
      <c r="X41" s="9" t="s">
        <v>48</v>
      </c>
      <c r="Y41" s="9" t="s">
        <v>141</v>
      </c>
      <c r="Z41" s="12"/>
      <c r="AA41" s="9" t="s">
        <v>142</v>
      </c>
      <c r="AB41" s="12"/>
      <c r="AC41" s="9" t="s">
        <v>50</v>
      </c>
    </row>
    <row r="42">
      <c r="A42" s="9" t="s">
        <v>33</v>
      </c>
      <c r="B42" s="11">
        <v>6.0</v>
      </c>
      <c r="C42" s="9" t="s">
        <v>43</v>
      </c>
      <c r="D42" s="9" t="s">
        <v>55</v>
      </c>
      <c r="E42" s="9" t="s">
        <v>56</v>
      </c>
      <c r="F42" s="9" t="s">
        <v>45</v>
      </c>
      <c r="G42" s="9" t="s">
        <v>46</v>
      </c>
      <c r="H42" s="9" t="s">
        <v>140</v>
      </c>
      <c r="I42" s="11">
        <v>8177099.0</v>
      </c>
      <c r="J42" s="11">
        <v>2.66802233E8</v>
      </c>
      <c r="K42" s="13">
        <v>46304.0</v>
      </c>
      <c r="L42" s="14">
        <v>46317.0</v>
      </c>
      <c r="M42" s="12"/>
      <c r="N42" s="9">
        <v>22.0</v>
      </c>
      <c r="O42" s="11">
        <v>8.0</v>
      </c>
      <c r="P42" s="9" t="s">
        <v>44</v>
      </c>
      <c r="Q42" s="12"/>
      <c r="R42" s="9" t="s">
        <v>90</v>
      </c>
      <c r="S42" s="9" t="s">
        <v>47</v>
      </c>
      <c r="T42" s="9" t="s">
        <v>44</v>
      </c>
      <c r="U42" s="9" t="s">
        <v>44</v>
      </c>
      <c r="V42" s="11">
        <v>60.04</v>
      </c>
      <c r="W42" s="11">
        <v>2.0</v>
      </c>
      <c r="X42" s="9" t="s">
        <v>48</v>
      </c>
      <c r="Y42" s="9" t="s">
        <v>143</v>
      </c>
      <c r="Z42" s="12"/>
      <c r="AA42" s="9">
        <v>1306079.0</v>
      </c>
      <c r="AB42" s="12"/>
      <c r="AC42" s="9" t="s">
        <v>50</v>
      </c>
    </row>
    <row r="43">
      <c r="A43" s="9" t="s">
        <v>33</v>
      </c>
      <c r="B43" s="11">
        <v>6.0</v>
      </c>
      <c r="C43" s="9" t="s">
        <v>43</v>
      </c>
      <c r="D43" s="9" t="s">
        <v>55</v>
      </c>
      <c r="E43" s="9" t="s">
        <v>56</v>
      </c>
      <c r="F43" s="9" t="s">
        <v>45</v>
      </c>
      <c r="G43" s="9" t="s">
        <v>46</v>
      </c>
      <c r="H43" s="9" t="s">
        <v>140</v>
      </c>
      <c r="I43" s="11">
        <v>8177100.0</v>
      </c>
      <c r="J43" s="11">
        <v>2.66802234E8</v>
      </c>
      <c r="K43" s="13">
        <v>46304.0</v>
      </c>
      <c r="L43" s="14">
        <v>46317.0</v>
      </c>
      <c r="M43" s="12"/>
      <c r="N43" s="9">
        <v>80.0</v>
      </c>
      <c r="O43" s="11">
        <v>8.0</v>
      </c>
      <c r="P43" s="9" t="s">
        <v>44</v>
      </c>
      <c r="Q43" s="12"/>
      <c r="R43" s="9" t="s">
        <v>90</v>
      </c>
      <c r="S43" s="9" t="s">
        <v>47</v>
      </c>
      <c r="T43" s="9" t="s">
        <v>44</v>
      </c>
      <c r="U43" s="9" t="s">
        <v>44</v>
      </c>
      <c r="V43" s="11">
        <v>60.04</v>
      </c>
      <c r="W43" s="11">
        <v>3.0</v>
      </c>
      <c r="X43" s="9" t="s">
        <v>48</v>
      </c>
      <c r="Y43" s="9" t="s">
        <v>144</v>
      </c>
      <c r="Z43" s="12"/>
      <c r="AA43" s="9">
        <v>1306082.0</v>
      </c>
      <c r="AB43" s="12"/>
      <c r="AC43" s="9" t="s">
        <v>50</v>
      </c>
    </row>
    <row r="44">
      <c r="A44" s="9" t="s">
        <v>33</v>
      </c>
      <c r="B44" s="11">
        <v>6.0</v>
      </c>
      <c r="C44" s="9" t="s">
        <v>43</v>
      </c>
      <c r="D44" s="9" t="s">
        <v>55</v>
      </c>
      <c r="E44" s="9" t="s">
        <v>56</v>
      </c>
      <c r="F44" s="9" t="s">
        <v>45</v>
      </c>
      <c r="G44" s="9" t="s">
        <v>46</v>
      </c>
      <c r="H44" s="9" t="s">
        <v>145</v>
      </c>
      <c r="I44" s="11">
        <v>8177109.0</v>
      </c>
      <c r="J44" s="11">
        <v>2.66802235E8</v>
      </c>
      <c r="K44" s="13">
        <v>46304.0</v>
      </c>
      <c r="L44" s="14">
        <v>46317.0</v>
      </c>
      <c r="M44" s="12"/>
      <c r="N44" s="9">
        <v>6.0</v>
      </c>
      <c r="O44" s="11">
        <v>8.0</v>
      </c>
      <c r="P44" s="9" t="s">
        <v>44</v>
      </c>
      <c r="Q44" s="12"/>
      <c r="R44" s="9" t="s">
        <v>90</v>
      </c>
      <c r="S44" s="9" t="s">
        <v>47</v>
      </c>
      <c r="T44" s="9" t="s">
        <v>44</v>
      </c>
      <c r="U44" s="9" t="s">
        <v>44</v>
      </c>
      <c r="V44" s="11">
        <v>570.9</v>
      </c>
      <c r="W44" s="11">
        <v>46.0</v>
      </c>
      <c r="X44" s="9" t="s">
        <v>48</v>
      </c>
      <c r="Y44" s="9" t="s">
        <v>146</v>
      </c>
      <c r="Z44" s="12"/>
      <c r="AA44" s="9">
        <v>1303877.0</v>
      </c>
      <c r="AB44" s="12"/>
      <c r="AC44" s="9" t="s">
        <v>50</v>
      </c>
    </row>
    <row r="45">
      <c r="A45" s="9" t="s">
        <v>33</v>
      </c>
      <c r="B45" s="11">
        <v>6.0</v>
      </c>
      <c r="C45" s="9" t="s">
        <v>43</v>
      </c>
      <c r="D45" s="9" t="s">
        <v>55</v>
      </c>
      <c r="E45" s="9" t="s">
        <v>56</v>
      </c>
      <c r="F45" s="9" t="s">
        <v>45</v>
      </c>
      <c r="G45" s="9" t="s">
        <v>46</v>
      </c>
      <c r="H45" s="9" t="s">
        <v>147</v>
      </c>
      <c r="I45" s="11">
        <v>8177081.0</v>
      </c>
      <c r="J45" s="11">
        <v>2.66802236E8</v>
      </c>
      <c r="K45" s="13">
        <v>46304.0</v>
      </c>
      <c r="L45" s="14">
        <v>46322.0</v>
      </c>
      <c r="M45" s="12"/>
      <c r="N45" s="9">
        <v>500.0</v>
      </c>
      <c r="O45" s="11">
        <v>11.0</v>
      </c>
      <c r="P45" s="9" t="s">
        <v>44</v>
      </c>
      <c r="Q45" s="12"/>
      <c r="R45" s="9" t="s">
        <v>90</v>
      </c>
      <c r="S45" s="9" t="s">
        <v>47</v>
      </c>
      <c r="T45" s="9" t="s">
        <v>44</v>
      </c>
      <c r="U45" s="9" t="s">
        <v>44</v>
      </c>
      <c r="V45" s="11">
        <v>79.47</v>
      </c>
      <c r="W45" s="11">
        <v>3.0</v>
      </c>
      <c r="X45" s="9" t="s">
        <v>48</v>
      </c>
      <c r="Y45" s="9" t="s">
        <v>148</v>
      </c>
      <c r="Z45" s="12"/>
      <c r="AA45" s="9">
        <v>1305988.0</v>
      </c>
      <c r="AB45" s="12"/>
      <c r="AC45" s="9" t="s">
        <v>50</v>
      </c>
    </row>
    <row r="46">
      <c r="A46" s="9" t="s">
        <v>33</v>
      </c>
      <c r="B46" s="11">
        <v>6.0</v>
      </c>
      <c r="C46" s="9" t="s">
        <v>43</v>
      </c>
      <c r="D46" s="9" t="s">
        <v>55</v>
      </c>
      <c r="E46" s="9" t="s">
        <v>56</v>
      </c>
      <c r="F46" s="9" t="s">
        <v>45</v>
      </c>
      <c r="G46" s="9" t="s">
        <v>46</v>
      </c>
      <c r="H46" s="9" t="s">
        <v>149</v>
      </c>
      <c r="I46" s="11">
        <v>8176840.0</v>
      </c>
      <c r="J46" s="11">
        <v>2.6680326E8</v>
      </c>
      <c r="K46" s="13">
        <v>46304.0</v>
      </c>
      <c r="L46" s="14">
        <v>46316.0</v>
      </c>
      <c r="M46" s="12"/>
      <c r="N46" s="9">
        <v>104.0</v>
      </c>
      <c r="O46" s="11">
        <v>7.0</v>
      </c>
      <c r="P46" s="9" t="s">
        <v>44</v>
      </c>
      <c r="Q46" s="12"/>
      <c r="R46" s="12"/>
      <c r="S46" s="9" t="s">
        <v>47</v>
      </c>
      <c r="T46" s="9" t="s">
        <v>44</v>
      </c>
      <c r="U46" s="9" t="s">
        <v>44</v>
      </c>
      <c r="V46" s="11">
        <v>45.49</v>
      </c>
      <c r="W46" s="11">
        <v>1.0</v>
      </c>
      <c r="X46" s="9" t="s">
        <v>48</v>
      </c>
      <c r="Y46" s="9" t="s">
        <v>150</v>
      </c>
      <c r="Z46" s="12"/>
      <c r="AA46" s="9">
        <v>1305542.0</v>
      </c>
      <c r="AB46" s="12"/>
      <c r="AC46" s="9" t="s">
        <v>50</v>
      </c>
    </row>
    <row r="47">
      <c r="A47" s="9" t="s">
        <v>33</v>
      </c>
      <c r="B47" s="11">
        <v>6.0</v>
      </c>
      <c r="C47" s="9" t="s">
        <v>43</v>
      </c>
      <c r="D47" s="9" t="s">
        <v>55</v>
      </c>
      <c r="E47" s="9" t="s">
        <v>56</v>
      </c>
      <c r="F47" s="9" t="s">
        <v>45</v>
      </c>
      <c r="G47" s="9" t="s">
        <v>46</v>
      </c>
      <c r="H47" s="9" t="s">
        <v>151</v>
      </c>
      <c r="I47" s="11">
        <v>8176960.0</v>
      </c>
      <c r="J47" s="11">
        <v>2.66803261E8</v>
      </c>
      <c r="K47" s="13">
        <v>46304.0</v>
      </c>
      <c r="L47" s="14">
        <v>46316.0</v>
      </c>
      <c r="M47" s="12"/>
      <c r="N47" s="9">
        <v>104.0</v>
      </c>
      <c r="O47" s="11">
        <v>7.0</v>
      </c>
      <c r="P47" s="9" t="s">
        <v>44</v>
      </c>
      <c r="Q47" s="12"/>
      <c r="R47" s="12"/>
      <c r="S47" s="9" t="s">
        <v>47</v>
      </c>
      <c r="T47" s="9" t="s">
        <v>44</v>
      </c>
      <c r="U47" s="9" t="s">
        <v>44</v>
      </c>
      <c r="V47" s="11">
        <v>38.46</v>
      </c>
      <c r="W47" s="11">
        <v>1.0</v>
      </c>
      <c r="X47" s="9" t="s">
        <v>48</v>
      </c>
      <c r="Y47" s="9" t="s">
        <v>152</v>
      </c>
      <c r="Z47" s="12"/>
      <c r="AA47" s="9">
        <v>1305461.0</v>
      </c>
      <c r="AB47" s="12"/>
      <c r="AC47" s="9" t="s">
        <v>50</v>
      </c>
    </row>
    <row r="48">
      <c r="A48" s="9" t="s">
        <v>33</v>
      </c>
      <c r="B48" s="11">
        <v>6.0</v>
      </c>
      <c r="C48" s="9" t="s">
        <v>43</v>
      </c>
      <c r="D48" s="9" t="s">
        <v>55</v>
      </c>
      <c r="E48" s="9" t="s">
        <v>56</v>
      </c>
      <c r="F48" s="9" t="s">
        <v>45</v>
      </c>
      <c r="G48" s="9" t="s">
        <v>46</v>
      </c>
      <c r="H48" s="9" t="s">
        <v>151</v>
      </c>
      <c r="I48" s="11">
        <v>8176961.0</v>
      </c>
      <c r="J48" s="11">
        <v>2.66803262E8</v>
      </c>
      <c r="K48" s="13">
        <v>46304.0</v>
      </c>
      <c r="L48" s="14">
        <v>46316.0</v>
      </c>
      <c r="M48" s="12"/>
      <c r="N48" s="9">
        <v>6.0</v>
      </c>
      <c r="O48" s="11">
        <v>7.0</v>
      </c>
      <c r="P48" s="9" t="s">
        <v>44</v>
      </c>
      <c r="Q48" s="12"/>
      <c r="R48" s="9" t="s">
        <v>52</v>
      </c>
      <c r="S48" s="9" t="s">
        <v>47</v>
      </c>
      <c r="T48" s="9" t="s">
        <v>44</v>
      </c>
      <c r="U48" s="9" t="s">
        <v>44</v>
      </c>
      <c r="V48" s="11">
        <v>38.46</v>
      </c>
      <c r="W48" s="11">
        <v>2.0</v>
      </c>
      <c r="X48" s="9" t="s">
        <v>48</v>
      </c>
      <c r="Y48" s="9" t="s">
        <v>153</v>
      </c>
      <c r="Z48" s="12"/>
      <c r="AA48" s="9">
        <v>1305581.0</v>
      </c>
      <c r="AB48" s="12"/>
      <c r="AC48" s="9" t="s">
        <v>50</v>
      </c>
    </row>
    <row r="49">
      <c r="A49" s="9" t="s">
        <v>33</v>
      </c>
      <c r="B49" s="11">
        <v>6.0</v>
      </c>
      <c r="C49" s="9" t="s">
        <v>43</v>
      </c>
      <c r="D49" s="9" t="s">
        <v>55</v>
      </c>
      <c r="E49" s="9" t="s">
        <v>56</v>
      </c>
      <c r="F49" s="9" t="s">
        <v>45</v>
      </c>
      <c r="G49" s="9" t="s">
        <v>46</v>
      </c>
      <c r="H49" s="9" t="s">
        <v>151</v>
      </c>
      <c r="I49" s="11">
        <v>8176747.0</v>
      </c>
      <c r="J49" s="11">
        <v>2.66803264E8</v>
      </c>
      <c r="K49" s="13">
        <v>46304.0</v>
      </c>
      <c r="L49" s="14">
        <v>46316.0</v>
      </c>
      <c r="M49" s="12"/>
      <c r="N49" s="9">
        <v>3.0</v>
      </c>
      <c r="O49" s="11">
        <v>7.0</v>
      </c>
      <c r="P49" s="9" t="s">
        <v>44</v>
      </c>
      <c r="Q49" s="12"/>
      <c r="R49" s="9" t="s">
        <v>52</v>
      </c>
      <c r="S49" s="9" t="s">
        <v>47</v>
      </c>
      <c r="T49" s="9" t="s">
        <v>44</v>
      </c>
      <c r="U49" s="9" t="s">
        <v>44</v>
      </c>
      <c r="V49" s="11">
        <v>38.46</v>
      </c>
      <c r="W49" s="11">
        <v>1.0</v>
      </c>
      <c r="X49" s="9" t="s">
        <v>48</v>
      </c>
      <c r="Y49" s="9" t="s">
        <v>154</v>
      </c>
      <c r="Z49" s="12"/>
      <c r="AA49" s="9">
        <v>1305923.0</v>
      </c>
      <c r="AB49" s="12"/>
      <c r="AC49" s="9" t="s">
        <v>50</v>
      </c>
    </row>
    <row r="50">
      <c r="A50" s="9" t="s">
        <v>33</v>
      </c>
      <c r="B50" s="11">
        <v>6.0</v>
      </c>
      <c r="C50" s="9" t="s">
        <v>43</v>
      </c>
      <c r="D50" s="9" t="s">
        <v>55</v>
      </c>
      <c r="E50" s="9" t="s">
        <v>56</v>
      </c>
      <c r="F50" s="9" t="s">
        <v>45</v>
      </c>
      <c r="G50" s="9" t="s">
        <v>46</v>
      </c>
      <c r="H50" s="9" t="s">
        <v>151</v>
      </c>
      <c r="I50" s="11">
        <v>8176962.0</v>
      </c>
      <c r="J50" s="11">
        <v>2.66803266E8</v>
      </c>
      <c r="K50" s="13">
        <v>46304.0</v>
      </c>
      <c r="L50" s="14">
        <v>46316.0</v>
      </c>
      <c r="M50" s="12"/>
      <c r="N50" s="9">
        <v>3.0</v>
      </c>
      <c r="O50" s="11">
        <v>7.0</v>
      </c>
      <c r="P50" s="9" t="s">
        <v>44</v>
      </c>
      <c r="Q50" s="12"/>
      <c r="R50" s="9" t="s">
        <v>52</v>
      </c>
      <c r="S50" s="9" t="s">
        <v>47</v>
      </c>
      <c r="T50" s="9" t="s">
        <v>44</v>
      </c>
      <c r="U50" s="9" t="s">
        <v>44</v>
      </c>
      <c r="V50" s="11">
        <v>38.46</v>
      </c>
      <c r="W50" s="11">
        <v>1.0</v>
      </c>
      <c r="X50" s="9" t="s">
        <v>48</v>
      </c>
      <c r="Y50" s="9" t="s">
        <v>155</v>
      </c>
      <c r="Z50" s="12"/>
      <c r="AA50" s="9">
        <v>1305731.0</v>
      </c>
      <c r="AB50" s="12"/>
      <c r="AC50" s="9" t="s">
        <v>50</v>
      </c>
    </row>
    <row r="51">
      <c r="A51" s="9" t="s">
        <v>33</v>
      </c>
      <c r="B51" s="11">
        <v>6.0</v>
      </c>
      <c r="C51" s="9" t="s">
        <v>43</v>
      </c>
      <c r="D51" s="9" t="s">
        <v>55</v>
      </c>
      <c r="E51" s="9" t="s">
        <v>56</v>
      </c>
      <c r="F51" s="9" t="s">
        <v>45</v>
      </c>
      <c r="G51" s="9" t="s">
        <v>46</v>
      </c>
      <c r="H51" s="9" t="s">
        <v>151</v>
      </c>
      <c r="I51" s="11">
        <v>8176897.0</v>
      </c>
      <c r="J51" s="11">
        <v>2.66803268E8</v>
      </c>
      <c r="K51" s="13">
        <v>46304.0</v>
      </c>
      <c r="L51" s="14">
        <v>46316.0</v>
      </c>
      <c r="M51" s="12"/>
      <c r="N51" s="9">
        <v>2.0</v>
      </c>
      <c r="O51" s="11">
        <v>7.0</v>
      </c>
      <c r="P51" s="9" t="s">
        <v>44</v>
      </c>
      <c r="Q51" s="12"/>
      <c r="R51" s="9" t="s">
        <v>52</v>
      </c>
      <c r="S51" s="9" t="s">
        <v>47</v>
      </c>
      <c r="T51" s="9" t="s">
        <v>44</v>
      </c>
      <c r="U51" s="9" t="s">
        <v>44</v>
      </c>
      <c r="V51" s="11">
        <v>38.46</v>
      </c>
      <c r="W51" s="11">
        <v>1.0</v>
      </c>
      <c r="X51" s="9" t="s">
        <v>48</v>
      </c>
      <c r="Y51" s="9" t="s">
        <v>156</v>
      </c>
      <c r="Z51" s="12"/>
      <c r="AA51" s="9">
        <v>1305325.0</v>
      </c>
      <c r="AB51" s="12"/>
      <c r="AC51" s="9" t="s">
        <v>50</v>
      </c>
    </row>
    <row r="52">
      <c r="A52" s="9" t="s">
        <v>33</v>
      </c>
      <c r="B52" s="11">
        <v>6.0</v>
      </c>
      <c r="C52" s="9" t="s">
        <v>43</v>
      </c>
      <c r="D52" s="9" t="s">
        <v>55</v>
      </c>
      <c r="E52" s="9" t="s">
        <v>56</v>
      </c>
      <c r="F52" s="9" t="s">
        <v>45</v>
      </c>
      <c r="G52" s="9" t="s">
        <v>46</v>
      </c>
      <c r="H52" s="9" t="s">
        <v>151</v>
      </c>
      <c r="I52" s="11">
        <v>8177017.0</v>
      </c>
      <c r="J52" s="11">
        <v>2.6680327E8</v>
      </c>
      <c r="K52" s="13">
        <v>46304.0</v>
      </c>
      <c r="L52" s="14">
        <v>46316.0</v>
      </c>
      <c r="M52" s="12"/>
      <c r="N52" s="9">
        <v>101.0</v>
      </c>
      <c r="O52" s="11">
        <v>7.0</v>
      </c>
      <c r="P52" s="9" t="s">
        <v>44</v>
      </c>
      <c r="Q52" s="12"/>
      <c r="R52" s="9" t="s">
        <v>52</v>
      </c>
      <c r="S52" s="9" t="s">
        <v>47</v>
      </c>
      <c r="T52" s="9" t="s">
        <v>44</v>
      </c>
      <c r="U52" s="9" t="s">
        <v>44</v>
      </c>
      <c r="V52" s="11">
        <v>38.46</v>
      </c>
      <c r="W52" s="11">
        <v>2.0</v>
      </c>
      <c r="X52" s="9" t="s">
        <v>48</v>
      </c>
      <c r="Y52" s="9" t="s">
        <v>157</v>
      </c>
      <c r="Z52" s="12"/>
      <c r="AA52" s="9" t="s">
        <v>158</v>
      </c>
      <c r="AB52" s="12"/>
      <c r="AC52" s="9" t="s">
        <v>50</v>
      </c>
    </row>
    <row r="53">
      <c r="A53" s="9" t="s">
        <v>33</v>
      </c>
      <c r="B53" s="11">
        <v>6.0</v>
      </c>
      <c r="C53" s="9" t="s">
        <v>43</v>
      </c>
      <c r="D53" s="9" t="s">
        <v>55</v>
      </c>
      <c r="E53" s="9" t="s">
        <v>56</v>
      </c>
      <c r="F53" s="9" t="s">
        <v>45</v>
      </c>
      <c r="G53" s="9" t="s">
        <v>46</v>
      </c>
      <c r="H53" s="9" t="s">
        <v>159</v>
      </c>
      <c r="I53" s="11">
        <v>8176799.0</v>
      </c>
      <c r="J53" s="11">
        <v>2.66803272E8</v>
      </c>
      <c r="K53" s="13">
        <v>46304.0</v>
      </c>
      <c r="L53" s="14">
        <v>46316.0</v>
      </c>
      <c r="M53" s="12"/>
      <c r="N53" s="9">
        <v>3.0</v>
      </c>
      <c r="O53" s="11">
        <v>7.0</v>
      </c>
      <c r="P53" s="9" t="s">
        <v>44</v>
      </c>
      <c r="Q53" s="12"/>
      <c r="R53" s="12"/>
      <c r="S53" s="9" t="s">
        <v>47</v>
      </c>
      <c r="T53" s="9" t="s">
        <v>44</v>
      </c>
      <c r="U53" s="9" t="s">
        <v>44</v>
      </c>
      <c r="V53" s="11">
        <v>38.46</v>
      </c>
      <c r="W53" s="11">
        <v>1.0</v>
      </c>
      <c r="X53" s="9" t="s">
        <v>48</v>
      </c>
      <c r="Y53" s="9" t="s">
        <v>160</v>
      </c>
      <c r="Z53" s="12"/>
      <c r="AA53" s="9">
        <v>1305655.0</v>
      </c>
      <c r="AB53" s="12"/>
      <c r="AC53" s="9" t="s">
        <v>50</v>
      </c>
    </row>
    <row r="54">
      <c r="A54" s="9" t="s">
        <v>33</v>
      </c>
      <c r="B54" s="11">
        <v>6.0</v>
      </c>
      <c r="C54" s="9" t="s">
        <v>43</v>
      </c>
      <c r="D54" s="9" t="s">
        <v>55</v>
      </c>
      <c r="E54" s="9" t="s">
        <v>56</v>
      </c>
      <c r="F54" s="9" t="s">
        <v>45</v>
      </c>
      <c r="G54" s="9" t="s">
        <v>46</v>
      </c>
      <c r="H54" s="9" t="s">
        <v>149</v>
      </c>
      <c r="I54" s="11">
        <v>8177018.0</v>
      </c>
      <c r="J54" s="11">
        <v>2.66803273E8</v>
      </c>
      <c r="K54" s="13">
        <v>46304.0</v>
      </c>
      <c r="L54" s="14">
        <v>46316.0</v>
      </c>
      <c r="M54" s="12"/>
      <c r="N54" s="9">
        <v>131.0</v>
      </c>
      <c r="O54" s="11">
        <v>7.0</v>
      </c>
      <c r="P54" s="9" t="s">
        <v>44</v>
      </c>
      <c r="Q54" s="12"/>
      <c r="R54" s="12"/>
      <c r="S54" s="9" t="s">
        <v>47</v>
      </c>
      <c r="T54" s="9" t="s">
        <v>44</v>
      </c>
      <c r="U54" s="9" t="s">
        <v>44</v>
      </c>
      <c r="V54" s="11">
        <v>45.49</v>
      </c>
      <c r="W54" s="11">
        <v>1.0</v>
      </c>
      <c r="X54" s="9" t="s">
        <v>48</v>
      </c>
      <c r="Y54" s="9" t="s">
        <v>161</v>
      </c>
      <c r="Z54" s="12"/>
      <c r="AA54" s="9">
        <v>1304883.0</v>
      </c>
      <c r="AB54" s="12"/>
      <c r="AC54" s="9" t="s">
        <v>50</v>
      </c>
    </row>
    <row r="55">
      <c r="A55" s="9" t="s">
        <v>33</v>
      </c>
      <c r="B55" s="11">
        <v>6.0</v>
      </c>
      <c r="C55" s="9" t="s">
        <v>43</v>
      </c>
      <c r="D55" s="9" t="s">
        <v>55</v>
      </c>
      <c r="E55" s="9" t="s">
        <v>56</v>
      </c>
      <c r="F55" s="9" t="s">
        <v>45</v>
      </c>
      <c r="G55" s="9" t="s">
        <v>46</v>
      </c>
      <c r="H55" s="9" t="s">
        <v>159</v>
      </c>
      <c r="I55" s="11">
        <v>8176898.0</v>
      </c>
      <c r="J55" s="11">
        <v>2.66803274E8</v>
      </c>
      <c r="K55" s="13">
        <v>46304.0</v>
      </c>
      <c r="L55" s="14">
        <v>46316.0</v>
      </c>
      <c r="M55" s="12"/>
      <c r="N55" s="9">
        <v>101.0</v>
      </c>
      <c r="O55" s="11">
        <v>7.0</v>
      </c>
      <c r="P55" s="9" t="s">
        <v>44</v>
      </c>
      <c r="Q55" s="12"/>
      <c r="R55" s="9" t="s">
        <v>52</v>
      </c>
      <c r="S55" s="9" t="s">
        <v>47</v>
      </c>
      <c r="T55" s="9" t="s">
        <v>44</v>
      </c>
      <c r="U55" s="9" t="s">
        <v>44</v>
      </c>
      <c r="V55" s="11">
        <v>38.46</v>
      </c>
      <c r="W55" s="11">
        <v>1.0</v>
      </c>
      <c r="X55" s="9" t="s">
        <v>48</v>
      </c>
      <c r="Y55" s="9" t="s">
        <v>162</v>
      </c>
      <c r="Z55" s="12"/>
      <c r="AA55" s="9">
        <v>1305376.0</v>
      </c>
      <c r="AB55" s="12"/>
      <c r="AC55" s="9" t="s">
        <v>50</v>
      </c>
    </row>
    <row r="56">
      <c r="A56" s="9" t="s">
        <v>33</v>
      </c>
      <c r="B56" s="11">
        <v>6.0</v>
      </c>
      <c r="C56" s="9" t="s">
        <v>43</v>
      </c>
      <c r="D56" s="9" t="s">
        <v>55</v>
      </c>
      <c r="E56" s="9" t="s">
        <v>56</v>
      </c>
      <c r="F56" s="9" t="s">
        <v>45</v>
      </c>
      <c r="G56" s="9" t="s">
        <v>46</v>
      </c>
      <c r="H56" s="9" t="s">
        <v>57</v>
      </c>
      <c r="I56" s="11">
        <v>8176963.0</v>
      </c>
      <c r="J56" s="11">
        <v>2.66803275E8</v>
      </c>
      <c r="K56" s="13">
        <v>46304.0</v>
      </c>
      <c r="L56" s="14">
        <v>46317.0</v>
      </c>
      <c r="M56" s="12"/>
      <c r="N56" s="9">
        <v>103.0</v>
      </c>
      <c r="O56" s="11">
        <v>8.0</v>
      </c>
      <c r="P56" s="9" t="s">
        <v>44</v>
      </c>
      <c r="Q56" s="12"/>
      <c r="R56" s="9" t="s">
        <v>52</v>
      </c>
      <c r="S56" s="9" t="s">
        <v>47</v>
      </c>
      <c r="T56" s="9" t="s">
        <v>44</v>
      </c>
      <c r="U56" s="9" t="s">
        <v>44</v>
      </c>
      <c r="V56" s="11">
        <v>48.22</v>
      </c>
      <c r="W56" s="11">
        <v>8.0</v>
      </c>
      <c r="X56" s="9" t="s">
        <v>48</v>
      </c>
      <c r="Y56" s="9" t="s">
        <v>58</v>
      </c>
      <c r="Z56" s="12"/>
      <c r="AA56" s="9">
        <v>1306006.0</v>
      </c>
      <c r="AB56" s="12"/>
      <c r="AC56" s="9" t="s">
        <v>50</v>
      </c>
    </row>
    <row r="57">
      <c r="A57" s="9" t="s">
        <v>33</v>
      </c>
      <c r="B57" s="11">
        <v>6.0</v>
      </c>
      <c r="C57" s="9" t="s">
        <v>43</v>
      </c>
      <c r="D57" s="9" t="s">
        <v>55</v>
      </c>
      <c r="E57" s="9" t="s">
        <v>56</v>
      </c>
      <c r="F57" s="9" t="s">
        <v>45</v>
      </c>
      <c r="G57" s="9" t="s">
        <v>46</v>
      </c>
      <c r="H57" s="9" t="s">
        <v>159</v>
      </c>
      <c r="I57" s="11">
        <v>8176713.0</v>
      </c>
      <c r="J57" s="11">
        <v>2.66803276E8</v>
      </c>
      <c r="K57" s="13">
        <v>46304.0</v>
      </c>
      <c r="L57" s="14">
        <v>46316.0</v>
      </c>
      <c r="M57" s="12"/>
      <c r="N57" s="9">
        <v>107.0</v>
      </c>
      <c r="O57" s="11">
        <v>7.0</v>
      </c>
      <c r="P57" s="9" t="s">
        <v>44</v>
      </c>
      <c r="Q57" s="12"/>
      <c r="R57" s="9" t="s">
        <v>52</v>
      </c>
      <c r="S57" s="9" t="s">
        <v>47</v>
      </c>
      <c r="T57" s="9" t="s">
        <v>44</v>
      </c>
      <c r="U57" s="9" t="s">
        <v>44</v>
      </c>
      <c r="V57" s="11">
        <v>38.46</v>
      </c>
      <c r="W57" s="11">
        <v>2.0</v>
      </c>
      <c r="X57" s="9" t="s">
        <v>48</v>
      </c>
      <c r="Y57" s="9" t="s">
        <v>163</v>
      </c>
      <c r="Z57" s="12"/>
      <c r="AA57" s="9">
        <v>1305931.0</v>
      </c>
      <c r="AB57" s="12"/>
      <c r="AC57" s="9" t="s">
        <v>50</v>
      </c>
    </row>
    <row r="58">
      <c r="A58" s="9" t="s">
        <v>33</v>
      </c>
      <c r="B58" s="11">
        <v>6.0</v>
      </c>
      <c r="C58" s="9" t="s">
        <v>43</v>
      </c>
      <c r="D58" s="9" t="s">
        <v>55</v>
      </c>
      <c r="E58" s="9" t="s">
        <v>56</v>
      </c>
      <c r="F58" s="9" t="s">
        <v>45</v>
      </c>
      <c r="G58" s="9" t="s">
        <v>46</v>
      </c>
      <c r="H58" s="9" t="s">
        <v>65</v>
      </c>
      <c r="I58" s="11">
        <v>8176964.0</v>
      </c>
      <c r="J58" s="11">
        <v>2.66803277E8</v>
      </c>
      <c r="K58" s="13">
        <v>46304.0</v>
      </c>
      <c r="L58" s="14">
        <v>46316.0</v>
      </c>
      <c r="M58" s="12"/>
      <c r="N58" s="9">
        <v>102.0</v>
      </c>
      <c r="O58" s="11">
        <v>7.0</v>
      </c>
      <c r="P58" s="9" t="s">
        <v>44</v>
      </c>
      <c r="Q58" s="12"/>
      <c r="R58" s="9" t="s">
        <v>52</v>
      </c>
      <c r="S58" s="9" t="s">
        <v>47</v>
      </c>
      <c r="T58" s="9" t="s">
        <v>44</v>
      </c>
      <c r="U58" s="9" t="s">
        <v>44</v>
      </c>
      <c r="V58" s="11">
        <v>38.46</v>
      </c>
      <c r="W58" s="11">
        <v>3.0</v>
      </c>
      <c r="X58" s="9" t="s">
        <v>48</v>
      </c>
      <c r="Y58" s="9" t="s">
        <v>164</v>
      </c>
      <c r="Z58" s="12"/>
      <c r="AA58" s="9" t="s">
        <v>165</v>
      </c>
      <c r="AB58" s="12"/>
      <c r="AC58" s="9" t="s">
        <v>50</v>
      </c>
    </row>
    <row r="59">
      <c r="A59" s="9" t="s">
        <v>33</v>
      </c>
      <c r="B59" s="11">
        <v>6.0</v>
      </c>
      <c r="C59" s="9" t="s">
        <v>43</v>
      </c>
      <c r="D59" s="9" t="s">
        <v>55</v>
      </c>
      <c r="E59" s="9" t="s">
        <v>56</v>
      </c>
      <c r="F59" s="9" t="s">
        <v>45</v>
      </c>
      <c r="G59" s="9" t="s">
        <v>46</v>
      </c>
      <c r="H59" s="9" t="s">
        <v>65</v>
      </c>
      <c r="I59" s="11">
        <v>8176729.0</v>
      </c>
      <c r="J59" s="11">
        <v>2.66803278E8</v>
      </c>
      <c r="K59" s="13">
        <v>46304.0</v>
      </c>
      <c r="L59" s="14">
        <v>46316.0</v>
      </c>
      <c r="M59" s="12"/>
      <c r="N59" s="9">
        <v>102.0</v>
      </c>
      <c r="O59" s="11">
        <v>7.0</v>
      </c>
      <c r="P59" s="9" t="s">
        <v>44</v>
      </c>
      <c r="Q59" s="12"/>
      <c r="R59" s="9" t="s">
        <v>52</v>
      </c>
      <c r="S59" s="9" t="s">
        <v>47</v>
      </c>
      <c r="T59" s="9" t="s">
        <v>44</v>
      </c>
      <c r="U59" s="9" t="s">
        <v>44</v>
      </c>
      <c r="V59" s="11">
        <v>38.46</v>
      </c>
      <c r="W59" s="11">
        <v>1.0</v>
      </c>
      <c r="X59" s="9" t="s">
        <v>48</v>
      </c>
      <c r="Y59" s="9" t="s">
        <v>166</v>
      </c>
      <c r="Z59" s="12"/>
      <c r="AA59" s="9">
        <v>1305884.0</v>
      </c>
      <c r="AB59" s="12"/>
      <c r="AC59" s="9" t="s">
        <v>50</v>
      </c>
    </row>
    <row r="60">
      <c r="A60" s="9" t="s">
        <v>33</v>
      </c>
      <c r="B60" s="11">
        <v>6.0</v>
      </c>
      <c r="C60" s="9" t="s">
        <v>43</v>
      </c>
      <c r="D60" s="9" t="s">
        <v>55</v>
      </c>
      <c r="E60" s="9" t="s">
        <v>56</v>
      </c>
      <c r="F60" s="9" t="s">
        <v>45</v>
      </c>
      <c r="G60" s="9" t="s">
        <v>46</v>
      </c>
      <c r="H60" s="9" t="s">
        <v>167</v>
      </c>
      <c r="I60" s="11">
        <v>8176754.0</v>
      </c>
      <c r="J60" s="11">
        <v>2.66803279E8</v>
      </c>
      <c r="K60" s="13">
        <v>46304.0</v>
      </c>
      <c r="L60" s="14">
        <v>46316.0</v>
      </c>
      <c r="M60" s="12"/>
      <c r="N60" s="9">
        <v>3.0</v>
      </c>
      <c r="O60" s="11">
        <v>7.0</v>
      </c>
      <c r="P60" s="9" t="s">
        <v>44</v>
      </c>
      <c r="Q60" s="12"/>
      <c r="R60" s="9" t="s">
        <v>52</v>
      </c>
      <c r="S60" s="9" t="s">
        <v>47</v>
      </c>
      <c r="T60" s="9" t="s">
        <v>44</v>
      </c>
      <c r="U60" s="9" t="s">
        <v>44</v>
      </c>
      <c r="V60" s="11">
        <v>44.45</v>
      </c>
      <c r="W60" s="11">
        <v>3.0</v>
      </c>
      <c r="X60" s="9" t="s">
        <v>48</v>
      </c>
      <c r="Y60" s="9" t="s">
        <v>168</v>
      </c>
      <c r="Z60" s="12"/>
      <c r="AA60" s="9">
        <v>1305935.0</v>
      </c>
      <c r="AB60" s="12"/>
      <c r="AC60" s="9" t="s">
        <v>50</v>
      </c>
    </row>
    <row r="61">
      <c r="A61" s="9" t="s">
        <v>33</v>
      </c>
      <c r="B61" s="11">
        <v>6.0</v>
      </c>
      <c r="C61" s="9" t="s">
        <v>43</v>
      </c>
      <c r="D61" s="9" t="s">
        <v>55</v>
      </c>
      <c r="E61" s="9" t="s">
        <v>56</v>
      </c>
      <c r="F61" s="9" t="s">
        <v>45</v>
      </c>
      <c r="G61" s="9" t="s">
        <v>46</v>
      </c>
      <c r="H61" s="9" t="s">
        <v>167</v>
      </c>
      <c r="I61" s="11">
        <v>8176765.0</v>
      </c>
      <c r="J61" s="11">
        <v>2.6680328E8</v>
      </c>
      <c r="K61" s="13">
        <v>46304.0</v>
      </c>
      <c r="L61" s="14">
        <v>46316.0</v>
      </c>
      <c r="M61" s="12"/>
      <c r="N61" s="9">
        <v>107.0</v>
      </c>
      <c r="O61" s="11">
        <v>7.0</v>
      </c>
      <c r="P61" s="9" t="s">
        <v>44</v>
      </c>
      <c r="Q61" s="12"/>
      <c r="R61" s="9" t="s">
        <v>90</v>
      </c>
      <c r="S61" s="9" t="s">
        <v>47</v>
      </c>
      <c r="T61" s="9" t="s">
        <v>44</v>
      </c>
      <c r="U61" s="9" t="s">
        <v>44</v>
      </c>
      <c r="V61" s="11">
        <v>51.99</v>
      </c>
      <c r="W61" s="11">
        <v>6.0</v>
      </c>
      <c r="X61" s="9" t="s">
        <v>48</v>
      </c>
      <c r="Y61" s="9" t="s">
        <v>169</v>
      </c>
      <c r="Z61" s="12"/>
      <c r="AA61" s="9">
        <v>1305830.0</v>
      </c>
      <c r="AB61" s="12"/>
      <c r="AC61" s="9" t="s">
        <v>50</v>
      </c>
    </row>
    <row r="62">
      <c r="A62" s="9" t="s">
        <v>33</v>
      </c>
      <c r="B62" s="11">
        <v>6.0</v>
      </c>
      <c r="C62" s="9" t="s">
        <v>43</v>
      </c>
      <c r="D62" s="9" t="s">
        <v>55</v>
      </c>
      <c r="E62" s="9" t="s">
        <v>56</v>
      </c>
      <c r="F62" s="9" t="s">
        <v>45</v>
      </c>
      <c r="G62" s="9" t="s">
        <v>46</v>
      </c>
      <c r="H62" s="9" t="s">
        <v>167</v>
      </c>
      <c r="I62" s="11">
        <v>8176769.0</v>
      </c>
      <c r="J62" s="11">
        <v>2.66803281E8</v>
      </c>
      <c r="K62" s="13">
        <v>46304.0</v>
      </c>
      <c r="L62" s="14">
        <v>46316.0</v>
      </c>
      <c r="M62" s="12"/>
      <c r="N62" s="9">
        <v>109.0</v>
      </c>
      <c r="O62" s="11">
        <v>7.0</v>
      </c>
      <c r="P62" s="9" t="s">
        <v>44</v>
      </c>
      <c r="Q62" s="12"/>
      <c r="R62" s="9" t="s">
        <v>52</v>
      </c>
      <c r="S62" s="9" t="s">
        <v>47</v>
      </c>
      <c r="T62" s="9" t="s">
        <v>44</v>
      </c>
      <c r="U62" s="9" t="s">
        <v>44</v>
      </c>
      <c r="V62" s="11">
        <v>38.46</v>
      </c>
      <c r="W62" s="11">
        <v>1.0</v>
      </c>
      <c r="X62" s="9" t="s">
        <v>48</v>
      </c>
      <c r="Y62" s="9" t="s">
        <v>170</v>
      </c>
      <c r="Z62" s="12"/>
      <c r="AA62" s="9">
        <v>1305384.0</v>
      </c>
      <c r="AB62" s="12"/>
      <c r="AC62" s="9" t="s">
        <v>50</v>
      </c>
    </row>
    <row r="63">
      <c r="A63" s="9" t="s">
        <v>33</v>
      </c>
      <c r="B63" s="11">
        <v>6.0</v>
      </c>
      <c r="C63" s="9" t="s">
        <v>43</v>
      </c>
      <c r="D63" s="9" t="s">
        <v>55</v>
      </c>
      <c r="E63" s="9" t="s">
        <v>56</v>
      </c>
      <c r="F63" s="9" t="s">
        <v>45</v>
      </c>
      <c r="G63" s="9" t="s">
        <v>46</v>
      </c>
      <c r="H63" s="9" t="s">
        <v>63</v>
      </c>
      <c r="I63" s="11">
        <v>8176925.0</v>
      </c>
      <c r="J63" s="11">
        <v>2.66803282E8</v>
      </c>
      <c r="K63" s="13">
        <v>46304.0</v>
      </c>
      <c r="L63" s="14">
        <v>46316.0</v>
      </c>
      <c r="M63" s="12"/>
      <c r="N63" s="9">
        <v>101.0</v>
      </c>
      <c r="O63" s="11">
        <v>7.0</v>
      </c>
      <c r="P63" s="9" t="s">
        <v>44</v>
      </c>
      <c r="Q63" s="12"/>
      <c r="R63" s="9" t="s">
        <v>52</v>
      </c>
      <c r="S63" s="9" t="s">
        <v>47</v>
      </c>
      <c r="T63" s="9" t="s">
        <v>44</v>
      </c>
      <c r="U63" s="9" t="s">
        <v>44</v>
      </c>
      <c r="V63" s="11">
        <v>38.46</v>
      </c>
      <c r="W63" s="11">
        <v>2.0</v>
      </c>
      <c r="X63" s="9" t="s">
        <v>48</v>
      </c>
      <c r="Y63" s="9" t="s">
        <v>64</v>
      </c>
      <c r="Z63" s="12"/>
      <c r="AA63" s="9">
        <v>1305438.0</v>
      </c>
      <c r="AB63" s="12"/>
      <c r="AC63" s="9" t="s">
        <v>50</v>
      </c>
    </row>
    <row r="64">
      <c r="A64" s="9" t="s">
        <v>33</v>
      </c>
      <c r="B64" s="11">
        <v>6.0</v>
      </c>
      <c r="C64" s="9" t="s">
        <v>43</v>
      </c>
      <c r="D64" s="9" t="s">
        <v>55</v>
      </c>
      <c r="E64" s="9" t="s">
        <v>56</v>
      </c>
      <c r="F64" s="9" t="s">
        <v>45</v>
      </c>
      <c r="G64" s="9" t="s">
        <v>46</v>
      </c>
      <c r="H64" s="9" t="s">
        <v>171</v>
      </c>
      <c r="I64" s="11">
        <v>8176926.0</v>
      </c>
      <c r="J64" s="11">
        <v>2.66803283E8</v>
      </c>
      <c r="K64" s="13">
        <v>46304.0</v>
      </c>
      <c r="L64" s="14">
        <v>46316.0</v>
      </c>
      <c r="M64" s="12"/>
      <c r="N64" s="9">
        <v>112.0</v>
      </c>
      <c r="O64" s="11">
        <v>7.0</v>
      </c>
      <c r="P64" s="9" t="s">
        <v>44</v>
      </c>
      <c r="Q64" s="12"/>
      <c r="R64" s="9" t="s">
        <v>52</v>
      </c>
      <c r="S64" s="9" t="s">
        <v>47</v>
      </c>
      <c r="T64" s="9" t="s">
        <v>44</v>
      </c>
      <c r="U64" s="9" t="s">
        <v>44</v>
      </c>
      <c r="V64" s="11">
        <v>38.46</v>
      </c>
      <c r="W64" s="11">
        <v>1.0</v>
      </c>
      <c r="X64" s="9" t="s">
        <v>48</v>
      </c>
      <c r="Y64" s="9" t="s">
        <v>172</v>
      </c>
      <c r="Z64" s="12"/>
      <c r="AA64" s="9">
        <v>1305409.0</v>
      </c>
      <c r="AB64" s="12"/>
      <c r="AC64" s="9" t="s">
        <v>50</v>
      </c>
    </row>
    <row r="65">
      <c r="A65" s="9" t="s">
        <v>33</v>
      </c>
      <c r="B65" s="11">
        <v>6.0</v>
      </c>
      <c r="C65" s="9" t="s">
        <v>43</v>
      </c>
      <c r="D65" s="9" t="s">
        <v>55</v>
      </c>
      <c r="E65" s="9" t="s">
        <v>56</v>
      </c>
      <c r="F65" s="9" t="s">
        <v>45</v>
      </c>
      <c r="G65" s="9" t="s">
        <v>46</v>
      </c>
      <c r="H65" s="9" t="s">
        <v>171</v>
      </c>
      <c r="I65" s="11">
        <v>8176748.0</v>
      </c>
      <c r="J65" s="11">
        <v>2.66803284E8</v>
      </c>
      <c r="K65" s="13">
        <v>46304.0</v>
      </c>
      <c r="L65" s="14">
        <v>46317.0</v>
      </c>
      <c r="M65" s="12"/>
      <c r="N65" s="9">
        <v>1.0</v>
      </c>
      <c r="O65" s="11">
        <v>8.0</v>
      </c>
      <c r="P65" s="9" t="s">
        <v>44</v>
      </c>
      <c r="Q65" s="12"/>
      <c r="R65" s="9" t="s">
        <v>52</v>
      </c>
      <c r="S65" s="9" t="s">
        <v>47</v>
      </c>
      <c r="T65" s="9" t="s">
        <v>44</v>
      </c>
      <c r="U65" s="9" t="s">
        <v>44</v>
      </c>
      <c r="V65" s="11">
        <v>38.46</v>
      </c>
      <c r="W65" s="11">
        <v>1.0</v>
      </c>
      <c r="X65" s="9" t="s">
        <v>48</v>
      </c>
      <c r="Y65" s="9" t="s">
        <v>173</v>
      </c>
      <c r="Z65" s="12"/>
      <c r="AA65" s="9">
        <v>1305945.0</v>
      </c>
      <c r="AB65" s="12"/>
      <c r="AC65" s="9" t="s">
        <v>50</v>
      </c>
    </row>
    <row r="66">
      <c r="A66" s="9" t="s">
        <v>33</v>
      </c>
      <c r="B66" s="11">
        <v>6.0</v>
      </c>
      <c r="C66" s="9" t="s">
        <v>43</v>
      </c>
      <c r="D66" s="9" t="s">
        <v>55</v>
      </c>
      <c r="E66" s="9" t="s">
        <v>56</v>
      </c>
      <c r="F66" s="9" t="s">
        <v>45</v>
      </c>
      <c r="G66" s="9" t="s">
        <v>46</v>
      </c>
      <c r="H66" s="9" t="s">
        <v>171</v>
      </c>
      <c r="I66" s="11">
        <v>8176965.0</v>
      </c>
      <c r="J66" s="11">
        <v>2.66803285E8</v>
      </c>
      <c r="K66" s="13">
        <v>46304.0</v>
      </c>
      <c r="L66" s="14">
        <v>46317.0</v>
      </c>
      <c r="M66" s="12"/>
      <c r="N66" s="9">
        <v>102.0</v>
      </c>
      <c r="O66" s="11">
        <v>8.0</v>
      </c>
      <c r="P66" s="9" t="s">
        <v>44</v>
      </c>
      <c r="Q66" s="12"/>
      <c r="R66" s="9" t="s">
        <v>90</v>
      </c>
      <c r="S66" s="9" t="s">
        <v>47</v>
      </c>
      <c r="T66" s="9" t="s">
        <v>44</v>
      </c>
      <c r="U66" s="9" t="s">
        <v>44</v>
      </c>
      <c r="V66" s="11">
        <v>38.46</v>
      </c>
      <c r="W66" s="11">
        <v>1.0</v>
      </c>
      <c r="X66" s="9" t="s">
        <v>48</v>
      </c>
      <c r="Y66" s="9" t="s">
        <v>174</v>
      </c>
      <c r="Z66" s="12"/>
      <c r="AA66" s="9">
        <v>1305753.0</v>
      </c>
      <c r="AB66" s="12"/>
      <c r="AC66" s="9" t="s">
        <v>50</v>
      </c>
    </row>
    <row r="67">
      <c r="A67" s="9" t="s">
        <v>33</v>
      </c>
      <c r="B67" s="11">
        <v>6.0</v>
      </c>
      <c r="C67" s="9" t="s">
        <v>43</v>
      </c>
      <c r="D67" s="9" t="s">
        <v>55</v>
      </c>
      <c r="E67" s="9" t="s">
        <v>56</v>
      </c>
      <c r="F67" s="9" t="s">
        <v>45</v>
      </c>
      <c r="G67" s="9" t="s">
        <v>46</v>
      </c>
      <c r="H67" s="9" t="s">
        <v>59</v>
      </c>
      <c r="I67" s="11">
        <v>8176865.0</v>
      </c>
      <c r="J67" s="11">
        <v>2.66803286E8</v>
      </c>
      <c r="K67" s="13">
        <v>46304.0</v>
      </c>
      <c r="L67" s="14">
        <v>46317.0</v>
      </c>
      <c r="M67" s="12"/>
      <c r="N67" s="9">
        <v>40.0</v>
      </c>
      <c r="O67" s="11">
        <v>8.0</v>
      </c>
      <c r="P67" s="9" t="s">
        <v>44</v>
      </c>
      <c r="Q67" s="12"/>
      <c r="R67" s="12"/>
      <c r="S67" s="9" t="s">
        <v>47</v>
      </c>
      <c r="T67" s="9" t="s">
        <v>44</v>
      </c>
      <c r="U67" s="9" t="s">
        <v>44</v>
      </c>
      <c r="V67" s="11">
        <v>38.46</v>
      </c>
      <c r="W67" s="11">
        <v>1.0</v>
      </c>
      <c r="X67" s="9" t="s">
        <v>48</v>
      </c>
      <c r="Y67" s="9" t="s">
        <v>175</v>
      </c>
      <c r="Z67" s="12"/>
      <c r="AA67" s="9">
        <v>1305167.0</v>
      </c>
      <c r="AB67" s="12"/>
      <c r="AC67" s="9" t="s">
        <v>50</v>
      </c>
    </row>
    <row r="68">
      <c r="A68" s="9" t="s">
        <v>33</v>
      </c>
      <c r="B68" s="11">
        <v>6.0</v>
      </c>
      <c r="C68" s="9" t="s">
        <v>43</v>
      </c>
      <c r="D68" s="9" t="s">
        <v>55</v>
      </c>
      <c r="E68" s="9" t="s">
        <v>56</v>
      </c>
      <c r="F68" s="9" t="s">
        <v>45</v>
      </c>
      <c r="G68" s="9" t="s">
        <v>46</v>
      </c>
      <c r="H68" s="9" t="s">
        <v>59</v>
      </c>
      <c r="I68" s="11">
        <v>8176927.0</v>
      </c>
      <c r="J68" s="11">
        <v>2.66803287E8</v>
      </c>
      <c r="K68" s="13">
        <v>46304.0</v>
      </c>
      <c r="L68" s="14">
        <v>46317.0</v>
      </c>
      <c r="M68" s="12"/>
      <c r="N68" s="9">
        <v>40.0</v>
      </c>
      <c r="O68" s="11">
        <v>8.0</v>
      </c>
      <c r="P68" s="9" t="s">
        <v>44</v>
      </c>
      <c r="Q68" s="12"/>
      <c r="R68" s="9" t="s">
        <v>52</v>
      </c>
      <c r="S68" s="9" t="s">
        <v>47</v>
      </c>
      <c r="T68" s="9" t="s">
        <v>44</v>
      </c>
      <c r="U68" s="9" t="s">
        <v>44</v>
      </c>
      <c r="V68" s="11">
        <v>38.46</v>
      </c>
      <c r="W68" s="11">
        <v>2.0</v>
      </c>
      <c r="X68" s="9" t="s">
        <v>48</v>
      </c>
      <c r="Y68" s="9" t="s">
        <v>176</v>
      </c>
      <c r="Z68" s="12"/>
      <c r="AA68" s="9">
        <v>1305795.0</v>
      </c>
      <c r="AB68" s="12"/>
      <c r="AC68" s="9" t="s">
        <v>50</v>
      </c>
    </row>
    <row r="69">
      <c r="A69" s="9" t="s">
        <v>33</v>
      </c>
      <c r="B69" s="11">
        <v>6.0</v>
      </c>
      <c r="C69" s="9" t="s">
        <v>43</v>
      </c>
      <c r="D69" s="9" t="s">
        <v>55</v>
      </c>
      <c r="E69" s="9" t="s">
        <v>56</v>
      </c>
      <c r="F69" s="9" t="s">
        <v>45</v>
      </c>
      <c r="G69" s="9" t="s">
        <v>46</v>
      </c>
      <c r="H69" s="9" t="s">
        <v>59</v>
      </c>
      <c r="I69" s="11">
        <v>8177019.0</v>
      </c>
      <c r="J69" s="11">
        <v>2.66803288E8</v>
      </c>
      <c r="K69" s="13">
        <v>46304.0</v>
      </c>
      <c r="L69" s="14">
        <v>46317.0</v>
      </c>
      <c r="M69" s="12"/>
      <c r="N69" s="9">
        <v>402.0</v>
      </c>
      <c r="O69" s="11">
        <v>8.0</v>
      </c>
      <c r="P69" s="9" t="s">
        <v>44</v>
      </c>
      <c r="Q69" s="12"/>
      <c r="R69" s="9" t="s">
        <v>90</v>
      </c>
      <c r="S69" s="9" t="s">
        <v>47</v>
      </c>
      <c r="T69" s="9" t="s">
        <v>44</v>
      </c>
      <c r="U69" s="9" t="s">
        <v>44</v>
      </c>
      <c r="V69" s="11">
        <v>38.46</v>
      </c>
      <c r="W69" s="11">
        <v>1.0</v>
      </c>
      <c r="X69" s="9" t="s">
        <v>48</v>
      </c>
      <c r="Y69" s="9" t="s">
        <v>177</v>
      </c>
      <c r="Z69" s="12"/>
      <c r="AA69" s="9">
        <v>1303933.0</v>
      </c>
      <c r="AB69" s="12"/>
      <c r="AC69" s="9" t="s">
        <v>50</v>
      </c>
    </row>
    <row r="70">
      <c r="A70" s="9" t="s">
        <v>33</v>
      </c>
      <c r="B70" s="11">
        <v>6.0</v>
      </c>
      <c r="C70" s="9" t="s">
        <v>43</v>
      </c>
      <c r="D70" s="9" t="s">
        <v>55</v>
      </c>
      <c r="E70" s="9" t="s">
        <v>56</v>
      </c>
      <c r="F70" s="9" t="s">
        <v>45</v>
      </c>
      <c r="G70" s="9" t="s">
        <v>46</v>
      </c>
      <c r="H70" s="9" t="s">
        <v>178</v>
      </c>
      <c r="I70" s="11">
        <v>8177020.0</v>
      </c>
      <c r="J70" s="11">
        <v>2.66803289E8</v>
      </c>
      <c r="K70" s="13">
        <v>46304.0</v>
      </c>
      <c r="L70" s="14">
        <v>46316.0</v>
      </c>
      <c r="M70" s="12"/>
      <c r="N70" s="9">
        <v>4.0</v>
      </c>
      <c r="O70" s="11">
        <v>7.0</v>
      </c>
      <c r="P70" s="9" t="s">
        <v>44</v>
      </c>
      <c r="Q70" s="12"/>
      <c r="R70" s="9" t="s">
        <v>52</v>
      </c>
      <c r="S70" s="9" t="s">
        <v>47</v>
      </c>
      <c r="T70" s="9" t="s">
        <v>44</v>
      </c>
      <c r="U70" s="9" t="s">
        <v>44</v>
      </c>
      <c r="V70" s="11">
        <v>38.46</v>
      </c>
      <c r="W70" s="11">
        <v>1.0</v>
      </c>
      <c r="X70" s="9" t="s">
        <v>48</v>
      </c>
      <c r="Y70" s="9" t="s">
        <v>179</v>
      </c>
      <c r="Z70" s="12"/>
      <c r="AA70" s="9">
        <v>1304926.0</v>
      </c>
      <c r="AB70" s="12"/>
      <c r="AC70" s="9" t="s">
        <v>50</v>
      </c>
    </row>
    <row r="71">
      <c r="A71" s="9" t="s">
        <v>33</v>
      </c>
      <c r="B71" s="11">
        <v>6.0</v>
      </c>
      <c r="C71" s="9" t="s">
        <v>43</v>
      </c>
      <c r="D71" s="9" t="s">
        <v>55</v>
      </c>
      <c r="E71" s="9" t="s">
        <v>56</v>
      </c>
      <c r="F71" s="9" t="s">
        <v>45</v>
      </c>
      <c r="G71" s="9" t="s">
        <v>46</v>
      </c>
      <c r="H71" s="9" t="s">
        <v>178</v>
      </c>
      <c r="I71" s="11">
        <v>8176966.0</v>
      </c>
      <c r="J71" s="11">
        <v>2.66803291E8</v>
      </c>
      <c r="K71" s="13">
        <v>46304.0</v>
      </c>
      <c r="L71" s="14">
        <v>46316.0</v>
      </c>
      <c r="M71" s="12"/>
      <c r="N71" s="9">
        <v>5.0</v>
      </c>
      <c r="O71" s="11">
        <v>7.0</v>
      </c>
      <c r="P71" s="9" t="s">
        <v>44</v>
      </c>
      <c r="Q71" s="12"/>
      <c r="R71" s="9" t="s">
        <v>52</v>
      </c>
      <c r="S71" s="9" t="s">
        <v>47</v>
      </c>
      <c r="T71" s="9" t="s">
        <v>44</v>
      </c>
      <c r="U71" s="9" t="s">
        <v>44</v>
      </c>
      <c r="V71" s="11">
        <v>38.46</v>
      </c>
      <c r="W71" s="11">
        <v>2.0</v>
      </c>
      <c r="X71" s="9" t="s">
        <v>48</v>
      </c>
      <c r="Y71" s="9" t="s">
        <v>180</v>
      </c>
      <c r="Z71" s="12"/>
      <c r="AA71" s="9" t="s">
        <v>181</v>
      </c>
      <c r="AB71" s="12"/>
      <c r="AC71" s="9" t="s">
        <v>50</v>
      </c>
    </row>
    <row r="72">
      <c r="A72" s="9" t="s">
        <v>33</v>
      </c>
      <c r="B72" s="11">
        <v>6.0</v>
      </c>
      <c r="C72" s="9" t="s">
        <v>43</v>
      </c>
      <c r="D72" s="9" t="s">
        <v>55</v>
      </c>
      <c r="E72" s="9" t="s">
        <v>56</v>
      </c>
      <c r="F72" s="9" t="s">
        <v>45</v>
      </c>
      <c r="G72" s="9" t="s">
        <v>46</v>
      </c>
      <c r="H72" s="9" t="s">
        <v>178</v>
      </c>
      <c r="I72" s="11">
        <v>8176841.0</v>
      </c>
      <c r="J72" s="11">
        <v>2.66803292E8</v>
      </c>
      <c r="K72" s="13">
        <v>46304.0</v>
      </c>
      <c r="L72" s="14">
        <v>46316.0</v>
      </c>
      <c r="M72" s="12"/>
      <c r="N72" s="9">
        <v>6.0</v>
      </c>
      <c r="O72" s="11">
        <v>7.0</v>
      </c>
      <c r="P72" s="9" t="s">
        <v>44</v>
      </c>
      <c r="Q72" s="12"/>
      <c r="R72" s="12"/>
      <c r="S72" s="9" t="s">
        <v>47</v>
      </c>
      <c r="T72" s="9" t="s">
        <v>44</v>
      </c>
      <c r="U72" s="9" t="s">
        <v>44</v>
      </c>
      <c r="V72" s="11">
        <v>38.46</v>
      </c>
      <c r="W72" s="11">
        <v>1.0</v>
      </c>
      <c r="X72" s="9" t="s">
        <v>48</v>
      </c>
      <c r="Y72" s="9" t="s">
        <v>182</v>
      </c>
      <c r="Z72" s="12"/>
      <c r="AA72" s="9">
        <v>1305688.0</v>
      </c>
      <c r="AB72" s="12"/>
      <c r="AC72" s="9" t="s">
        <v>50</v>
      </c>
    </row>
    <row r="73">
      <c r="A73" s="9" t="s">
        <v>33</v>
      </c>
      <c r="B73" s="11">
        <v>6.0</v>
      </c>
      <c r="C73" s="9" t="s">
        <v>43</v>
      </c>
      <c r="D73" s="9" t="s">
        <v>55</v>
      </c>
      <c r="E73" s="9" t="s">
        <v>56</v>
      </c>
      <c r="F73" s="9" t="s">
        <v>45</v>
      </c>
      <c r="G73" s="9" t="s">
        <v>46</v>
      </c>
      <c r="H73" s="9" t="s">
        <v>178</v>
      </c>
      <c r="I73" s="11">
        <v>8176967.0</v>
      </c>
      <c r="J73" s="11">
        <v>2.66803293E8</v>
      </c>
      <c r="K73" s="13">
        <v>46304.0</v>
      </c>
      <c r="L73" s="14">
        <v>46316.0</v>
      </c>
      <c r="M73" s="12"/>
      <c r="N73" s="9">
        <v>7.0</v>
      </c>
      <c r="O73" s="11">
        <v>7.0</v>
      </c>
      <c r="P73" s="9" t="s">
        <v>44</v>
      </c>
      <c r="Q73" s="12"/>
      <c r="R73" s="12"/>
      <c r="S73" s="9" t="s">
        <v>47</v>
      </c>
      <c r="T73" s="9" t="s">
        <v>44</v>
      </c>
      <c r="U73" s="9" t="s">
        <v>44</v>
      </c>
      <c r="V73" s="11">
        <v>38.46</v>
      </c>
      <c r="W73" s="11">
        <v>1.0</v>
      </c>
      <c r="X73" s="9" t="s">
        <v>48</v>
      </c>
      <c r="Y73" s="9" t="s">
        <v>183</v>
      </c>
      <c r="Z73" s="12"/>
      <c r="AA73" s="9">
        <v>1305379.0</v>
      </c>
      <c r="AB73" s="12"/>
      <c r="AC73" s="9" t="s">
        <v>50</v>
      </c>
    </row>
    <row r="74">
      <c r="A74" s="9" t="s">
        <v>33</v>
      </c>
      <c r="B74" s="11">
        <v>6.0</v>
      </c>
      <c r="C74" s="9" t="s">
        <v>43</v>
      </c>
      <c r="D74" s="9" t="s">
        <v>55</v>
      </c>
      <c r="E74" s="9" t="s">
        <v>56</v>
      </c>
      <c r="F74" s="9" t="s">
        <v>45</v>
      </c>
      <c r="G74" s="9" t="s">
        <v>46</v>
      </c>
      <c r="H74" s="9" t="s">
        <v>178</v>
      </c>
      <c r="I74" s="11">
        <v>8176928.0</v>
      </c>
      <c r="J74" s="11">
        <v>2.66803294E8</v>
      </c>
      <c r="K74" s="13">
        <v>46304.0</v>
      </c>
      <c r="L74" s="14">
        <v>46317.0</v>
      </c>
      <c r="M74" s="12"/>
      <c r="N74" s="9">
        <v>106.0</v>
      </c>
      <c r="O74" s="11">
        <v>8.0</v>
      </c>
      <c r="P74" s="9" t="s">
        <v>44</v>
      </c>
      <c r="Q74" s="12"/>
      <c r="R74" s="9" t="s">
        <v>52</v>
      </c>
      <c r="S74" s="9" t="s">
        <v>47</v>
      </c>
      <c r="T74" s="9" t="s">
        <v>44</v>
      </c>
      <c r="U74" s="9" t="s">
        <v>44</v>
      </c>
      <c r="V74" s="11">
        <v>38.46</v>
      </c>
      <c r="W74" s="11">
        <v>1.0</v>
      </c>
      <c r="X74" s="9" t="s">
        <v>48</v>
      </c>
      <c r="Y74" s="9" t="s">
        <v>184</v>
      </c>
      <c r="Z74" s="12"/>
      <c r="AA74" s="9">
        <v>1305408.0</v>
      </c>
      <c r="AB74" s="12"/>
      <c r="AC74" s="9" t="s">
        <v>50</v>
      </c>
    </row>
    <row r="75">
      <c r="A75" s="9" t="s">
        <v>33</v>
      </c>
      <c r="B75" s="11">
        <v>6.0</v>
      </c>
      <c r="C75" s="9" t="s">
        <v>43</v>
      </c>
      <c r="D75" s="9" t="s">
        <v>55</v>
      </c>
      <c r="E75" s="9" t="s">
        <v>56</v>
      </c>
      <c r="F75" s="9" t="s">
        <v>45</v>
      </c>
      <c r="G75" s="9" t="s">
        <v>46</v>
      </c>
      <c r="H75" s="9" t="s">
        <v>178</v>
      </c>
      <c r="I75" s="11">
        <v>8176842.0</v>
      </c>
      <c r="J75" s="11">
        <v>2.66803295E8</v>
      </c>
      <c r="K75" s="13">
        <v>46304.0</v>
      </c>
      <c r="L75" s="14">
        <v>46317.0</v>
      </c>
      <c r="M75" s="12"/>
      <c r="N75" s="9">
        <v>106.0</v>
      </c>
      <c r="O75" s="11">
        <v>8.0</v>
      </c>
      <c r="P75" s="9" t="s">
        <v>44</v>
      </c>
      <c r="Q75" s="12"/>
      <c r="R75" s="12"/>
      <c r="S75" s="9" t="s">
        <v>47</v>
      </c>
      <c r="T75" s="9" t="s">
        <v>44</v>
      </c>
      <c r="U75" s="9" t="s">
        <v>44</v>
      </c>
      <c r="V75" s="11">
        <v>38.46</v>
      </c>
      <c r="W75" s="11">
        <v>1.0</v>
      </c>
      <c r="X75" s="9" t="s">
        <v>48</v>
      </c>
      <c r="Y75" s="9" t="s">
        <v>185</v>
      </c>
      <c r="Z75" s="12"/>
      <c r="AA75" s="9">
        <v>1305624.0</v>
      </c>
      <c r="AB75" s="12"/>
      <c r="AC75" s="9" t="s">
        <v>50</v>
      </c>
    </row>
    <row r="76">
      <c r="A76" s="9" t="s">
        <v>33</v>
      </c>
      <c r="B76" s="11">
        <v>6.0</v>
      </c>
      <c r="C76" s="9" t="s">
        <v>43</v>
      </c>
      <c r="D76" s="9" t="s">
        <v>55</v>
      </c>
      <c r="E76" s="9" t="s">
        <v>56</v>
      </c>
      <c r="F76" s="9" t="s">
        <v>45</v>
      </c>
      <c r="G76" s="9" t="s">
        <v>46</v>
      </c>
      <c r="H76" s="9" t="s">
        <v>61</v>
      </c>
      <c r="I76" s="11">
        <v>8176899.0</v>
      </c>
      <c r="J76" s="11">
        <v>2.66803296E8</v>
      </c>
      <c r="K76" s="13">
        <v>46304.0</v>
      </c>
      <c r="L76" s="14">
        <v>46322.0</v>
      </c>
      <c r="M76" s="12"/>
      <c r="N76" s="9">
        <v>101.0</v>
      </c>
      <c r="O76" s="11">
        <v>11.0</v>
      </c>
      <c r="P76" s="9" t="s">
        <v>44</v>
      </c>
      <c r="Q76" s="12"/>
      <c r="R76" s="9" t="s">
        <v>52</v>
      </c>
      <c r="S76" s="9" t="s">
        <v>47</v>
      </c>
      <c r="T76" s="9" t="s">
        <v>44</v>
      </c>
      <c r="U76" s="9" t="s">
        <v>44</v>
      </c>
      <c r="V76" s="11">
        <v>38.46</v>
      </c>
      <c r="W76" s="11">
        <v>1.0</v>
      </c>
      <c r="X76" s="9" t="s">
        <v>48</v>
      </c>
      <c r="Y76" s="9" t="s">
        <v>186</v>
      </c>
      <c r="Z76" s="12"/>
      <c r="AA76" s="9">
        <v>1305341.0</v>
      </c>
      <c r="AB76" s="12"/>
      <c r="AC76" s="9" t="s">
        <v>50</v>
      </c>
    </row>
    <row r="77">
      <c r="A77" s="9" t="s">
        <v>33</v>
      </c>
      <c r="B77" s="11">
        <v>6.0</v>
      </c>
      <c r="C77" s="9" t="s">
        <v>43</v>
      </c>
      <c r="D77" s="9" t="s">
        <v>55</v>
      </c>
      <c r="E77" s="9" t="s">
        <v>56</v>
      </c>
      <c r="F77" s="9" t="s">
        <v>45</v>
      </c>
      <c r="G77" s="9" t="s">
        <v>46</v>
      </c>
      <c r="H77" s="9" t="s">
        <v>63</v>
      </c>
      <c r="I77" s="11">
        <v>8177021.0</v>
      </c>
      <c r="J77" s="11">
        <v>2.66803297E8</v>
      </c>
      <c r="K77" s="13">
        <v>46304.0</v>
      </c>
      <c r="L77" s="14">
        <v>46316.0</v>
      </c>
      <c r="M77" s="12"/>
      <c r="N77" s="9">
        <v>2.0</v>
      </c>
      <c r="O77" s="11">
        <v>7.0</v>
      </c>
      <c r="P77" s="9" t="s">
        <v>44</v>
      </c>
      <c r="Q77" s="12"/>
      <c r="R77" s="9" t="s">
        <v>52</v>
      </c>
      <c r="S77" s="9" t="s">
        <v>47</v>
      </c>
      <c r="T77" s="9" t="s">
        <v>44</v>
      </c>
      <c r="U77" s="9" t="s">
        <v>44</v>
      </c>
      <c r="V77" s="11">
        <v>38.46</v>
      </c>
      <c r="W77" s="11">
        <v>1.0</v>
      </c>
      <c r="X77" s="9" t="s">
        <v>48</v>
      </c>
      <c r="Y77" s="9" t="s">
        <v>187</v>
      </c>
      <c r="Z77" s="12"/>
      <c r="AA77" s="9">
        <v>1304771.0</v>
      </c>
      <c r="AB77" s="12"/>
      <c r="AC77" s="9" t="s">
        <v>50</v>
      </c>
    </row>
    <row r="78">
      <c r="A78" s="9" t="s">
        <v>33</v>
      </c>
      <c r="B78" s="11">
        <v>6.0</v>
      </c>
      <c r="C78" s="9" t="s">
        <v>43</v>
      </c>
      <c r="D78" s="9" t="s">
        <v>55</v>
      </c>
      <c r="E78" s="9" t="s">
        <v>56</v>
      </c>
      <c r="F78" s="9" t="s">
        <v>45</v>
      </c>
      <c r="G78" s="9" t="s">
        <v>46</v>
      </c>
      <c r="H78" s="9" t="s">
        <v>63</v>
      </c>
      <c r="I78" s="11">
        <v>8176929.0</v>
      </c>
      <c r="J78" s="11">
        <v>2.66803298E8</v>
      </c>
      <c r="K78" s="13">
        <v>46304.0</v>
      </c>
      <c r="L78" s="14">
        <v>46316.0</v>
      </c>
      <c r="M78" s="12"/>
      <c r="N78" s="9">
        <v>1.0</v>
      </c>
      <c r="O78" s="11">
        <v>7.0</v>
      </c>
      <c r="P78" s="9" t="s">
        <v>44</v>
      </c>
      <c r="Q78" s="12"/>
      <c r="R78" s="9" t="s">
        <v>52</v>
      </c>
      <c r="S78" s="9" t="s">
        <v>47</v>
      </c>
      <c r="T78" s="9" t="s">
        <v>44</v>
      </c>
      <c r="U78" s="9" t="s">
        <v>44</v>
      </c>
      <c r="V78" s="11">
        <v>38.46</v>
      </c>
      <c r="W78" s="11">
        <v>1.0</v>
      </c>
      <c r="X78" s="9" t="s">
        <v>48</v>
      </c>
      <c r="Y78" s="9" t="s">
        <v>188</v>
      </c>
      <c r="Z78" s="12"/>
      <c r="AA78" s="9">
        <v>1305358.0</v>
      </c>
      <c r="AB78" s="12"/>
      <c r="AC78" s="9" t="s">
        <v>50</v>
      </c>
    </row>
    <row r="79">
      <c r="A79" s="9" t="s">
        <v>33</v>
      </c>
      <c r="B79" s="11">
        <v>6.0</v>
      </c>
      <c r="C79" s="9" t="s">
        <v>43</v>
      </c>
      <c r="D79" s="9" t="s">
        <v>55</v>
      </c>
      <c r="E79" s="9" t="s">
        <v>56</v>
      </c>
      <c r="F79" s="9" t="s">
        <v>45</v>
      </c>
      <c r="G79" s="9" t="s">
        <v>46</v>
      </c>
      <c r="H79" s="9" t="s">
        <v>63</v>
      </c>
      <c r="I79" s="11">
        <v>8176730.0</v>
      </c>
      <c r="J79" s="11">
        <v>2.66803299E8</v>
      </c>
      <c r="K79" s="13">
        <v>46304.0</v>
      </c>
      <c r="L79" s="14">
        <v>46316.0</v>
      </c>
      <c r="M79" s="12"/>
      <c r="N79" s="9">
        <v>2.0</v>
      </c>
      <c r="O79" s="11">
        <v>7.0</v>
      </c>
      <c r="P79" s="9" t="s">
        <v>44</v>
      </c>
      <c r="Q79" s="12"/>
      <c r="R79" s="9" t="s">
        <v>52</v>
      </c>
      <c r="S79" s="9" t="s">
        <v>47</v>
      </c>
      <c r="T79" s="9" t="s">
        <v>44</v>
      </c>
      <c r="U79" s="9" t="s">
        <v>44</v>
      </c>
      <c r="V79" s="11">
        <v>38.46</v>
      </c>
      <c r="W79" s="11">
        <v>2.0</v>
      </c>
      <c r="X79" s="9" t="s">
        <v>48</v>
      </c>
      <c r="Y79" s="9" t="s">
        <v>64</v>
      </c>
      <c r="Z79" s="12"/>
      <c r="AA79" s="9">
        <v>1305914.0</v>
      </c>
      <c r="AB79" s="12"/>
      <c r="AC79" s="9" t="s">
        <v>50</v>
      </c>
    </row>
    <row r="80">
      <c r="A80" s="9" t="s">
        <v>33</v>
      </c>
      <c r="B80" s="11">
        <v>6.0</v>
      </c>
      <c r="C80" s="9" t="s">
        <v>43</v>
      </c>
      <c r="D80" s="9" t="s">
        <v>55</v>
      </c>
      <c r="E80" s="9" t="s">
        <v>56</v>
      </c>
      <c r="F80" s="9" t="s">
        <v>45</v>
      </c>
      <c r="G80" s="9" t="s">
        <v>46</v>
      </c>
      <c r="H80" s="9" t="s">
        <v>178</v>
      </c>
      <c r="I80" s="11">
        <v>8176866.0</v>
      </c>
      <c r="J80" s="11">
        <v>2.668033E8</v>
      </c>
      <c r="K80" s="13">
        <v>46304.0</v>
      </c>
      <c r="L80" s="14">
        <v>46318.0</v>
      </c>
      <c r="M80" s="12"/>
      <c r="N80" s="9">
        <v>112.0</v>
      </c>
      <c r="O80" s="11">
        <v>9.0</v>
      </c>
      <c r="P80" s="9" t="s">
        <v>44</v>
      </c>
      <c r="Q80" s="12"/>
      <c r="R80" s="12"/>
      <c r="S80" s="9" t="s">
        <v>47</v>
      </c>
      <c r="T80" s="9" t="s">
        <v>44</v>
      </c>
      <c r="U80" s="9" t="s">
        <v>44</v>
      </c>
      <c r="V80" s="11">
        <v>38.46</v>
      </c>
      <c r="W80" s="11">
        <v>1.0</v>
      </c>
      <c r="X80" s="9" t="s">
        <v>48</v>
      </c>
      <c r="Y80" s="9" t="s">
        <v>189</v>
      </c>
      <c r="Z80" s="12"/>
      <c r="AA80" s="9">
        <v>1305646.0</v>
      </c>
      <c r="AB80" s="12"/>
      <c r="AC80" s="9" t="s">
        <v>50</v>
      </c>
    </row>
    <row r="81">
      <c r="A81" s="9" t="s">
        <v>33</v>
      </c>
      <c r="B81" s="11">
        <v>6.0</v>
      </c>
      <c r="C81" s="9" t="s">
        <v>43</v>
      </c>
      <c r="D81" s="9" t="s">
        <v>55</v>
      </c>
      <c r="E81" s="9" t="s">
        <v>56</v>
      </c>
      <c r="F81" s="9" t="s">
        <v>45</v>
      </c>
      <c r="G81" s="9" t="s">
        <v>46</v>
      </c>
      <c r="H81" s="9" t="s">
        <v>178</v>
      </c>
      <c r="I81" s="11">
        <v>8176731.0</v>
      </c>
      <c r="J81" s="11">
        <v>2.66803301E8</v>
      </c>
      <c r="K81" s="13">
        <v>46304.0</v>
      </c>
      <c r="L81" s="14">
        <v>46318.0</v>
      </c>
      <c r="M81" s="12"/>
      <c r="N81" s="9">
        <v>104.0</v>
      </c>
      <c r="O81" s="11">
        <v>9.0</v>
      </c>
      <c r="P81" s="9" t="s">
        <v>44</v>
      </c>
      <c r="Q81" s="12"/>
      <c r="R81" s="9" t="s">
        <v>52</v>
      </c>
      <c r="S81" s="9" t="s">
        <v>47</v>
      </c>
      <c r="T81" s="9" t="s">
        <v>44</v>
      </c>
      <c r="U81" s="9" t="s">
        <v>44</v>
      </c>
      <c r="V81" s="11">
        <v>38.46</v>
      </c>
      <c r="W81" s="11">
        <v>1.0</v>
      </c>
      <c r="X81" s="9" t="s">
        <v>48</v>
      </c>
      <c r="Y81" s="9" t="s">
        <v>190</v>
      </c>
      <c r="Z81" s="12"/>
      <c r="AA81" s="9">
        <v>1305373.0</v>
      </c>
      <c r="AB81" s="12"/>
      <c r="AC81" s="9" t="s">
        <v>50</v>
      </c>
    </row>
    <row r="82">
      <c r="A82" s="9" t="s">
        <v>33</v>
      </c>
      <c r="B82" s="11">
        <v>6.0</v>
      </c>
      <c r="C82" s="9" t="s">
        <v>43</v>
      </c>
      <c r="D82" s="9" t="s">
        <v>55</v>
      </c>
      <c r="E82" s="9" t="s">
        <v>56</v>
      </c>
      <c r="F82" s="9" t="s">
        <v>45</v>
      </c>
      <c r="G82" s="9" t="s">
        <v>46</v>
      </c>
      <c r="H82" s="9" t="s">
        <v>191</v>
      </c>
      <c r="I82" s="11">
        <v>8176968.0</v>
      </c>
      <c r="J82" s="11">
        <v>2.66803302E8</v>
      </c>
      <c r="K82" s="13">
        <v>46304.0</v>
      </c>
      <c r="L82" s="14">
        <v>46316.0</v>
      </c>
      <c r="M82" s="12"/>
      <c r="N82" s="9">
        <v>545.0</v>
      </c>
      <c r="O82" s="11">
        <v>7.0</v>
      </c>
      <c r="P82" s="9" t="s">
        <v>44</v>
      </c>
      <c r="Q82" s="12"/>
      <c r="R82" s="9" t="s">
        <v>52</v>
      </c>
      <c r="S82" s="9" t="s">
        <v>47</v>
      </c>
      <c r="T82" s="9" t="s">
        <v>44</v>
      </c>
      <c r="U82" s="9" t="s">
        <v>44</v>
      </c>
      <c r="V82" s="11">
        <v>45.49</v>
      </c>
      <c r="W82" s="11">
        <v>2.0</v>
      </c>
      <c r="X82" s="9" t="s">
        <v>48</v>
      </c>
      <c r="Y82" s="9" t="s">
        <v>192</v>
      </c>
      <c r="Z82" s="12"/>
      <c r="AA82" s="9">
        <v>1305920.0</v>
      </c>
      <c r="AB82" s="12"/>
      <c r="AC82" s="9" t="s">
        <v>50</v>
      </c>
    </row>
    <row r="83">
      <c r="A83" s="9" t="s">
        <v>33</v>
      </c>
      <c r="B83" s="11">
        <v>6.0</v>
      </c>
      <c r="C83" s="9" t="s">
        <v>43</v>
      </c>
      <c r="D83" s="9" t="s">
        <v>55</v>
      </c>
      <c r="E83" s="9" t="s">
        <v>56</v>
      </c>
      <c r="F83" s="9" t="s">
        <v>45</v>
      </c>
      <c r="G83" s="9" t="s">
        <v>46</v>
      </c>
      <c r="H83" s="9" t="s">
        <v>193</v>
      </c>
      <c r="I83" s="11">
        <v>8176930.0</v>
      </c>
      <c r="J83" s="11">
        <v>2.66803303E8</v>
      </c>
      <c r="K83" s="13">
        <v>46304.0</v>
      </c>
      <c r="L83" s="14">
        <v>46317.0</v>
      </c>
      <c r="M83" s="12"/>
      <c r="N83" s="9">
        <v>101.0</v>
      </c>
      <c r="O83" s="11">
        <v>8.0</v>
      </c>
      <c r="P83" s="9" t="s">
        <v>44</v>
      </c>
      <c r="Q83" s="12"/>
      <c r="R83" s="9" t="s">
        <v>52</v>
      </c>
      <c r="S83" s="9" t="s">
        <v>47</v>
      </c>
      <c r="T83" s="9" t="s">
        <v>44</v>
      </c>
      <c r="U83" s="9" t="s">
        <v>44</v>
      </c>
      <c r="V83" s="11">
        <v>38.46</v>
      </c>
      <c r="W83" s="11">
        <v>1.0</v>
      </c>
      <c r="X83" s="9" t="s">
        <v>48</v>
      </c>
      <c r="Y83" s="9" t="s">
        <v>194</v>
      </c>
      <c r="Z83" s="12"/>
      <c r="AA83" s="9">
        <v>1305372.0</v>
      </c>
      <c r="AB83" s="12"/>
      <c r="AC83" s="9" t="s">
        <v>50</v>
      </c>
    </row>
    <row r="84">
      <c r="A84" s="9" t="s">
        <v>33</v>
      </c>
      <c r="B84" s="11">
        <v>6.0</v>
      </c>
      <c r="C84" s="9" t="s">
        <v>43</v>
      </c>
      <c r="D84" s="9" t="s">
        <v>55</v>
      </c>
      <c r="E84" s="9" t="s">
        <v>56</v>
      </c>
      <c r="F84" s="9" t="s">
        <v>45</v>
      </c>
      <c r="G84" s="9" t="s">
        <v>46</v>
      </c>
      <c r="H84" s="9" t="s">
        <v>61</v>
      </c>
      <c r="I84" s="11">
        <v>8176867.0</v>
      </c>
      <c r="J84" s="11">
        <v>2.66803304E8</v>
      </c>
      <c r="K84" s="13">
        <v>46304.0</v>
      </c>
      <c r="L84" s="14">
        <v>46318.0</v>
      </c>
      <c r="M84" s="12"/>
      <c r="N84" s="9">
        <v>107.0</v>
      </c>
      <c r="O84" s="11">
        <v>9.0</v>
      </c>
      <c r="P84" s="9" t="s">
        <v>44</v>
      </c>
      <c r="Q84" s="12"/>
      <c r="R84" s="12"/>
      <c r="S84" s="9" t="s">
        <v>47</v>
      </c>
      <c r="T84" s="9" t="s">
        <v>44</v>
      </c>
      <c r="U84" s="9" t="s">
        <v>44</v>
      </c>
      <c r="V84" s="11">
        <v>38.46</v>
      </c>
      <c r="W84" s="11">
        <v>1.0</v>
      </c>
      <c r="X84" s="9" t="s">
        <v>48</v>
      </c>
      <c r="Y84" s="9" t="s">
        <v>195</v>
      </c>
      <c r="Z84" s="12"/>
      <c r="AA84" s="9">
        <v>1305431.0</v>
      </c>
      <c r="AB84" s="12"/>
      <c r="AC84" s="9" t="s">
        <v>50</v>
      </c>
    </row>
    <row r="85">
      <c r="A85" s="9" t="s">
        <v>33</v>
      </c>
      <c r="B85" s="11">
        <v>6.0</v>
      </c>
      <c r="C85" s="9" t="s">
        <v>43</v>
      </c>
      <c r="D85" s="9" t="s">
        <v>55</v>
      </c>
      <c r="E85" s="9" t="s">
        <v>56</v>
      </c>
      <c r="F85" s="9" t="s">
        <v>45</v>
      </c>
      <c r="G85" s="9" t="s">
        <v>46</v>
      </c>
      <c r="H85" s="9" t="s">
        <v>196</v>
      </c>
      <c r="I85" s="11">
        <v>8176843.0</v>
      </c>
      <c r="J85" s="11">
        <v>2.66803305E8</v>
      </c>
      <c r="K85" s="13">
        <v>46304.0</v>
      </c>
      <c r="L85" s="14">
        <v>46321.0</v>
      </c>
      <c r="M85" s="12"/>
      <c r="N85" s="9">
        <v>103.0</v>
      </c>
      <c r="O85" s="11">
        <v>10.0</v>
      </c>
      <c r="P85" s="9" t="s">
        <v>44</v>
      </c>
      <c r="Q85" s="12"/>
      <c r="R85" s="12"/>
      <c r="S85" s="9" t="s">
        <v>47</v>
      </c>
      <c r="T85" s="9" t="s">
        <v>44</v>
      </c>
      <c r="U85" s="9" t="s">
        <v>44</v>
      </c>
      <c r="V85" s="11">
        <v>38.46</v>
      </c>
      <c r="W85" s="11">
        <v>1.0</v>
      </c>
      <c r="X85" s="9" t="s">
        <v>48</v>
      </c>
      <c r="Y85" s="9" t="s">
        <v>197</v>
      </c>
      <c r="Z85" s="12"/>
      <c r="AA85" s="9">
        <v>1305480.0</v>
      </c>
      <c r="AB85" s="12"/>
      <c r="AC85" s="9" t="s">
        <v>50</v>
      </c>
    </row>
    <row r="86">
      <c r="A86" s="9" t="s">
        <v>33</v>
      </c>
      <c r="B86" s="11">
        <v>6.0</v>
      </c>
      <c r="C86" s="9" t="s">
        <v>43</v>
      </c>
      <c r="D86" s="9" t="s">
        <v>55</v>
      </c>
      <c r="E86" s="9" t="s">
        <v>56</v>
      </c>
      <c r="F86" s="9" t="s">
        <v>45</v>
      </c>
      <c r="G86" s="9" t="s">
        <v>46</v>
      </c>
      <c r="H86" s="9" t="s">
        <v>61</v>
      </c>
      <c r="I86" s="11">
        <v>8177022.0</v>
      </c>
      <c r="J86" s="11">
        <v>2.66803306E8</v>
      </c>
      <c r="K86" s="13">
        <v>46304.0</v>
      </c>
      <c r="L86" s="14">
        <v>46317.0</v>
      </c>
      <c r="M86" s="12"/>
      <c r="N86" s="9">
        <v>103.0</v>
      </c>
      <c r="O86" s="11">
        <v>8.0</v>
      </c>
      <c r="P86" s="9" t="s">
        <v>44</v>
      </c>
      <c r="Q86" s="12"/>
      <c r="R86" s="12"/>
      <c r="S86" s="9" t="s">
        <v>47</v>
      </c>
      <c r="T86" s="9" t="s">
        <v>44</v>
      </c>
      <c r="U86" s="9" t="s">
        <v>44</v>
      </c>
      <c r="V86" s="11">
        <v>38.46</v>
      </c>
      <c r="W86" s="11">
        <v>1.0</v>
      </c>
      <c r="X86" s="9" t="s">
        <v>48</v>
      </c>
      <c r="Y86" s="9" t="s">
        <v>198</v>
      </c>
      <c r="Z86" s="12"/>
      <c r="AA86" s="9">
        <v>1305049.0</v>
      </c>
      <c r="AB86" s="12"/>
      <c r="AC86" s="9" t="s">
        <v>50</v>
      </c>
    </row>
    <row r="87">
      <c r="A87" s="9" t="s">
        <v>33</v>
      </c>
      <c r="B87" s="11">
        <v>6.0</v>
      </c>
      <c r="C87" s="9" t="s">
        <v>43</v>
      </c>
      <c r="D87" s="9" t="s">
        <v>55</v>
      </c>
      <c r="E87" s="9" t="s">
        <v>56</v>
      </c>
      <c r="F87" s="9" t="s">
        <v>45</v>
      </c>
      <c r="G87" s="9" t="s">
        <v>46</v>
      </c>
      <c r="H87" s="9" t="s">
        <v>61</v>
      </c>
      <c r="I87" s="11">
        <v>8176900.0</v>
      </c>
      <c r="J87" s="11">
        <v>2.66803307E8</v>
      </c>
      <c r="K87" s="13">
        <v>46304.0</v>
      </c>
      <c r="L87" s="14">
        <v>46318.0</v>
      </c>
      <c r="M87" s="12"/>
      <c r="N87" s="9">
        <v>104.0</v>
      </c>
      <c r="O87" s="11">
        <v>9.0</v>
      </c>
      <c r="P87" s="9" t="s">
        <v>44</v>
      </c>
      <c r="Q87" s="12"/>
      <c r="R87" s="9" t="s">
        <v>52</v>
      </c>
      <c r="S87" s="9" t="s">
        <v>47</v>
      </c>
      <c r="T87" s="9" t="s">
        <v>44</v>
      </c>
      <c r="U87" s="9" t="s">
        <v>44</v>
      </c>
      <c r="V87" s="11">
        <v>38.46</v>
      </c>
      <c r="W87" s="11">
        <v>1.0</v>
      </c>
      <c r="X87" s="9" t="s">
        <v>48</v>
      </c>
      <c r="Y87" s="9" t="s">
        <v>199</v>
      </c>
      <c r="Z87" s="12"/>
      <c r="AA87" s="9">
        <v>1305417.0</v>
      </c>
      <c r="AB87" s="12"/>
      <c r="AC87" s="9" t="s">
        <v>50</v>
      </c>
    </row>
    <row r="88">
      <c r="A88" s="9" t="s">
        <v>33</v>
      </c>
      <c r="B88" s="11">
        <v>6.0</v>
      </c>
      <c r="C88" s="9" t="s">
        <v>43</v>
      </c>
      <c r="D88" s="9" t="s">
        <v>55</v>
      </c>
      <c r="E88" s="9" t="s">
        <v>56</v>
      </c>
      <c r="F88" s="9" t="s">
        <v>45</v>
      </c>
      <c r="G88" s="9" t="s">
        <v>46</v>
      </c>
      <c r="H88" s="9" t="s">
        <v>196</v>
      </c>
      <c r="I88" s="11">
        <v>8176844.0</v>
      </c>
      <c r="J88" s="11">
        <v>2.66803308E8</v>
      </c>
      <c r="K88" s="13">
        <v>46304.0</v>
      </c>
      <c r="L88" s="14">
        <v>46321.0</v>
      </c>
      <c r="M88" s="12"/>
      <c r="N88" s="9">
        <v>111.0</v>
      </c>
      <c r="O88" s="11">
        <v>10.0</v>
      </c>
      <c r="P88" s="9" t="s">
        <v>44</v>
      </c>
      <c r="Q88" s="12"/>
      <c r="R88" s="12"/>
      <c r="S88" s="9" t="s">
        <v>47</v>
      </c>
      <c r="T88" s="9" t="s">
        <v>44</v>
      </c>
      <c r="U88" s="9" t="s">
        <v>44</v>
      </c>
      <c r="V88" s="11">
        <v>38.46</v>
      </c>
      <c r="W88" s="11">
        <v>1.0</v>
      </c>
      <c r="X88" s="9" t="s">
        <v>48</v>
      </c>
      <c r="Y88" s="9" t="s">
        <v>200</v>
      </c>
      <c r="Z88" s="12"/>
      <c r="AA88" s="9">
        <v>1305321.0</v>
      </c>
      <c r="AB88" s="12"/>
      <c r="AC88" s="9" t="s">
        <v>50</v>
      </c>
    </row>
    <row r="89">
      <c r="A89" s="9" t="s">
        <v>33</v>
      </c>
      <c r="B89" s="11">
        <v>6.0</v>
      </c>
      <c r="C89" s="9" t="s">
        <v>43</v>
      </c>
      <c r="D89" s="9" t="s">
        <v>55</v>
      </c>
      <c r="E89" s="9" t="s">
        <v>56</v>
      </c>
      <c r="F89" s="9" t="s">
        <v>45</v>
      </c>
      <c r="G89" s="9" t="s">
        <v>46</v>
      </c>
      <c r="H89" s="9" t="s">
        <v>193</v>
      </c>
      <c r="I89" s="11">
        <v>8176868.0</v>
      </c>
      <c r="J89" s="11">
        <v>2.66803309E8</v>
      </c>
      <c r="K89" s="13">
        <v>46304.0</v>
      </c>
      <c r="L89" s="14">
        <v>46316.0</v>
      </c>
      <c r="M89" s="12"/>
      <c r="N89" s="9">
        <v>104.0</v>
      </c>
      <c r="O89" s="11">
        <v>7.0</v>
      </c>
      <c r="P89" s="9" t="s">
        <v>44</v>
      </c>
      <c r="Q89" s="12"/>
      <c r="R89" s="12"/>
      <c r="S89" s="9" t="s">
        <v>47</v>
      </c>
      <c r="T89" s="9" t="s">
        <v>44</v>
      </c>
      <c r="U89" s="9" t="s">
        <v>44</v>
      </c>
      <c r="V89" s="11">
        <v>38.46</v>
      </c>
      <c r="W89" s="11">
        <v>1.0</v>
      </c>
      <c r="X89" s="9" t="s">
        <v>48</v>
      </c>
      <c r="Y89" s="9" t="s">
        <v>201</v>
      </c>
      <c r="Z89" s="12"/>
      <c r="AA89" s="9">
        <v>1305481.0</v>
      </c>
      <c r="AB89" s="12"/>
      <c r="AC89" s="9" t="s">
        <v>50</v>
      </c>
    </row>
    <row r="90">
      <c r="A90" s="9" t="s">
        <v>33</v>
      </c>
      <c r="B90" s="11">
        <v>6.0</v>
      </c>
      <c r="C90" s="9" t="s">
        <v>43</v>
      </c>
      <c r="D90" s="9" t="s">
        <v>55</v>
      </c>
      <c r="E90" s="9" t="s">
        <v>56</v>
      </c>
      <c r="F90" s="9" t="s">
        <v>45</v>
      </c>
      <c r="G90" s="9" t="s">
        <v>46</v>
      </c>
      <c r="H90" s="9" t="s">
        <v>193</v>
      </c>
      <c r="I90" s="11">
        <v>8176800.0</v>
      </c>
      <c r="J90" s="11">
        <v>2.6680331E8</v>
      </c>
      <c r="K90" s="13">
        <v>46304.0</v>
      </c>
      <c r="L90" s="14">
        <v>46317.0</v>
      </c>
      <c r="M90" s="12"/>
      <c r="N90" s="9">
        <v>118.0</v>
      </c>
      <c r="O90" s="11">
        <v>8.0</v>
      </c>
      <c r="P90" s="9" t="s">
        <v>44</v>
      </c>
      <c r="Q90" s="12"/>
      <c r="R90" s="12"/>
      <c r="S90" s="9" t="s">
        <v>47</v>
      </c>
      <c r="T90" s="9" t="s">
        <v>44</v>
      </c>
      <c r="U90" s="9" t="s">
        <v>44</v>
      </c>
      <c r="V90" s="11">
        <v>38.46</v>
      </c>
      <c r="W90" s="11">
        <v>1.0</v>
      </c>
      <c r="X90" s="9" t="s">
        <v>48</v>
      </c>
      <c r="Y90" s="9" t="s">
        <v>202</v>
      </c>
      <c r="Z90" s="12"/>
      <c r="AA90" s="9">
        <v>1305723.0</v>
      </c>
      <c r="AB90" s="12"/>
      <c r="AC90" s="9" t="s">
        <v>50</v>
      </c>
    </row>
    <row r="91">
      <c r="A91" s="9" t="s">
        <v>33</v>
      </c>
      <c r="B91" s="11">
        <v>6.0</v>
      </c>
      <c r="C91" s="9" t="s">
        <v>43</v>
      </c>
      <c r="D91" s="9" t="s">
        <v>55</v>
      </c>
      <c r="E91" s="9" t="s">
        <v>56</v>
      </c>
      <c r="F91" s="9" t="s">
        <v>45</v>
      </c>
      <c r="G91" s="9" t="s">
        <v>46</v>
      </c>
      <c r="H91" s="9" t="s">
        <v>193</v>
      </c>
      <c r="I91" s="11">
        <v>8176869.0</v>
      </c>
      <c r="J91" s="11">
        <v>2.66803311E8</v>
      </c>
      <c r="K91" s="13">
        <v>46304.0</v>
      </c>
      <c r="L91" s="14">
        <v>46317.0</v>
      </c>
      <c r="M91" s="12"/>
      <c r="N91" s="9">
        <v>102.0</v>
      </c>
      <c r="O91" s="11">
        <v>8.0</v>
      </c>
      <c r="P91" s="9" t="s">
        <v>44</v>
      </c>
      <c r="Q91" s="12"/>
      <c r="R91" s="12"/>
      <c r="S91" s="9" t="s">
        <v>47</v>
      </c>
      <c r="T91" s="9" t="s">
        <v>44</v>
      </c>
      <c r="U91" s="9" t="s">
        <v>44</v>
      </c>
      <c r="V91" s="11">
        <v>38.46</v>
      </c>
      <c r="W91" s="11">
        <v>1.0</v>
      </c>
      <c r="X91" s="9" t="s">
        <v>48</v>
      </c>
      <c r="Y91" s="9" t="s">
        <v>204</v>
      </c>
      <c r="Z91" s="12"/>
      <c r="AA91" s="9">
        <v>1305793.0</v>
      </c>
      <c r="AB91" s="12"/>
      <c r="AC91" s="9" t="s">
        <v>50</v>
      </c>
    </row>
    <row r="92">
      <c r="A92" s="9" t="s">
        <v>33</v>
      </c>
      <c r="B92" s="11">
        <v>6.0</v>
      </c>
      <c r="C92" s="9" t="s">
        <v>43</v>
      </c>
      <c r="D92" s="9" t="s">
        <v>55</v>
      </c>
      <c r="E92" s="9" t="s">
        <v>56</v>
      </c>
      <c r="F92" s="9" t="s">
        <v>45</v>
      </c>
      <c r="G92" s="9" t="s">
        <v>46</v>
      </c>
      <c r="H92" s="9" t="s">
        <v>193</v>
      </c>
      <c r="I92" s="11">
        <v>8176870.0</v>
      </c>
      <c r="J92" s="11">
        <v>2.66803312E8</v>
      </c>
      <c r="K92" s="13">
        <v>46304.0</v>
      </c>
      <c r="L92" s="14">
        <v>46317.0</v>
      </c>
      <c r="M92" s="12"/>
      <c r="N92" s="9">
        <v>102.0</v>
      </c>
      <c r="O92" s="11">
        <v>8.0</v>
      </c>
      <c r="P92" s="9" t="s">
        <v>44</v>
      </c>
      <c r="Q92" s="12"/>
      <c r="R92" s="12"/>
      <c r="S92" s="9" t="s">
        <v>47</v>
      </c>
      <c r="T92" s="9" t="s">
        <v>44</v>
      </c>
      <c r="U92" s="9" t="s">
        <v>44</v>
      </c>
      <c r="V92" s="11">
        <v>38.46</v>
      </c>
      <c r="W92" s="11">
        <v>1.0</v>
      </c>
      <c r="X92" s="9" t="s">
        <v>48</v>
      </c>
      <c r="Y92" s="9" t="s">
        <v>206</v>
      </c>
      <c r="Z92" s="12"/>
      <c r="AA92" s="9">
        <v>1305587.0</v>
      </c>
      <c r="AB92" s="12"/>
      <c r="AC92" s="9" t="s">
        <v>50</v>
      </c>
    </row>
    <row r="93">
      <c r="A93" s="9" t="s">
        <v>33</v>
      </c>
      <c r="B93" s="11">
        <v>6.0</v>
      </c>
      <c r="C93" s="9" t="s">
        <v>43</v>
      </c>
      <c r="D93" s="9" t="s">
        <v>55</v>
      </c>
      <c r="E93" s="9" t="s">
        <v>56</v>
      </c>
      <c r="F93" s="9" t="s">
        <v>45</v>
      </c>
      <c r="G93" s="9" t="s">
        <v>46</v>
      </c>
      <c r="H93" s="9" t="s">
        <v>207</v>
      </c>
      <c r="I93" s="11">
        <v>8176969.0</v>
      </c>
      <c r="J93" s="11">
        <v>2.66803313E8</v>
      </c>
      <c r="K93" s="13">
        <v>46304.0</v>
      </c>
      <c r="L93" s="14">
        <v>46316.0</v>
      </c>
      <c r="M93" s="12"/>
      <c r="N93" s="9">
        <v>1.0</v>
      </c>
      <c r="O93" s="11">
        <v>7.0</v>
      </c>
      <c r="P93" s="9" t="s">
        <v>44</v>
      </c>
      <c r="Q93" s="12"/>
      <c r="R93" s="9" t="s">
        <v>52</v>
      </c>
      <c r="S93" s="9" t="s">
        <v>47</v>
      </c>
      <c r="T93" s="9" t="s">
        <v>44</v>
      </c>
      <c r="U93" s="9" t="s">
        <v>44</v>
      </c>
      <c r="V93" s="11">
        <v>44.45</v>
      </c>
      <c r="W93" s="11">
        <v>7.0</v>
      </c>
      <c r="X93" s="9" t="s">
        <v>48</v>
      </c>
      <c r="Y93" s="9" t="s">
        <v>208</v>
      </c>
      <c r="Z93" s="12"/>
      <c r="AA93" s="9">
        <v>1305987.0</v>
      </c>
      <c r="AB93" s="12"/>
      <c r="AC93" s="9" t="s">
        <v>50</v>
      </c>
    </row>
    <row r="94">
      <c r="A94" s="9" t="s">
        <v>33</v>
      </c>
      <c r="B94" s="11">
        <v>6.0</v>
      </c>
      <c r="C94" s="9" t="s">
        <v>43</v>
      </c>
      <c r="D94" s="9" t="s">
        <v>55</v>
      </c>
      <c r="E94" s="9" t="s">
        <v>56</v>
      </c>
      <c r="F94" s="9" t="s">
        <v>45</v>
      </c>
      <c r="G94" s="9" t="s">
        <v>46</v>
      </c>
      <c r="H94" s="9" t="s">
        <v>209</v>
      </c>
      <c r="I94" s="11">
        <v>8176931.0</v>
      </c>
      <c r="J94" s="11">
        <v>2.66803314E8</v>
      </c>
      <c r="K94" s="13">
        <v>46304.0</v>
      </c>
      <c r="L94" s="14">
        <v>46317.0</v>
      </c>
      <c r="M94" s="12"/>
      <c r="N94" s="9">
        <v>108.0</v>
      </c>
      <c r="O94" s="11">
        <v>8.0</v>
      </c>
      <c r="P94" s="9" t="s">
        <v>44</v>
      </c>
      <c r="Q94" s="12"/>
      <c r="R94" s="9" t="s">
        <v>52</v>
      </c>
      <c r="S94" s="9" t="s">
        <v>47</v>
      </c>
      <c r="T94" s="9" t="s">
        <v>44</v>
      </c>
      <c r="U94" s="9" t="s">
        <v>44</v>
      </c>
      <c r="V94" s="11">
        <v>38.46</v>
      </c>
      <c r="W94" s="11">
        <v>1.0</v>
      </c>
      <c r="X94" s="9" t="s">
        <v>48</v>
      </c>
      <c r="Y94" s="9" t="s">
        <v>210</v>
      </c>
      <c r="Z94" s="12"/>
      <c r="AA94" s="9">
        <v>1305454.0</v>
      </c>
      <c r="AB94" s="12"/>
      <c r="AC94" s="9" t="s">
        <v>50</v>
      </c>
    </row>
    <row r="95">
      <c r="A95" s="9" t="s">
        <v>33</v>
      </c>
      <c r="B95" s="11">
        <v>6.0</v>
      </c>
      <c r="C95" s="9" t="s">
        <v>43</v>
      </c>
      <c r="D95" s="9" t="s">
        <v>55</v>
      </c>
      <c r="E95" s="9" t="s">
        <v>56</v>
      </c>
      <c r="F95" s="9" t="s">
        <v>45</v>
      </c>
      <c r="G95" s="9" t="s">
        <v>46</v>
      </c>
      <c r="H95" s="9" t="s">
        <v>209</v>
      </c>
      <c r="I95" s="11">
        <v>8176718.0</v>
      </c>
      <c r="J95" s="11">
        <v>2.66803315E8</v>
      </c>
      <c r="K95" s="13">
        <v>46304.0</v>
      </c>
      <c r="L95" s="14">
        <v>46318.0</v>
      </c>
      <c r="M95" s="12"/>
      <c r="N95" s="9">
        <v>117.0</v>
      </c>
      <c r="O95" s="11">
        <v>9.0</v>
      </c>
      <c r="P95" s="9" t="s">
        <v>44</v>
      </c>
      <c r="Q95" s="12"/>
      <c r="R95" s="9" t="s">
        <v>52</v>
      </c>
      <c r="S95" s="9" t="s">
        <v>47</v>
      </c>
      <c r="T95" s="9" t="s">
        <v>44</v>
      </c>
      <c r="U95" s="9" t="s">
        <v>44</v>
      </c>
      <c r="V95" s="11">
        <v>38.46</v>
      </c>
      <c r="W95" s="11">
        <v>1.0</v>
      </c>
      <c r="X95" s="9" t="s">
        <v>48</v>
      </c>
      <c r="Y95" s="9" t="s">
        <v>211</v>
      </c>
      <c r="Z95" s="12"/>
      <c r="AA95" s="9">
        <v>1305916.0</v>
      </c>
      <c r="AB95" s="12"/>
      <c r="AC95" s="9" t="s">
        <v>50</v>
      </c>
    </row>
    <row r="96">
      <c r="A96" s="9" t="s">
        <v>33</v>
      </c>
      <c r="B96" s="11">
        <v>6.0</v>
      </c>
      <c r="C96" s="9" t="s">
        <v>43</v>
      </c>
      <c r="D96" s="9" t="s">
        <v>55</v>
      </c>
      <c r="E96" s="9" t="s">
        <v>56</v>
      </c>
      <c r="F96" s="9" t="s">
        <v>45</v>
      </c>
      <c r="G96" s="9" t="s">
        <v>46</v>
      </c>
      <c r="H96" s="9" t="s">
        <v>65</v>
      </c>
      <c r="I96" s="11">
        <v>8176871.0</v>
      </c>
      <c r="J96" s="11">
        <v>2.66803316E8</v>
      </c>
      <c r="K96" s="13">
        <v>46304.0</v>
      </c>
      <c r="L96" s="14">
        <v>46318.0</v>
      </c>
      <c r="M96" s="12"/>
      <c r="N96" s="9">
        <v>106.0</v>
      </c>
      <c r="O96" s="11">
        <v>9.0</v>
      </c>
      <c r="P96" s="9" t="s">
        <v>44</v>
      </c>
      <c r="Q96" s="12"/>
      <c r="R96" s="12"/>
      <c r="S96" s="9" t="s">
        <v>47</v>
      </c>
      <c r="T96" s="9" t="s">
        <v>44</v>
      </c>
      <c r="U96" s="9" t="s">
        <v>44</v>
      </c>
      <c r="V96" s="11">
        <v>38.46</v>
      </c>
      <c r="W96" s="11">
        <v>1.0</v>
      </c>
      <c r="X96" s="9" t="s">
        <v>48</v>
      </c>
      <c r="Y96" s="9" t="s">
        <v>71</v>
      </c>
      <c r="Z96" s="12"/>
      <c r="AA96" s="9">
        <v>1305604.0</v>
      </c>
      <c r="AB96" s="12"/>
      <c r="AC96" s="9" t="s">
        <v>50</v>
      </c>
    </row>
    <row r="97">
      <c r="A97" s="9" t="s">
        <v>33</v>
      </c>
      <c r="B97" s="11">
        <v>6.0</v>
      </c>
      <c r="C97" s="9" t="s">
        <v>43</v>
      </c>
      <c r="D97" s="9" t="s">
        <v>55</v>
      </c>
      <c r="E97" s="9" t="s">
        <v>56</v>
      </c>
      <c r="F97" s="9" t="s">
        <v>45</v>
      </c>
      <c r="G97" s="9" t="s">
        <v>46</v>
      </c>
      <c r="H97" s="9" t="s">
        <v>65</v>
      </c>
      <c r="I97" s="11">
        <v>8176872.0</v>
      </c>
      <c r="J97" s="11">
        <v>2.66803317E8</v>
      </c>
      <c r="K97" s="13">
        <v>46304.0</v>
      </c>
      <c r="L97" s="14">
        <v>46318.0</v>
      </c>
      <c r="M97" s="12"/>
      <c r="N97" s="9">
        <v>116.0</v>
      </c>
      <c r="O97" s="11">
        <v>9.0</v>
      </c>
      <c r="P97" s="9" t="s">
        <v>44</v>
      </c>
      <c r="Q97" s="12"/>
      <c r="R97" s="9" t="s">
        <v>52</v>
      </c>
      <c r="S97" s="9" t="s">
        <v>47</v>
      </c>
      <c r="T97" s="9" t="s">
        <v>44</v>
      </c>
      <c r="U97" s="9" t="s">
        <v>44</v>
      </c>
      <c r="V97" s="11">
        <v>38.46</v>
      </c>
      <c r="W97" s="11">
        <v>1.0</v>
      </c>
      <c r="X97" s="9" t="s">
        <v>48</v>
      </c>
      <c r="Y97" s="9" t="s">
        <v>212</v>
      </c>
      <c r="Z97" s="12"/>
      <c r="AA97" s="9">
        <v>1305654.0</v>
      </c>
      <c r="AB97" s="12"/>
      <c r="AC97" s="9" t="s">
        <v>50</v>
      </c>
    </row>
    <row r="98">
      <c r="A98" s="9" t="s">
        <v>33</v>
      </c>
      <c r="B98" s="11">
        <v>6.0</v>
      </c>
      <c r="C98" s="9" t="s">
        <v>43</v>
      </c>
      <c r="D98" s="9" t="s">
        <v>55</v>
      </c>
      <c r="E98" s="9" t="s">
        <v>56</v>
      </c>
      <c r="F98" s="9" t="s">
        <v>45</v>
      </c>
      <c r="G98" s="9" t="s">
        <v>46</v>
      </c>
      <c r="H98" s="9" t="s">
        <v>65</v>
      </c>
      <c r="I98" s="11">
        <v>8176770.0</v>
      </c>
      <c r="J98" s="11">
        <v>2.66803318E8</v>
      </c>
      <c r="K98" s="13">
        <v>46304.0</v>
      </c>
      <c r="L98" s="14">
        <v>46318.0</v>
      </c>
      <c r="M98" s="12"/>
      <c r="N98" s="9">
        <v>112.0</v>
      </c>
      <c r="O98" s="11">
        <v>9.0</v>
      </c>
      <c r="P98" s="9" t="s">
        <v>44</v>
      </c>
      <c r="Q98" s="12"/>
      <c r="R98" s="9" t="s">
        <v>52</v>
      </c>
      <c r="S98" s="9" t="s">
        <v>47</v>
      </c>
      <c r="T98" s="9" t="s">
        <v>44</v>
      </c>
      <c r="U98" s="9" t="s">
        <v>44</v>
      </c>
      <c r="V98" s="11">
        <v>38.46</v>
      </c>
      <c r="W98" s="11">
        <v>1.0</v>
      </c>
      <c r="X98" s="9" t="s">
        <v>48</v>
      </c>
      <c r="Y98" s="9" t="s">
        <v>213</v>
      </c>
      <c r="Z98" s="12"/>
      <c r="AA98" s="9">
        <v>1305494.0</v>
      </c>
      <c r="AB98" s="12"/>
      <c r="AC98" s="9" t="s">
        <v>50</v>
      </c>
    </row>
    <row r="99">
      <c r="A99" s="9" t="s">
        <v>33</v>
      </c>
      <c r="B99" s="11">
        <v>6.0</v>
      </c>
      <c r="C99" s="9" t="s">
        <v>43</v>
      </c>
      <c r="D99" s="9" t="s">
        <v>55</v>
      </c>
      <c r="E99" s="9" t="s">
        <v>56</v>
      </c>
      <c r="F99" s="9" t="s">
        <v>45</v>
      </c>
      <c r="G99" s="9" t="s">
        <v>46</v>
      </c>
      <c r="H99" s="9" t="s">
        <v>65</v>
      </c>
      <c r="I99" s="11">
        <v>8176801.0</v>
      </c>
      <c r="J99" s="11">
        <v>2.66803319E8</v>
      </c>
      <c r="K99" s="13">
        <v>46304.0</v>
      </c>
      <c r="L99" s="14">
        <v>46318.0</v>
      </c>
      <c r="M99" s="12"/>
      <c r="N99" s="9">
        <v>114.0</v>
      </c>
      <c r="O99" s="11">
        <v>9.0</v>
      </c>
      <c r="P99" s="9" t="s">
        <v>44</v>
      </c>
      <c r="Q99" s="12"/>
      <c r="R99" s="12"/>
      <c r="S99" s="9" t="s">
        <v>47</v>
      </c>
      <c r="T99" s="9" t="s">
        <v>44</v>
      </c>
      <c r="U99" s="9" t="s">
        <v>44</v>
      </c>
      <c r="V99" s="11">
        <v>38.46</v>
      </c>
      <c r="W99" s="11">
        <v>1.0</v>
      </c>
      <c r="X99" s="9" t="s">
        <v>48</v>
      </c>
      <c r="Y99" s="9" t="s">
        <v>215</v>
      </c>
      <c r="Z99" s="12"/>
      <c r="AA99" s="9">
        <v>1305034.0</v>
      </c>
      <c r="AB99" s="12"/>
      <c r="AC99" s="9" t="s">
        <v>50</v>
      </c>
    </row>
    <row r="100">
      <c r="A100" s="9" t="s">
        <v>33</v>
      </c>
      <c r="B100" s="11">
        <v>6.0</v>
      </c>
      <c r="C100" s="9" t="s">
        <v>43</v>
      </c>
      <c r="D100" s="9" t="s">
        <v>55</v>
      </c>
      <c r="E100" s="9" t="s">
        <v>56</v>
      </c>
      <c r="F100" s="9" t="s">
        <v>45</v>
      </c>
      <c r="G100" s="9" t="s">
        <v>46</v>
      </c>
      <c r="H100" s="9" t="s">
        <v>193</v>
      </c>
      <c r="I100" s="11">
        <v>8176771.0</v>
      </c>
      <c r="J100" s="11">
        <v>2.6680332E8</v>
      </c>
      <c r="K100" s="13">
        <v>46304.0</v>
      </c>
      <c r="L100" s="14">
        <v>46321.0</v>
      </c>
      <c r="M100" s="12"/>
      <c r="N100" s="9">
        <v>119.0</v>
      </c>
      <c r="O100" s="11">
        <v>10.0</v>
      </c>
      <c r="P100" s="9" t="s">
        <v>44</v>
      </c>
      <c r="Q100" s="12"/>
      <c r="R100" s="9" t="s">
        <v>52</v>
      </c>
      <c r="S100" s="9" t="s">
        <v>47</v>
      </c>
      <c r="T100" s="9" t="s">
        <v>44</v>
      </c>
      <c r="U100" s="9" t="s">
        <v>44</v>
      </c>
      <c r="V100" s="11">
        <v>38.46</v>
      </c>
      <c r="W100" s="11">
        <v>1.0</v>
      </c>
      <c r="X100" s="9" t="s">
        <v>48</v>
      </c>
      <c r="Y100" s="9" t="s">
        <v>216</v>
      </c>
      <c r="Z100" s="12"/>
      <c r="AA100" s="9">
        <v>1305199.0</v>
      </c>
      <c r="AB100" s="12"/>
      <c r="AC100" s="9" t="s">
        <v>50</v>
      </c>
    </row>
    <row r="101">
      <c r="A101" s="9" t="s">
        <v>33</v>
      </c>
      <c r="B101" s="11">
        <v>6.0</v>
      </c>
      <c r="C101" s="9" t="s">
        <v>43</v>
      </c>
      <c r="D101" s="9" t="s">
        <v>55</v>
      </c>
      <c r="E101" s="9" t="s">
        <v>56</v>
      </c>
      <c r="F101" s="9" t="s">
        <v>45</v>
      </c>
      <c r="G101" s="9" t="s">
        <v>46</v>
      </c>
      <c r="H101" s="9" t="s">
        <v>193</v>
      </c>
      <c r="I101" s="11">
        <v>8176873.0</v>
      </c>
      <c r="J101" s="11">
        <v>2.66803321E8</v>
      </c>
      <c r="K101" s="13">
        <v>46304.0</v>
      </c>
      <c r="L101" s="14">
        <v>46316.0</v>
      </c>
      <c r="M101" s="12"/>
      <c r="N101" s="9">
        <v>105.0</v>
      </c>
      <c r="O101" s="11">
        <v>7.0</v>
      </c>
      <c r="P101" s="9" t="s">
        <v>44</v>
      </c>
      <c r="Q101" s="12"/>
      <c r="R101" s="12"/>
      <c r="S101" s="9" t="s">
        <v>47</v>
      </c>
      <c r="T101" s="9" t="s">
        <v>44</v>
      </c>
      <c r="U101" s="9" t="s">
        <v>44</v>
      </c>
      <c r="V101" s="11">
        <v>38.46</v>
      </c>
      <c r="W101" s="11">
        <v>1.0</v>
      </c>
      <c r="X101" s="9" t="s">
        <v>48</v>
      </c>
      <c r="Y101" s="9" t="s">
        <v>217</v>
      </c>
      <c r="Z101" s="12"/>
      <c r="AA101" s="9">
        <v>1305444.0</v>
      </c>
      <c r="AB101" s="12"/>
      <c r="AC101" s="9" t="s">
        <v>50</v>
      </c>
    </row>
    <row r="102">
      <c r="A102" s="9" t="s">
        <v>33</v>
      </c>
      <c r="B102" s="11">
        <v>6.0</v>
      </c>
      <c r="C102" s="9" t="s">
        <v>43</v>
      </c>
      <c r="D102" s="9" t="s">
        <v>55</v>
      </c>
      <c r="E102" s="9" t="s">
        <v>56</v>
      </c>
      <c r="F102" s="9" t="s">
        <v>45</v>
      </c>
      <c r="G102" s="9" t="s">
        <v>46</v>
      </c>
      <c r="H102" s="9" t="s">
        <v>209</v>
      </c>
      <c r="I102" s="11">
        <v>8176772.0</v>
      </c>
      <c r="J102" s="11">
        <v>2.66803322E8</v>
      </c>
      <c r="K102" s="13">
        <v>46304.0</v>
      </c>
      <c r="L102" s="14">
        <v>46316.0</v>
      </c>
      <c r="M102" s="12"/>
      <c r="N102" s="9">
        <v>1.0</v>
      </c>
      <c r="O102" s="11">
        <v>7.0</v>
      </c>
      <c r="P102" s="9" t="s">
        <v>44</v>
      </c>
      <c r="Q102" s="12"/>
      <c r="R102" s="9" t="s">
        <v>52</v>
      </c>
      <c r="S102" s="9" t="s">
        <v>47</v>
      </c>
      <c r="T102" s="9" t="s">
        <v>44</v>
      </c>
      <c r="U102" s="9" t="s">
        <v>44</v>
      </c>
      <c r="V102" s="11">
        <v>38.46</v>
      </c>
      <c r="W102" s="11">
        <v>1.0</v>
      </c>
      <c r="X102" s="9" t="s">
        <v>48</v>
      </c>
      <c r="Y102" s="9" t="s">
        <v>218</v>
      </c>
      <c r="Z102" s="12"/>
      <c r="AA102" s="9">
        <v>1304124.0</v>
      </c>
      <c r="AB102" s="12"/>
      <c r="AC102" s="9" t="s">
        <v>50</v>
      </c>
    </row>
    <row r="103">
      <c r="A103" s="9" t="s">
        <v>33</v>
      </c>
      <c r="B103" s="11">
        <v>6.0</v>
      </c>
      <c r="C103" s="9" t="s">
        <v>43</v>
      </c>
      <c r="D103" s="9" t="s">
        <v>55</v>
      </c>
      <c r="E103" s="9" t="s">
        <v>56</v>
      </c>
      <c r="F103" s="9" t="s">
        <v>45</v>
      </c>
      <c r="G103" s="9" t="s">
        <v>46</v>
      </c>
      <c r="H103" s="9" t="s">
        <v>209</v>
      </c>
      <c r="I103" s="11">
        <v>8176802.0</v>
      </c>
      <c r="J103" s="11">
        <v>2.66803324E8</v>
      </c>
      <c r="K103" s="13">
        <v>46304.0</v>
      </c>
      <c r="L103" s="14">
        <v>46318.0</v>
      </c>
      <c r="M103" s="12"/>
      <c r="N103" s="9">
        <v>105.0</v>
      </c>
      <c r="O103" s="11">
        <v>9.0</v>
      </c>
      <c r="P103" s="9" t="s">
        <v>44</v>
      </c>
      <c r="Q103" s="12"/>
      <c r="R103" s="12"/>
      <c r="S103" s="9" t="s">
        <v>47</v>
      </c>
      <c r="T103" s="9" t="s">
        <v>44</v>
      </c>
      <c r="U103" s="9" t="s">
        <v>44</v>
      </c>
      <c r="V103" s="11">
        <v>38.46</v>
      </c>
      <c r="W103" s="11">
        <v>1.0</v>
      </c>
      <c r="X103" s="9" t="s">
        <v>48</v>
      </c>
      <c r="Y103" s="9" t="s">
        <v>219</v>
      </c>
      <c r="Z103" s="12"/>
      <c r="AA103" s="9">
        <v>1305004.0</v>
      </c>
      <c r="AB103" s="12"/>
      <c r="AC103" s="9" t="s">
        <v>50</v>
      </c>
    </row>
    <row r="104">
      <c r="A104" s="9" t="s">
        <v>33</v>
      </c>
      <c r="B104" s="11">
        <v>6.0</v>
      </c>
      <c r="C104" s="9" t="s">
        <v>43</v>
      </c>
      <c r="D104" s="9" t="s">
        <v>55</v>
      </c>
      <c r="E104" s="9" t="s">
        <v>56</v>
      </c>
      <c r="F104" s="9" t="s">
        <v>45</v>
      </c>
      <c r="G104" s="9" t="s">
        <v>46</v>
      </c>
      <c r="H104" s="9" t="s">
        <v>209</v>
      </c>
      <c r="I104" s="11">
        <v>8176932.0</v>
      </c>
      <c r="J104" s="11">
        <v>2.66803325E8</v>
      </c>
      <c r="K104" s="13">
        <v>46304.0</v>
      </c>
      <c r="L104" s="14">
        <v>46317.0</v>
      </c>
      <c r="M104" s="12"/>
      <c r="N104" s="9">
        <v>101.0</v>
      </c>
      <c r="O104" s="11">
        <v>8.0</v>
      </c>
      <c r="P104" s="9" t="s">
        <v>44</v>
      </c>
      <c r="Q104" s="12"/>
      <c r="R104" s="9" t="s">
        <v>52</v>
      </c>
      <c r="S104" s="9" t="s">
        <v>47</v>
      </c>
      <c r="T104" s="9" t="s">
        <v>44</v>
      </c>
      <c r="U104" s="9" t="s">
        <v>44</v>
      </c>
      <c r="V104" s="11">
        <v>38.46</v>
      </c>
      <c r="W104" s="11">
        <v>2.0</v>
      </c>
      <c r="X104" s="9" t="s">
        <v>48</v>
      </c>
      <c r="Y104" s="9" t="s">
        <v>220</v>
      </c>
      <c r="Z104" s="12"/>
      <c r="AA104" s="9">
        <v>1305855.0</v>
      </c>
      <c r="AB104" s="12"/>
      <c r="AC104" s="9" t="s">
        <v>50</v>
      </c>
    </row>
    <row r="105">
      <c r="A105" s="9" t="s">
        <v>33</v>
      </c>
      <c r="B105" s="11">
        <v>6.0</v>
      </c>
      <c r="C105" s="9" t="s">
        <v>43</v>
      </c>
      <c r="D105" s="9" t="s">
        <v>55</v>
      </c>
      <c r="E105" s="9" t="s">
        <v>56</v>
      </c>
      <c r="F105" s="9" t="s">
        <v>45</v>
      </c>
      <c r="G105" s="9" t="s">
        <v>46</v>
      </c>
      <c r="H105" s="9" t="s">
        <v>209</v>
      </c>
      <c r="I105" s="11">
        <v>8176845.0</v>
      </c>
      <c r="J105" s="11">
        <v>2.66803326E8</v>
      </c>
      <c r="K105" s="13">
        <v>46304.0</v>
      </c>
      <c r="L105" s="14">
        <v>46322.0</v>
      </c>
      <c r="M105" s="12"/>
      <c r="N105" s="9">
        <v>110.0</v>
      </c>
      <c r="O105" s="11">
        <v>11.0</v>
      </c>
      <c r="P105" s="9" t="s">
        <v>44</v>
      </c>
      <c r="Q105" s="12"/>
      <c r="R105" s="12"/>
      <c r="S105" s="9" t="s">
        <v>47</v>
      </c>
      <c r="T105" s="9" t="s">
        <v>44</v>
      </c>
      <c r="U105" s="9" t="s">
        <v>44</v>
      </c>
      <c r="V105" s="11">
        <v>38.46</v>
      </c>
      <c r="W105" s="11">
        <v>1.0</v>
      </c>
      <c r="X105" s="9" t="s">
        <v>48</v>
      </c>
      <c r="Y105" s="9" t="s">
        <v>221</v>
      </c>
      <c r="Z105" s="12"/>
      <c r="AA105" s="9">
        <v>1305669.0</v>
      </c>
      <c r="AB105" s="12"/>
      <c r="AC105" s="9" t="s">
        <v>50</v>
      </c>
    </row>
    <row r="106">
      <c r="A106" s="9" t="s">
        <v>33</v>
      </c>
      <c r="B106" s="11">
        <v>6.0</v>
      </c>
      <c r="C106" s="9" t="s">
        <v>43</v>
      </c>
      <c r="D106" s="9" t="s">
        <v>55</v>
      </c>
      <c r="E106" s="9" t="s">
        <v>56</v>
      </c>
      <c r="F106" s="9" t="s">
        <v>45</v>
      </c>
      <c r="G106" s="9" t="s">
        <v>46</v>
      </c>
      <c r="H106" s="9" t="s">
        <v>222</v>
      </c>
      <c r="I106" s="11">
        <v>8176846.0</v>
      </c>
      <c r="J106" s="11">
        <v>2.66803328E8</v>
      </c>
      <c r="K106" s="13">
        <v>46304.0</v>
      </c>
      <c r="L106" s="14">
        <v>46316.0</v>
      </c>
      <c r="M106" s="12"/>
      <c r="N106" s="9">
        <v>2201.0</v>
      </c>
      <c r="O106" s="11">
        <v>7.0</v>
      </c>
      <c r="P106" s="9" t="s">
        <v>44</v>
      </c>
      <c r="Q106" s="12"/>
      <c r="R106" s="9" t="s">
        <v>90</v>
      </c>
      <c r="S106" s="9" t="s">
        <v>47</v>
      </c>
      <c r="T106" s="9" t="s">
        <v>44</v>
      </c>
      <c r="U106" s="9" t="s">
        <v>44</v>
      </c>
      <c r="V106" s="11">
        <v>45.49</v>
      </c>
      <c r="W106" s="11">
        <v>1.0</v>
      </c>
      <c r="X106" s="9" t="s">
        <v>48</v>
      </c>
      <c r="Y106" s="9" t="s">
        <v>223</v>
      </c>
      <c r="Z106" s="12"/>
      <c r="AA106" s="9">
        <v>1305626.0</v>
      </c>
      <c r="AB106" s="12"/>
      <c r="AC106" s="9" t="s">
        <v>50</v>
      </c>
    </row>
    <row r="107">
      <c r="A107" s="9" t="s">
        <v>33</v>
      </c>
      <c r="B107" s="11">
        <v>6.0</v>
      </c>
      <c r="C107" s="9" t="s">
        <v>43</v>
      </c>
      <c r="D107" s="9" t="s">
        <v>55</v>
      </c>
      <c r="E107" s="9" t="s">
        <v>56</v>
      </c>
      <c r="F107" s="9" t="s">
        <v>45</v>
      </c>
      <c r="G107" s="9" t="s">
        <v>46</v>
      </c>
      <c r="H107" s="9" t="s">
        <v>68</v>
      </c>
      <c r="I107" s="11">
        <v>8177023.0</v>
      </c>
      <c r="J107" s="11">
        <v>2.66803329E8</v>
      </c>
      <c r="K107" s="13">
        <v>46304.0</v>
      </c>
      <c r="L107" s="14">
        <v>46316.0</v>
      </c>
      <c r="M107" s="12"/>
      <c r="N107" s="9">
        <v>23.0</v>
      </c>
      <c r="O107" s="11">
        <v>7.0</v>
      </c>
      <c r="P107" s="9" t="s">
        <v>44</v>
      </c>
      <c r="Q107" s="12"/>
      <c r="R107" s="12"/>
      <c r="S107" s="9" t="s">
        <v>47</v>
      </c>
      <c r="T107" s="9" t="s">
        <v>44</v>
      </c>
      <c r="U107" s="9" t="s">
        <v>44</v>
      </c>
      <c r="V107" s="11">
        <v>67.87</v>
      </c>
      <c r="W107" s="11">
        <v>1.0</v>
      </c>
      <c r="X107" s="9" t="s">
        <v>48</v>
      </c>
      <c r="Y107" s="9" t="s">
        <v>224</v>
      </c>
      <c r="Z107" s="12"/>
      <c r="AA107" s="9">
        <v>1305192.0</v>
      </c>
      <c r="AB107" s="12"/>
      <c r="AC107" s="9" t="s">
        <v>50</v>
      </c>
    </row>
    <row r="108">
      <c r="A108" s="9" t="s">
        <v>33</v>
      </c>
      <c r="B108" s="11">
        <v>6.0</v>
      </c>
      <c r="C108" s="9" t="s">
        <v>43</v>
      </c>
      <c r="D108" s="9" t="s">
        <v>55</v>
      </c>
      <c r="E108" s="9" t="s">
        <v>56</v>
      </c>
      <c r="F108" s="9" t="s">
        <v>45</v>
      </c>
      <c r="G108" s="9" t="s">
        <v>46</v>
      </c>
      <c r="H108" s="9" t="s">
        <v>68</v>
      </c>
      <c r="I108" s="11">
        <v>8176970.0</v>
      </c>
      <c r="J108" s="11">
        <v>2.6680333E8</v>
      </c>
      <c r="K108" s="13">
        <v>46304.0</v>
      </c>
      <c r="L108" s="14">
        <v>46316.0</v>
      </c>
      <c r="M108" s="12"/>
      <c r="N108" s="9">
        <v>37.0</v>
      </c>
      <c r="O108" s="11">
        <v>7.0</v>
      </c>
      <c r="P108" s="9" t="s">
        <v>44</v>
      </c>
      <c r="Q108" s="12"/>
      <c r="R108" s="12"/>
      <c r="S108" s="9" t="s">
        <v>47</v>
      </c>
      <c r="T108" s="9" t="s">
        <v>44</v>
      </c>
      <c r="U108" s="9" t="s">
        <v>44</v>
      </c>
      <c r="V108" s="11">
        <v>68.58</v>
      </c>
      <c r="W108" s="11">
        <v>1.0</v>
      </c>
      <c r="X108" s="9" t="s">
        <v>48</v>
      </c>
      <c r="Y108" s="9" t="s">
        <v>226</v>
      </c>
      <c r="Z108" s="12"/>
      <c r="AA108" s="9">
        <v>1305724.0</v>
      </c>
      <c r="AB108" s="12"/>
      <c r="AC108" s="9" t="s">
        <v>50</v>
      </c>
    </row>
    <row r="109">
      <c r="A109" s="9" t="s">
        <v>33</v>
      </c>
      <c r="B109" s="11">
        <v>6.0</v>
      </c>
      <c r="C109" s="9" t="s">
        <v>43</v>
      </c>
      <c r="D109" s="9" t="s">
        <v>55</v>
      </c>
      <c r="E109" s="9" t="s">
        <v>56</v>
      </c>
      <c r="F109" s="9" t="s">
        <v>45</v>
      </c>
      <c r="G109" s="9" t="s">
        <v>46</v>
      </c>
      <c r="H109" s="9" t="s">
        <v>68</v>
      </c>
      <c r="I109" s="11">
        <v>8176933.0</v>
      </c>
      <c r="J109" s="11">
        <v>2.66803331E8</v>
      </c>
      <c r="K109" s="13">
        <v>46304.0</v>
      </c>
      <c r="L109" s="14">
        <v>46316.0</v>
      </c>
      <c r="M109" s="12"/>
      <c r="N109" s="9">
        <v>90.0</v>
      </c>
      <c r="O109" s="11">
        <v>7.0</v>
      </c>
      <c r="P109" s="9" t="s">
        <v>44</v>
      </c>
      <c r="Q109" s="12"/>
      <c r="R109" s="12"/>
      <c r="S109" s="9" t="s">
        <v>47</v>
      </c>
      <c r="T109" s="9" t="s">
        <v>44</v>
      </c>
      <c r="U109" s="9" t="s">
        <v>44</v>
      </c>
      <c r="V109" s="11">
        <v>114.4</v>
      </c>
      <c r="W109" s="11">
        <v>6.0</v>
      </c>
      <c r="X109" s="9" t="s">
        <v>48</v>
      </c>
      <c r="Y109" s="9" t="s">
        <v>227</v>
      </c>
      <c r="Z109" s="12"/>
      <c r="AA109" s="9">
        <v>1305789.0</v>
      </c>
      <c r="AB109" s="12"/>
      <c r="AC109" s="9" t="s">
        <v>50</v>
      </c>
    </row>
    <row r="110">
      <c r="A110" s="9" t="s">
        <v>33</v>
      </c>
      <c r="B110" s="11">
        <v>6.0</v>
      </c>
      <c r="C110" s="9" t="s">
        <v>43</v>
      </c>
      <c r="D110" s="9" t="s">
        <v>55</v>
      </c>
      <c r="E110" s="9" t="s">
        <v>56</v>
      </c>
      <c r="F110" s="9" t="s">
        <v>45</v>
      </c>
      <c r="G110" s="9" t="s">
        <v>46</v>
      </c>
      <c r="H110" s="9" t="s">
        <v>68</v>
      </c>
      <c r="I110" s="11">
        <v>8176971.0</v>
      </c>
      <c r="J110" s="11">
        <v>2.66803332E8</v>
      </c>
      <c r="K110" s="13">
        <v>46304.0</v>
      </c>
      <c r="L110" s="14">
        <v>46316.0</v>
      </c>
      <c r="M110" s="12"/>
      <c r="N110" s="9">
        <v>39.0</v>
      </c>
      <c r="O110" s="11">
        <v>7.0</v>
      </c>
      <c r="P110" s="9" t="s">
        <v>44</v>
      </c>
      <c r="Q110" s="12"/>
      <c r="R110" s="12"/>
      <c r="S110" s="9" t="s">
        <v>47</v>
      </c>
      <c r="T110" s="9" t="s">
        <v>44</v>
      </c>
      <c r="U110" s="9" t="s">
        <v>44</v>
      </c>
      <c r="V110" s="11">
        <v>68.99</v>
      </c>
      <c r="W110" s="11">
        <v>1.0</v>
      </c>
      <c r="X110" s="9" t="s">
        <v>48</v>
      </c>
      <c r="Y110" s="9" t="s">
        <v>228</v>
      </c>
      <c r="Z110" s="12"/>
      <c r="AA110" s="9">
        <v>1305319.0</v>
      </c>
      <c r="AB110" s="12"/>
      <c r="AC110" s="9" t="s">
        <v>50</v>
      </c>
    </row>
    <row r="111">
      <c r="A111" s="9" t="s">
        <v>33</v>
      </c>
      <c r="B111" s="11">
        <v>6.0</v>
      </c>
      <c r="C111" s="9" t="s">
        <v>43</v>
      </c>
      <c r="D111" s="9" t="s">
        <v>55</v>
      </c>
      <c r="E111" s="9" t="s">
        <v>56</v>
      </c>
      <c r="F111" s="9" t="s">
        <v>45</v>
      </c>
      <c r="G111" s="9" t="s">
        <v>46</v>
      </c>
      <c r="H111" s="9" t="s">
        <v>68</v>
      </c>
      <c r="I111" s="11">
        <v>8176719.0</v>
      </c>
      <c r="J111" s="11">
        <v>2.66803333E8</v>
      </c>
      <c r="K111" s="13">
        <v>46304.0</v>
      </c>
      <c r="L111" s="14">
        <v>46316.0</v>
      </c>
      <c r="M111" s="12"/>
      <c r="N111" s="9">
        <v>27.0</v>
      </c>
      <c r="O111" s="11">
        <v>7.0</v>
      </c>
      <c r="P111" s="9" t="s">
        <v>44</v>
      </c>
      <c r="Q111" s="12"/>
      <c r="R111" s="12"/>
      <c r="S111" s="9" t="s">
        <v>47</v>
      </c>
      <c r="T111" s="9" t="s">
        <v>44</v>
      </c>
      <c r="U111" s="9" t="s">
        <v>44</v>
      </c>
      <c r="V111" s="11">
        <v>74.16</v>
      </c>
      <c r="W111" s="11">
        <v>2.0</v>
      </c>
      <c r="X111" s="9" t="s">
        <v>48</v>
      </c>
      <c r="Y111" s="9" t="s">
        <v>229</v>
      </c>
      <c r="Z111" s="12"/>
      <c r="AA111" s="9">
        <v>1305656.0</v>
      </c>
      <c r="AB111" s="12"/>
      <c r="AC111" s="9" t="s">
        <v>50</v>
      </c>
    </row>
    <row r="112">
      <c r="A112" s="9" t="s">
        <v>33</v>
      </c>
      <c r="B112" s="11">
        <v>6.0</v>
      </c>
      <c r="C112" s="9" t="s">
        <v>43</v>
      </c>
      <c r="D112" s="9" t="s">
        <v>55</v>
      </c>
      <c r="E112" s="9" t="s">
        <v>56</v>
      </c>
      <c r="F112" s="9" t="s">
        <v>45</v>
      </c>
      <c r="G112" s="9" t="s">
        <v>46</v>
      </c>
      <c r="H112" s="9" t="s">
        <v>68</v>
      </c>
      <c r="I112" s="11">
        <v>8176972.0</v>
      </c>
      <c r="J112" s="11">
        <v>2.66803334E8</v>
      </c>
      <c r="K112" s="13">
        <v>46304.0</v>
      </c>
      <c r="L112" s="14">
        <v>46316.0</v>
      </c>
      <c r="M112" s="12"/>
      <c r="N112" s="9">
        <v>10.0</v>
      </c>
      <c r="O112" s="11">
        <v>7.0</v>
      </c>
      <c r="P112" s="9" t="s">
        <v>44</v>
      </c>
      <c r="Q112" s="12"/>
      <c r="R112" s="12"/>
      <c r="S112" s="9" t="s">
        <v>47</v>
      </c>
      <c r="T112" s="9" t="s">
        <v>44</v>
      </c>
      <c r="U112" s="9" t="s">
        <v>44</v>
      </c>
      <c r="V112" s="11">
        <v>68.06</v>
      </c>
      <c r="W112" s="11">
        <v>1.0</v>
      </c>
      <c r="X112" s="9" t="s">
        <v>48</v>
      </c>
      <c r="Y112" s="9" t="s">
        <v>230</v>
      </c>
      <c r="Z112" s="12"/>
      <c r="AA112" s="9">
        <v>1305520.0</v>
      </c>
      <c r="AB112" s="12"/>
      <c r="AC112" s="9" t="s">
        <v>50</v>
      </c>
    </row>
    <row r="113">
      <c r="A113" s="9" t="s">
        <v>33</v>
      </c>
      <c r="B113" s="11">
        <v>6.0</v>
      </c>
      <c r="C113" s="9" t="s">
        <v>43</v>
      </c>
      <c r="D113" s="9" t="s">
        <v>55</v>
      </c>
      <c r="E113" s="9" t="s">
        <v>56</v>
      </c>
      <c r="F113" s="9" t="s">
        <v>45</v>
      </c>
      <c r="G113" s="9" t="s">
        <v>46</v>
      </c>
      <c r="H113" s="9" t="s">
        <v>68</v>
      </c>
      <c r="I113" s="11">
        <v>8176709.0</v>
      </c>
      <c r="J113" s="11">
        <v>2.66803335E8</v>
      </c>
      <c r="K113" s="13">
        <v>46304.0</v>
      </c>
      <c r="L113" s="14">
        <v>46316.0</v>
      </c>
      <c r="M113" s="12"/>
      <c r="N113" s="9">
        <v>90.0</v>
      </c>
      <c r="O113" s="11">
        <v>7.0</v>
      </c>
      <c r="P113" s="9" t="s">
        <v>44</v>
      </c>
      <c r="Q113" s="12"/>
      <c r="R113" s="12"/>
      <c r="S113" s="9" t="s">
        <v>47</v>
      </c>
      <c r="T113" s="9" t="s">
        <v>44</v>
      </c>
      <c r="U113" s="9" t="s">
        <v>44</v>
      </c>
      <c r="V113" s="11">
        <v>120.87</v>
      </c>
      <c r="W113" s="11">
        <v>6.0</v>
      </c>
      <c r="X113" s="9" t="s">
        <v>48</v>
      </c>
      <c r="Y113" s="9" t="s">
        <v>227</v>
      </c>
      <c r="Z113" s="12"/>
      <c r="AA113" s="9">
        <v>1305839.0</v>
      </c>
      <c r="AB113" s="12"/>
      <c r="AC113" s="9" t="s">
        <v>50</v>
      </c>
    </row>
    <row r="114">
      <c r="A114" s="9" t="s">
        <v>33</v>
      </c>
      <c r="B114" s="11">
        <v>6.0</v>
      </c>
      <c r="C114" s="9" t="s">
        <v>43</v>
      </c>
      <c r="D114" s="9" t="s">
        <v>55</v>
      </c>
      <c r="E114" s="9" t="s">
        <v>56</v>
      </c>
      <c r="F114" s="9" t="s">
        <v>45</v>
      </c>
      <c r="G114" s="9" t="s">
        <v>46</v>
      </c>
      <c r="H114" s="9" t="s">
        <v>68</v>
      </c>
      <c r="I114" s="11">
        <v>8176847.0</v>
      </c>
      <c r="J114" s="11">
        <v>2.66803336E8</v>
      </c>
      <c r="K114" s="13">
        <v>46304.0</v>
      </c>
      <c r="L114" s="14">
        <v>46317.0</v>
      </c>
      <c r="M114" s="12"/>
      <c r="N114" s="9">
        <v>101.0</v>
      </c>
      <c r="O114" s="11">
        <v>8.0</v>
      </c>
      <c r="P114" s="9" t="s">
        <v>44</v>
      </c>
      <c r="Q114" s="12"/>
      <c r="R114" s="12"/>
      <c r="S114" s="9" t="s">
        <v>47</v>
      </c>
      <c r="T114" s="9" t="s">
        <v>44</v>
      </c>
      <c r="U114" s="9" t="s">
        <v>44</v>
      </c>
      <c r="V114" s="11">
        <v>69.43</v>
      </c>
      <c r="W114" s="11">
        <v>1.0</v>
      </c>
      <c r="X114" s="9" t="s">
        <v>48</v>
      </c>
      <c r="Y114" s="9" t="s">
        <v>232</v>
      </c>
      <c r="Z114" s="12"/>
      <c r="AA114" s="9">
        <v>1305594.0</v>
      </c>
      <c r="AB114" s="12"/>
      <c r="AC114" s="9" t="s">
        <v>50</v>
      </c>
    </row>
    <row r="115">
      <c r="A115" s="9" t="s">
        <v>33</v>
      </c>
      <c r="B115" s="11">
        <v>6.0</v>
      </c>
      <c r="C115" s="9" t="s">
        <v>43</v>
      </c>
      <c r="D115" s="9" t="s">
        <v>55</v>
      </c>
      <c r="E115" s="9" t="s">
        <v>56</v>
      </c>
      <c r="F115" s="9" t="s">
        <v>45</v>
      </c>
      <c r="G115" s="9" t="s">
        <v>46</v>
      </c>
      <c r="H115" s="9" t="s">
        <v>233</v>
      </c>
      <c r="I115" s="11">
        <v>8176973.0</v>
      </c>
      <c r="J115" s="11">
        <v>2.66803337E8</v>
      </c>
      <c r="K115" s="13">
        <v>46304.0</v>
      </c>
      <c r="L115" s="14">
        <v>46316.0</v>
      </c>
      <c r="M115" s="12"/>
      <c r="N115" s="9">
        <v>45.0</v>
      </c>
      <c r="O115" s="11">
        <v>7.0</v>
      </c>
      <c r="P115" s="9" t="s">
        <v>44</v>
      </c>
      <c r="Q115" s="12"/>
      <c r="R115" s="12"/>
      <c r="S115" s="9" t="s">
        <v>47</v>
      </c>
      <c r="T115" s="9" t="s">
        <v>44</v>
      </c>
      <c r="U115" s="9" t="s">
        <v>44</v>
      </c>
      <c r="V115" s="11">
        <v>69.65</v>
      </c>
      <c r="W115" s="11">
        <v>1.0</v>
      </c>
      <c r="X115" s="9" t="s">
        <v>48</v>
      </c>
      <c r="Y115" s="9" t="s">
        <v>234</v>
      </c>
      <c r="Z115" s="12"/>
      <c r="AA115" s="9">
        <v>1305630.0</v>
      </c>
      <c r="AB115" s="12"/>
      <c r="AC115" s="9" t="s">
        <v>50</v>
      </c>
    </row>
    <row r="116">
      <c r="A116" s="9" t="s">
        <v>33</v>
      </c>
      <c r="B116" s="11">
        <v>6.0</v>
      </c>
      <c r="C116" s="9" t="s">
        <v>43</v>
      </c>
      <c r="D116" s="9" t="s">
        <v>55</v>
      </c>
      <c r="E116" s="9" t="s">
        <v>56</v>
      </c>
      <c r="F116" s="9" t="s">
        <v>45</v>
      </c>
      <c r="G116" s="9" t="s">
        <v>46</v>
      </c>
      <c r="H116" s="9" t="s">
        <v>233</v>
      </c>
      <c r="I116" s="11">
        <v>8176934.0</v>
      </c>
      <c r="J116" s="11">
        <v>2.66803338E8</v>
      </c>
      <c r="K116" s="13">
        <v>46304.0</v>
      </c>
      <c r="L116" s="14">
        <v>46317.0</v>
      </c>
      <c r="M116" s="12"/>
      <c r="N116" s="9">
        <v>1107.0</v>
      </c>
      <c r="O116" s="11">
        <v>8.0</v>
      </c>
      <c r="P116" s="9" t="s">
        <v>44</v>
      </c>
      <c r="Q116" s="12"/>
      <c r="R116" s="12"/>
      <c r="S116" s="9" t="s">
        <v>47</v>
      </c>
      <c r="T116" s="9" t="s">
        <v>44</v>
      </c>
      <c r="U116" s="9" t="s">
        <v>44</v>
      </c>
      <c r="V116" s="11">
        <v>83.65</v>
      </c>
      <c r="W116" s="11">
        <v>3.0</v>
      </c>
      <c r="X116" s="9" t="s">
        <v>48</v>
      </c>
      <c r="Y116" s="9" t="s">
        <v>235</v>
      </c>
      <c r="Z116" s="12"/>
      <c r="AA116" s="9">
        <v>1305546.0</v>
      </c>
      <c r="AB116" s="12"/>
      <c r="AC116" s="9" t="s">
        <v>50</v>
      </c>
    </row>
    <row r="117">
      <c r="A117" s="9" t="s">
        <v>33</v>
      </c>
      <c r="B117" s="11">
        <v>6.0</v>
      </c>
      <c r="C117" s="9" t="s">
        <v>43</v>
      </c>
      <c r="D117" s="9" t="s">
        <v>55</v>
      </c>
      <c r="E117" s="9" t="s">
        <v>56</v>
      </c>
      <c r="F117" s="9" t="s">
        <v>45</v>
      </c>
      <c r="G117" s="9" t="s">
        <v>46</v>
      </c>
      <c r="H117" s="9" t="s">
        <v>233</v>
      </c>
      <c r="I117" s="11">
        <v>8176732.0</v>
      </c>
      <c r="J117" s="11">
        <v>2.66803339E8</v>
      </c>
      <c r="K117" s="13">
        <v>46304.0</v>
      </c>
      <c r="L117" s="14">
        <v>46317.0</v>
      </c>
      <c r="M117" s="12"/>
      <c r="N117" s="9">
        <v>1107.0</v>
      </c>
      <c r="O117" s="11">
        <v>8.0</v>
      </c>
      <c r="P117" s="9" t="s">
        <v>44</v>
      </c>
      <c r="Q117" s="12"/>
      <c r="R117" s="12"/>
      <c r="S117" s="9" t="s">
        <v>47</v>
      </c>
      <c r="T117" s="9" t="s">
        <v>44</v>
      </c>
      <c r="U117" s="9" t="s">
        <v>44</v>
      </c>
      <c r="V117" s="11">
        <v>75.78</v>
      </c>
      <c r="W117" s="11">
        <v>1.0</v>
      </c>
      <c r="X117" s="9" t="s">
        <v>48</v>
      </c>
      <c r="Y117" s="9" t="s">
        <v>237</v>
      </c>
      <c r="Z117" s="12"/>
      <c r="AA117" s="9">
        <v>1305949.0</v>
      </c>
      <c r="AB117" s="12"/>
      <c r="AC117" s="9" t="s">
        <v>50</v>
      </c>
    </row>
    <row r="118">
      <c r="A118" s="9" t="s">
        <v>33</v>
      </c>
      <c r="B118" s="11">
        <v>6.0</v>
      </c>
      <c r="C118" s="9" t="s">
        <v>43</v>
      </c>
      <c r="D118" s="9" t="s">
        <v>55</v>
      </c>
      <c r="E118" s="9" t="s">
        <v>56</v>
      </c>
      <c r="F118" s="9" t="s">
        <v>45</v>
      </c>
      <c r="G118" s="9" t="s">
        <v>46</v>
      </c>
      <c r="H118" s="9" t="s">
        <v>68</v>
      </c>
      <c r="I118" s="11">
        <v>8177024.0</v>
      </c>
      <c r="J118" s="11">
        <v>2.6680334E8</v>
      </c>
      <c r="K118" s="13">
        <v>46304.0</v>
      </c>
      <c r="L118" s="14">
        <v>46316.0</v>
      </c>
      <c r="M118" s="12"/>
      <c r="N118" s="9">
        <v>71.0</v>
      </c>
      <c r="O118" s="11">
        <v>7.0</v>
      </c>
      <c r="P118" s="9" t="s">
        <v>44</v>
      </c>
      <c r="Q118" s="12"/>
      <c r="R118" s="12"/>
      <c r="S118" s="9" t="s">
        <v>47</v>
      </c>
      <c r="T118" s="9" t="s">
        <v>44</v>
      </c>
      <c r="U118" s="9" t="s">
        <v>44</v>
      </c>
      <c r="V118" s="11">
        <v>68.58</v>
      </c>
      <c r="W118" s="11">
        <v>1.0</v>
      </c>
      <c r="X118" s="9" t="s">
        <v>48</v>
      </c>
      <c r="Y118" s="9" t="s">
        <v>238</v>
      </c>
      <c r="Z118" s="12"/>
      <c r="AA118" s="9">
        <v>1305170.0</v>
      </c>
      <c r="AB118" s="12"/>
      <c r="AC118" s="9" t="s">
        <v>50</v>
      </c>
    </row>
    <row r="119">
      <c r="A119" s="9" t="s">
        <v>33</v>
      </c>
      <c r="B119" s="11">
        <v>6.0</v>
      </c>
      <c r="C119" s="9" t="s">
        <v>43</v>
      </c>
      <c r="D119" s="9" t="s">
        <v>55</v>
      </c>
      <c r="E119" s="9" t="s">
        <v>56</v>
      </c>
      <c r="F119" s="9" t="s">
        <v>45</v>
      </c>
      <c r="G119" s="9" t="s">
        <v>46</v>
      </c>
      <c r="H119" s="9" t="s">
        <v>68</v>
      </c>
      <c r="I119" s="11">
        <v>8176773.0</v>
      </c>
      <c r="J119" s="11">
        <v>2.66803341E8</v>
      </c>
      <c r="K119" s="13">
        <v>46304.0</v>
      </c>
      <c r="L119" s="14">
        <v>46316.0</v>
      </c>
      <c r="M119" s="12"/>
      <c r="N119" s="9">
        <v>71.0</v>
      </c>
      <c r="O119" s="11">
        <v>7.0</v>
      </c>
      <c r="P119" s="9" t="s">
        <v>44</v>
      </c>
      <c r="Q119" s="12"/>
      <c r="R119" s="12"/>
      <c r="S119" s="9" t="s">
        <v>47</v>
      </c>
      <c r="T119" s="9" t="s">
        <v>44</v>
      </c>
      <c r="U119" s="9" t="s">
        <v>44</v>
      </c>
      <c r="V119" s="11">
        <v>68.88</v>
      </c>
      <c r="W119" s="11">
        <v>1.0</v>
      </c>
      <c r="X119" s="9" t="s">
        <v>48</v>
      </c>
      <c r="Y119" s="9" t="s">
        <v>239</v>
      </c>
      <c r="Z119" s="12"/>
      <c r="AA119" s="9">
        <v>1305095.0</v>
      </c>
      <c r="AB119" s="12"/>
      <c r="AC119" s="9" t="s">
        <v>50</v>
      </c>
    </row>
    <row r="120">
      <c r="A120" s="9" t="s">
        <v>33</v>
      </c>
      <c r="B120" s="11">
        <v>6.0</v>
      </c>
      <c r="C120" s="9" t="s">
        <v>43</v>
      </c>
      <c r="D120" s="9" t="s">
        <v>55</v>
      </c>
      <c r="E120" s="9" t="s">
        <v>56</v>
      </c>
      <c r="F120" s="9" t="s">
        <v>45</v>
      </c>
      <c r="G120" s="9" t="s">
        <v>46</v>
      </c>
      <c r="H120" s="9" t="s">
        <v>240</v>
      </c>
      <c r="I120" s="11">
        <v>8176974.0</v>
      </c>
      <c r="J120" s="11">
        <v>2.66803342E8</v>
      </c>
      <c r="K120" s="13">
        <v>46304.0</v>
      </c>
      <c r="L120" s="14">
        <v>46316.0</v>
      </c>
      <c r="M120" s="12"/>
      <c r="N120" s="9">
        <v>101.0</v>
      </c>
      <c r="O120" s="11">
        <v>7.0</v>
      </c>
      <c r="P120" s="9" t="s">
        <v>44</v>
      </c>
      <c r="Q120" s="12"/>
      <c r="R120" s="12"/>
      <c r="S120" s="9" t="s">
        <v>47</v>
      </c>
      <c r="T120" s="9" t="s">
        <v>44</v>
      </c>
      <c r="U120" s="9" t="s">
        <v>44</v>
      </c>
      <c r="V120" s="11">
        <v>58.93</v>
      </c>
      <c r="W120" s="11">
        <v>1.0</v>
      </c>
      <c r="X120" s="9" t="s">
        <v>48</v>
      </c>
      <c r="Y120" s="9" t="s">
        <v>241</v>
      </c>
      <c r="Z120" s="12"/>
      <c r="AA120" s="9">
        <v>1305568.0</v>
      </c>
      <c r="AB120" s="12"/>
      <c r="AC120" s="9" t="s">
        <v>50</v>
      </c>
    </row>
    <row r="121">
      <c r="A121" s="9" t="s">
        <v>33</v>
      </c>
      <c r="B121" s="11">
        <v>6.0</v>
      </c>
      <c r="C121" s="9" t="s">
        <v>43</v>
      </c>
      <c r="D121" s="9" t="s">
        <v>55</v>
      </c>
      <c r="E121" s="9" t="s">
        <v>56</v>
      </c>
      <c r="F121" s="9" t="s">
        <v>45</v>
      </c>
      <c r="G121" s="9" t="s">
        <v>46</v>
      </c>
      <c r="H121" s="9" t="s">
        <v>240</v>
      </c>
      <c r="I121" s="11">
        <v>8176874.0</v>
      </c>
      <c r="J121" s="11">
        <v>2.66803343E8</v>
      </c>
      <c r="K121" s="13">
        <v>46304.0</v>
      </c>
      <c r="L121" s="14">
        <v>46316.0</v>
      </c>
      <c r="M121" s="12"/>
      <c r="N121" s="9">
        <v>103.0</v>
      </c>
      <c r="O121" s="11">
        <v>7.0</v>
      </c>
      <c r="P121" s="9" t="s">
        <v>44</v>
      </c>
      <c r="Q121" s="12"/>
      <c r="R121" s="12"/>
      <c r="S121" s="9" t="s">
        <v>47</v>
      </c>
      <c r="T121" s="9" t="s">
        <v>44</v>
      </c>
      <c r="U121" s="9" t="s">
        <v>44</v>
      </c>
      <c r="V121" s="11">
        <v>58.93</v>
      </c>
      <c r="W121" s="11">
        <v>1.0</v>
      </c>
      <c r="X121" s="9" t="s">
        <v>48</v>
      </c>
      <c r="Y121" s="9" t="s">
        <v>243</v>
      </c>
      <c r="Z121" s="12"/>
      <c r="AA121" s="9">
        <v>1305699.0</v>
      </c>
      <c r="AB121" s="12"/>
      <c r="AC121" s="9" t="s">
        <v>50</v>
      </c>
    </row>
    <row r="122">
      <c r="A122" s="9" t="s">
        <v>33</v>
      </c>
      <c r="B122" s="11">
        <v>6.0</v>
      </c>
      <c r="C122" s="9" t="s">
        <v>43</v>
      </c>
      <c r="D122" s="9" t="s">
        <v>55</v>
      </c>
      <c r="E122" s="9" t="s">
        <v>56</v>
      </c>
      <c r="F122" s="9" t="s">
        <v>45</v>
      </c>
      <c r="G122" s="9" t="s">
        <v>46</v>
      </c>
      <c r="H122" s="9" t="s">
        <v>240</v>
      </c>
      <c r="I122" s="11">
        <v>8176803.0</v>
      </c>
      <c r="J122" s="11">
        <v>2.66803344E8</v>
      </c>
      <c r="K122" s="13">
        <v>46304.0</v>
      </c>
      <c r="L122" s="14">
        <v>46316.0</v>
      </c>
      <c r="M122" s="12"/>
      <c r="N122" s="9">
        <v>107.0</v>
      </c>
      <c r="O122" s="11">
        <v>7.0</v>
      </c>
      <c r="P122" s="9" t="s">
        <v>44</v>
      </c>
      <c r="Q122" s="12"/>
      <c r="R122" s="12"/>
      <c r="S122" s="9" t="s">
        <v>47</v>
      </c>
      <c r="T122" s="9" t="s">
        <v>44</v>
      </c>
      <c r="U122" s="9" t="s">
        <v>44</v>
      </c>
      <c r="V122" s="11">
        <v>58.93</v>
      </c>
      <c r="W122" s="11">
        <v>1.0</v>
      </c>
      <c r="X122" s="9" t="s">
        <v>48</v>
      </c>
      <c r="Y122" s="9" t="s">
        <v>244</v>
      </c>
      <c r="Z122" s="12"/>
      <c r="AA122" s="9">
        <v>1305313.0</v>
      </c>
      <c r="AB122" s="12"/>
      <c r="AC122" s="9" t="s">
        <v>50</v>
      </c>
    </row>
    <row r="123">
      <c r="A123" s="9" t="s">
        <v>33</v>
      </c>
      <c r="B123" s="11">
        <v>6.0</v>
      </c>
      <c r="C123" s="9" t="s">
        <v>43</v>
      </c>
      <c r="D123" s="9" t="s">
        <v>55</v>
      </c>
      <c r="E123" s="9" t="s">
        <v>56</v>
      </c>
      <c r="F123" s="9" t="s">
        <v>45</v>
      </c>
      <c r="G123" s="9" t="s">
        <v>46</v>
      </c>
      <c r="H123" s="9" t="s">
        <v>240</v>
      </c>
      <c r="I123" s="11">
        <v>8176848.0</v>
      </c>
      <c r="J123" s="11">
        <v>2.66803345E8</v>
      </c>
      <c r="K123" s="13">
        <v>46304.0</v>
      </c>
      <c r="L123" s="14">
        <v>46316.0</v>
      </c>
      <c r="M123" s="12"/>
      <c r="N123" s="9">
        <v>107.0</v>
      </c>
      <c r="O123" s="11">
        <v>7.0</v>
      </c>
      <c r="P123" s="9" t="s">
        <v>44</v>
      </c>
      <c r="Q123" s="12"/>
      <c r="R123" s="12"/>
      <c r="S123" s="9" t="s">
        <v>47</v>
      </c>
      <c r="T123" s="9" t="s">
        <v>44</v>
      </c>
      <c r="U123" s="9" t="s">
        <v>44</v>
      </c>
      <c r="V123" s="11">
        <v>58.93</v>
      </c>
      <c r="W123" s="11">
        <v>1.0</v>
      </c>
      <c r="X123" s="9" t="s">
        <v>48</v>
      </c>
      <c r="Y123" s="9" t="s">
        <v>245</v>
      </c>
      <c r="Z123" s="12"/>
      <c r="AA123" s="9">
        <v>1305672.0</v>
      </c>
      <c r="AB123" s="12"/>
      <c r="AC123" s="9" t="s">
        <v>50</v>
      </c>
    </row>
    <row r="124">
      <c r="A124" s="9" t="s">
        <v>33</v>
      </c>
      <c r="B124" s="11">
        <v>6.0</v>
      </c>
      <c r="C124" s="9" t="s">
        <v>43</v>
      </c>
      <c r="D124" s="9" t="s">
        <v>55</v>
      </c>
      <c r="E124" s="9" t="s">
        <v>56</v>
      </c>
      <c r="F124" s="9" t="s">
        <v>45</v>
      </c>
      <c r="G124" s="9" t="s">
        <v>46</v>
      </c>
      <c r="H124" s="9" t="s">
        <v>247</v>
      </c>
      <c r="I124" s="11">
        <v>8176774.0</v>
      </c>
      <c r="J124" s="11">
        <v>2.66803346E8</v>
      </c>
      <c r="K124" s="13">
        <v>46304.0</v>
      </c>
      <c r="L124" s="14">
        <v>46317.0</v>
      </c>
      <c r="M124" s="12"/>
      <c r="N124" s="9">
        <v>3.0</v>
      </c>
      <c r="O124" s="11">
        <v>8.0</v>
      </c>
      <c r="P124" s="9" t="s">
        <v>44</v>
      </c>
      <c r="Q124" s="12"/>
      <c r="R124" s="12"/>
      <c r="S124" s="9" t="s">
        <v>47</v>
      </c>
      <c r="T124" s="9" t="s">
        <v>44</v>
      </c>
      <c r="U124" s="9" t="s">
        <v>44</v>
      </c>
      <c r="V124" s="11">
        <v>52.4</v>
      </c>
      <c r="W124" s="11">
        <v>1.0</v>
      </c>
      <c r="X124" s="9" t="s">
        <v>48</v>
      </c>
      <c r="Y124" s="9" t="s">
        <v>248</v>
      </c>
      <c r="Z124" s="12"/>
      <c r="AA124" s="9">
        <v>1305439.0</v>
      </c>
      <c r="AB124" s="12"/>
      <c r="AC124" s="9" t="s">
        <v>50</v>
      </c>
    </row>
    <row r="125">
      <c r="A125" s="9" t="s">
        <v>33</v>
      </c>
      <c r="B125" s="11">
        <v>6.0</v>
      </c>
      <c r="C125" s="9" t="s">
        <v>43</v>
      </c>
      <c r="D125" s="9" t="s">
        <v>55</v>
      </c>
      <c r="E125" s="9" t="s">
        <v>56</v>
      </c>
      <c r="F125" s="9" t="s">
        <v>45</v>
      </c>
      <c r="G125" s="9" t="s">
        <v>46</v>
      </c>
      <c r="H125" s="9" t="s">
        <v>247</v>
      </c>
      <c r="I125" s="11">
        <v>8177025.0</v>
      </c>
      <c r="J125" s="11">
        <v>2.66803347E8</v>
      </c>
      <c r="K125" s="13">
        <v>46304.0</v>
      </c>
      <c r="L125" s="14">
        <v>46317.0</v>
      </c>
      <c r="M125" s="12"/>
      <c r="N125" s="12"/>
      <c r="O125" s="11">
        <v>8.0</v>
      </c>
      <c r="P125" s="9" t="s">
        <v>44</v>
      </c>
      <c r="Q125" s="12"/>
      <c r="R125" s="9" t="s">
        <v>90</v>
      </c>
      <c r="S125" s="9" t="s">
        <v>47</v>
      </c>
      <c r="T125" s="9" t="s">
        <v>44</v>
      </c>
      <c r="U125" s="9" t="s">
        <v>44</v>
      </c>
      <c r="V125" s="11">
        <v>58.93</v>
      </c>
      <c r="W125" s="11">
        <v>1.0</v>
      </c>
      <c r="X125" s="9" t="s">
        <v>48</v>
      </c>
      <c r="Y125" s="9" t="s">
        <v>249</v>
      </c>
      <c r="Z125" s="12"/>
      <c r="AA125" s="9">
        <v>1304856.0</v>
      </c>
      <c r="AB125" s="12"/>
      <c r="AC125" s="9" t="s">
        <v>50</v>
      </c>
    </row>
    <row r="126">
      <c r="A126" s="9" t="s">
        <v>33</v>
      </c>
      <c r="B126" s="11">
        <v>6.0</v>
      </c>
      <c r="C126" s="9" t="s">
        <v>43</v>
      </c>
      <c r="D126" s="9" t="s">
        <v>55</v>
      </c>
      <c r="E126" s="9" t="s">
        <v>56</v>
      </c>
      <c r="F126" s="9" t="s">
        <v>45</v>
      </c>
      <c r="G126" s="9" t="s">
        <v>46</v>
      </c>
      <c r="H126" s="9" t="s">
        <v>250</v>
      </c>
      <c r="I126" s="11">
        <v>8176975.0</v>
      </c>
      <c r="J126" s="11">
        <v>2.66803348E8</v>
      </c>
      <c r="K126" s="13">
        <v>46304.0</v>
      </c>
      <c r="L126" s="14">
        <v>46321.0</v>
      </c>
      <c r="M126" s="12"/>
      <c r="N126" s="9">
        <v>5.0</v>
      </c>
      <c r="O126" s="11">
        <v>10.0</v>
      </c>
      <c r="P126" s="9" t="s">
        <v>44</v>
      </c>
      <c r="Q126" s="12"/>
      <c r="R126" s="12"/>
      <c r="S126" s="9" t="s">
        <v>47</v>
      </c>
      <c r="T126" s="9" t="s">
        <v>44</v>
      </c>
      <c r="U126" s="9" t="s">
        <v>44</v>
      </c>
      <c r="V126" s="11">
        <v>52.4</v>
      </c>
      <c r="W126" s="11">
        <v>1.0</v>
      </c>
      <c r="X126" s="9" t="s">
        <v>48</v>
      </c>
      <c r="Y126" s="9" t="s">
        <v>251</v>
      </c>
      <c r="Z126" s="12"/>
      <c r="AA126" s="9">
        <v>1305451.0</v>
      </c>
      <c r="AB126" s="12"/>
      <c r="AC126" s="9" t="s">
        <v>50</v>
      </c>
    </row>
    <row r="127">
      <c r="A127" s="9" t="s">
        <v>33</v>
      </c>
      <c r="B127" s="11">
        <v>6.0</v>
      </c>
      <c r="C127" s="9" t="s">
        <v>43</v>
      </c>
      <c r="D127" s="9" t="s">
        <v>55</v>
      </c>
      <c r="E127" s="9" t="s">
        <v>56</v>
      </c>
      <c r="F127" s="9" t="s">
        <v>45</v>
      </c>
      <c r="G127" s="9" t="s">
        <v>46</v>
      </c>
      <c r="H127" s="9" t="s">
        <v>222</v>
      </c>
      <c r="I127" s="11">
        <v>8177026.0</v>
      </c>
      <c r="J127" s="11">
        <v>2.66803349E8</v>
      </c>
      <c r="K127" s="13">
        <v>46304.0</v>
      </c>
      <c r="L127" s="14">
        <v>46316.0</v>
      </c>
      <c r="M127" s="12"/>
      <c r="N127" s="9">
        <v>2708.0</v>
      </c>
      <c r="O127" s="11">
        <v>7.0</v>
      </c>
      <c r="P127" s="9" t="s">
        <v>44</v>
      </c>
      <c r="Q127" s="12"/>
      <c r="R127" s="9" t="s">
        <v>52</v>
      </c>
      <c r="S127" s="9" t="s">
        <v>47</v>
      </c>
      <c r="T127" s="9" t="s">
        <v>44</v>
      </c>
      <c r="U127" s="9" t="s">
        <v>44</v>
      </c>
      <c r="V127" s="11">
        <v>45.49</v>
      </c>
      <c r="W127" s="11">
        <v>1.0</v>
      </c>
      <c r="X127" s="9" t="s">
        <v>48</v>
      </c>
      <c r="Y127" s="9" t="s">
        <v>252</v>
      </c>
      <c r="Z127" s="12"/>
      <c r="AA127" s="9">
        <v>1305080.0</v>
      </c>
      <c r="AB127" s="12"/>
      <c r="AC127" s="9" t="s">
        <v>50</v>
      </c>
    </row>
    <row r="128">
      <c r="A128" s="9" t="s">
        <v>33</v>
      </c>
      <c r="B128" s="11">
        <v>6.0</v>
      </c>
      <c r="C128" s="9" t="s">
        <v>43</v>
      </c>
      <c r="D128" s="9" t="s">
        <v>55</v>
      </c>
      <c r="E128" s="9" t="s">
        <v>56</v>
      </c>
      <c r="F128" s="9" t="s">
        <v>45</v>
      </c>
      <c r="G128" s="9" t="s">
        <v>46</v>
      </c>
      <c r="H128" s="9" t="s">
        <v>253</v>
      </c>
      <c r="I128" s="11">
        <v>8176755.0</v>
      </c>
      <c r="J128" s="11">
        <v>2.6680335E8</v>
      </c>
      <c r="K128" s="13">
        <v>46304.0</v>
      </c>
      <c r="L128" s="14">
        <v>46316.0</v>
      </c>
      <c r="M128" s="12"/>
      <c r="N128" s="9">
        <v>5.0</v>
      </c>
      <c r="O128" s="11">
        <v>7.0</v>
      </c>
      <c r="P128" s="9" t="s">
        <v>44</v>
      </c>
      <c r="Q128" s="12"/>
      <c r="R128" s="12"/>
      <c r="S128" s="9" t="s">
        <v>47</v>
      </c>
      <c r="T128" s="9" t="s">
        <v>44</v>
      </c>
      <c r="U128" s="9" t="s">
        <v>44</v>
      </c>
      <c r="V128" s="11">
        <v>44.77</v>
      </c>
      <c r="W128" s="11">
        <v>2.0</v>
      </c>
      <c r="X128" s="9" t="s">
        <v>48</v>
      </c>
      <c r="Y128" s="9" t="s">
        <v>255</v>
      </c>
      <c r="Z128" s="12"/>
      <c r="AA128" s="9">
        <v>1305978.0</v>
      </c>
      <c r="AB128" s="12"/>
      <c r="AC128" s="9" t="s">
        <v>50</v>
      </c>
    </row>
    <row r="129">
      <c r="A129" s="9" t="s">
        <v>33</v>
      </c>
      <c r="B129" s="11">
        <v>6.0</v>
      </c>
      <c r="C129" s="9" t="s">
        <v>43</v>
      </c>
      <c r="D129" s="9" t="s">
        <v>55</v>
      </c>
      <c r="E129" s="9" t="s">
        <v>56</v>
      </c>
      <c r="F129" s="9" t="s">
        <v>45</v>
      </c>
      <c r="G129" s="9" t="s">
        <v>46</v>
      </c>
      <c r="H129" s="9" t="s">
        <v>253</v>
      </c>
      <c r="I129" s="11">
        <v>8176849.0</v>
      </c>
      <c r="J129" s="11">
        <v>2.66803351E8</v>
      </c>
      <c r="K129" s="13">
        <v>46304.0</v>
      </c>
      <c r="L129" s="14">
        <v>46316.0</v>
      </c>
      <c r="M129" s="12"/>
      <c r="N129" s="9">
        <v>5.0</v>
      </c>
      <c r="O129" s="11">
        <v>7.0</v>
      </c>
      <c r="P129" s="9" t="s">
        <v>44</v>
      </c>
      <c r="Q129" s="12"/>
      <c r="R129" s="12"/>
      <c r="S129" s="9" t="s">
        <v>47</v>
      </c>
      <c r="T129" s="9" t="s">
        <v>44</v>
      </c>
      <c r="U129" s="9" t="s">
        <v>44</v>
      </c>
      <c r="V129" s="11">
        <v>44.77</v>
      </c>
      <c r="W129" s="11">
        <v>1.0</v>
      </c>
      <c r="X129" s="9" t="s">
        <v>48</v>
      </c>
      <c r="Y129" s="9" t="s">
        <v>71</v>
      </c>
      <c r="Z129" s="12"/>
      <c r="AA129" s="9">
        <v>1305609.0</v>
      </c>
      <c r="AB129" s="12"/>
      <c r="AC129" s="9" t="s">
        <v>50</v>
      </c>
    </row>
    <row r="130">
      <c r="A130" s="9" t="s">
        <v>33</v>
      </c>
      <c r="B130" s="11">
        <v>6.0</v>
      </c>
      <c r="C130" s="9" t="s">
        <v>43</v>
      </c>
      <c r="D130" s="9" t="s">
        <v>55</v>
      </c>
      <c r="E130" s="9" t="s">
        <v>56</v>
      </c>
      <c r="F130" s="9" t="s">
        <v>45</v>
      </c>
      <c r="G130" s="9" t="s">
        <v>46</v>
      </c>
      <c r="H130" s="9" t="s">
        <v>253</v>
      </c>
      <c r="I130" s="11">
        <v>8176804.0</v>
      </c>
      <c r="J130" s="11">
        <v>2.66803352E8</v>
      </c>
      <c r="K130" s="13">
        <v>46304.0</v>
      </c>
      <c r="L130" s="14">
        <v>46316.0</v>
      </c>
      <c r="M130" s="12"/>
      <c r="N130" s="9">
        <v>6.0</v>
      </c>
      <c r="O130" s="11">
        <v>7.0</v>
      </c>
      <c r="P130" s="9" t="s">
        <v>44</v>
      </c>
      <c r="Q130" s="12"/>
      <c r="R130" s="12"/>
      <c r="S130" s="9" t="s">
        <v>47</v>
      </c>
      <c r="T130" s="9" t="s">
        <v>44</v>
      </c>
      <c r="U130" s="9" t="s">
        <v>44</v>
      </c>
      <c r="V130" s="11">
        <v>44.77</v>
      </c>
      <c r="W130" s="11">
        <v>1.0</v>
      </c>
      <c r="X130" s="9" t="s">
        <v>48</v>
      </c>
      <c r="Y130" s="9" t="s">
        <v>256</v>
      </c>
      <c r="Z130" s="12"/>
      <c r="AA130" s="9">
        <v>1305402.0</v>
      </c>
      <c r="AB130" s="12"/>
      <c r="AC130" s="9" t="s">
        <v>50</v>
      </c>
    </row>
    <row r="131">
      <c r="A131" s="9" t="s">
        <v>33</v>
      </c>
      <c r="B131" s="11">
        <v>6.0</v>
      </c>
      <c r="C131" s="9" t="s">
        <v>43</v>
      </c>
      <c r="D131" s="9" t="s">
        <v>55</v>
      </c>
      <c r="E131" s="9" t="s">
        <v>56</v>
      </c>
      <c r="F131" s="9" t="s">
        <v>45</v>
      </c>
      <c r="G131" s="9" t="s">
        <v>46</v>
      </c>
      <c r="H131" s="9" t="s">
        <v>253</v>
      </c>
      <c r="I131" s="11">
        <v>8176901.0</v>
      </c>
      <c r="J131" s="11">
        <v>2.66803353E8</v>
      </c>
      <c r="K131" s="13">
        <v>46304.0</v>
      </c>
      <c r="L131" s="14">
        <v>46316.0</v>
      </c>
      <c r="M131" s="12"/>
      <c r="N131" s="9">
        <v>6.0</v>
      </c>
      <c r="O131" s="11">
        <v>7.0</v>
      </c>
      <c r="P131" s="9" t="s">
        <v>44</v>
      </c>
      <c r="Q131" s="12"/>
      <c r="R131" s="12"/>
      <c r="S131" s="9" t="s">
        <v>47</v>
      </c>
      <c r="T131" s="9" t="s">
        <v>44</v>
      </c>
      <c r="U131" s="9" t="s">
        <v>44</v>
      </c>
      <c r="V131" s="11">
        <v>44.77</v>
      </c>
      <c r="W131" s="11">
        <v>1.0</v>
      </c>
      <c r="X131" s="9" t="s">
        <v>48</v>
      </c>
      <c r="Y131" s="9" t="s">
        <v>257</v>
      </c>
      <c r="Z131" s="12"/>
      <c r="AA131" s="9">
        <v>1305397.0</v>
      </c>
      <c r="AB131" s="12"/>
      <c r="AC131" s="9" t="s">
        <v>50</v>
      </c>
    </row>
    <row r="132">
      <c r="A132" s="9" t="s">
        <v>33</v>
      </c>
      <c r="B132" s="11">
        <v>6.0</v>
      </c>
      <c r="C132" s="9" t="s">
        <v>43</v>
      </c>
      <c r="D132" s="9" t="s">
        <v>55</v>
      </c>
      <c r="E132" s="9" t="s">
        <v>56</v>
      </c>
      <c r="F132" s="9" t="s">
        <v>45</v>
      </c>
      <c r="G132" s="9" t="s">
        <v>46</v>
      </c>
      <c r="H132" s="9" t="s">
        <v>253</v>
      </c>
      <c r="I132" s="11">
        <v>8176805.0</v>
      </c>
      <c r="J132" s="11">
        <v>2.66803354E8</v>
      </c>
      <c r="K132" s="13">
        <v>46304.0</v>
      </c>
      <c r="L132" s="14">
        <v>46316.0</v>
      </c>
      <c r="M132" s="12"/>
      <c r="N132" s="9">
        <v>14.0</v>
      </c>
      <c r="O132" s="11">
        <v>7.0</v>
      </c>
      <c r="P132" s="9" t="s">
        <v>44</v>
      </c>
      <c r="Q132" s="12"/>
      <c r="R132" s="12"/>
      <c r="S132" s="9" t="s">
        <v>47</v>
      </c>
      <c r="T132" s="9" t="s">
        <v>44</v>
      </c>
      <c r="U132" s="9" t="s">
        <v>44</v>
      </c>
      <c r="V132" s="11">
        <v>44.77</v>
      </c>
      <c r="W132" s="11">
        <v>1.0</v>
      </c>
      <c r="X132" s="9" t="s">
        <v>48</v>
      </c>
      <c r="Y132" s="9" t="s">
        <v>258</v>
      </c>
      <c r="Z132" s="12"/>
      <c r="AA132" s="9">
        <v>1305066.0</v>
      </c>
      <c r="AB132" s="12"/>
      <c r="AC132" s="9" t="s">
        <v>50</v>
      </c>
    </row>
    <row r="133">
      <c r="A133" s="9" t="s">
        <v>33</v>
      </c>
      <c r="B133" s="11">
        <v>6.0</v>
      </c>
      <c r="C133" s="9" t="s">
        <v>43</v>
      </c>
      <c r="D133" s="9" t="s">
        <v>55</v>
      </c>
      <c r="E133" s="9" t="s">
        <v>56</v>
      </c>
      <c r="F133" s="9" t="s">
        <v>45</v>
      </c>
      <c r="G133" s="9" t="s">
        <v>46</v>
      </c>
      <c r="H133" s="9" t="s">
        <v>259</v>
      </c>
      <c r="I133" s="11">
        <v>8176775.0</v>
      </c>
      <c r="J133" s="11">
        <v>2.66803355E8</v>
      </c>
      <c r="K133" s="13">
        <v>46304.0</v>
      </c>
      <c r="L133" s="14">
        <v>46316.0</v>
      </c>
      <c r="M133" s="12"/>
      <c r="N133" s="9">
        <v>301.0</v>
      </c>
      <c r="O133" s="11">
        <v>7.0</v>
      </c>
      <c r="P133" s="9" t="s">
        <v>44</v>
      </c>
      <c r="Q133" s="12"/>
      <c r="R133" s="12"/>
      <c r="S133" s="9" t="s">
        <v>47</v>
      </c>
      <c r="T133" s="9" t="s">
        <v>44</v>
      </c>
      <c r="U133" s="9" t="s">
        <v>44</v>
      </c>
      <c r="V133" s="11">
        <v>44.77</v>
      </c>
      <c r="W133" s="11">
        <v>1.0</v>
      </c>
      <c r="X133" s="9" t="s">
        <v>48</v>
      </c>
      <c r="Y133" s="9" t="s">
        <v>260</v>
      </c>
      <c r="Z133" s="12"/>
      <c r="AA133" s="9">
        <v>1305243.0</v>
      </c>
      <c r="AB133" s="12"/>
      <c r="AC133" s="9" t="s">
        <v>50</v>
      </c>
    </row>
    <row r="134">
      <c r="A134" s="9" t="s">
        <v>33</v>
      </c>
      <c r="B134" s="11">
        <v>6.0</v>
      </c>
      <c r="C134" s="9" t="s">
        <v>43</v>
      </c>
      <c r="D134" s="9" t="s">
        <v>55</v>
      </c>
      <c r="E134" s="9" t="s">
        <v>56</v>
      </c>
      <c r="F134" s="9" t="s">
        <v>45</v>
      </c>
      <c r="G134" s="9" t="s">
        <v>46</v>
      </c>
      <c r="H134" s="9" t="s">
        <v>261</v>
      </c>
      <c r="I134" s="11">
        <v>8176710.0</v>
      </c>
      <c r="J134" s="11">
        <v>2.66803356E8</v>
      </c>
      <c r="K134" s="13">
        <v>46304.0</v>
      </c>
      <c r="L134" s="14">
        <v>46321.0</v>
      </c>
      <c r="M134" s="12"/>
      <c r="N134" s="9">
        <v>108.0</v>
      </c>
      <c r="O134" s="11">
        <v>10.0</v>
      </c>
      <c r="P134" s="9" t="s">
        <v>44</v>
      </c>
      <c r="Q134" s="12"/>
      <c r="R134" s="12"/>
      <c r="S134" s="9" t="s">
        <v>47</v>
      </c>
      <c r="T134" s="9" t="s">
        <v>44</v>
      </c>
      <c r="U134" s="9" t="s">
        <v>44</v>
      </c>
      <c r="V134" s="11">
        <v>50.14</v>
      </c>
      <c r="W134" s="11">
        <v>1.0</v>
      </c>
      <c r="X134" s="9" t="s">
        <v>48</v>
      </c>
      <c r="Y134" s="9" t="s">
        <v>262</v>
      </c>
      <c r="Z134" s="12"/>
      <c r="AA134" s="9">
        <v>1305851.0</v>
      </c>
      <c r="AB134" s="12"/>
      <c r="AC134" s="9" t="s">
        <v>50</v>
      </c>
    </row>
    <row r="135">
      <c r="A135" s="9" t="s">
        <v>33</v>
      </c>
      <c r="B135" s="11">
        <v>6.0</v>
      </c>
      <c r="C135" s="9" t="s">
        <v>43</v>
      </c>
      <c r="D135" s="9" t="s">
        <v>55</v>
      </c>
      <c r="E135" s="9" t="s">
        <v>56</v>
      </c>
      <c r="F135" s="9" t="s">
        <v>45</v>
      </c>
      <c r="G135" s="9" t="s">
        <v>46</v>
      </c>
      <c r="H135" s="9" t="s">
        <v>261</v>
      </c>
      <c r="I135" s="11">
        <v>8176806.0</v>
      </c>
      <c r="J135" s="11">
        <v>2.66803357E8</v>
      </c>
      <c r="K135" s="13">
        <v>46304.0</v>
      </c>
      <c r="L135" s="14">
        <v>46318.0</v>
      </c>
      <c r="M135" s="12"/>
      <c r="N135" s="9">
        <v>101.0</v>
      </c>
      <c r="O135" s="11">
        <v>9.0</v>
      </c>
      <c r="P135" s="9" t="s">
        <v>44</v>
      </c>
      <c r="Q135" s="12"/>
      <c r="R135" s="12"/>
      <c r="S135" s="9" t="s">
        <v>47</v>
      </c>
      <c r="T135" s="9" t="s">
        <v>44</v>
      </c>
      <c r="U135" s="9" t="s">
        <v>44</v>
      </c>
      <c r="V135" s="11">
        <v>50.14</v>
      </c>
      <c r="W135" s="11">
        <v>1.0</v>
      </c>
      <c r="X135" s="9" t="s">
        <v>48</v>
      </c>
      <c r="Y135" s="9" t="s">
        <v>263</v>
      </c>
      <c r="Z135" s="12"/>
      <c r="AA135" s="9">
        <v>1305525.0</v>
      </c>
      <c r="AB135" s="12"/>
      <c r="AC135" s="9" t="s">
        <v>50</v>
      </c>
    </row>
    <row r="136">
      <c r="A136" s="9" t="s">
        <v>33</v>
      </c>
      <c r="B136" s="11">
        <v>6.0</v>
      </c>
      <c r="C136" s="9" t="s">
        <v>43</v>
      </c>
      <c r="D136" s="9" t="s">
        <v>55</v>
      </c>
      <c r="E136" s="9" t="s">
        <v>56</v>
      </c>
      <c r="F136" s="9" t="s">
        <v>45</v>
      </c>
      <c r="G136" s="9" t="s">
        <v>46</v>
      </c>
      <c r="H136" s="9" t="s">
        <v>264</v>
      </c>
      <c r="I136" s="11">
        <v>8176935.0</v>
      </c>
      <c r="J136" s="11">
        <v>2.66803358E8</v>
      </c>
      <c r="K136" s="13">
        <v>46304.0</v>
      </c>
      <c r="L136" s="14">
        <v>46321.0</v>
      </c>
      <c r="M136" s="12"/>
      <c r="N136" s="9">
        <v>101.0</v>
      </c>
      <c r="O136" s="11">
        <v>10.0</v>
      </c>
      <c r="P136" s="9" t="s">
        <v>44</v>
      </c>
      <c r="Q136" s="12"/>
      <c r="R136" s="12"/>
      <c r="S136" s="9" t="s">
        <v>47</v>
      </c>
      <c r="T136" s="9" t="s">
        <v>44</v>
      </c>
      <c r="U136" s="9" t="s">
        <v>44</v>
      </c>
      <c r="V136" s="11">
        <v>50.14</v>
      </c>
      <c r="W136" s="11">
        <v>1.0</v>
      </c>
      <c r="X136" s="9" t="s">
        <v>48</v>
      </c>
      <c r="Y136" s="9" t="s">
        <v>265</v>
      </c>
      <c r="Z136" s="12"/>
      <c r="AA136" s="9">
        <v>1305265.0</v>
      </c>
      <c r="AB136" s="12"/>
      <c r="AC136" s="9" t="s">
        <v>50</v>
      </c>
    </row>
    <row r="137">
      <c r="A137" s="9" t="s">
        <v>33</v>
      </c>
      <c r="B137" s="11">
        <v>6.0</v>
      </c>
      <c r="C137" s="9" t="s">
        <v>43</v>
      </c>
      <c r="D137" s="9" t="s">
        <v>55</v>
      </c>
      <c r="E137" s="9" t="s">
        <v>56</v>
      </c>
      <c r="F137" s="9" t="s">
        <v>45</v>
      </c>
      <c r="G137" s="9" t="s">
        <v>46</v>
      </c>
      <c r="H137" s="9" t="s">
        <v>264</v>
      </c>
      <c r="I137" s="11">
        <v>8176976.0</v>
      </c>
      <c r="J137" s="11">
        <v>2.66803359E8</v>
      </c>
      <c r="K137" s="13">
        <v>46304.0</v>
      </c>
      <c r="L137" s="14">
        <v>46322.0</v>
      </c>
      <c r="M137" s="12"/>
      <c r="N137" s="9">
        <v>105.0</v>
      </c>
      <c r="O137" s="11">
        <v>11.0</v>
      </c>
      <c r="P137" s="9" t="s">
        <v>44</v>
      </c>
      <c r="Q137" s="12"/>
      <c r="R137" s="12"/>
      <c r="S137" s="9" t="s">
        <v>47</v>
      </c>
      <c r="T137" s="9" t="s">
        <v>44</v>
      </c>
      <c r="U137" s="9" t="s">
        <v>44</v>
      </c>
      <c r="V137" s="11">
        <v>50.14</v>
      </c>
      <c r="W137" s="11">
        <v>1.0</v>
      </c>
      <c r="X137" s="9" t="s">
        <v>48</v>
      </c>
      <c r="Y137" s="9" t="s">
        <v>266</v>
      </c>
      <c r="Z137" s="12"/>
      <c r="AA137" s="9">
        <v>1305496.0</v>
      </c>
      <c r="AB137" s="12"/>
      <c r="AC137" s="9" t="s">
        <v>50</v>
      </c>
    </row>
    <row r="138">
      <c r="A138" s="9" t="s">
        <v>33</v>
      </c>
      <c r="B138" s="11">
        <v>6.0</v>
      </c>
      <c r="C138" s="9" t="s">
        <v>43</v>
      </c>
      <c r="D138" s="9" t="s">
        <v>55</v>
      </c>
      <c r="E138" s="9" t="s">
        <v>56</v>
      </c>
      <c r="F138" s="9" t="s">
        <v>45</v>
      </c>
      <c r="G138" s="9" t="s">
        <v>46</v>
      </c>
      <c r="H138" s="9" t="s">
        <v>264</v>
      </c>
      <c r="I138" s="11">
        <v>8176902.0</v>
      </c>
      <c r="J138" s="11">
        <v>2.6680336E8</v>
      </c>
      <c r="K138" s="13">
        <v>46304.0</v>
      </c>
      <c r="L138" s="14">
        <v>46322.0</v>
      </c>
      <c r="M138" s="12"/>
      <c r="N138" s="9">
        <v>105.0</v>
      </c>
      <c r="O138" s="11">
        <v>11.0</v>
      </c>
      <c r="P138" s="9" t="s">
        <v>44</v>
      </c>
      <c r="Q138" s="12"/>
      <c r="R138" s="12"/>
      <c r="S138" s="9" t="s">
        <v>47</v>
      </c>
      <c r="T138" s="9" t="s">
        <v>44</v>
      </c>
      <c r="U138" s="9" t="s">
        <v>44</v>
      </c>
      <c r="V138" s="11">
        <v>50.14</v>
      </c>
      <c r="W138" s="11">
        <v>1.0</v>
      </c>
      <c r="X138" s="9" t="s">
        <v>48</v>
      </c>
      <c r="Y138" s="9" t="s">
        <v>267</v>
      </c>
      <c r="Z138" s="12"/>
      <c r="AA138" s="9">
        <v>1305445.0</v>
      </c>
      <c r="AB138" s="12"/>
      <c r="AC138" s="9" t="s">
        <v>50</v>
      </c>
    </row>
    <row r="139">
      <c r="A139" s="9" t="s">
        <v>33</v>
      </c>
      <c r="B139" s="11">
        <v>6.0</v>
      </c>
      <c r="C139" s="9" t="s">
        <v>43</v>
      </c>
      <c r="D139" s="9" t="s">
        <v>55</v>
      </c>
      <c r="E139" s="9" t="s">
        <v>56</v>
      </c>
      <c r="F139" s="9" t="s">
        <v>45</v>
      </c>
      <c r="G139" s="9" t="s">
        <v>46</v>
      </c>
      <c r="H139" s="9" t="s">
        <v>264</v>
      </c>
      <c r="I139" s="11">
        <v>8176875.0</v>
      </c>
      <c r="J139" s="11">
        <v>2.66803361E8</v>
      </c>
      <c r="K139" s="13">
        <v>46304.0</v>
      </c>
      <c r="L139" s="14">
        <v>46322.0</v>
      </c>
      <c r="M139" s="12"/>
      <c r="N139" s="9">
        <v>1091.0</v>
      </c>
      <c r="O139" s="11">
        <v>11.0</v>
      </c>
      <c r="P139" s="9" t="s">
        <v>44</v>
      </c>
      <c r="Q139" s="12"/>
      <c r="R139" s="12"/>
      <c r="S139" s="9" t="s">
        <v>47</v>
      </c>
      <c r="T139" s="9" t="s">
        <v>44</v>
      </c>
      <c r="U139" s="9" t="s">
        <v>44</v>
      </c>
      <c r="V139" s="11">
        <v>50.14</v>
      </c>
      <c r="W139" s="11">
        <v>1.0</v>
      </c>
      <c r="X139" s="9" t="s">
        <v>48</v>
      </c>
      <c r="Y139" s="9" t="s">
        <v>268</v>
      </c>
      <c r="Z139" s="12"/>
      <c r="AA139" s="9">
        <v>1305407.0</v>
      </c>
      <c r="AB139" s="12"/>
      <c r="AC139" s="9" t="s">
        <v>50</v>
      </c>
    </row>
    <row r="140">
      <c r="A140" s="9" t="s">
        <v>33</v>
      </c>
      <c r="B140" s="11">
        <v>6.0</v>
      </c>
      <c r="C140" s="9" t="s">
        <v>43</v>
      </c>
      <c r="D140" s="9" t="s">
        <v>55</v>
      </c>
      <c r="E140" s="9" t="s">
        <v>56</v>
      </c>
      <c r="F140" s="9" t="s">
        <v>45</v>
      </c>
      <c r="G140" s="9" t="s">
        <v>46</v>
      </c>
      <c r="H140" s="9" t="s">
        <v>264</v>
      </c>
      <c r="I140" s="11">
        <v>8176776.0</v>
      </c>
      <c r="J140" s="11">
        <v>2.66803362E8</v>
      </c>
      <c r="K140" s="13">
        <v>46304.0</v>
      </c>
      <c r="L140" s="14">
        <v>46322.0</v>
      </c>
      <c r="M140" s="12"/>
      <c r="N140" s="9">
        <v>1091.0</v>
      </c>
      <c r="O140" s="11">
        <v>11.0</v>
      </c>
      <c r="P140" s="9" t="s">
        <v>44</v>
      </c>
      <c r="Q140" s="12"/>
      <c r="R140" s="12"/>
      <c r="S140" s="9" t="s">
        <v>47</v>
      </c>
      <c r="T140" s="9" t="s">
        <v>44</v>
      </c>
      <c r="U140" s="9" t="s">
        <v>44</v>
      </c>
      <c r="V140" s="11">
        <v>50.14</v>
      </c>
      <c r="W140" s="11">
        <v>1.0</v>
      </c>
      <c r="X140" s="9" t="s">
        <v>48</v>
      </c>
      <c r="Y140" s="9" t="s">
        <v>269</v>
      </c>
      <c r="Z140" s="12"/>
      <c r="AA140" s="9">
        <v>1305693.0</v>
      </c>
      <c r="AB140" s="12"/>
      <c r="AC140" s="9" t="s">
        <v>50</v>
      </c>
    </row>
    <row r="141">
      <c r="A141" s="9" t="s">
        <v>33</v>
      </c>
      <c r="B141" s="11">
        <v>6.0</v>
      </c>
      <c r="C141" s="9" t="s">
        <v>43</v>
      </c>
      <c r="D141" s="9" t="s">
        <v>55</v>
      </c>
      <c r="E141" s="9" t="s">
        <v>56</v>
      </c>
      <c r="F141" s="9" t="s">
        <v>45</v>
      </c>
      <c r="G141" s="9" t="s">
        <v>46</v>
      </c>
      <c r="H141" s="9" t="s">
        <v>72</v>
      </c>
      <c r="I141" s="11">
        <v>8176733.0</v>
      </c>
      <c r="J141" s="11">
        <v>2.66803363E8</v>
      </c>
      <c r="K141" s="13">
        <v>46304.0</v>
      </c>
      <c r="L141" s="14">
        <v>46317.0</v>
      </c>
      <c r="M141" s="12"/>
      <c r="N141" s="9">
        <v>115.0</v>
      </c>
      <c r="O141" s="11">
        <v>8.0</v>
      </c>
      <c r="P141" s="9" t="s">
        <v>44</v>
      </c>
      <c r="Q141" s="12"/>
      <c r="R141" s="12"/>
      <c r="S141" s="9" t="s">
        <v>47</v>
      </c>
      <c r="T141" s="9" t="s">
        <v>44</v>
      </c>
      <c r="U141" s="9" t="s">
        <v>44</v>
      </c>
      <c r="V141" s="11">
        <v>51.62</v>
      </c>
      <c r="W141" s="11">
        <v>1.0</v>
      </c>
      <c r="X141" s="9" t="s">
        <v>48</v>
      </c>
      <c r="Y141" s="9" t="s">
        <v>270</v>
      </c>
      <c r="Z141" s="12"/>
      <c r="AA141" s="9">
        <v>1305678.0</v>
      </c>
      <c r="AB141" s="12"/>
      <c r="AC141" s="9" t="s">
        <v>50</v>
      </c>
    </row>
    <row r="142">
      <c r="A142" s="9" t="s">
        <v>33</v>
      </c>
      <c r="B142" s="11">
        <v>6.0</v>
      </c>
      <c r="C142" s="9" t="s">
        <v>43</v>
      </c>
      <c r="D142" s="9" t="s">
        <v>55</v>
      </c>
      <c r="E142" s="9" t="s">
        <v>56</v>
      </c>
      <c r="F142" s="9" t="s">
        <v>45</v>
      </c>
      <c r="G142" s="9" t="s">
        <v>46</v>
      </c>
      <c r="H142" s="9" t="s">
        <v>72</v>
      </c>
      <c r="I142" s="11">
        <v>8176749.0</v>
      </c>
      <c r="J142" s="11">
        <v>2.66803364E8</v>
      </c>
      <c r="K142" s="13">
        <v>46304.0</v>
      </c>
      <c r="L142" s="14">
        <v>46317.0</v>
      </c>
      <c r="M142" s="12"/>
      <c r="N142" s="9">
        <v>128.0</v>
      </c>
      <c r="O142" s="11">
        <v>8.0</v>
      </c>
      <c r="P142" s="9" t="s">
        <v>44</v>
      </c>
      <c r="Q142" s="12"/>
      <c r="R142" s="12"/>
      <c r="S142" s="9" t="s">
        <v>47</v>
      </c>
      <c r="T142" s="9" t="s">
        <v>44</v>
      </c>
      <c r="U142" s="9" t="s">
        <v>44</v>
      </c>
      <c r="V142" s="11">
        <v>51.62</v>
      </c>
      <c r="W142" s="11">
        <v>2.0</v>
      </c>
      <c r="X142" s="9" t="s">
        <v>48</v>
      </c>
      <c r="Y142" s="9" t="s">
        <v>271</v>
      </c>
      <c r="Z142" s="12"/>
      <c r="AA142" s="9">
        <v>1305580.0</v>
      </c>
      <c r="AB142" s="12"/>
      <c r="AC142" s="9" t="s">
        <v>50</v>
      </c>
    </row>
    <row r="143">
      <c r="A143" s="9" t="s">
        <v>33</v>
      </c>
      <c r="B143" s="11">
        <v>6.0</v>
      </c>
      <c r="C143" s="9" t="s">
        <v>43</v>
      </c>
      <c r="D143" s="9" t="s">
        <v>55</v>
      </c>
      <c r="E143" s="9" t="s">
        <v>56</v>
      </c>
      <c r="F143" s="9" t="s">
        <v>45</v>
      </c>
      <c r="G143" s="9" t="s">
        <v>46</v>
      </c>
      <c r="H143" s="9" t="s">
        <v>72</v>
      </c>
      <c r="I143" s="11">
        <v>8176876.0</v>
      </c>
      <c r="J143" s="11">
        <v>2.66803365E8</v>
      </c>
      <c r="K143" s="13">
        <v>46304.0</v>
      </c>
      <c r="L143" s="14">
        <v>46317.0</v>
      </c>
      <c r="M143" s="12"/>
      <c r="N143" s="9">
        <v>128.0</v>
      </c>
      <c r="O143" s="11">
        <v>8.0</v>
      </c>
      <c r="P143" s="9" t="s">
        <v>44</v>
      </c>
      <c r="Q143" s="12"/>
      <c r="R143" s="12"/>
      <c r="S143" s="9" t="s">
        <v>47</v>
      </c>
      <c r="T143" s="9" t="s">
        <v>44</v>
      </c>
      <c r="U143" s="9" t="s">
        <v>44</v>
      </c>
      <c r="V143" s="11">
        <v>51.62</v>
      </c>
      <c r="W143" s="11">
        <v>1.0</v>
      </c>
      <c r="X143" s="9" t="s">
        <v>48</v>
      </c>
      <c r="Y143" s="9" t="s">
        <v>272</v>
      </c>
      <c r="Z143" s="12"/>
      <c r="AA143" s="9">
        <v>1305682.0</v>
      </c>
      <c r="AB143" s="12"/>
      <c r="AC143" s="9" t="s">
        <v>50</v>
      </c>
    </row>
    <row r="144">
      <c r="A144" s="9" t="s">
        <v>33</v>
      </c>
      <c r="B144" s="11">
        <v>6.0</v>
      </c>
      <c r="C144" s="9" t="s">
        <v>43</v>
      </c>
      <c r="D144" s="9" t="s">
        <v>55</v>
      </c>
      <c r="E144" s="9" t="s">
        <v>56</v>
      </c>
      <c r="F144" s="9" t="s">
        <v>45</v>
      </c>
      <c r="G144" s="9" t="s">
        <v>46</v>
      </c>
      <c r="H144" s="9" t="s">
        <v>222</v>
      </c>
      <c r="I144" s="11">
        <v>8176977.0</v>
      </c>
      <c r="J144" s="11">
        <v>2.66803366E8</v>
      </c>
      <c r="K144" s="13">
        <v>46304.0</v>
      </c>
      <c r="L144" s="14">
        <v>46316.0</v>
      </c>
      <c r="M144" s="12"/>
      <c r="N144" s="9">
        <v>2330.0</v>
      </c>
      <c r="O144" s="11">
        <v>7.0</v>
      </c>
      <c r="P144" s="9" t="s">
        <v>44</v>
      </c>
      <c r="Q144" s="12"/>
      <c r="R144" s="9" t="s">
        <v>52</v>
      </c>
      <c r="S144" s="9" t="s">
        <v>47</v>
      </c>
      <c r="T144" s="9" t="s">
        <v>44</v>
      </c>
      <c r="U144" s="9" t="s">
        <v>44</v>
      </c>
      <c r="V144" s="11">
        <v>45.49</v>
      </c>
      <c r="W144" s="11">
        <v>1.0</v>
      </c>
      <c r="X144" s="9" t="s">
        <v>48</v>
      </c>
      <c r="Y144" s="9" t="s">
        <v>273</v>
      </c>
      <c r="Z144" s="12"/>
      <c r="AA144" s="9">
        <v>1305365.0</v>
      </c>
      <c r="AB144" s="12"/>
      <c r="AC144" s="9" t="s">
        <v>50</v>
      </c>
    </row>
    <row r="145">
      <c r="A145" s="9" t="s">
        <v>33</v>
      </c>
      <c r="B145" s="11">
        <v>6.0</v>
      </c>
      <c r="C145" s="9" t="s">
        <v>43</v>
      </c>
      <c r="D145" s="9" t="s">
        <v>55</v>
      </c>
      <c r="E145" s="9" t="s">
        <v>56</v>
      </c>
      <c r="F145" s="9" t="s">
        <v>45</v>
      </c>
      <c r="G145" s="9" t="s">
        <v>46</v>
      </c>
      <c r="H145" s="9" t="s">
        <v>72</v>
      </c>
      <c r="I145" s="11">
        <v>8176777.0</v>
      </c>
      <c r="J145" s="11">
        <v>2.66803367E8</v>
      </c>
      <c r="K145" s="13">
        <v>46304.0</v>
      </c>
      <c r="L145" s="14">
        <v>46317.0</v>
      </c>
      <c r="M145" s="12"/>
      <c r="N145" s="9">
        <v>122.0</v>
      </c>
      <c r="O145" s="11">
        <v>8.0</v>
      </c>
      <c r="P145" s="9" t="s">
        <v>44</v>
      </c>
      <c r="Q145" s="12"/>
      <c r="R145" s="12"/>
      <c r="S145" s="9" t="s">
        <v>47</v>
      </c>
      <c r="T145" s="9" t="s">
        <v>44</v>
      </c>
      <c r="U145" s="9" t="s">
        <v>44</v>
      </c>
      <c r="V145" s="11">
        <v>51.62</v>
      </c>
      <c r="W145" s="11">
        <v>1.0</v>
      </c>
      <c r="X145" s="9" t="s">
        <v>48</v>
      </c>
      <c r="Y145" s="9" t="s">
        <v>274</v>
      </c>
      <c r="Z145" s="12"/>
      <c r="AA145" s="9">
        <v>1305006.0</v>
      </c>
      <c r="AB145" s="12"/>
      <c r="AC145" s="9" t="s">
        <v>50</v>
      </c>
    </row>
    <row r="146">
      <c r="A146" s="9" t="s">
        <v>33</v>
      </c>
      <c r="B146" s="11">
        <v>6.0</v>
      </c>
      <c r="C146" s="9" t="s">
        <v>43</v>
      </c>
      <c r="D146" s="9" t="s">
        <v>55</v>
      </c>
      <c r="E146" s="9" t="s">
        <v>56</v>
      </c>
      <c r="F146" s="9" t="s">
        <v>45</v>
      </c>
      <c r="G146" s="9" t="s">
        <v>46</v>
      </c>
      <c r="H146" s="9" t="s">
        <v>72</v>
      </c>
      <c r="I146" s="11">
        <v>8176734.0</v>
      </c>
      <c r="J146" s="11">
        <v>2.66803368E8</v>
      </c>
      <c r="K146" s="13">
        <v>46304.0</v>
      </c>
      <c r="L146" s="14">
        <v>46318.0</v>
      </c>
      <c r="M146" s="12"/>
      <c r="N146" s="9">
        <v>127.0</v>
      </c>
      <c r="O146" s="11">
        <v>9.0</v>
      </c>
      <c r="P146" s="9" t="s">
        <v>44</v>
      </c>
      <c r="Q146" s="12"/>
      <c r="R146" s="12"/>
      <c r="S146" s="9" t="s">
        <v>47</v>
      </c>
      <c r="T146" s="9" t="s">
        <v>44</v>
      </c>
      <c r="U146" s="9" t="s">
        <v>44</v>
      </c>
      <c r="V146" s="11">
        <v>51.62</v>
      </c>
      <c r="W146" s="11">
        <v>1.0</v>
      </c>
      <c r="X146" s="9" t="s">
        <v>48</v>
      </c>
      <c r="Y146" s="9" t="s">
        <v>73</v>
      </c>
      <c r="Z146" s="12"/>
      <c r="AA146" s="9">
        <v>1305958.0</v>
      </c>
      <c r="AB146" s="12"/>
      <c r="AC146" s="9" t="s">
        <v>50</v>
      </c>
    </row>
    <row r="147">
      <c r="A147" s="9" t="s">
        <v>33</v>
      </c>
      <c r="B147" s="11">
        <v>6.0</v>
      </c>
      <c r="C147" s="9" t="s">
        <v>43</v>
      </c>
      <c r="D147" s="9" t="s">
        <v>55</v>
      </c>
      <c r="E147" s="9" t="s">
        <v>56</v>
      </c>
      <c r="F147" s="9" t="s">
        <v>45</v>
      </c>
      <c r="G147" s="9" t="s">
        <v>46</v>
      </c>
      <c r="H147" s="9" t="s">
        <v>275</v>
      </c>
      <c r="I147" s="11">
        <v>8177027.0</v>
      </c>
      <c r="J147" s="11">
        <v>2.66803369E8</v>
      </c>
      <c r="K147" s="13">
        <v>46304.0</v>
      </c>
      <c r="L147" s="14">
        <v>46318.0</v>
      </c>
      <c r="M147" s="12"/>
      <c r="N147" s="9">
        <v>1.0</v>
      </c>
      <c r="O147" s="11">
        <v>9.0</v>
      </c>
      <c r="P147" s="9" t="s">
        <v>44</v>
      </c>
      <c r="Q147" s="12"/>
      <c r="R147" s="12"/>
      <c r="S147" s="9" t="s">
        <v>47</v>
      </c>
      <c r="T147" s="9" t="s">
        <v>44</v>
      </c>
      <c r="U147" s="9" t="s">
        <v>44</v>
      </c>
      <c r="V147" s="11">
        <v>44.59</v>
      </c>
      <c r="W147" s="11">
        <v>1.0</v>
      </c>
      <c r="X147" s="9" t="s">
        <v>48</v>
      </c>
      <c r="Y147" s="9" t="s">
        <v>276</v>
      </c>
      <c r="Z147" s="12"/>
      <c r="AA147" s="9">
        <v>1305077.0</v>
      </c>
      <c r="AB147" s="12"/>
      <c r="AC147" s="9" t="s">
        <v>50</v>
      </c>
    </row>
    <row r="148">
      <c r="A148" s="9" t="s">
        <v>33</v>
      </c>
      <c r="B148" s="11">
        <v>6.0</v>
      </c>
      <c r="C148" s="9" t="s">
        <v>43</v>
      </c>
      <c r="D148" s="9" t="s">
        <v>55</v>
      </c>
      <c r="E148" s="9" t="s">
        <v>56</v>
      </c>
      <c r="F148" s="9" t="s">
        <v>45</v>
      </c>
      <c r="G148" s="9" t="s">
        <v>46</v>
      </c>
      <c r="H148" s="9" t="s">
        <v>275</v>
      </c>
      <c r="I148" s="11">
        <v>8176850.0</v>
      </c>
      <c r="J148" s="11">
        <v>2.6680337E8</v>
      </c>
      <c r="K148" s="13">
        <v>46304.0</v>
      </c>
      <c r="L148" s="14">
        <v>46318.0</v>
      </c>
      <c r="M148" s="12"/>
      <c r="N148" s="9">
        <v>104.0</v>
      </c>
      <c r="O148" s="11">
        <v>9.0</v>
      </c>
      <c r="P148" s="9" t="s">
        <v>44</v>
      </c>
      <c r="Q148" s="12"/>
      <c r="R148" s="12"/>
      <c r="S148" s="9" t="s">
        <v>47</v>
      </c>
      <c r="T148" s="9" t="s">
        <v>44</v>
      </c>
      <c r="U148" s="9" t="s">
        <v>44</v>
      </c>
      <c r="V148" s="11">
        <v>49.43</v>
      </c>
      <c r="W148" s="11">
        <v>1.0</v>
      </c>
      <c r="X148" s="9" t="s">
        <v>48</v>
      </c>
      <c r="Y148" s="9" t="s">
        <v>277</v>
      </c>
      <c r="Z148" s="12"/>
      <c r="AA148" s="9">
        <v>1305610.0</v>
      </c>
      <c r="AB148" s="12"/>
      <c r="AC148" s="9" t="s">
        <v>50</v>
      </c>
    </row>
    <row r="149">
      <c r="A149" s="9" t="s">
        <v>33</v>
      </c>
      <c r="B149" s="11">
        <v>6.0</v>
      </c>
      <c r="C149" s="9" t="s">
        <v>43</v>
      </c>
      <c r="D149" s="9" t="s">
        <v>55</v>
      </c>
      <c r="E149" s="9" t="s">
        <v>56</v>
      </c>
      <c r="F149" s="9" t="s">
        <v>45</v>
      </c>
      <c r="G149" s="9" t="s">
        <v>46</v>
      </c>
      <c r="H149" s="9" t="s">
        <v>278</v>
      </c>
      <c r="I149" s="11">
        <v>8176851.0</v>
      </c>
      <c r="J149" s="11">
        <v>2.66803371E8</v>
      </c>
      <c r="K149" s="13">
        <v>46304.0</v>
      </c>
      <c r="L149" s="14">
        <v>46322.0</v>
      </c>
      <c r="M149" s="12"/>
      <c r="N149" s="9">
        <v>103.0</v>
      </c>
      <c r="O149" s="11">
        <v>11.0</v>
      </c>
      <c r="P149" s="9" t="s">
        <v>44</v>
      </c>
      <c r="Q149" s="12"/>
      <c r="R149" s="12"/>
      <c r="S149" s="9" t="s">
        <v>47</v>
      </c>
      <c r="T149" s="9" t="s">
        <v>44</v>
      </c>
      <c r="U149" s="9" t="s">
        <v>44</v>
      </c>
      <c r="V149" s="11">
        <v>49.43</v>
      </c>
      <c r="W149" s="11">
        <v>1.0</v>
      </c>
      <c r="X149" s="9" t="s">
        <v>48</v>
      </c>
      <c r="Y149" s="9" t="s">
        <v>279</v>
      </c>
      <c r="Z149" s="12"/>
      <c r="AA149" s="9">
        <v>1305716.0</v>
      </c>
      <c r="AB149" s="12"/>
      <c r="AC149" s="9" t="s">
        <v>50</v>
      </c>
    </row>
    <row r="150">
      <c r="A150" s="9" t="s">
        <v>33</v>
      </c>
      <c r="B150" s="11">
        <v>6.0</v>
      </c>
      <c r="C150" s="9" t="s">
        <v>43</v>
      </c>
      <c r="D150" s="9" t="s">
        <v>55</v>
      </c>
      <c r="E150" s="9" t="s">
        <v>56</v>
      </c>
      <c r="F150" s="9" t="s">
        <v>45</v>
      </c>
      <c r="G150" s="9" t="s">
        <v>46</v>
      </c>
      <c r="H150" s="9" t="s">
        <v>72</v>
      </c>
      <c r="I150" s="11">
        <v>8176720.0</v>
      </c>
      <c r="J150" s="11">
        <v>2.66803372E8</v>
      </c>
      <c r="K150" s="13">
        <v>46304.0</v>
      </c>
      <c r="L150" s="14">
        <v>46321.0</v>
      </c>
      <c r="M150" s="12"/>
      <c r="N150" s="9">
        <v>118.0</v>
      </c>
      <c r="O150" s="11">
        <v>10.0</v>
      </c>
      <c r="P150" s="9" t="s">
        <v>44</v>
      </c>
      <c r="Q150" s="12"/>
      <c r="R150" s="12"/>
      <c r="S150" s="9" t="s">
        <v>47</v>
      </c>
      <c r="T150" s="9" t="s">
        <v>44</v>
      </c>
      <c r="U150" s="9" t="s">
        <v>44</v>
      </c>
      <c r="V150" s="11">
        <v>56.46</v>
      </c>
      <c r="W150" s="11">
        <v>1.0</v>
      </c>
      <c r="X150" s="9" t="s">
        <v>48</v>
      </c>
      <c r="Y150" s="9" t="s">
        <v>280</v>
      </c>
      <c r="Z150" s="12"/>
      <c r="AA150" s="9">
        <v>1305888.0</v>
      </c>
      <c r="AB150" s="12"/>
      <c r="AC150" s="9" t="s">
        <v>50</v>
      </c>
    </row>
    <row r="151">
      <c r="A151" s="9" t="s">
        <v>33</v>
      </c>
      <c r="B151" s="11">
        <v>6.0</v>
      </c>
      <c r="C151" s="9" t="s">
        <v>43</v>
      </c>
      <c r="D151" s="9" t="s">
        <v>55</v>
      </c>
      <c r="E151" s="9" t="s">
        <v>56</v>
      </c>
      <c r="F151" s="9" t="s">
        <v>45</v>
      </c>
      <c r="G151" s="9" t="s">
        <v>46</v>
      </c>
      <c r="H151" s="9" t="s">
        <v>281</v>
      </c>
      <c r="I151" s="11">
        <v>8176778.0</v>
      </c>
      <c r="J151" s="11">
        <v>2.66803373E8</v>
      </c>
      <c r="K151" s="13">
        <v>46304.0</v>
      </c>
      <c r="L151" s="14">
        <v>46322.0</v>
      </c>
      <c r="M151" s="12"/>
      <c r="N151" s="9">
        <v>103.0</v>
      </c>
      <c r="O151" s="11">
        <v>11.0</v>
      </c>
      <c r="P151" s="9" t="s">
        <v>44</v>
      </c>
      <c r="Q151" s="12"/>
      <c r="R151" s="12"/>
      <c r="S151" s="9" t="s">
        <v>47</v>
      </c>
      <c r="T151" s="9" t="s">
        <v>44</v>
      </c>
      <c r="U151" s="9" t="s">
        <v>44</v>
      </c>
      <c r="V151" s="11">
        <v>49.43</v>
      </c>
      <c r="W151" s="11">
        <v>1.0</v>
      </c>
      <c r="X151" s="9" t="s">
        <v>48</v>
      </c>
      <c r="Y151" s="9" t="s">
        <v>282</v>
      </c>
      <c r="Z151" s="12"/>
      <c r="AA151" s="9">
        <v>1305469.0</v>
      </c>
      <c r="AB151" s="12"/>
      <c r="AC151" s="9" t="s">
        <v>50</v>
      </c>
    </row>
    <row r="152">
      <c r="A152" s="9" t="s">
        <v>33</v>
      </c>
      <c r="B152" s="11">
        <v>6.0</v>
      </c>
      <c r="C152" s="9" t="s">
        <v>43</v>
      </c>
      <c r="D152" s="9" t="s">
        <v>55</v>
      </c>
      <c r="E152" s="9" t="s">
        <v>56</v>
      </c>
      <c r="F152" s="9" t="s">
        <v>45</v>
      </c>
      <c r="G152" s="9" t="s">
        <v>46</v>
      </c>
      <c r="H152" s="9" t="s">
        <v>281</v>
      </c>
      <c r="I152" s="11">
        <v>8176807.0</v>
      </c>
      <c r="J152" s="11">
        <v>2.66803374E8</v>
      </c>
      <c r="K152" s="13">
        <v>46304.0</v>
      </c>
      <c r="L152" s="14">
        <v>46322.0</v>
      </c>
      <c r="M152" s="12"/>
      <c r="N152" s="9">
        <v>103.0</v>
      </c>
      <c r="O152" s="11">
        <v>11.0</v>
      </c>
      <c r="P152" s="9" t="s">
        <v>44</v>
      </c>
      <c r="Q152" s="12"/>
      <c r="R152" s="12"/>
      <c r="S152" s="9" t="s">
        <v>47</v>
      </c>
      <c r="T152" s="9" t="s">
        <v>44</v>
      </c>
      <c r="U152" s="9" t="s">
        <v>44</v>
      </c>
      <c r="V152" s="11">
        <v>49.43</v>
      </c>
      <c r="W152" s="11">
        <v>1.0</v>
      </c>
      <c r="X152" s="9" t="s">
        <v>48</v>
      </c>
      <c r="Y152" s="9" t="s">
        <v>283</v>
      </c>
      <c r="Z152" s="12"/>
      <c r="AA152" s="9">
        <v>1305097.0</v>
      </c>
      <c r="AB152" s="12"/>
      <c r="AC152" s="9" t="s">
        <v>50</v>
      </c>
    </row>
    <row r="153">
      <c r="A153" s="9" t="s">
        <v>33</v>
      </c>
      <c r="B153" s="11">
        <v>6.0</v>
      </c>
      <c r="C153" s="9" t="s">
        <v>43</v>
      </c>
      <c r="D153" s="9" t="s">
        <v>55</v>
      </c>
      <c r="E153" s="9" t="s">
        <v>56</v>
      </c>
      <c r="F153" s="9" t="s">
        <v>45</v>
      </c>
      <c r="G153" s="9" t="s">
        <v>46</v>
      </c>
      <c r="H153" s="9" t="s">
        <v>281</v>
      </c>
      <c r="I153" s="11">
        <v>8176936.0</v>
      </c>
      <c r="J153" s="11">
        <v>2.66803375E8</v>
      </c>
      <c r="K153" s="13">
        <v>46304.0</v>
      </c>
      <c r="L153" s="14">
        <v>46323.0</v>
      </c>
      <c r="M153" s="12"/>
      <c r="N153" s="9">
        <v>108.0</v>
      </c>
      <c r="O153" s="11">
        <v>12.0</v>
      </c>
      <c r="P153" s="9" t="s">
        <v>44</v>
      </c>
      <c r="Q153" s="12"/>
      <c r="R153" s="12"/>
      <c r="S153" s="9" t="s">
        <v>47</v>
      </c>
      <c r="T153" s="9" t="s">
        <v>44</v>
      </c>
      <c r="U153" s="9" t="s">
        <v>44</v>
      </c>
      <c r="V153" s="11">
        <v>49.43</v>
      </c>
      <c r="W153" s="11">
        <v>1.0</v>
      </c>
      <c r="X153" s="9" t="s">
        <v>48</v>
      </c>
      <c r="Y153" s="9" t="s">
        <v>284</v>
      </c>
      <c r="Z153" s="12"/>
      <c r="AA153" s="9">
        <v>1305337.0</v>
      </c>
      <c r="AB153" s="12"/>
      <c r="AC153" s="9" t="s">
        <v>50</v>
      </c>
    </row>
    <row r="154">
      <c r="A154" s="9" t="s">
        <v>33</v>
      </c>
      <c r="B154" s="11">
        <v>6.0</v>
      </c>
      <c r="C154" s="9" t="s">
        <v>43</v>
      </c>
      <c r="D154" s="9" t="s">
        <v>55</v>
      </c>
      <c r="E154" s="9" t="s">
        <v>56</v>
      </c>
      <c r="F154" s="9" t="s">
        <v>45</v>
      </c>
      <c r="G154" s="9" t="s">
        <v>46</v>
      </c>
      <c r="H154" s="9" t="s">
        <v>285</v>
      </c>
      <c r="I154" s="11">
        <v>8176808.0</v>
      </c>
      <c r="J154" s="11">
        <v>2.66803376E8</v>
      </c>
      <c r="K154" s="13">
        <v>46304.0</v>
      </c>
      <c r="L154" s="14">
        <v>46322.0</v>
      </c>
      <c r="M154" s="12"/>
      <c r="N154" s="9">
        <v>1103.0</v>
      </c>
      <c r="O154" s="11">
        <v>11.0</v>
      </c>
      <c r="P154" s="9" t="s">
        <v>44</v>
      </c>
      <c r="Q154" s="12"/>
      <c r="R154" s="12"/>
      <c r="S154" s="9" t="s">
        <v>47</v>
      </c>
      <c r="T154" s="9" t="s">
        <v>44</v>
      </c>
      <c r="U154" s="9" t="s">
        <v>44</v>
      </c>
      <c r="V154" s="11">
        <v>49.43</v>
      </c>
      <c r="W154" s="11">
        <v>1.0</v>
      </c>
      <c r="X154" s="9" t="s">
        <v>48</v>
      </c>
      <c r="Y154" s="9" t="s">
        <v>286</v>
      </c>
      <c r="Z154" s="12"/>
      <c r="AA154" s="9">
        <v>1305026.0</v>
      </c>
      <c r="AB154" s="12"/>
      <c r="AC154" s="9" t="s">
        <v>50</v>
      </c>
    </row>
    <row r="155">
      <c r="A155" s="9" t="s">
        <v>33</v>
      </c>
      <c r="B155" s="11">
        <v>6.0</v>
      </c>
      <c r="C155" s="9" t="s">
        <v>43</v>
      </c>
      <c r="D155" s="9" t="s">
        <v>55</v>
      </c>
      <c r="E155" s="9" t="s">
        <v>56</v>
      </c>
      <c r="F155" s="9" t="s">
        <v>45</v>
      </c>
      <c r="G155" s="9" t="s">
        <v>46</v>
      </c>
      <c r="H155" s="9" t="s">
        <v>72</v>
      </c>
      <c r="I155" s="11">
        <v>8176978.0</v>
      </c>
      <c r="J155" s="11">
        <v>2.66803378E8</v>
      </c>
      <c r="K155" s="13">
        <v>46304.0</v>
      </c>
      <c r="L155" s="14">
        <v>46317.0</v>
      </c>
      <c r="M155" s="12"/>
      <c r="N155" s="9">
        <v>113.0</v>
      </c>
      <c r="O155" s="11">
        <v>8.0</v>
      </c>
      <c r="P155" s="9" t="s">
        <v>44</v>
      </c>
      <c r="Q155" s="12"/>
      <c r="R155" s="12"/>
      <c r="S155" s="9" t="s">
        <v>47</v>
      </c>
      <c r="T155" s="9" t="s">
        <v>44</v>
      </c>
      <c r="U155" s="9" t="s">
        <v>44</v>
      </c>
      <c r="V155" s="11">
        <v>56.46</v>
      </c>
      <c r="W155" s="11">
        <v>1.0</v>
      </c>
      <c r="X155" s="9" t="s">
        <v>48</v>
      </c>
      <c r="Y155" s="9" t="s">
        <v>287</v>
      </c>
      <c r="Z155" s="12"/>
      <c r="AA155" s="9">
        <v>1305430.0</v>
      </c>
      <c r="AB155" s="12"/>
      <c r="AC155" s="9" t="s">
        <v>50</v>
      </c>
    </row>
    <row r="156">
      <c r="A156" s="9" t="s">
        <v>33</v>
      </c>
      <c r="B156" s="11">
        <v>6.0</v>
      </c>
      <c r="C156" s="9" t="s">
        <v>43</v>
      </c>
      <c r="D156" s="9" t="s">
        <v>55</v>
      </c>
      <c r="E156" s="9" t="s">
        <v>56</v>
      </c>
      <c r="F156" s="9" t="s">
        <v>45</v>
      </c>
      <c r="G156" s="9" t="s">
        <v>46</v>
      </c>
      <c r="H156" s="9" t="s">
        <v>275</v>
      </c>
      <c r="I156" s="11">
        <v>8176735.0</v>
      </c>
      <c r="J156" s="11">
        <v>2.6680338E8</v>
      </c>
      <c r="K156" s="13">
        <v>46304.0</v>
      </c>
      <c r="L156" s="14">
        <v>46322.0</v>
      </c>
      <c r="M156" s="12"/>
      <c r="N156" s="9">
        <v>107.0</v>
      </c>
      <c r="O156" s="11">
        <v>11.0</v>
      </c>
      <c r="P156" s="9" t="s">
        <v>44</v>
      </c>
      <c r="Q156" s="12"/>
      <c r="R156" s="12"/>
      <c r="S156" s="9" t="s">
        <v>47</v>
      </c>
      <c r="T156" s="9" t="s">
        <v>44</v>
      </c>
      <c r="U156" s="9" t="s">
        <v>44</v>
      </c>
      <c r="V156" s="11">
        <v>49.43</v>
      </c>
      <c r="W156" s="11">
        <v>1.0</v>
      </c>
      <c r="X156" s="9" t="s">
        <v>48</v>
      </c>
      <c r="Y156" s="9" t="s">
        <v>288</v>
      </c>
      <c r="Z156" s="12"/>
      <c r="AA156" s="9">
        <v>1305948.0</v>
      </c>
      <c r="AB156" s="12"/>
      <c r="AC156" s="9" t="s">
        <v>50</v>
      </c>
    </row>
    <row r="157">
      <c r="A157" s="9" t="s">
        <v>33</v>
      </c>
      <c r="B157" s="11">
        <v>6.0</v>
      </c>
      <c r="C157" s="9" t="s">
        <v>43</v>
      </c>
      <c r="D157" s="9" t="s">
        <v>55</v>
      </c>
      <c r="E157" s="9" t="s">
        <v>56</v>
      </c>
      <c r="F157" s="9" t="s">
        <v>45</v>
      </c>
      <c r="G157" s="9" t="s">
        <v>46</v>
      </c>
      <c r="H157" s="9" t="s">
        <v>74</v>
      </c>
      <c r="I157" s="11">
        <v>8176979.0</v>
      </c>
      <c r="J157" s="11">
        <v>2.66803381E8</v>
      </c>
      <c r="K157" s="13">
        <v>46304.0</v>
      </c>
      <c r="L157" s="14">
        <v>46317.0</v>
      </c>
      <c r="M157" s="12"/>
      <c r="N157" s="9">
        <v>2.0</v>
      </c>
      <c r="O157" s="11">
        <v>8.0</v>
      </c>
      <c r="P157" s="9" t="s">
        <v>44</v>
      </c>
      <c r="Q157" s="12"/>
      <c r="R157" s="12"/>
      <c r="S157" s="9" t="s">
        <v>47</v>
      </c>
      <c r="T157" s="9" t="s">
        <v>44</v>
      </c>
      <c r="U157" s="9" t="s">
        <v>44</v>
      </c>
      <c r="V157" s="11">
        <v>44.59</v>
      </c>
      <c r="W157" s="11">
        <v>1.0</v>
      </c>
      <c r="X157" s="9" t="s">
        <v>48</v>
      </c>
      <c r="Y157" s="9" t="s">
        <v>289</v>
      </c>
      <c r="Z157" s="12"/>
      <c r="AA157" s="9">
        <v>1305726.0</v>
      </c>
      <c r="AB157" s="12"/>
      <c r="AC157" s="9" t="s">
        <v>50</v>
      </c>
    </row>
    <row r="158">
      <c r="A158" s="9" t="s">
        <v>33</v>
      </c>
      <c r="B158" s="11">
        <v>6.0</v>
      </c>
      <c r="C158" s="9" t="s">
        <v>43</v>
      </c>
      <c r="D158" s="9" t="s">
        <v>55</v>
      </c>
      <c r="E158" s="9" t="s">
        <v>56</v>
      </c>
      <c r="F158" s="9" t="s">
        <v>45</v>
      </c>
      <c r="G158" s="9" t="s">
        <v>46</v>
      </c>
      <c r="H158" s="9" t="s">
        <v>74</v>
      </c>
      <c r="I158" s="11">
        <v>8176736.0</v>
      </c>
      <c r="J158" s="11">
        <v>2.66803383E8</v>
      </c>
      <c r="K158" s="13">
        <v>46304.0</v>
      </c>
      <c r="L158" s="14">
        <v>46322.0</v>
      </c>
      <c r="M158" s="12"/>
      <c r="N158" s="9">
        <v>111.0</v>
      </c>
      <c r="O158" s="11">
        <v>11.0</v>
      </c>
      <c r="P158" s="9" t="s">
        <v>44</v>
      </c>
      <c r="Q158" s="12"/>
      <c r="R158" s="12"/>
      <c r="S158" s="9" t="s">
        <v>47</v>
      </c>
      <c r="T158" s="9" t="s">
        <v>44</v>
      </c>
      <c r="U158" s="9" t="s">
        <v>44</v>
      </c>
      <c r="V158" s="11">
        <v>49.43</v>
      </c>
      <c r="W158" s="11">
        <v>2.0</v>
      </c>
      <c r="X158" s="9" t="s">
        <v>48</v>
      </c>
      <c r="Y158" s="9" t="s">
        <v>290</v>
      </c>
      <c r="Z158" s="12"/>
      <c r="AA158" s="9" t="s">
        <v>291</v>
      </c>
      <c r="AB158" s="12"/>
      <c r="AC158" s="9" t="s">
        <v>50</v>
      </c>
    </row>
    <row r="159">
      <c r="A159" s="9" t="s">
        <v>33</v>
      </c>
      <c r="B159" s="11">
        <v>6.0</v>
      </c>
      <c r="C159" s="9" t="s">
        <v>43</v>
      </c>
      <c r="D159" s="9" t="s">
        <v>55</v>
      </c>
      <c r="E159" s="9" t="s">
        <v>56</v>
      </c>
      <c r="F159" s="9" t="s">
        <v>45</v>
      </c>
      <c r="G159" s="9" t="s">
        <v>46</v>
      </c>
      <c r="H159" s="9" t="s">
        <v>74</v>
      </c>
      <c r="I159" s="11">
        <v>8176779.0</v>
      </c>
      <c r="J159" s="11">
        <v>2.66803385E8</v>
      </c>
      <c r="K159" s="13">
        <v>46304.0</v>
      </c>
      <c r="L159" s="14">
        <v>46322.0</v>
      </c>
      <c r="M159" s="12"/>
      <c r="N159" s="9">
        <v>106.0</v>
      </c>
      <c r="O159" s="11">
        <v>11.0</v>
      </c>
      <c r="P159" s="9" t="s">
        <v>44</v>
      </c>
      <c r="Q159" s="12"/>
      <c r="R159" s="12"/>
      <c r="S159" s="9" t="s">
        <v>47</v>
      </c>
      <c r="T159" s="9" t="s">
        <v>44</v>
      </c>
      <c r="U159" s="9" t="s">
        <v>44</v>
      </c>
      <c r="V159" s="11">
        <v>49.43</v>
      </c>
      <c r="W159" s="11">
        <v>1.0</v>
      </c>
      <c r="X159" s="9" t="s">
        <v>48</v>
      </c>
      <c r="Y159" s="9" t="s">
        <v>292</v>
      </c>
      <c r="Z159" s="12"/>
      <c r="AA159" s="9">
        <v>1305028.0</v>
      </c>
      <c r="AB159" s="12"/>
      <c r="AC159" s="9" t="s">
        <v>50</v>
      </c>
    </row>
    <row r="160">
      <c r="A160" s="9" t="s">
        <v>33</v>
      </c>
      <c r="B160" s="11">
        <v>6.0</v>
      </c>
      <c r="C160" s="9" t="s">
        <v>43</v>
      </c>
      <c r="D160" s="9" t="s">
        <v>55</v>
      </c>
      <c r="E160" s="9" t="s">
        <v>56</v>
      </c>
      <c r="F160" s="9" t="s">
        <v>45</v>
      </c>
      <c r="G160" s="9" t="s">
        <v>46</v>
      </c>
      <c r="H160" s="9" t="s">
        <v>74</v>
      </c>
      <c r="I160" s="11">
        <v>8176937.0</v>
      </c>
      <c r="J160" s="11">
        <v>2.66803386E8</v>
      </c>
      <c r="K160" s="13">
        <v>46304.0</v>
      </c>
      <c r="L160" s="14">
        <v>46322.0</v>
      </c>
      <c r="M160" s="12"/>
      <c r="N160" s="9">
        <v>107.0</v>
      </c>
      <c r="O160" s="11">
        <v>11.0</v>
      </c>
      <c r="P160" s="9" t="s">
        <v>44</v>
      </c>
      <c r="Q160" s="12"/>
      <c r="R160" s="12"/>
      <c r="S160" s="9" t="s">
        <v>47</v>
      </c>
      <c r="T160" s="9" t="s">
        <v>44</v>
      </c>
      <c r="U160" s="9" t="s">
        <v>44</v>
      </c>
      <c r="V160" s="11">
        <v>49.43</v>
      </c>
      <c r="W160" s="11">
        <v>4.0</v>
      </c>
      <c r="X160" s="9" t="s">
        <v>48</v>
      </c>
      <c r="Y160" s="9" t="s">
        <v>293</v>
      </c>
      <c r="Z160" s="12"/>
      <c r="AA160" s="9">
        <v>1306060.0</v>
      </c>
      <c r="AB160" s="12"/>
      <c r="AC160" s="9" t="s">
        <v>50</v>
      </c>
    </row>
    <row r="161">
      <c r="A161" s="9" t="s">
        <v>33</v>
      </c>
      <c r="B161" s="11">
        <v>6.0</v>
      </c>
      <c r="C161" s="9" t="s">
        <v>43</v>
      </c>
      <c r="D161" s="9" t="s">
        <v>55</v>
      </c>
      <c r="E161" s="9" t="s">
        <v>56</v>
      </c>
      <c r="F161" s="9" t="s">
        <v>45</v>
      </c>
      <c r="G161" s="9" t="s">
        <v>46</v>
      </c>
      <c r="H161" s="9" t="s">
        <v>74</v>
      </c>
      <c r="I161" s="11">
        <v>8176780.0</v>
      </c>
      <c r="J161" s="11">
        <v>2.66803388E8</v>
      </c>
      <c r="K161" s="13">
        <v>46304.0</v>
      </c>
      <c r="L161" s="14">
        <v>46322.0</v>
      </c>
      <c r="M161" s="12"/>
      <c r="N161" s="9">
        <v>105.0</v>
      </c>
      <c r="O161" s="11">
        <v>11.0</v>
      </c>
      <c r="P161" s="9" t="s">
        <v>44</v>
      </c>
      <c r="Q161" s="12"/>
      <c r="R161" s="12"/>
      <c r="S161" s="9" t="s">
        <v>47</v>
      </c>
      <c r="T161" s="9" t="s">
        <v>44</v>
      </c>
      <c r="U161" s="9" t="s">
        <v>44</v>
      </c>
      <c r="V161" s="11">
        <v>49.43</v>
      </c>
      <c r="W161" s="11">
        <v>1.0</v>
      </c>
      <c r="X161" s="9" t="s">
        <v>48</v>
      </c>
      <c r="Y161" s="9" t="s">
        <v>294</v>
      </c>
      <c r="Z161" s="12"/>
      <c r="AA161" s="9">
        <v>1305903.0</v>
      </c>
      <c r="AB161" s="12"/>
      <c r="AC161" s="9" t="s">
        <v>50</v>
      </c>
    </row>
    <row r="162">
      <c r="A162" s="9" t="s">
        <v>33</v>
      </c>
      <c r="B162" s="11">
        <v>6.0</v>
      </c>
      <c r="C162" s="9" t="s">
        <v>43</v>
      </c>
      <c r="D162" s="9" t="s">
        <v>55</v>
      </c>
      <c r="E162" s="9" t="s">
        <v>56</v>
      </c>
      <c r="F162" s="9" t="s">
        <v>45</v>
      </c>
      <c r="G162" s="9" t="s">
        <v>46</v>
      </c>
      <c r="H162" s="9" t="s">
        <v>74</v>
      </c>
      <c r="I162" s="11">
        <v>8176938.0</v>
      </c>
      <c r="J162" s="11">
        <v>2.6680339E8</v>
      </c>
      <c r="K162" s="13">
        <v>46304.0</v>
      </c>
      <c r="L162" s="14">
        <v>46322.0</v>
      </c>
      <c r="M162" s="12"/>
      <c r="N162" s="9">
        <v>102.0</v>
      </c>
      <c r="O162" s="11">
        <v>11.0</v>
      </c>
      <c r="P162" s="9" t="s">
        <v>44</v>
      </c>
      <c r="Q162" s="12"/>
      <c r="R162" s="12"/>
      <c r="S162" s="9" t="s">
        <v>47</v>
      </c>
      <c r="T162" s="9" t="s">
        <v>44</v>
      </c>
      <c r="U162" s="9" t="s">
        <v>44</v>
      </c>
      <c r="V162" s="11">
        <v>49.43</v>
      </c>
      <c r="W162" s="11">
        <v>1.0</v>
      </c>
      <c r="X162" s="9" t="s">
        <v>48</v>
      </c>
      <c r="Y162" s="9" t="s">
        <v>295</v>
      </c>
      <c r="Z162" s="12"/>
      <c r="AA162" s="9">
        <v>1305498.0</v>
      </c>
      <c r="AB162" s="12"/>
      <c r="AC162" s="9" t="s">
        <v>50</v>
      </c>
    </row>
    <row r="163">
      <c r="A163" s="9" t="s">
        <v>33</v>
      </c>
      <c r="B163" s="11">
        <v>6.0</v>
      </c>
      <c r="C163" s="9" t="s">
        <v>43</v>
      </c>
      <c r="D163" s="9" t="s">
        <v>55</v>
      </c>
      <c r="E163" s="9" t="s">
        <v>56</v>
      </c>
      <c r="F163" s="9" t="s">
        <v>45</v>
      </c>
      <c r="G163" s="9" t="s">
        <v>46</v>
      </c>
      <c r="H163" s="9" t="s">
        <v>275</v>
      </c>
      <c r="I163" s="11">
        <v>8177028.0</v>
      </c>
      <c r="J163" s="11">
        <v>2.66803391E8</v>
      </c>
      <c r="K163" s="13">
        <v>46304.0</v>
      </c>
      <c r="L163" s="14">
        <v>46321.0</v>
      </c>
      <c r="M163" s="12"/>
      <c r="N163" s="9">
        <v>102.0</v>
      </c>
      <c r="O163" s="11">
        <v>10.0</v>
      </c>
      <c r="P163" s="9" t="s">
        <v>44</v>
      </c>
      <c r="Q163" s="12"/>
      <c r="R163" s="12"/>
      <c r="S163" s="9" t="s">
        <v>47</v>
      </c>
      <c r="T163" s="9" t="s">
        <v>44</v>
      </c>
      <c r="U163" s="9" t="s">
        <v>44</v>
      </c>
      <c r="V163" s="11">
        <v>49.43</v>
      </c>
      <c r="W163" s="11">
        <v>1.0</v>
      </c>
      <c r="X163" s="9" t="s">
        <v>48</v>
      </c>
      <c r="Y163" s="9" t="s">
        <v>296</v>
      </c>
      <c r="Z163" s="12"/>
      <c r="AA163" s="9">
        <v>1304964.0</v>
      </c>
      <c r="AB163" s="12"/>
      <c r="AC163" s="9" t="s">
        <v>50</v>
      </c>
    </row>
    <row r="164">
      <c r="A164" s="9" t="s">
        <v>33</v>
      </c>
      <c r="B164" s="11">
        <v>6.0</v>
      </c>
      <c r="C164" s="9" t="s">
        <v>43</v>
      </c>
      <c r="D164" s="9" t="s">
        <v>55</v>
      </c>
      <c r="E164" s="9" t="s">
        <v>56</v>
      </c>
      <c r="F164" s="9" t="s">
        <v>45</v>
      </c>
      <c r="G164" s="9" t="s">
        <v>46</v>
      </c>
      <c r="H164" s="9" t="s">
        <v>76</v>
      </c>
      <c r="I164" s="11">
        <v>8176877.0</v>
      </c>
      <c r="J164" s="11">
        <v>2.66803393E8</v>
      </c>
      <c r="K164" s="13">
        <v>46304.0</v>
      </c>
      <c r="L164" s="14">
        <v>46317.0</v>
      </c>
      <c r="M164" s="12"/>
      <c r="N164" s="9">
        <v>104.0</v>
      </c>
      <c r="O164" s="11">
        <v>8.0</v>
      </c>
      <c r="P164" s="9" t="s">
        <v>44</v>
      </c>
      <c r="Q164" s="12"/>
      <c r="R164" s="12"/>
      <c r="S164" s="9" t="s">
        <v>47</v>
      </c>
      <c r="T164" s="9" t="s">
        <v>44</v>
      </c>
      <c r="U164" s="9" t="s">
        <v>44</v>
      </c>
      <c r="V164" s="11">
        <v>49.43</v>
      </c>
      <c r="W164" s="11">
        <v>1.0</v>
      </c>
      <c r="X164" s="9" t="s">
        <v>48</v>
      </c>
      <c r="Y164" s="9" t="s">
        <v>297</v>
      </c>
      <c r="Z164" s="12"/>
      <c r="AA164" s="9">
        <v>1305720.0</v>
      </c>
      <c r="AB164" s="12"/>
      <c r="AC164" s="9" t="s">
        <v>50</v>
      </c>
    </row>
    <row r="165">
      <c r="A165" s="9" t="s">
        <v>33</v>
      </c>
      <c r="B165" s="11">
        <v>6.0</v>
      </c>
      <c r="C165" s="9" t="s">
        <v>43</v>
      </c>
      <c r="D165" s="9" t="s">
        <v>55</v>
      </c>
      <c r="E165" s="9" t="s">
        <v>56</v>
      </c>
      <c r="F165" s="9" t="s">
        <v>45</v>
      </c>
      <c r="G165" s="9" t="s">
        <v>46</v>
      </c>
      <c r="H165" s="9" t="s">
        <v>298</v>
      </c>
      <c r="I165" s="11">
        <v>8176939.0</v>
      </c>
      <c r="J165" s="11">
        <v>2.66803394E8</v>
      </c>
      <c r="K165" s="13">
        <v>46304.0</v>
      </c>
      <c r="L165" s="14">
        <v>46318.0</v>
      </c>
      <c r="M165" s="12"/>
      <c r="N165" s="9">
        <v>103.0</v>
      </c>
      <c r="O165" s="11">
        <v>9.0</v>
      </c>
      <c r="P165" s="9" t="s">
        <v>44</v>
      </c>
      <c r="Q165" s="12"/>
      <c r="R165" s="12"/>
      <c r="S165" s="9" t="s">
        <v>47</v>
      </c>
      <c r="T165" s="9" t="s">
        <v>44</v>
      </c>
      <c r="U165" s="9" t="s">
        <v>44</v>
      </c>
      <c r="V165" s="11">
        <v>49.43</v>
      </c>
      <c r="W165" s="11">
        <v>3.0</v>
      </c>
      <c r="X165" s="9" t="s">
        <v>48</v>
      </c>
      <c r="Y165" s="9" t="s">
        <v>299</v>
      </c>
      <c r="Z165" s="12"/>
      <c r="AA165" s="9">
        <v>1305930.0</v>
      </c>
      <c r="AB165" s="12"/>
      <c r="AC165" s="9" t="s">
        <v>50</v>
      </c>
    </row>
    <row r="166">
      <c r="A166" s="9" t="s">
        <v>33</v>
      </c>
      <c r="B166" s="11">
        <v>6.0</v>
      </c>
      <c r="C166" s="9" t="s">
        <v>43</v>
      </c>
      <c r="D166" s="9" t="s">
        <v>55</v>
      </c>
      <c r="E166" s="9" t="s">
        <v>56</v>
      </c>
      <c r="F166" s="9" t="s">
        <v>45</v>
      </c>
      <c r="G166" s="9" t="s">
        <v>46</v>
      </c>
      <c r="H166" s="9" t="s">
        <v>76</v>
      </c>
      <c r="I166" s="11">
        <v>8176903.0</v>
      </c>
      <c r="J166" s="11">
        <v>2.66803395E8</v>
      </c>
      <c r="K166" s="13">
        <v>46304.0</v>
      </c>
      <c r="L166" s="14">
        <v>46317.0</v>
      </c>
      <c r="M166" s="12"/>
      <c r="N166" s="9">
        <v>108.0</v>
      </c>
      <c r="O166" s="11">
        <v>8.0</v>
      </c>
      <c r="P166" s="9" t="s">
        <v>44</v>
      </c>
      <c r="Q166" s="12"/>
      <c r="R166" s="12"/>
      <c r="S166" s="9" t="s">
        <v>47</v>
      </c>
      <c r="T166" s="9" t="s">
        <v>44</v>
      </c>
      <c r="U166" s="9" t="s">
        <v>44</v>
      </c>
      <c r="V166" s="11">
        <v>49.43</v>
      </c>
      <c r="W166" s="11">
        <v>4.0</v>
      </c>
      <c r="X166" s="9" t="s">
        <v>48</v>
      </c>
      <c r="Y166" s="9" t="s">
        <v>300</v>
      </c>
      <c r="Z166" s="12"/>
      <c r="AA166" s="9">
        <v>1305837.0</v>
      </c>
      <c r="AB166" s="12"/>
      <c r="AC166" s="9" t="s">
        <v>50</v>
      </c>
    </row>
    <row r="167">
      <c r="A167" s="9" t="s">
        <v>33</v>
      </c>
      <c r="B167" s="11">
        <v>6.0</v>
      </c>
      <c r="C167" s="9" t="s">
        <v>43</v>
      </c>
      <c r="D167" s="9" t="s">
        <v>55</v>
      </c>
      <c r="E167" s="9" t="s">
        <v>56</v>
      </c>
      <c r="F167" s="9" t="s">
        <v>45</v>
      </c>
      <c r="G167" s="9" t="s">
        <v>46</v>
      </c>
      <c r="H167" s="9" t="s">
        <v>76</v>
      </c>
      <c r="I167" s="11">
        <v>8176980.0</v>
      </c>
      <c r="J167" s="11">
        <v>2.66803396E8</v>
      </c>
      <c r="K167" s="13">
        <v>46304.0</v>
      </c>
      <c r="L167" s="14">
        <v>46323.0</v>
      </c>
      <c r="M167" s="12"/>
      <c r="N167" s="9">
        <v>115.0</v>
      </c>
      <c r="O167" s="11">
        <v>12.0</v>
      </c>
      <c r="P167" s="9" t="s">
        <v>44</v>
      </c>
      <c r="Q167" s="12"/>
      <c r="R167" s="12"/>
      <c r="S167" s="9" t="s">
        <v>47</v>
      </c>
      <c r="T167" s="9" t="s">
        <v>44</v>
      </c>
      <c r="U167" s="9" t="s">
        <v>44</v>
      </c>
      <c r="V167" s="11">
        <v>49.43</v>
      </c>
      <c r="W167" s="11">
        <v>1.0</v>
      </c>
      <c r="X167" s="9" t="s">
        <v>48</v>
      </c>
      <c r="Y167" s="9" t="s">
        <v>301</v>
      </c>
      <c r="Z167" s="12"/>
      <c r="AA167" s="9">
        <v>1305359.0</v>
      </c>
      <c r="AB167" s="12"/>
      <c r="AC167" s="9" t="s">
        <v>50</v>
      </c>
    </row>
    <row r="168">
      <c r="A168" s="9" t="s">
        <v>33</v>
      </c>
      <c r="B168" s="11">
        <v>6.0</v>
      </c>
      <c r="C168" s="9" t="s">
        <v>43</v>
      </c>
      <c r="D168" s="9" t="s">
        <v>55</v>
      </c>
      <c r="E168" s="9" t="s">
        <v>56</v>
      </c>
      <c r="F168" s="9" t="s">
        <v>45</v>
      </c>
      <c r="G168" s="9" t="s">
        <v>46</v>
      </c>
      <c r="H168" s="9" t="s">
        <v>74</v>
      </c>
      <c r="I168" s="11">
        <v>8176721.0</v>
      </c>
      <c r="J168" s="11">
        <v>2.66803397E8</v>
      </c>
      <c r="K168" s="13">
        <v>46304.0</v>
      </c>
      <c r="L168" s="14">
        <v>46324.0</v>
      </c>
      <c r="M168" s="12"/>
      <c r="N168" s="9">
        <v>104.0</v>
      </c>
      <c r="O168" s="11">
        <v>13.0</v>
      </c>
      <c r="P168" s="9" t="s">
        <v>44</v>
      </c>
      <c r="Q168" s="12"/>
      <c r="R168" s="12"/>
      <c r="S168" s="9" t="s">
        <v>47</v>
      </c>
      <c r="T168" s="9" t="s">
        <v>44</v>
      </c>
      <c r="U168" s="9" t="s">
        <v>44</v>
      </c>
      <c r="V168" s="11">
        <v>49.43</v>
      </c>
      <c r="W168" s="11">
        <v>2.0</v>
      </c>
      <c r="X168" s="9" t="s">
        <v>48</v>
      </c>
      <c r="Y168" s="9" t="s">
        <v>302</v>
      </c>
      <c r="Z168" s="12"/>
      <c r="AA168" s="9">
        <v>1305752.0</v>
      </c>
      <c r="AB168" s="12"/>
      <c r="AC168" s="9" t="s">
        <v>50</v>
      </c>
    </row>
    <row r="169">
      <c r="A169" s="9" t="s">
        <v>33</v>
      </c>
      <c r="B169" s="11">
        <v>6.0</v>
      </c>
      <c r="C169" s="9" t="s">
        <v>43</v>
      </c>
      <c r="D169" s="9" t="s">
        <v>55</v>
      </c>
      <c r="E169" s="9" t="s">
        <v>56</v>
      </c>
      <c r="F169" s="9" t="s">
        <v>45</v>
      </c>
      <c r="G169" s="9" t="s">
        <v>46</v>
      </c>
      <c r="H169" s="9" t="s">
        <v>76</v>
      </c>
      <c r="I169" s="11">
        <v>8176904.0</v>
      </c>
      <c r="J169" s="11">
        <v>2.66803398E8</v>
      </c>
      <c r="K169" s="13">
        <v>46304.0</v>
      </c>
      <c r="L169" s="14">
        <v>46317.0</v>
      </c>
      <c r="M169" s="12"/>
      <c r="N169" s="9">
        <v>103.0</v>
      </c>
      <c r="O169" s="11">
        <v>8.0</v>
      </c>
      <c r="P169" s="9" t="s">
        <v>44</v>
      </c>
      <c r="Q169" s="12"/>
      <c r="R169" s="12"/>
      <c r="S169" s="9" t="s">
        <v>47</v>
      </c>
      <c r="T169" s="9" t="s">
        <v>44</v>
      </c>
      <c r="U169" s="9" t="s">
        <v>44</v>
      </c>
      <c r="V169" s="11">
        <v>49.43</v>
      </c>
      <c r="W169" s="11">
        <v>1.0</v>
      </c>
      <c r="X169" s="9" t="s">
        <v>48</v>
      </c>
      <c r="Y169" s="9" t="s">
        <v>303</v>
      </c>
      <c r="Z169" s="12"/>
      <c r="AA169" s="9">
        <v>1305499.0</v>
      </c>
      <c r="AB169" s="12"/>
      <c r="AC169" s="9" t="s">
        <v>50</v>
      </c>
    </row>
    <row r="170">
      <c r="A170" s="9" t="s">
        <v>33</v>
      </c>
      <c r="B170" s="11">
        <v>6.0</v>
      </c>
      <c r="C170" s="9" t="s">
        <v>43</v>
      </c>
      <c r="D170" s="9" t="s">
        <v>55</v>
      </c>
      <c r="E170" s="9" t="s">
        <v>56</v>
      </c>
      <c r="F170" s="9" t="s">
        <v>45</v>
      </c>
      <c r="G170" s="9" t="s">
        <v>46</v>
      </c>
      <c r="H170" s="9" t="s">
        <v>76</v>
      </c>
      <c r="I170" s="11">
        <v>8176905.0</v>
      </c>
      <c r="J170" s="11">
        <v>2.66803399E8</v>
      </c>
      <c r="K170" s="13">
        <v>46304.0</v>
      </c>
      <c r="L170" s="14">
        <v>46321.0</v>
      </c>
      <c r="M170" s="12"/>
      <c r="N170" s="9">
        <v>102.0</v>
      </c>
      <c r="O170" s="11">
        <v>10.0</v>
      </c>
      <c r="P170" s="9" t="s">
        <v>44</v>
      </c>
      <c r="Q170" s="12"/>
      <c r="R170" s="12"/>
      <c r="S170" s="9" t="s">
        <v>47</v>
      </c>
      <c r="T170" s="9" t="s">
        <v>44</v>
      </c>
      <c r="U170" s="9" t="s">
        <v>44</v>
      </c>
      <c r="V170" s="11">
        <v>49.43</v>
      </c>
      <c r="W170" s="11">
        <v>1.0</v>
      </c>
      <c r="X170" s="9" t="s">
        <v>48</v>
      </c>
      <c r="Y170" s="9" t="s">
        <v>304</v>
      </c>
      <c r="Z170" s="12"/>
      <c r="AA170" s="9">
        <v>1305038.0</v>
      </c>
      <c r="AB170" s="12"/>
      <c r="AC170" s="9" t="s">
        <v>50</v>
      </c>
    </row>
    <row r="171">
      <c r="A171" s="9" t="s">
        <v>33</v>
      </c>
      <c r="B171" s="11">
        <v>6.0</v>
      </c>
      <c r="C171" s="9" t="s">
        <v>43</v>
      </c>
      <c r="D171" s="9" t="s">
        <v>55</v>
      </c>
      <c r="E171" s="9" t="s">
        <v>56</v>
      </c>
      <c r="F171" s="9" t="s">
        <v>45</v>
      </c>
      <c r="G171" s="9" t="s">
        <v>46</v>
      </c>
      <c r="H171" s="9" t="s">
        <v>305</v>
      </c>
      <c r="I171" s="11">
        <v>8176722.0</v>
      </c>
      <c r="J171" s="11">
        <v>2.668034E8</v>
      </c>
      <c r="K171" s="13">
        <v>46304.0</v>
      </c>
      <c r="L171" s="14">
        <v>46317.0</v>
      </c>
      <c r="M171" s="12"/>
      <c r="N171" s="9">
        <v>106.0</v>
      </c>
      <c r="O171" s="11">
        <v>7.0</v>
      </c>
      <c r="P171" s="9" t="s">
        <v>44</v>
      </c>
      <c r="Q171" s="12"/>
      <c r="R171" s="12"/>
      <c r="S171" s="9" t="s">
        <v>47</v>
      </c>
      <c r="T171" s="9" t="s">
        <v>44</v>
      </c>
      <c r="U171" s="9" t="s">
        <v>44</v>
      </c>
      <c r="V171" s="11">
        <v>56.93</v>
      </c>
      <c r="W171" s="11">
        <v>3.0</v>
      </c>
      <c r="X171" s="9" t="s">
        <v>48</v>
      </c>
      <c r="Y171" s="9" t="s">
        <v>306</v>
      </c>
      <c r="Z171" s="12"/>
      <c r="AA171" s="9">
        <v>1305805.0</v>
      </c>
      <c r="AB171" s="12"/>
      <c r="AC171" s="9" t="s">
        <v>50</v>
      </c>
    </row>
    <row r="172">
      <c r="A172" s="9" t="s">
        <v>33</v>
      </c>
      <c r="B172" s="11">
        <v>6.0</v>
      </c>
      <c r="C172" s="9" t="s">
        <v>43</v>
      </c>
      <c r="D172" s="9" t="s">
        <v>55</v>
      </c>
      <c r="E172" s="9" t="s">
        <v>56</v>
      </c>
      <c r="F172" s="9" t="s">
        <v>45</v>
      </c>
      <c r="G172" s="9" t="s">
        <v>46</v>
      </c>
      <c r="H172" s="9" t="s">
        <v>298</v>
      </c>
      <c r="I172" s="11">
        <v>8177029.0</v>
      </c>
      <c r="J172" s="11">
        <v>2.66803401E8</v>
      </c>
      <c r="K172" s="13">
        <v>46304.0</v>
      </c>
      <c r="L172" s="14">
        <v>46318.0</v>
      </c>
      <c r="M172" s="12"/>
      <c r="N172" s="9">
        <v>105.0</v>
      </c>
      <c r="O172" s="11">
        <v>9.0</v>
      </c>
      <c r="P172" s="9" t="s">
        <v>44</v>
      </c>
      <c r="Q172" s="12"/>
      <c r="R172" s="12"/>
      <c r="S172" s="9" t="s">
        <v>47</v>
      </c>
      <c r="T172" s="9" t="s">
        <v>44</v>
      </c>
      <c r="U172" s="9" t="s">
        <v>44</v>
      </c>
      <c r="V172" s="11">
        <v>49.43</v>
      </c>
      <c r="W172" s="11">
        <v>1.0</v>
      </c>
      <c r="X172" s="9" t="s">
        <v>48</v>
      </c>
      <c r="Y172" s="9" t="s">
        <v>307</v>
      </c>
      <c r="Z172" s="12"/>
      <c r="AA172" s="9">
        <v>1305258.0</v>
      </c>
      <c r="AB172" s="12"/>
      <c r="AC172" s="9" t="s">
        <v>50</v>
      </c>
    </row>
    <row r="173">
      <c r="A173" s="9" t="s">
        <v>33</v>
      </c>
      <c r="B173" s="11">
        <v>6.0</v>
      </c>
      <c r="C173" s="9" t="s">
        <v>43</v>
      </c>
      <c r="D173" s="9" t="s">
        <v>55</v>
      </c>
      <c r="E173" s="9" t="s">
        <v>56</v>
      </c>
      <c r="F173" s="9" t="s">
        <v>45</v>
      </c>
      <c r="G173" s="9" t="s">
        <v>46</v>
      </c>
      <c r="H173" s="9" t="s">
        <v>308</v>
      </c>
      <c r="I173" s="11">
        <v>8176878.0</v>
      </c>
      <c r="J173" s="11">
        <v>2.66803402E8</v>
      </c>
      <c r="K173" s="13">
        <v>46304.0</v>
      </c>
      <c r="L173" s="14">
        <v>46316.0</v>
      </c>
      <c r="M173" s="12"/>
      <c r="N173" s="9">
        <v>5.0</v>
      </c>
      <c r="O173" s="11">
        <v>7.0</v>
      </c>
      <c r="P173" s="9" t="s">
        <v>44</v>
      </c>
      <c r="Q173" s="12"/>
      <c r="R173" s="12"/>
      <c r="S173" s="9" t="s">
        <v>47</v>
      </c>
      <c r="T173" s="9" t="s">
        <v>44</v>
      </c>
      <c r="U173" s="9" t="s">
        <v>44</v>
      </c>
      <c r="V173" s="11">
        <v>44.59</v>
      </c>
      <c r="W173" s="11">
        <v>1.0</v>
      </c>
      <c r="X173" s="9" t="s">
        <v>48</v>
      </c>
      <c r="Y173" s="9" t="s">
        <v>309</v>
      </c>
      <c r="Z173" s="12"/>
      <c r="AA173" s="9">
        <v>1305032.0</v>
      </c>
      <c r="AB173" s="12"/>
      <c r="AC173" s="9" t="s">
        <v>50</v>
      </c>
    </row>
    <row r="174">
      <c r="A174" s="9" t="s">
        <v>33</v>
      </c>
      <c r="B174" s="11">
        <v>6.0</v>
      </c>
      <c r="C174" s="9" t="s">
        <v>43</v>
      </c>
      <c r="D174" s="9" t="s">
        <v>55</v>
      </c>
      <c r="E174" s="9" t="s">
        <v>56</v>
      </c>
      <c r="F174" s="9" t="s">
        <v>45</v>
      </c>
      <c r="G174" s="9" t="s">
        <v>46</v>
      </c>
      <c r="H174" s="9" t="s">
        <v>308</v>
      </c>
      <c r="I174" s="11">
        <v>8176714.0</v>
      </c>
      <c r="J174" s="11">
        <v>2.66803403E8</v>
      </c>
      <c r="K174" s="13">
        <v>46304.0</v>
      </c>
      <c r="L174" s="14">
        <v>46316.0</v>
      </c>
      <c r="M174" s="12"/>
      <c r="N174" s="9">
        <v>4.0</v>
      </c>
      <c r="O174" s="11">
        <v>7.0</v>
      </c>
      <c r="P174" s="9" t="s">
        <v>44</v>
      </c>
      <c r="Q174" s="12"/>
      <c r="R174" s="12"/>
      <c r="S174" s="9" t="s">
        <v>47</v>
      </c>
      <c r="T174" s="9" t="s">
        <v>44</v>
      </c>
      <c r="U174" s="9" t="s">
        <v>44</v>
      </c>
      <c r="V174" s="11">
        <v>44.59</v>
      </c>
      <c r="W174" s="11">
        <v>1.0</v>
      </c>
      <c r="X174" s="9" t="s">
        <v>48</v>
      </c>
      <c r="Y174" s="9" t="s">
        <v>310</v>
      </c>
      <c r="Z174" s="12"/>
      <c r="AA174" s="9">
        <v>1305808.0</v>
      </c>
      <c r="AB174" s="12"/>
      <c r="AC174" s="9" t="s">
        <v>50</v>
      </c>
    </row>
    <row r="175">
      <c r="A175" s="9" t="s">
        <v>33</v>
      </c>
      <c r="B175" s="11">
        <v>6.0</v>
      </c>
      <c r="C175" s="9" t="s">
        <v>43</v>
      </c>
      <c r="D175" s="9" t="s">
        <v>55</v>
      </c>
      <c r="E175" s="9" t="s">
        <v>56</v>
      </c>
      <c r="F175" s="9" t="s">
        <v>45</v>
      </c>
      <c r="G175" s="9" t="s">
        <v>46</v>
      </c>
      <c r="H175" s="9" t="s">
        <v>311</v>
      </c>
      <c r="I175" s="11">
        <v>8176981.0</v>
      </c>
      <c r="J175" s="11">
        <v>2.66803404E8</v>
      </c>
      <c r="K175" s="13">
        <v>46304.0</v>
      </c>
      <c r="L175" s="14">
        <v>46322.0</v>
      </c>
      <c r="M175" s="12"/>
      <c r="N175" s="9">
        <v>103.0</v>
      </c>
      <c r="O175" s="11">
        <v>11.0</v>
      </c>
      <c r="P175" s="9" t="s">
        <v>44</v>
      </c>
      <c r="Q175" s="12"/>
      <c r="R175" s="12"/>
      <c r="S175" s="9" t="s">
        <v>47</v>
      </c>
      <c r="T175" s="9" t="s">
        <v>44</v>
      </c>
      <c r="U175" s="9" t="s">
        <v>44</v>
      </c>
      <c r="V175" s="11">
        <v>49.43</v>
      </c>
      <c r="W175" s="11">
        <v>1.0</v>
      </c>
      <c r="X175" s="9" t="s">
        <v>48</v>
      </c>
      <c r="Y175" s="9" t="s">
        <v>312</v>
      </c>
      <c r="Z175" s="12"/>
      <c r="AA175" s="9">
        <v>1304109.0</v>
      </c>
      <c r="AB175" s="12"/>
      <c r="AC175" s="9" t="s">
        <v>50</v>
      </c>
    </row>
    <row r="176">
      <c r="A176" s="9" t="s">
        <v>33</v>
      </c>
      <c r="B176" s="11">
        <v>6.0</v>
      </c>
      <c r="C176" s="9" t="s">
        <v>43</v>
      </c>
      <c r="D176" s="9" t="s">
        <v>55</v>
      </c>
      <c r="E176" s="9" t="s">
        <v>56</v>
      </c>
      <c r="F176" s="9" t="s">
        <v>45</v>
      </c>
      <c r="G176" s="9" t="s">
        <v>46</v>
      </c>
      <c r="H176" s="9" t="s">
        <v>311</v>
      </c>
      <c r="I176" s="11">
        <v>8176809.0</v>
      </c>
      <c r="J176" s="11">
        <v>2.66803405E8</v>
      </c>
      <c r="K176" s="13">
        <v>46304.0</v>
      </c>
      <c r="L176" s="14">
        <v>46325.0</v>
      </c>
      <c r="M176" s="12"/>
      <c r="N176" s="9">
        <v>103.0</v>
      </c>
      <c r="O176" s="11">
        <v>14.0</v>
      </c>
      <c r="P176" s="9" t="s">
        <v>44</v>
      </c>
      <c r="Q176" s="12"/>
      <c r="R176" s="12"/>
      <c r="S176" s="9" t="s">
        <v>47</v>
      </c>
      <c r="T176" s="9" t="s">
        <v>44</v>
      </c>
      <c r="U176" s="9" t="s">
        <v>44</v>
      </c>
      <c r="V176" s="11">
        <v>49.43</v>
      </c>
      <c r="W176" s="11">
        <v>1.0</v>
      </c>
      <c r="X176" s="9" t="s">
        <v>48</v>
      </c>
      <c r="Y176" s="9" t="s">
        <v>313</v>
      </c>
      <c r="Z176" s="12"/>
      <c r="AA176" s="9">
        <v>1304038.0</v>
      </c>
      <c r="AB176" s="12"/>
      <c r="AC176" s="9" t="s">
        <v>50</v>
      </c>
    </row>
    <row r="177">
      <c r="A177" s="9" t="s">
        <v>33</v>
      </c>
      <c r="B177" s="11">
        <v>6.0</v>
      </c>
      <c r="C177" s="9" t="s">
        <v>43</v>
      </c>
      <c r="D177" s="9" t="s">
        <v>55</v>
      </c>
      <c r="E177" s="9" t="s">
        <v>56</v>
      </c>
      <c r="F177" s="9" t="s">
        <v>45</v>
      </c>
      <c r="G177" s="9" t="s">
        <v>46</v>
      </c>
      <c r="H177" s="9" t="s">
        <v>311</v>
      </c>
      <c r="I177" s="11">
        <v>8176879.0</v>
      </c>
      <c r="J177" s="11">
        <v>2.66803406E8</v>
      </c>
      <c r="K177" s="13">
        <v>46304.0</v>
      </c>
      <c r="L177" s="14">
        <v>46321.0</v>
      </c>
      <c r="M177" s="12"/>
      <c r="N177" s="9">
        <v>102.0</v>
      </c>
      <c r="O177" s="11">
        <v>10.0</v>
      </c>
      <c r="P177" s="9" t="s">
        <v>44</v>
      </c>
      <c r="Q177" s="12"/>
      <c r="R177" s="12"/>
      <c r="S177" s="9" t="s">
        <v>47</v>
      </c>
      <c r="T177" s="9" t="s">
        <v>44</v>
      </c>
      <c r="U177" s="9" t="s">
        <v>44</v>
      </c>
      <c r="V177" s="11">
        <v>49.43</v>
      </c>
      <c r="W177" s="11">
        <v>1.0</v>
      </c>
      <c r="X177" s="9" t="s">
        <v>48</v>
      </c>
      <c r="Y177" s="9" t="s">
        <v>314</v>
      </c>
      <c r="Z177" s="12"/>
      <c r="AA177" s="9">
        <v>1305705.0</v>
      </c>
      <c r="AB177" s="12"/>
      <c r="AC177" s="9" t="s">
        <v>50</v>
      </c>
    </row>
    <row r="178">
      <c r="A178" s="9" t="s">
        <v>33</v>
      </c>
      <c r="B178" s="11">
        <v>6.0</v>
      </c>
      <c r="C178" s="9" t="s">
        <v>43</v>
      </c>
      <c r="D178" s="9" t="s">
        <v>55</v>
      </c>
      <c r="E178" s="9" t="s">
        <v>56</v>
      </c>
      <c r="F178" s="9" t="s">
        <v>45</v>
      </c>
      <c r="G178" s="9" t="s">
        <v>46</v>
      </c>
      <c r="H178" s="9" t="s">
        <v>311</v>
      </c>
      <c r="I178" s="11">
        <v>8176715.0</v>
      </c>
      <c r="J178" s="11">
        <v>2.66803407E8</v>
      </c>
      <c r="K178" s="13">
        <v>46304.0</v>
      </c>
      <c r="L178" s="14">
        <v>46316.0</v>
      </c>
      <c r="M178" s="12"/>
      <c r="N178" s="9">
        <v>8.0</v>
      </c>
      <c r="O178" s="11">
        <v>7.0</v>
      </c>
      <c r="P178" s="9" t="s">
        <v>44</v>
      </c>
      <c r="Q178" s="12"/>
      <c r="R178" s="12"/>
      <c r="S178" s="9" t="s">
        <v>47</v>
      </c>
      <c r="T178" s="9" t="s">
        <v>44</v>
      </c>
      <c r="U178" s="9" t="s">
        <v>44</v>
      </c>
      <c r="V178" s="11">
        <v>44.59</v>
      </c>
      <c r="W178" s="11">
        <v>1.0</v>
      </c>
      <c r="X178" s="9" t="s">
        <v>48</v>
      </c>
      <c r="Y178" s="9" t="s">
        <v>315</v>
      </c>
      <c r="Z178" s="12"/>
      <c r="AA178" s="9">
        <v>1305821.0</v>
      </c>
      <c r="AB178" s="12"/>
      <c r="AC178" s="9" t="s">
        <v>50</v>
      </c>
    </row>
    <row r="179">
      <c r="A179" s="9" t="s">
        <v>33</v>
      </c>
      <c r="B179" s="11">
        <v>6.0</v>
      </c>
      <c r="C179" s="9" t="s">
        <v>43</v>
      </c>
      <c r="D179" s="9" t="s">
        <v>55</v>
      </c>
      <c r="E179" s="9" t="s">
        <v>56</v>
      </c>
      <c r="F179" s="9" t="s">
        <v>45</v>
      </c>
      <c r="G179" s="9" t="s">
        <v>46</v>
      </c>
      <c r="H179" s="9" t="s">
        <v>311</v>
      </c>
      <c r="I179" s="11">
        <v>8176756.0</v>
      </c>
      <c r="J179" s="11">
        <v>2.66803408E8</v>
      </c>
      <c r="K179" s="13">
        <v>46304.0</v>
      </c>
      <c r="L179" s="14">
        <v>46316.0</v>
      </c>
      <c r="M179" s="12"/>
      <c r="N179" s="9">
        <v>2.0</v>
      </c>
      <c r="O179" s="11">
        <v>7.0</v>
      </c>
      <c r="P179" s="9" t="s">
        <v>44</v>
      </c>
      <c r="Q179" s="12"/>
      <c r="R179" s="9" t="s">
        <v>90</v>
      </c>
      <c r="S179" s="9" t="s">
        <v>47</v>
      </c>
      <c r="T179" s="9" t="s">
        <v>44</v>
      </c>
      <c r="U179" s="9" t="s">
        <v>44</v>
      </c>
      <c r="V179" s="11">
        <v>44.59</v>
      </c>
      <c r="W179" s="11">
        <v>2.0</v>
      </c>
      <c r="X179" s="9" t="s">
        <v>48</v>
      </c>
      <c r="Y179" s="9" t="s">
        <v>316</v>
      </c>
      <c r="Z179" s="12"/>
      <c r="AA179" s="9">
        <v>1305859.0</v>
      </c>
      <c r="AB179" s="12"/>
      <c r="AC179" s="9" t="s">
        <v>50</v>
      </c>
    </row>
    <row r="180">
      <c r="A180" s="9" t="s">
        <v>33</v>
      </c>
      <c r="B180" s="11">
        <v>6.0</v>
      </c>
      <c r="C180" s="9" t="s">
        <v>43</v>
      </c>
      <c r="D180" s="9" t="s">
        <v>55</v>
      </c>
      <c r="E180" s="9" t="s">
        <v>56</v>
      </c>
      <c r="F180" s="9" t="s">
        <v>45</v>
      </c>
      <c r="G180" s="9" t="s">
        <v>46</v>
      </c>
      <c r="H180" s="9" t="s">
        <v>311</v>
      </c>
      <c r="I180" s="11">
        <v>8176810.0</v>
      </c>
      <c r="J180" s="11">
        <v>2.66803409E8</v>
      </c>
      <c r="K180" s="13">
        <v>46304.0</v>
      </c>
      <c r="L180" s="14">
        <v>46322.0</v>
      </c>
      <c r="M180" s="12"/>
      <c r="N180" s="9">
        <v>101.0</v>
      </c>
      <c r="O180" s="11">
        <v>11.0</v>
      </c>
      <c r="P180" s="9" t="s">
        <v>44</v>
      </c>
      <c r="Q180" s="12"/>
      <c r="R180" s="12"/>
      <c r="S180" s="9" t="s">
        <v>47</v>
      </c>
      <c r="T180" s="9" t="s">
        <v>44</v>
      </c>
      <c r="U180" s="9" t="s">
        <v>44</v>
      </c>
      <c r="V180" s="11">
        <v>49.43</v>
      </c>
      <c r="W180" s="11">
        <v>1.0</v>
      </c>
      <c r="X180" s="9" t="s">
        <v>48</v>
      </c>
      <c r="Y180" s="9" t="s">
        <v>317</v>
      </c>
      <c r="Z180" s="12"/>
      <c r="AA180" s="9">
        <v>1305576.0</v>
      </c>
      <c r="AB180" s="12"/>
      <c r="AC180" s="9" t="s">
        <v>50</v>
      </c>
    </row>
    <row r="181">
      <c r="A181" s="9" t="s">
        <v>33</v>
      </c>
      <c r="B181" s="11">
        <v>6.0</v>
      </c>
      <c r="C181" s="9" t="s">
        <v>43</v>
      </c>
      <c r="D181" s="9" t="s">
        <v>55</v>
      </c>
      <c r="E181" s="9" t="s">
        <v>56</v>
      </c>
      <c r="F181" s="9" t="s">
        <v>45</v>
      </c>
      <c r="G181" s="9" t="s">
        <v>46</v>
      </c>
      <c r="H181" s="9" t="s">
        <v>318</v>
      </c>
      <c r="I181" s="11">
        <v>8176906.0</v>
      </c>
      <c r="J181" s="11">
        <v>2.6680341E8</v>
      </c>
      <c r="K181" s="13">
        <v>46304.0</v>
      </c>
      <c r="L181" s="14">
        <v>46323.0</v>
      </c>
      <c r="M181" s="12"/>
      <c r="N181" s="9">
        <v>102.0</v>
      </c>
      <c r="O181" s="11">
        <v>12.0</v>
      </c>
      <c r="P181" s="9" t="s">
        <v>44</v>
      </c>
      <c r="Q181" s="12"/>
      <c r="R181" s="12"/>
      <c r="S181" s="9" t="s">
        <v>47</v>
      </c>
      <c r="T181" s="9" t="s">
        <v>44</v>
      </c>
      <c r="U181" s="9" t="s">
        <v>44</v>
      </c>
      <c r="V181" s="11">
        <v>49.43</v>
      </c>
      <c r="W181" s="11">
        <v>2.0</v>
      </c>
      <c r="X181" s="9" t="s">
        <v>48</v>
      </c>
      <c r="Y181" s="9" t="s">
        <v>319</v>
      </c>
      <c r="Z181" s="12"/>
      <c r="AA181" s="9">
        <v>1305860.0</v>
      </c>
      <c r="AB181" s="12"/>
      <c r="AC181" s="9" t="s">
        <v>50</v>
      </c>
    </row>
    <row r="182">
      <c r="A182" s="9" t="s">
        <v>33</v>
      </c>
      <c r="B182" s="11">
        <v>6.0</v>
      </c>
      <c r="C182" s="9" t="s">
        <v>43</v>
      </c>
      <c r="D182" s="9" t="s">
        <v>55</v>
      </c>
      <c r="E182" s="9" t="s">
        <v>56</v>
      </c>
      <c r="F182" s="9" t="s">
        <v>45</v>
      </c>
      <c r="G182" s="9" t="s">
        <v>46</v>
      </c>
      <c r="H182" s="9" t="s">
        <v>278</v>
      </c>
      <c r="I182" s="11">
        <v>8176781.0</v>
      </c>
      <c r="J182" s="11">
        <v>2.66803411E8</v>
      </c>
      <c r="K182" s="13">
        <v>46304.0</v>
      </c>
      <c r="L182" s="13">
        <v>46330.0</v>
      </c>
      <c r="M182" s="12"/>
      <c r="N182" s="9">
        <v>101.0</v>
      </c>
      <c r="O182" s="11">
        <v>16.0</v>
      </c>
      <c r="P182" s="9" t="s">
        <v>44</v>
      </c>
      <c r="Q182" s="12"/>
      <c r="R182" s="12"/>
      <c r="S182" s="9" t="s">
        <v>47</v>
      </c>
      <c r="T182" s="9" t="s">
        <v>44</v>
      </c>
      <c r="U182" s="9" t="s">
        <v>44</v>
      </c>
      <c r="V182" s="11">
        <v>49.43</v>
      </c>
      <c r="W182" s="11">
        <v>1.0</v>
      </c>
      <c r="X182" s="9" t="s">
        <v>48</v>
      </c>
      <c r="Y182" s="9" t="s">
        <v>320</v>
      </c>
      <c r="Z182" s="12"/>
      <c r="AA182" s="9">
        <v>1305174.0</v>
      </c>
      <c r="AB182" s="12"/>
      <c r="AC182" s="9" t="s">
        <v>50</v>
      </c>
    </row>
    <row r="183">
      <c r="A183" s="9" t="s">
        <v>33</v>
      </c>
      <c r="B183" s="11">
        <v>6.0</v>
      </c>
      <c r="C183" s="9" t="s">
        <v>43</v>
      </c>
      <c r="D183" s="9" t="s">
        <v>55</v>
      </c>
      <c r="E183" s="9" t="s">
        <v>56</v>
      </c>
      <c r="F183" s="9" t="s">
        <v>45</v>
      </c>
      <c r="G183" s="9" t="s">
        <v>46</v>
      </c>
      <c r="H183" s="9" t="s">
        <v>321</v>
      </c>
      <c r="I183" s="11">
        <v>8176940.0</v>
      </c>
      <c r="J183" s="11">
        <v>2.66803412E8</v>
      </c>
      <c r="K183" s="13">
        <v>46304.0</v>
      </c>
      <c r="L183" s="13">
        <v>46329.0</v>
      </c>
      <c r="M183" s="12"/>
      <c r="N183" s="9">
        <v>104.0</v>
      </c>
      <c r="O183" s="11">
        <v>15.0</v>
      </c>
      <c r="P183" s="9" t="s">
        <v>44</v>
      </c>
      <c r="Q183" s="12"/>
      <c r="R183" s="12"/>
      <c r="S183" s="9" t="s">
        <v>47</v>
      </c>
      <c r="T183" s="9" t="s">
        <v>44</v>
      </c>
      <c r="U183" s="9" t="s">
        <v>44</v>
      </c>
      <c r="V183" s="11">
        <v>49.43</v>
      </c>
      <c r="W183" s="11">
        <v>1.0</v>
      </c>
      <c r="X183" s="9" t="s">
        <v>48</v>
      </c>
      <c r="Y183" s="9" t="s">
        <v>322</v>
      </c>
      <c r="Z183" s="12"/>
      <c r="AA183" s="9">
        <v>1305380.0</v>
      </c>
      <c r="AB183" s="12"/>
      <c r="AC183" s="9" t="s">
        <v>50</v>
      </c>
    </row>
    <row r="184">
      <c r="A184" s="9" t="s">
        <v>33</v>
      </c>
      <c r="B184" s="11">
        <v>6.0</v>
      </c>
      <c r="C184" s="9" t="s">
        <v>43</v>
      </c>
      <c r="D184" s="9" t="s">
        <v>55</v>
      </c>
      <c r="E184" s="9" t="s">
        <v>56</v>
      </c>
      <c r="F184" s="9" t="s">
        <v>45</v>
      </c>
      <c r="G184" s="9" t="s">
        <v>46</v>
      </c>
      <c r="H184" s="9" t="s">
        <v>149</v>
      </c>
      <c r="I184" s="11">
        <v>8176811.0</v>
      </c>
      <c r="J184" s="11">
        <v>2.66803413E8</v>
      </c>
      <c r="K184" s="13">
        <v>46304.0</v>
      </c>
      <c r="L184" s="14">
        <v>46316.0</v>
      </c>
      <c r="M184" s="12"/>
      <c r="N184" s="9">
        <v>2401.0</v>
      </c>
      <c r="O184" s="11">
        <v>7.0</v>
      </c>
      <c r="P184" s="9" t="s">
        <v>44</v>
      </c>
      <c r="Q184" s="12"/>
      <c r="R184" s="12"/>
      <c r="S184" s="9" t="s">
        <v>47</v>
      </c>
      <c r="T184" s="9" t="s">
        <v>44</v>
      </c>
      <c r="U184" s="9" t="s">
        <v>44</v>
      </c>
      <c r="V184" s="11">
        <v>45.49</v>
      </c>
      <c r="W184" s="11">
        <v>1.0</v>
      </c>
      <c r="X184" s="9" t="s">
        <v>48</v>
      </c>
      <c r="Y184" s="9" t="s">
        <v>323</v>
      </c>
      <c r="Z184" s="12"/>
      <c r="AA184" s="9">
        <v>1305521.0</v>
      </c>
      <c r="AB184" s="12"/>
      <c r="AC184" s="9" t="s">
        <v>50</v>
      </c>
    </row>
    <row r="185">
      <c r="A185" s="9" t="s">
        <v>33</v>
      </c>
      <c r="B185" s="11">
        <v>6.0</v>
      </c>
      <c r="C185" s="9" t="s">
        <v>43</v>
      </c>
      <c r="D185" s="9" t="s">
        <v>55</v>
      </c>
      <c r="E185" s="9" t="s">
        <v>56</v>
      </c>
      <c r="F185" s="9" t="s">
        <v>45</v>
      </c>
      <c r="G185" s="9" t="s">
        <v>46</v>
      </c>
      <c r="H185" s="9" t="s">
        <v>324</v>
      </c>
      <c r="I185" s="11">
        <v>8176941.0</v>
      </c>
      <c r="J185" s="11">
        <v>2.66803415E8</v>
      </c>
      <c r="K185" s="13">
        <v>46304.0</v>
      </c>
      <c r="L185" s="14">
        <v>46314.0</v>
      </c>
      <c r="M185" s="12"/>
      <c r="N185" s="9">
        <v>18.0</v>
      </c>
      <c r="O185" s="11">
        <v>5.0</v>
      </c>
      <c r="P185" s="9" t="s">
        <v>44</v>
      </c>
      <c r="Q185" s="12"/>
      <c r="R185" s="9" t="s">
        <v>90</v>
      </c>
      <c r="S185" s="9" t="s">
        <v>47</v>
      </c>
      <c r="T185" s="9" t="s">
        <v>44</v>
      </c>
      <c r="U185" s="9" t="s">
        <v>44</v>
      </c>
      <c r="V185" s="11">
        <v>33.82</v>
      </c>
      <c r="W185" s="11">
        <v>2.0</v>
      </c>
      <c r="X185" s="9" t="s">
        <v>48</v>
      </c>
      <c r="Y185" s="9" t="s">
        <v>325</v>
      </c>
      <c r="Z185" s="12"/>
      <c r="AA185" s="9">
        <v>1305843.0</v>
      </c>
      <c r="AB185" s="12"/>
      <c r="AC185" s="9" t="s">
        <v>50</v>
      </c>
    </row>
    <row r="186">
      <c r="A186" s="9" t="s">
        <v>33</v>
      </c>
      <c r="B186" s="11">
        <v>6.0</v>
      </c>
      <c r="C186" s="9" t="s">
        <v>43</v>
      </c>
      <c r="D186" s="9" t="s">
        <v>55</v>
      </c>
      <c r="E186" s="9" t="s">
        <v>56</v>
      </c>
      <c r="F186" s="9" t="s">
        <v>45</v>
      </c>
      <c r="G186" s="9" t="s">
        <v>46</v>
      </c>
      <c r="H186" s="9" t="s">
        <v>326</v>
      </c>
      <c r="I186" s="11">
        <v>8176711.0</v>
      </c>
      <c r="J186" s="11">
        <v>2.66803416E8</v>
      </c>
      <c r="K186" s="13">
        <v>46304.0</v>
      </c>
      <c r="L186" s="14">
        <v>46316.0</v>
      </c>
      <c r="M186" s="12"/>
      <c r="N186" s="9" t="s">
        <v>327</v>
      </c>
      <c r="O186" s="11">
        <v>7.0</v>
      </c>
      <c r="P186" s="9" t="s">
        <v>44</v>
      </c>
      <c r="Q186" s="12"/>
      <c r="R186" s="9" t="s">
        <v>52</v>
      </c>
      <c r="S186" s="9" t="s">
        <v>47</v>
      </c>
      <c r="T186" s="9" t="s">
        <v>44</v>
      </c>
      <c r="U186" s="9" t="s">
        <v>44</v>
      </c>
      <c r="V186" s="11">
        <v>45.49</v>
      </c>
      <c r="W186" s="11">
        <v>1.0</v>
      </c>
      <c r="X186" s="9" t="s">
        <v>48</v>
      </c>
      <c r="Y186" s="9" t="s">
        <v>328</v>
      </c>
      <c r="Z186" s="12"/>
      <c r="AA186" s="9">
        <v>1305934.0</v>
      </c>
      <c r="AB186" s="12"/>
      <c r="AC186" s="9" t="s">
        <v>50</v>
      </c>
    </row>
    <row r="187">
      <c r="A187" s="9" t="s">
        <v>33</v>
      </c>
      <c r="B187" s="11">
        <v>6.0</v>
      </c>
      <c r="C187" s="9" t="s">
        <v>43</v>
      </c>
      <c r="D187" s="9" t="s">
        <v>55</v>
      </c>
      <c r="E187" s="9" t="s">
        <v>56</v>
      </c>
      <c r="F187" s="9" t="s">
        <v>45</v>
      </c>
      <c r="G187" s="9" t="s">
        <v>46</v>
      </c>
      <c r="H187" s="9" t="s">
        <v>324</v>
      </c>
      <c r="I187" s="11">
        <v>8176782.0</v>
      </c>
      <c r="J187" s="11">
        <v>2.66803417E8</v>
      </c>
      <c r="K187" s="13">
        <v>46304.0</v>
      </c>
      <c r="L187" s="14">
        <v>46314.0</v>
      </c>
      <c r="M187" s="12"/>
      <c r="N187" s="9">
        <v>3.0</v>
      </c>
      <c r="O187" s="11">
        <v>5.0</v>
      </c>
      <c r="P187" s="9" t="s">
        <v>44</v>
      </c>
      <c r="Q187" s="12"/>
      <c r="R187" s="9" t="s">
        <v>90</v>
      </c>
      <c r="S187" s="9" t="s">
        <v>47</v>
      </c>
      <c r="T187" s="9" t="s">
        <v>44</v>
      </c>
      <c r="U187" s="9" t="s">
        <v>44</v>
      </c>
      <c r="V187" s="11">
        <v>33.82</v>
      </c>
      <c r="W187" s="11">
        <v>1.0</v>
      </c>
      <c r="X187" s="9" t="s">
        <v>48</v>
      </c>
      <c r="Y187" s="9" t="s">
        <v>329</v>
      </c>
      <c r="Z187" s="12"/>
      <c r="AA187" s="9">
        <v>1305513.0</v>
      </c>
      <c r="AB187" s="12"/>
      <c r="AC187" s="9" t="s">
        <v>50</v>
      </c>
    </row>
    <row r="188">
      <c r="A188" s="9" t="s">
        <v>33</v>
      </c>
      <c r="B188" s="11">
        <v>6.0</v>
      </c>
      <c r="C188" s="9" t="s">
        <v>43</v>
      </c>
      <c r="D188" s="9" t="s">
        <v>55</v>
      </c>
      <c r="E188" s="9" t="s">
        <v>56</v>
      </c>
      <c r="F188" s="9" t="s">
        <v>45</v>
      </c>
      <c r="G188" s="9" t="s">
        <v>46</v>
      </c>
      <c r="H188" s="9" t="s">
        <v>324</v>
      </c>
      <c r="I188" s="11">
        <v>8176942.0</v>
      </c>
      <c r="J188" s="11">
        <v>2.66803418E8</v>
      </c>
      <c r="K188" s="13">
        <v>46304.0</v>
      </c>
      <c r="L188" s="14">
        <v>46314.0</v>
      </c>
      <c r="M188" s="12"/>
      <c r="N188" s="9">
        <v>29.0</v>
      </c>
      <c r="O188" s="11">
        <v>5.0</v>
      </c>
      <c r="P188" s="9" t="s">
        <v>44</v>
      </c>
      <c r="Q188" s="12"/>
      <c r="R188" s="9" t="s">
        <v>90</v>
      </c>
      <c r="S188" s="9" t="s">
        <v>47</v>
      </c>
      <c r="T188" s="9" t="s">
        <v>44</v>
      </c>
      <c r="U188" s="9" t="s">
        <v>44</v>
      </c>
      <c r="V188" s="11">
        <v>33.82</v>
      </c>
      <c r="W188" s="11">
        <v>1.0</v>
      </c>
      <c r="X188" s="9" t="s">
        <v>48</v>
      </c>
      <c r="Y188" s="9" t="s">
        <v>330</v>
      </c>
      <c r="Z188" s="12"/>
      <c r="AA188" s="9">
        <v>1305385.0</v>
      </c>
      <c r="AB188" s="12"/>
      <c r="AC188" s="9" t="s">
        <v>50</v>
      </c>
    </row>
    <row r="189">
      <c r="A189" s="9" t="s">
        <v>33</v>
      </c>
      <c r="B189" s="11">
        <v>6.0</v>
      </c>
      <c r="C189" s="9" t="s">
        <v>43</v>
      </c>
      <c r="D189" s="9" t="s">
        <v>55</v>
      </c>
      <c r="E189" s="9" t="s">
        <v>56</v>
      </c>
      <c r="F189" s="9" t="s">
        <v>45</v>
      </c>
      <c r="G189" s="9" t="s">
        <v>46</v>
      </c>
      <c r="H189" s="9" t="s">
        <v>324</v>
      </c>
      <c r="I189" s="11">
        <v>8176852.0</v>
      </c>
      <c r="J189" s="11">
        <v>2.66803419E8</v>
      </c>
      <c r="K189" s="13">
        <v>46304.0</v>
      </c>
      <c r="L189" s="14">
        <v>46314.0</v>
      </c>
      <c r="M189" s="12"/>
      <c r="N189" s="9">
        <v>101.0</v>
      </c>
      <c r="O189" s="11">
        <v>5.0</v>
      </c>
      <c r="P189" s="9" t="s">
        <v>44</v>
      </c>
      <c r="Q189" s="12"/>
      <c r="R189" s="9" t="s">
        <v>90</v>
      </c>
      <c r="S189" s="9" t="s">
        <v>47</v>
      </c>
      <c r="T189" s="9" t="s">
        <v>44</v>
      </c>
      <c r="U189" s="9" t="s">
        <v>44</v>
      </c>
      <c r="V189" s="11">
        <v>37.78</v>
      </c>
      <c r="W189" s="11">
        <v>1.0</v>
      </c>
      <c r="X189" s="9" t="s">
        <v>48</v>
      </c>
      <c r="Y189" s="9" t="s">
        <v>331</v>
      </c>
      <c r="Z189" s="12"/>
      <c r="AA189" s="9">
        <v>1305614.0</v>
      </c>
      <c r="AB189" s="12"/>
      <c r="AC189" s="9" t="s">
        <v>50</v>
      </c>
    </row>
    <row r="190">
      <c r="A190" s="9" t="s">
        <v>33</v>
      </c>
      <c r="B190" s="11">
        <v>6.0</v>
      </c>
      <c r="C190" s="9" t="s">
        <v>43</v>
      </c>
      <c r="D190" s="9" t="s">
        <v>55</v>
      </c>
      <c r="E190" s="9" t="s">
        <v>56</v>
      </c>
      <c r="F190" s="9" t="s">
        <v>45</v>
      </c>
      <c r="G190" s="9" t="s">
        <v>46</v>
      </c>
      <c r="H190" s="9" t="s">
        <v>324</v>
      </c>
      <c r="I190" s="11">
        <v>8176853.0</v>
      </c>
      <c r="J190" s="11">
        <v>2.6680342E8</v>
      </c>
      <c r="K190" s="13">
        <v>46304.0</v>
      </c>
      <c r="L190" s="14">
        <v>46314.0</v>
      </c>
      <c r="M190" s="12"/>
      <c r="N190" s="9">
        <v>103.0</v>
      </c>
      <c r="O190" s="11">
        <v>5.0</v>
      </c>
      <c r="P190" s="9" t="s">
        <v>44</v>
      </c>
      <c r="Q190" s="12"/>
      <c r="R190" s="9" t="s">
        <v>90</v>
      </c>
      <c r="S190" s="9" t="s">
        <v>47</v>
      </c>
      <c r="T190" s="9" t="s">
        <v>44</v>
      </c>
      <c r="U190" s="9" t="s">
        <v>44</v>
      </c>
      <c r="V190" s="11">
        <v>33.82</v>
      </c>
      <c r="W190" s="11">
        <v>1.0</v>
      </c>
      <c r="X190" s="9" t="s">
        <v>48</v>
      </c>
      <c r="Y190" s="9" t="s">
        <v>332</v>
      </c>
      <c r="Z190" s="12"/>
      <c r="AA190" s="9">
        <v>1305471.0</v>
      </c>
      <c r="AB190" s="12"/>
      <c r="AC190" s="9" t="s">
        <v>50</v>
      </c>
    </row>
    <row r="191">
      <c r="A191" s="9" t="s">
        <v>33</v>
      </c>
      <c r="B191" s="11">
        <v>6.0</v>
      </c>
      <c r="C191" s="9" t="s">
        <v>43</v>
      </c>
      <c r="D191" s="9" t="s">
        <v>55</v>
      </c>
      <c r="E191" s="9" t="s">
        <v>56</v>
      </c>
      <c r="F191" s="9" t="s">
        <v>45</v>
      </c>
      <c r="G191" s="9" t="s">
        <v>46</v>
      </c>
      <c r="H191" s="9" t="s">
        <v>80</v>
      </c>
      <c r="I191" s="11">
        <v>8176783.0</v>
      </c>
      <c r="J191" s="11">
        <v>2.66803421E8</v>
      </c>
      <c r="K191" s="13">
        <v>46304.0</v>
      </c>
      <c r="L191" s="14">
        <v>46314.0</v>
      </c>
      <c r="M191" s="12"/>
      <c r="N191" s="9">
        <v>66.0</v>
      </c>
      <c r="O191" s="11">
        <v>5.0</v>
      </c>
      <c r="P191" s="9" t="s">
        <v>44</v>
      </c>
      <c r="Q191" s="12"/>
      <c r="R191" s="12"/>
      <c r="S191" s="9" t="s">
        <v>47</v>
      </c>
      <c r="T191" s="9" t="s">
        <v>44</v>
      </c>
      <c r="U191" s="9" t="s">
        <v>44</v>
      </c>
      <c r="V191" s="11">
        <v>31.77</v>
      </c>
      <c r="W191" s="11">
        <v>1.0</v>
      </c>
      <c r="X191" s="9" t="s">
        <v>48</v>
      </c>
      <c r="Y191" s="9" t="s">
        <v>333</v>
      </c>
      <c r="Z191" s="12"/>
      <c r="AA191" s="9">
        <v>1303613.0</v>
      </c>
      <c r="AB191" s="12"/>
      <c r="AC191" s="9" t="s">
        <v>50</v>
      </c>
    </row>
    <row r="192">
      <c r="A192" s="9" t="s">
        <v>33</v>
      </c>
      <c r="B192" s="11">
        <v>6.0</v>
      </c>
      <c r="C192" s="9" t="s">
        <v>43</v>
      </c>
      <c r="D192" s="9" t="s">
        <v>55</v>
      </c>
      <c r="E192" s="9" t="s">
        <v>56</v>
      </c>
      <c r="F192" s="9" t="s">
        <v>45</v>
      </c>
      <c r="G192" s="9" t="s">
        <v>46</v>
      </c>
      <c r="H192" s="9" t="s">
        <v>80</v>
      </c>
      <c r="I192" s="11">
        <v>8176737.0</v>
      </c>
      <c r="J192" s="11">
        <v>2.66803422E8</v>
      </c>
      <c r="K192" s="13">
        <v>46304.0</v>
      </c>
      <c r="L192" s="14">
        <v>46318.0</v>
      </c>
      <c r="M192" s="12"/>
      <c r="N192" s="9">
        <v>208.0</v>
      </c>
      <c r="O192" s="11">
        <v>9.0</v>
      </c>
      <c r="P192" s="9" t="s">
        <v>44</v>
      </c>
      <c r="Q192" s="12"/>
      <c r="R192" s="12"/>
      <c r="S192" s="9" t="s">
        <v>47</v>
      </c>
      <c r="T192" s="9" t="s">
        <v>44</v>
      </c>
      <c r="U192" s="9" t="s">
        <v>44</v>
      </c>
      <c r="V192" s="11">
        <v>37.78</v>
      </c>
      <c r="W192" s="11">
        <v>2.0</v>
      </c>
      <c r="X192" s="9" t="s">
        <v>48</v>
      </c>
      <c r="Y192" s="9" t="s">
        <v>334</v>
      </c>
      <c r="Z192" s="12"/>
      <c r="AA192" s="9">
        <v>1305882.0</v>
      </c>
      <c r="AB192" s="12"/>
      <c r="AC192" s="9" t="s">
        <v>50</v>
      </c>
    </row>
    <row r="193">
      <c r="A193" s="9" t="s">
        <v>33</v>
      </c>
      <c r="B193" s="11">
        <v>6.0</v>
      </c>
      <c r="C193" s="9" t="s">
        <v>43</v>
      </c>
      <c r="D193" s="9" t="s">
        <v>55</v>
      </c>
      <c r="E193" s="9" t="s">
        <v>56</v>
      </c>
      <c r="F193" s="9" t="s">
        <v>45</v>
      </c>
      <c r="G193" s="9" t="s">
        <v>46</v>
      </c>
      <c r="H193" s="9" t="s">
        <v>335</v>
      </c>
      <c r="I193" s="11">
        <v>8176907.0</v>
      </c>
      <c r="J193" s="11">
        <v>2.66803423E8</v>
      </c>
      <c r="K193" s="13">
        <v>46304.0</v>
      </c>
      <c r="L193" s="14">
        <v>46322.0</v>
      </c>
      <c r="M193" s="12"/>
      <c r="N193" s="9">
        <v>1.0</v>
      </c>
      <c r="O193" s="11">
        <v>11.0</v>
      </c>
      <c r="P193" s="9" t="s">
        <v>44</v>
      </c>
      <c r="Q193" s="12"/>
      <c r="R193" s="9" t="s">
        <v>90</v>
      </c>
      <c r="S193" s="9" t="s">
        <v>47</v>
      </c>
      <c r="T193" s="9" t="s">
        <v>44</v>
      </c>
      <c r="U193" s="9" t="s">
        <v>44</v>
      </c>
      <c r="V193" s="11">
        <v>31.77</v>
      </c>
      <c r="W193" s="11">
        <v>3.0</v>
      </c>
      <c r="X193" s="9" t="s">
        <v>48</v>
      </c>
      <c r="Y193" s="9" t="s">
        <v>336</v>
      </c>
      <c r="Z193" s="12"/>
      <c r="AA193" s="9">
        <v>1305838.0</v>
      </c>
      <c r="AB193" s="12"/>
      <c r="AC193" s="9" t="s">
        <v>50</v>
      </c>
    </row>
    <row r="194">
      <c r="A194" s="9" t="s">
        <v>33</v>
      </c>
      <c r="B194" s="11">
        <v>6.0</v>
      </c>
      <c r="C194" s="9" t="s">
        <v>43</v>
      </c>
      <c r="D194" s="9" t="s">
        <v>55</v>
      </c>
      <c r="E194" s="9" t="s">
        <v>56</v>
      </c>
      <c r="F194" s="9" t="s">
        <v>45</v>
      </c>
      <c r="G194" s="9" t="s">
        <v>46</v>
      </c>
      <c r="H194" s="9" t="s">
        <v>335</v>
      </c>
      <c r="I194" s="11">
        <v>8176784.0</v>
      </c>
      <c r="J194" s="11">
        <v>2.66803424E8</v>
      </c>
      <c r="K194" s="13">
        <v>46304.0</v>
      </c>
      <c r="L194" s="14">
        <v>46322.0</v>
      </c>
      <c r="M194" s="12"/>
      <c r="N194" s="9">
        <v>1.0</v>
      </c>
      <c r="O194" s="11">
        <v>11.0</v>
      </c>
      <c r="P194" s="9" t="s">
        <v>44</v>
      </c>
      <c r="Q194" s="12"/>
      <c r="R194" s="9" t="s">
        <v>90</v>
      </c>
      <c r="S194" s="9" t="s">
        <v>47</v>
      </c>
      <c r="T194" s="9" t="s">
        <v>44</v>
      </c>
      <c r="U194" s="9" t="s">
        <v>44</v>
      </c>
      <c r="V194" s="11">
        <v>31.77</v>
      </c>
      <c r="W194" s="11">
        <v>1.0</v>
      </c>
      <c r="X194" s="9" t="s">
        <v>48</v>
      </c>
      <c r="Y194" s="9" t="s">
        <v>337</v>
      </c>
      <c r="Z194" s="12"/>
      <c r="AA194" s="9">
        <v>1305206.0</v>
      </c>
      <c r="AB194" s="12"/>
      <c r="AC194" s="9" t="s">
        <v>50</v>
      </c>
    </row>
    <row r="195">
      <c r="A195" s="9" t="s">
        <v>33</v>
      </c>
      <c r="B195" s="11">
        <v>6.0</v>
      </c>
      <c r="C195" s="9" t="s">
        <v>43</v>
      </c>
      <c r="D195" s="9" t="s">
        <v>55</v>
      </c>
      <c r="E195" s="9" t="s">
        <v>56</v>
      </c>
      <c r="F195" s="9" t="s">
        <v>45</v>
      </c>
      <c r="G195" s="9" t="s">
        <v>46</v>
      </c>
      <c r="H195" s="9" t="s">
        <v>191</v>
      </c>
      <c r="I195" s="11">
        <v>8176723.0</v>
      </c>
      <c r="J195" s="11">
        <v>2.66803425E8</v>
      </c>
      <c r="K195" s="13">
        <v>46304.0</v>
      </c>
      <c r="L195" s="14">
        <v>46316.0</v>
      </c>
      <c r="M195" s="12"/>
      <c r="N195" s="9">
        <v>455.0</v>
      </c>
      <c r="O195" s="11">
        <v>7.0</v>
      </c>
      <c r="P195" s="9" t="s">
        <v>44</v>
      </c>
      <c r="Q195" s="12"/>
      <c r="R195" s="9" t="s">
        <v>52</v>
      </c>
      <c r="S195" s="9" t="s">
        <v>47</v>
      </c>
      <c r="T195" s="9" t="s">
        <v>44</v>
      </c>
      <c r="U195" s="9" t="s">
        <v>44</v>
      </c>
      <c r="V195" s="11">
        <v>45.49</v>
      </c>
      <c r="W195" s="11">
        <v>2.0</v>
      </c>
      <c r="X195" s="9" t="s">
        <v>48</v>
      </c>
      <c r="Y195" s="9" t="s">
        <v>338</v>
      </c>
      <c r="Z195" s="12"/>
      <c r="AA195" s="9">
        <v>1305864.0</v>
      </c>
      <c r="AB195" s="12"/>
      <c r="AC195" s="9" t="s">
        <v>50</v>
      </c>
    </row>
    <row r="196">
      <c r="A196" s="9" t="s">
        <v>33</v>
      </c>
      <c r="B196" s="11">
        <v>6.0</v>
      </c>
      <c r="C196" s="9" t="s">
        <v>43</v>
      </c>
      <c r="D196" s="9" t="s">
        <v>44</v>
      </c>
      <c r="E196" s="12"/>
      <c r="F196" s="9" t="s">
        <v>45</v>
      </c>
      <c r="G196" s="9" t="s">
        <v>46</v>
      </c>
      <c r="H196" s="9" t="s">
        <v>46</v>
      </c>
      <c r="I196" s="11">
        <v>947.0</v>
      </c>
      <c r="J196" s="11">
        <v>2.66803426E8</v>
      </c>
      <c r="K196" s="13">
        <v>46304.0</v>
      </c>
      <c r="L196" s="14">
        <v>46314.0</v>
      </c>
      <c r="M196" s="12"/>
      <c r="N196" s="9">
        <v>1.0</v>
      </c>
      <c r="O196" s="11">
        <v>5.0</v>
      </c>
      <c r="P196" s="9" t="s">
        <v>44</v>
      </c>
      <c r="Q196" s="12"/>
      <c r="R196" s="12"/>
      <c r="S196" s="9" t="s">
        <v>47</v>
      </c>
      <c r="T196" s="9" t="s">
        <v>44</v>
      </c>
      <c r="U196" s="9" t="s">
        <v>44</v>
      </c>
      <c r="V196" s="11">
        <v>34.87</v>
      </c>
      <c r="W196" s="11">
        <v>1.0</v>
      </c>
      <c r="X196" s="9" t="s">
        <v>48</v>
      </c>
      <c r="Y196" s="9" t="s">
        <v>339</v>
      </c>
      <c r="Z196" s="12"/>
      <c r="AA196" s="9">
        <v>1305913.0</v>
      </c>
      <c r="AB196" s="12"/>
      <c r="AC196" s="9" t="s">
        <v>50</v>
      </c>
    </row>
    <row r="197">
      <c r="A197" s="9" t="s">
        <v>33</v>
      </c>
      <c r="B197" s="11">
        <v>6.0</v>
      </c>
      <c r="C197" s="9" t="s">
        <v>43</v>
      </c>
      <c r="D197" s="9" t="s">
        <v>55</v>
      </c>
      <c r="E197" s="9" t="s">
        <v>56</v>
      </c>
      <c r="F197" s="9" t="s">
        <v>45</v>
      </c>
      <c r="G197" s="9" t="s">
        <v>46</v>
      </c>
      <c r="H197" s="9" t="s">
        <v>191</v>
      </c>
      <c r="I197" s="11">
        <v>8176785.0</v>
      </c>
      <c r="J197" s="11">
        <v>2.66803427E8</v>
      </c>
      <c r="K197" s="13">
        <v>46304.0</v>
      </c>
      <c r="L197" s="14">
        <v>46316.0</v>
      </c>
      <c r="M197" s="12"/>
      <c r="N197" s="9">
        <v>462.0</v>
      </c>
      <c r="O197" s="11">
        <v>7.0</v>
      </c>
      <c r="P197" s="9" t="s">
        <v>44</v>
      </c>
      <c r="Q197" s="12"/>
      <c r="R197" s="9" t="s">
        <v>52</v>
      </c>
      <c r="S197" s="9" t="s">
        <v>47</v>
      </c>
      <c r="T197" s="9" t="s">
        <v>44</v>
      </c>
      <c r="U197" s="9" t="s">
        <v>44</v>
      </c>
      <c r="V197" s="11">
        <v>45.49</v>
      </c>
      <c r="W197" s="11">
        <v>1.0</v>
      </c>
      <c r="X197" s="9" t="s">
        <v>48</v>
      </c>
      <c r="Y197" s="9" t="s">
        <v>340</v>
      </c>
      <c r="Z197" s="12"/>
      <c r="AA197" s="9">
        <v>1304847.0</v>
      </c>
      <c r="AB197" s="12"/>
      <c r="AC197" s="9" t="s">
        <v>50</v>
      </c>
    </row>
    <row r="198">
      <c r="A198" s="9" t="s">
        <v>33</v>
      </c>
      <c r="B198" s="11">
        <v>6.0</v>
      </c>
      <c r="C198" s="9" t="s">
        <v>43</v>
      </c>
      <c r="D198" s="9" t="s">
        <v>55</v>
      </c>
      <c r="E198" s="9" t="s">
        <v>56</v>
      </c>
      <c r="F198" s="9" t="s">
        <v>45</v>
      </c>
      <c r="G198" s="9" t="s">
        <v>46</v>
      </c>
      <c r="H198" s="9" t="s">
        <v>80</v>
      </c>
      <c r="I198" s="11">
        <v>8176738.0</v>
      </c>
      <c r="J198" s="11">
        <v>2.66803428E8</v>
      </c>
      <c r="K198" s="13">
        <v>46304.0</v>
      </c>
      <c r="L198" s="14">
        <v>46323.0</v>
      </c>
      <c r="M198" s="12"/>
      <c r="N198" s="9">
        <v>204.0</v>
      </c>
      <c r="O198" s="11">
        <v>12.0</v>
      </c>
      <c r="P198" s="9" t="s">
        <v>44</v>
      </c>
      <c r="Q198" s="12"/>
      <c r="R198" s="12"/>
      <c r="S198" s="9" t="s">
        <v>47</v>
      </c>
      <c r="T198" s="9" t="s">
        <v>44</v>
      </c>
      <c r="U198" s="9" t="s">
        <v>44</v>
      </c>
      <c r="V198" s="11">
        <v>37.78</v>
      </c>
      <c r="W198" s="11">
        <v>2.0</v>
      </c>
      <c r="X198" s="9" t="s">
        <v>48</v>
      </c>
      <c r="Y198" s="9" t="s">
        <v>341</v>
      </c>
      <c r="Z198" s="12"/>
      <c r="AA198" s="9">
        <v>1305899.0</v>
      </c>
      <c r="AB198" s="12"/>
      <c r="AC198" s="9" t="s">
        <v>50</v>
      </c>
    </row>
    <row r="199">
      <c r="A199" s="9" t="s">
        <v>33</v>
      </c>
      <c r="B199" s="11">
        <v>6.0</v>
      </c>
      <c r="C199" s="9" t="s">
        <v>43</v>
      </c>
      <c r="D199" s="9" t="s">
        <v>55</v>
      </c>
      <c r="E199" s="9" t="s">
        <v>56</v>
      </c>
      <c r="F199" s="9" t="s">
        <v>45</v>
      </c>
      <c r="G199" s="9" t="s">
        <v>46</v>
      </c>
      <c r="H199" s="9" t="s">
        <v>191</v>
      </c>
      <c r="I199" s="11">
        <v>8176880.0</v>
      </c>
      <c r="J199" s="11">
        <v>2.66803429E8</v>
      </c>
      <c r="K199" s="13">
        <v>46304.0</v>
      </c>
      <c r="L199" s="14">
        <v>46316.0</v>
      </c>
      <c r="M199" s="12"/>
      <c r="N199" s="9">
        <v>477.0</v>
      </c>
      <c r="O199" s="11">
        <v>7.0</v>
      </c>
      <c r="P199" s="9" t="s">
        <v>44</v>
      </c>
      <c r="Q199" s="12"/>
      <c r="R199" s="12"/>
      <c r="S199" s="9" t="s">
        <v>47</v>
      </c>
      <c r="T199" s="9" t="s">
        <v>44</v>
      </c>
      <c r="U199" s="9" t="s">
        <v>44</v>
      </c>
      <c r="V199" s="11">
        <v>45.49</v>
      </c>
      <c r="W199" s="11">
        <v>1.0</v>
      </c>
      <c r="X199" s="9" t="s">
        <v>48</v>
      </c>
      <c r="Y199" s="9" t="s">
        <v>342</v>
      </c>
      <c r="Z199" s="12"/>
      <c r="AA199" s="9">
        <v>1305666.0</v>
      </c>
      <c r="AB199" s="12"/>
      <c r="AC199" s="9" t="s">
        <v>50</v>
      </c>
    </row>
    <row r="200">
      <c r="A200" s="9" t="s">
        <v>33</v>
      </c>
      <c r="B200" s="11">
        <v>6.0</v>
      </c>
      <c r="C200" s="9" t="s">
        <v>43</v>
      </c>
      <c r="D200" s="9" t="s">
        <v>55</v>
      </c>
      <c r="E200" s="9" t="s">
        <v>56</v>
      </c>
      <c r="F200" s="9" t="s">
        <v>45</v>
      </c>
      <c r="G200" s="9" t="s">
        <v>46</v>
      </c>
      <c r="H200" s="9" t="s">
        <v>80</v>
      </c>
      <c r="I200" s="11">
        <v>8177030.0</v>
      </c>
      <c r="J200" s="11">
        <v>2.6680343E8</v>
      </c>
      <c r="K200" s="13">
        <v>46304.0</v>
      </c>
      <c r="L200" s="14">
        <v>46323.0</v>
      </c>
      <c r="M200" s="12"/>
      <c r="N200" s="9">
        <v>215.0</v>
      </c>
      <c r="O200" s="11">
        <v>12.0</v>
      </c>
      <c r="P200" s="9" t="s">
        <v>44</v>
      </c>
      <c r="Q200" s="12"/>
      <c r="R200" s="12"/>
      <c r="S200" s="9" t="s">
        <v>47</v>
      </c>
      <c r="T200" s="9" t="s">
        <v>44</v>
      </c>
      <c r="U200" s="9" t="s">
        <v>44</v>
      </c>
      <c r="V200" s="11">
        <v>37.78</v>
      </c>
      <c r="W200" s="11">
        <v>1.0</v>
      </c>
      <c r="X200" s="9" t="s">
        <v>48</v>
      </c>
      <c r="Y200" s="9" t="s">
        <v>343</v>
      </c>
      <c r="Z200" s="12"/>
      <c r="AA200" s="9">
        <v>1304184.0</v>
      </c>
      <c r="AB200" s="12"/>
      <c r="AC200" s="9" t="s">
        <v>50</v>
      </c>
    </row>
    <row r="201">
      <c r="A201" s="9" t="s">
        <v>33</v>
      </c>
      <c r="B201" s="11">
        <v>6.0</v>
      </c>
      <c r="C201" s="9" t="s">
        <v>43</v>
      </c>
      <c r="D201" s="9" t="s">
        <v>55</v>
      </c>
      <c r="E201" s="9" t="s">
        <v>56</v>
      </c>
      <c r="F201" s="9" t="s">
        <v>45</v>
      </c>
      <c r="G201" s="9" t="s">
        <v>46</v>
      </c>
      <c r="H201" s="9" t="s">
        <v>344</v>
      </c>
      <c r="I201" s="11">
        <v>8176908.0</v>
      </c>
      <c r="J201" s="11">
        <v>2.66803431E8</v>
      </c>
      <c r="K201" s="13">
        <v>46304.0</v>
      </c>
      <c r="L201" s="14">
        <v>46318.0</v>
      </c>
      <c r="M201" s="12"/>
      <c r="N201" s="9">
        <v>2.0</v>
      </c>
      <c r="O201" s="11">
        <v>9.0</v>
      </c>
      <c r="P201" s="9" t="s">
        <v>44</v>
      </c>
      <c r="Q201" s="12"/>
      <c r="R201" s="9" t="s">
        <v>90</v>
      </c>
      <c r="S201" s="9" t="s">
        <v>47</v>
      </c>
      <c r="T201" s="9" t="s">
        <v>44</v>
      </c>
      <c r="U201" s="9" t="s">
        <v>44</v>
      </c>
      <c r="V201" s="11">
        <v>43.09</v>
      </c>
      <c r="W201" s="11">
        <v>1.0</v>
      </c>
      <c r="X201" s="9" t="s">
        <v>48</v>
      </c>
      <c r="Y201" s="9" t="s">
        <v>345</v>
      </c>
      <c r="Z201" s="12"/>
      <c r="AA201" s="9">
        <v>1305031.0</v>
      </c>
      <c r="AB201" s="12"/>
      <c r="AC201" s="9" t="s">
        <v>50</v>
      </c>
    </row>
    <row r="202">
      <c r="A202" s="9" t="s">
        <v>33</v>
      </c>
      <c r="B202" s="11">
        <v>6.0</v>
      </c>
      <c r="C202" s="9" t="s">
        <v>43</v>
      </c>
      <c r="D202" s="9" t="s">
        <v>55</v>
      </c>
      <c r="E202" s="9" t="s">
        <v>56</v>
      </c>
      <c r="F202" s="9" t="s">
        <v>45</v>
      </c>
      <c r="G202" s="9" t="s">
        <v>46</v>
      </c>
      <c r="H202" s="9" t="s">
        <v>346</v>
      </c>
      <c r="I202" s="11">
        <v>8176982.0</v>
      </c>
      <c r="J202" s="11">
        <v>2.66803432E8</v>
      </c>
      <c r="K202" s="13">
        <v>46304.0</v>
      </c>
      <c r="L202" s="13">
        <v>46329.0</v>
      </c>
      <c r="M202" s="12"/>
      <c r="N202" s="9">
        <v>111.0</v>
      </c>
      <c r="O202" s="11">
        <v>15.0</v>
      </c>
      <c r="P202" s="9" t="s">
        <v>44</v>
      </c>
      <c r="Q202" s="12"/>
      <c r="R202" s="9" t="s">
        <v>90</v>
      </c>
      <c r="S202" s="9" t="s">
        <v>47</v>
      </c>
      <c r="T202" s="9" t="s">
        <v>44</v>
      </c>
      <c r="U202" s="9" t="s">
        <v>44</v>
      </c>
      <c r="V202" s="11">
        <v>37.78</v>
      </c>
      <c r="W202" s="11">
        <v>2.0</v>
      </c>
      <c r="X202" s="9" t="s">
        <v>48</v>
      </c>
      <c r="Y202" s="9" t="s">
        <v>347</v>
      </c>
      <c r="Z202" s="12"/>
      <c r="AA202" s="9">
        <v>1306009.0</v>
      </c>
      <c r="AB202" s="12"/>
      <c r="AC202" s="9" t="s">
        <v>50</v>
      </c>
    </row>
    <row r="203">
      <c r="A203" s="9" t="s">
        <v>33</v>
      </c>
      <c r="B203" s="11">
        <v>6.0</v>
      </c>
      <c r="C203" s="9" t="s">
        <v>43</v>
      </c>
      <c r="D203" s="9" t="s">
        <v>55</v>
      </c>
      <c r="E203" s="9" t="s">
        <v>56</v>
      </c>
      <c r="F203" s="9" t="s">
        <v>45</v>
      </c>
      <c r="G203" s="9" t="s">
        <v>46</v>
      </c>
      <c r="H203" s="9" t="s">
        <v>348</v>
      </c>
      <c r="I203" s="11">
        <v>8176909.0</v>
      </c>
      <c r="J203" s="11">
        <v>2.66803433E8</v>
      </c>
      <c r="K203" s="13">
        <v>46304.0</v>
      </c>
      <c r="L203" s="14">
        <v>46315.0</v>
      </c>
      <c r="M203" s="12"/>
      <c r="N203" s="9">
        <v>1.0</v>
      </c>
      <c r="O203" s="11">
        <v>6.0</v>
      </c>
      <c r="P203" s="9" t="s">
        <v>44</v>
      </c>
      <c r="Q203" s="12"/>
      <c r="R203" s="9" t="s">
        <v>90</v>
      </c>
      <c r="S203" s="9" t="s">
        <v>47</v>
      </c>
      <c r="T203" s="9" t="s">
        <v>44</v>
      </c>
      <c r="U203" s="9" t="s">
        <v>44</v>
      </c>
      <c r="V203" s="11">
        <v>71.87</v>
      </c>
      <c r="W203" s="11">
        <v>2.0</v>
      </c>
      <c r="X203" s="9" t="s">
        <v>48</v>
      </c>
      <c r="Y203" s="9" t="s">
        <v>349</v>
      </c>
      <c r="Z203" s="12"/>
      <c r="AA203" s="9" t="s">
        <v>350</v>
      </c>
      <c r="AB203" s="12"/>
      <c r="AC203" s="9" t="s">
        <v>50</v>
      </c>
    </row>
    <row r="204">
      <c r="A204" s="9" t="s">
        <v>33</v>
      </c>
      <c r="B204" s="11">
        <v>6.0</v>
      </c>
      <c r="C204" s="9" t="s">
        <v>43</v>
      </c>
      <c r="D204" s="9" t="s">
        <v>55</v>
      </c>
      <c r="E204" s="9" t="s">
        <v>56</v>
      </c>
      <c r="F204" s="9" t="s">
        <v>45</v>
      </c>
      <c r="G204" s="9" t="s">
        <v>46</v>
      </c>
      <c r="H204" s="9" t="s">
        <v>348</v>
      </c>
      <c r="I204" s="11">
        <v>8176943.0</v>
      </c>
      <c r="J204" s="11">
        <v>2.66803434E8</v>
      </c>
      <c r="K204" s="13">
        <v>46304.0</v>
      </c>
      <c r="L204" s="14">
        <v>46315.0</v>
      </c>
      <c r="M204" s="12"/>
      <c r="N204" s="9">
        <v>1.0</v>
      </c>
      <c r="O204" s="11">
        <v>6.0</v>
      </c>
      <c r="P204" s="9" t="s">
        <v>44</v>
      </c>
      <c r="Q204" s="12"/>
      <c r="R204" s="9" t="s">
        <v>90</v>
      </c>
      <c r="S204" s="9" t="s">
        <v>47</v>
      </c>
      <c r="T204" s="9" t="s">
        <v>44</v>
      </c>
      <c r="U204" s="9" t="s">
        <v>44</v>
      </c>
      <c r="V204" s="11">
        <v>71.87</v>
      </c>
      <c r="W204" s="11">
        <v>1.0</v>
      </c>
      <c r="X204" s="9" t="s">
        <v>48</v>
      </c>
      <c r="Y204" s="9" t="s">
        <v>351</v>
      </c>
      <c r="Z204" s="12"/>
      <c r="AA204" s="9">
        <v>1305436.0</v>
      </c>
      <c r="AB204" s="12"/>
      <c r="AC204" s="9" t="s">
        <v>50</v>
      </c>
    </row>
    <row r="205">
      <c r="A205" s="9" t="s">
        <v>33</v>
      </c>
      <c r="B205" s="11">
        <v>6.0</v>
      </c>
      <c r="C205" s="9" t="s">
        <v>43</v>
      </c>
      <c r="D205" s="9" t="s">
        <v>55</v>
      </c>
      <c r="E205" s="9" t="s">
        <v>56</v>
      </c>
      <c r="F205" s="9" t="s">
        <v>45</v>
      </c>
      <c r="G205" s="9" t="s">
        <v>46</v>
      </c>
      <c r="H205" s="9" t="s">
        <v>348</v>
      </c>
      <c r="I205" s="11">
        <v>8176910.0</v>
      </c>
      <c r="J205" s="11">
        <v>2.66803435E8</v>
      </c>
      <c r="K205" s="13">
        <v>46304.0</v>
      </c>
      <c r="L205" s="14">
        <v>46315.0</v>
      </c>
      <c r="M205" s="12"/>
      <c r="N205" s="9">
        <v>1.0</v>
      </c>
      <c r="O205" s="11">
        <v>6.0</v>
      </c>
      <c r="P205" s="9" t="s">
        <v>44</v>
      </c>
      <c r="Q205" s="12"/>
      <c r="R205" s="9" t="s">
        <v>90</v>
      </c>
      <c r="S205" s="9" t="s">
        <v>47</v>
      </c>
      <c r="T205" s="9" t="s">
        <v>44</v>
      </c>
      <c r="U205" s="9" t="s">
        <v>44</v>
      </c>
      <c r="V205" s="11">
        <v>71.87</v>
      </c>
      <c r="W205" s="11">
        <v>1.0</v>
      </c>
      <c r="X205" s="9" t="s">
        <v>48</v>
      </c>
      <c r="Y205" s="9" t="s">
        <v>352</v>
      </c>
      <c r="Z205" s="12"/>
      <c r="AA205" s="9">
        <v>1305479.0</v>
      </c>
      <c r="AB205" s="12"/>
      <c r="AC205" s="9" t="s">
        <v>50</v>
      </c>
    </row>
    <row r="206">
      <c r="A206" s="9" t="s">
        <v>33</v>
      </c>
      <c r="B206" s="11">
        <v>6.0</v>
      </c>
      <c r="C206" s="9" t="s">
        <v>43</v>
      </c>
      <c r="D206" s="9" t="s">
        <v>55</v>
      </c>
      <c r="E206" s="9" t="s">
        <v>56</v>
      </c>
      <c r="F206" s="9" t="s">
        <v>45</v>
      </c>
      <c r="G206" s="9" t="s">
        <v>46</v>
      </c>
      <c r="H206" s="9" t="s">
        <v>348</v>
      </c>
      <c r="I206" s="11">
        <v>8177060.0</v>
      </c>
      <c r="J206" s="11">
        <v>2.66803436E8</v>
      </c>
      <c r="K206" s="13">
        <v>46304.0</v>
      </c>
      <c r="L206" s="14">
        <v>46315.0</v>
      </c>
      <c r="M206" s="12"/>
      <c r="N206" s="9">
        <v>6.0</v>
      </c>
      <c r="O206" s="11">
        <v>6.0</v>
      </c>
      <c r="P206" s="9" t="s">
        <v>44</v>
      </c>
      <c r="Q206" s="12"/>
      <c r="R206" s="9" t="s">
        <v>90</v>
      </c>
      <c r="S206" s="9" t="s">
        <v>47</v>
      </c>
      <c r="T206" s="9" t="s">
        <v>44</v>
      </c>
      <c r="U206" s="9" t="s">
        <v>44</v>
      </c>
      <c r="V206" s="11">
        <v>71.87</v>
      </c>
      <c r="W206" s="11">
        <v>1.0</v>
      </c>
      <c r="X206" s="9" t="s">
        <v>48</v>
      </c>
      <c r="Y206" s="9" t="s">
        <v>353</v>
      </c>
      <c r="Z206" s="12"/>
      <c r="AA206" s="9">
        <v>1304850.0</v>
      </c>
      <c r="AB206" s="12"/>
      <c r="AC206" s="9" t="s">
        <v>50</v>
      </c>
    </row>
    <row r="207">
      <c r="A207" s="9" t="s">
        <v>33</v>
      </c>
      <c r="B207" s="11">
        <v>6.0</v>
      </c>
      <c r="C207" s="9" t="s">
        <v>43</v>
      </c>
      <c r="D207" s="9" t="s">
        <v>55</v>
      </c>
      <c r="E207" s="9" t="s">
        <v>56</v>
      </c>
      <c r="F207" s="9" t="s">
        <v>45</v>
      </c>
      <c r="G207" s="9" t="s">
        <v>46</v>
      </c>
      <c r="H207" s="9" t="s">
        <v>348</v>
      </c>
      <c r="I207" s="11">
        <v>8176739.0</v>
      </c>
      <c r="J207" s="11">
        <v>2.66803437E8</v>
      </c>
      <c r="K207" s="13">
        <v>46304.0</v>
      </c>
      <c r="L207" s="14">
        <v>46316.0</v>
      </c>
      <c r="M207" s="12"/>
      <c r="N207" s="9">
        <v>105.0</v>
      </c>
      <c r="O207" s="11">
        <v>7.0</v>
      </c>
      <c r="P207" s="9" t="s">
        <v>44</v>
      </c>
      <c r="Q207" s="12"/>
      <c r="R207" s="9" t="s">
        <v>90</v>
      </c>
      <c r="S207" s="9" t="s">
        <v>47</v>
      </c>
      <c r="T207" s="9" t="s">
        <v>44</v>
      </c>
      <c r="U207" s="9" t="s">
        <v>44</v>
      </c>
      <c r="V207" s="11">
        <v>71.87</v>
      </c>
      <c r="W207" s="11">
        <v>1.0</v>
      </c>
      <c r="X207" s="9" t="s">
        <v>48</v>
      </c>
      <c r="Y207" s="9" t="s">
        <v>354</v>
      </c>
      <c r="Z207" s="12"/>
      <c r="AA207" s="9">
        <v>1306057.0</v>
      </c>
      <c r="AB207" s="12"/>
      <c r="AC207" s="9" t="s">
        <v>50</v>
      </c>
    </row>
    <row r="208">
      <c r="A208" s="9" t="s">
        <v>33</v>
      </c>
      <c r="B208" s="11">
        <v>6.0</v>
      </c>
      <c r="C208" s="9" t="s">
        <v>43</v>
      </c>
      <c r="D208" s="9" t="s">
        <v>55</v>
      </c>
      <c r="E208" s="9" t="s">
        <v>56</v>
      </c>
      <c r="F208" s="9" t="s">
        <v>45</v>
      </c>
      <c r="G208" s="9" t="s">
        <v>46</v>
      </c>
      <c r="H208" s="9" t="s">
        <v>191</v>
      </c>
      <c r="I208" s="11">
        <v>8177031.0</v>
      </c>
      <c r="J208" s="11">
        <v>2.66803438E8</v>
      </c>
      <c r="K208" s="13">
        <v>46304.0</v>
      </c>
      <c r="L208" s="14">
        <v>46316.0</v>
      </c>
      <c r="M208" s="12"/>
      <c r="N208" s="9">
        <v>473.0</v>
      </c>
      <c r="O208" s="11">
        <v>7.0</v>
      </c>
      <c r="P208" s="9" t="s">
        <v>44</v>
      </c>
      <c r="Q208" s="12"/>
      <c r="R208" s="9" t="s">
        <v>52</v>
      </c>
      <c r="S208" s="9" t="s">
        <v>47</v>
      </c>
      <c r="T208" s="9" t="s">
        <v>44</v>
      </c>
      <c r="U208" s="9" t="s">
        <v>44</v>
      </c>
      <c r="V208" s="11">
        <v>45.49</v>
      </c>
      <c r="W208" s="11">
        <v>1.0</v>
      </c>
      <c r="X208" s="9" t="s">
        <v>48</v>
      </c>
      <c r="Y208" s="9" t="s">
        <v>355</v>
      </c>
      <c r="Z208" s="12"/>
      <c r="AA208" s="9">
        <v>1303839.0</v>
      </c>
      <c r="AB208" s="12"/>
      <c r="AC208" s="9" t="s">
        <v>50</v>
      </c>
    </row>
    <row r="209">
      <c r="A209" s="9" t="s">
        <v>33</v>
      </c>
      <c r="B209" s="11">
        <v>6.0</v>
      </c>
      <c r="C209" s="9" t="s">
        <v>43</v>
      </c>
      <c r="D209" s="9" t="s">
        <v>55</v>
      </c>
      <c r="E209" s="9" t="s">
        <v>56</v>
      </c>
      <c r="F209" s="9" t="s">
        <v>45</v>
      </c>
      <c r="G209" s="9" t="s">
        <v>46</v>
      </c>
      <c r="H209" s="9" t="s">
        <v>348</v>
      </c>
      <c r="I209" s="11">
        <v>8176911.0</v>
      </c>
      <c r="J209" s="11">
        <v>2.66803439E8</v>
      </c>
      <c r="K209" s="13">
        <v>46304.0</v>
      </c>
      <c r="L209" s="14">
        <v>46316.0</v>
      </c>
      <c r="M209" s="12"/>
      <c r="N209" s="9">
        <v>102.0</v>
      </c>
      <c r="O209" s="11">
        <v>7.0</v>
      </c>
      <c r="P209" s="9" t="s">
        <v>44</v>
      </c>
      <c r="Q209" s="12"/>
      <c r="R209" s="9" t="s">
        <v>90</v>
      </c>
      <c r="S209" s="9" t="s">
        <v>47</v>
      </c>
      <c r="T209" s="9" t="s">
        <v>44</v>
      </c>
      <c r="U209" s="9" t="s">
        <v>44</v>
      </c>
      <c r="V209" s="11">
        <v>80.65</v>
      </c>
      <c r="W209" s="11">
        <v>1.0</v>
      </c>
      <c r="X209" s="9" t="s">
        <v>48</v>
      </c>
      <c r="Y209" s="9" t="s">
        <v>356</v>
      </c>
      <c r="Z209" s="12"/>
      <c r="AA209" s="9">
        <v>1305540.0</v>
      </c>
      <c r="AB209" s="12"/>
      <c r="AC209" s="9" t="s">
        <v>50</v>
      </c>
    </row>
    <row r="210">
      <c r="A210" s="9" t="s">
        <v>33</v>
      </c>
      <c r="B210" s="11">
        <v>6.0</v>
      </c>
      <c r="C210" s="9" t="s">
        <v>43</v>
      </c>
      <c r="D210" s="9" t="s">
        <v>55</v>
      </c>
      <c r="E210" s="9" t="s">
        <v>56</v>
      </c>
      <c r="F210" s="9" t="s">
        <v>45</v>
      </c>
      <c r="G210" s="9" t="s">
        <v>46</v>
      </c>
      <c r="H210" s="9" t="s">
        <v>348</v>
      </c>
      <c r="I210" s="11">
        <v>8176983.0</v>
      </c>
      <c r="J210" s="11">
        <v>2.6680344E8</v>
      </c>
      <c r="K210" s="13">
        <v>46304.0</v>
      </c>
      <c r="L210" s="14">
        <v>46316.0</v>
      </c>
      <c r="M210" s="12"/>
      <c r="N210" s="9">
        <v>103.0</v>
      </c>
      <c r="O210" s="11">
        <v>7.0</v>
      </c>
      <c r="P210" s="9" t="s">
        <v>44</v>
      </c>
      <c r="Q210" s="12"/>
      <c r="R210" s="9" t="s">
        <v>90</v>
      </c>
      <c r="S210" s="9" t="s">
        <v>47</v>
      </c>
      <c r="T210" s="9" t="s">
        <v>44</v>
      </c>
      <c r="U210" s="9" t="s">
        <v>44</v>
      </c>
      <c r="V210" s="11">
        <v>80.65</v>
      </c>
      <c r="W210" s="11">
        <v>1.0</v>
      </c>
      <c r="X210" s="9" t="s">
        <v>48</v>
      </c>
      <c r="Y210" s="9" t="s">
        <v>357</v>
      </c>
      <c r="Z210" s="12"/>
      <c r="AA210" s="9">
        <v>1305378.0</v>
      </c>
      <c r="AB210" s="12"/>
      <c r="AC210" s="9" t="s">
        <v>50</v>
      </c>
    </row>
    <row r="211">
      <c r="A211" s="9" t="s">
        <v>33</v>
      </c>
      <c r="B211" s="11">
        <v>6.0</v>
      </c>
      <c r="C211" s="9" t="s">
        <v>43</v>
      </c>
      <c r="D211" s="9" t="s">
        <v>55</v>
      </c>
      <c r="E211" s="9" t="s">
        <v>56</v>
      </c>
      <c r="F211" s="9" t="s">
        <v>45</v>
      </c>
      <c r="G211" s="9" t="s">
        <v>46</v>
      </c>
      <c r="H211" s="9" t="s">
        <v>87</v>
      </c>
      <c r="I211" s="11">
        <v>8176750.0</v>
      </c>
      <c r="J211" s="11">
        <v>2.66803441E8</v>
      </c>
      <c r="K211" s="13">
        <v>46304.0</v>
      </c>
      <c r="L211" s="14">
        <v>46316.0</v>
      </c>
      <c r="M211" s="12"/>
      <c r="N211" s="9">
        <v>11.0</v>
      </c>
      <c r="O211" s="11">
        <v>7.0</v>
      </c>
      <c r="P211" s="9" t="s">
        <v>44</v>
      </c>
      <c r="Q211" s="12"/>
      <c r="R211" s="9" t="s">
        <v>90</v>
      </c>
      <c r="S211" s="9" t="s">
        <v>47</v>
      </c>
      <c r="T211" s="9" t="s">
        <v>44</v>
      </c>
      <c r="U211" s="9" t="s">
        <v>44</v>
      </c>
      <c r="V211" s="11">
        <v>85.93</v>
      </c>
      <c r="W211" s="11">
        <v>8.0</v>
      </c>
      <c r="X211" s="9" t="s">
        <v>48</v>
      </c>
      <c r="Y211" s="9" t="s">
        <v>358</v>
      </c>
      <c r="Z211" s="12"/>
      <c r="AA211" s="9">
        <v>1305946.0</v>
      </c>
      <c r="AB211" s="12"/>
      <c r="AC211" s="9" t="s">
        <v>50</v>
      </c>
    </row>
    <row r="212">
      <c r="A212" s="9" t="s">
        <v>33</v>
      </c>
      <c r="B212" s="11">
        <v>6.0</v>
      </c>
      <c r="C212" s="9" t="s">
        <v>43</v>
      </c>
      <c r="D212" s="9" t="s">
        <v>55</v>
      </c>
      <c r="E212" s="9" t="s">
        <v>56</v>
      </c>
      <c r="F212" s="9" t="s">
        <v>45</v>
      </c>
      <c r="G212" s="9" t="s">
        <v>46</v>
      </c>
      <c r="H212" s="9" t="s">
        <v>359</v>
      </c>
      <c r="I212" s="11">
        <v>8176786.0</v>
      </c>
      <c r="J212" s="11">
        <v>2.66803442E8</v>
      </c>
      <c r="K212" s="13">
        <v>46304.0</v>
      </c>
      <c r="L212" s="14">
        <v>46316.0</v>
      </c>
      <c r="M212" s="12"/>
      <c r="N212" s="9">
        <v>700.0</v>
      </c>
      <c r="O212" s="11">
        <v>7.0</v>
      </c>
      <c r="P212" s="9" t="s">
        <v>44</v>
      </c>
      <c r="Q212" s="12"/>
      <c r="R212" s="9" t="s">
        <v>52</v>
      </c>
      <c r="S212" s="9" t="s">
        <v>47</v>
      </c>
      <c r="T212" s="9" t="s">
        <v>44</v>
      </c>
      <c r="U212" s="9" t="s">
        <v>44</v>
      </c>
      <c r="V212" s="11">
        <v>45.49</v>
      </c>
      <c r="W212" s="11">
        <v>1.0</v>
      </c>
      <c r="X212" s="9" t="s">
        <v>48</v>
      </c>
      <c r="Y212" s="9" t="s">
        <v>360</v>
      </c>
      <c r="Z212" s="12"/>
      <c r="AA212" s="9">
        <v>1305414.0</v>
      </c>
      <c r="AB212" s="12"/>
      <c r="AC212" s="9" t="s">
        <v>50</v>
      </c>
    </row>
    <row r="213">
      <c r="A213" s="9" t="s">
        <v>33</v>
      </c>
      <c r="B213" s="11">
        <v>6.0</v>
      </c>
      <c r="C213" s="9" t="s">
        <v>43</v>
      </c>
      <c r="D213" s="9" t="s">
        <v>55</v>
      </c>
      <c r="E213" s="9" t="s">
        <v>56</v>
      </c>
      <c r="F213" s="9" t="s">
        <v>45</v>
      </c>
      <c r="G213" s="9" t="s">
        <v>46</v>
      </c>
      <c r="H213" s="9" t="s">
        <v>87</v>
      </c>
      <c r="I213" s="11">
        <v>8176740.0</v>
      </c>
      <c r="J213" s="11">
        <v>2.66803443E8</v>
      </c>
      <c r="K213" s="13">
        <v>46304.0</v>
      </c>
      <c r="L213" s="14">
        <v>46321.0</v>
      </c>
      <c r="M213" s="12"/>
      <c r="N213" s="9">
        <v>101.0</v>
      </c>
      <c r="O213" s="11">
        <v>10.0</v>
      </c>
      <c r="P213" s="9" t="s">
        <v>44</v>
      </c>
      <c r="Q213" s="12"/>
      <c r="R213" s="9" t="s">
        <v>90</v>
      </c>
      <c r="S213" s="9" t="s">
        <v>47</v>
      </c>
      <c r="T213" s="9" t="s">
        <v>44</v>
      </c>
      <c r="U213" s="9" t="s">
        <v>44</v>
      </c>
      <c r="V213" s="11">
        <v>65.34</v>
      </c>
      <c r="W213" s="11">
        <v>2.0</v>
      </c>
      <c r="X213" s="9" t="s">
        <v>48</v>
      </c>
      <c r="Y213" s="9" t="s">
        <v>361</v>
      </c>
      <c r="Z213" s="12"/>
      <c r="AA213" s="9">
        <v>1305902.0</v>
      </c>
      <c r="AB213" s="12"/>
      <c r="AC213" s="9" t="s">
        <v>50</v>
      </c>
    </row>
    <row r="214">
      <c r="A214" s="9" t="s">
        <v>33</v>
      </c>
      <c r="B214" s="11">
        <v>6.0</v>
      </c>
      <c r="C214" s="9" t="s">
        <v>43</v>
      </c>
      <c r="D214" s="9" t="s">
        <v>55</v>
      </c>
      <c r="E214" s="9" t="s">
        <v>56</v>
      </c>
      <c r="F214" s="9" t="s">
        <v>45</v>
      </c>
      <c r="G214" s="9" t="s">
        <v>46</v>
      </c>
      <c r="H214" s="9" t="s">
        <v>87</v>
      </c>
      <c r="I214" s="11">
        <v>8176757.0</v>
      </c>
      <c r="J214" s="11">
        <v>2.66803444E8</v>
      </c>
      <c r="K214" s="13">
        <v>46304.0</v>
      </c>
      <c r="L214" s="14">
        <v>46317.0</v>
      </c>
      <c r="M214" s="12"/>
      <c r="N214" s="9">
        <v>106.0</v>
      </c>
      <c r="O214" s="11">
        <v>8.0</v>
      </c>
      <c r="P214" s="9" t="s">
        <v>44</v>
      </c>
      <c r="Q214" s="12"/>
      <c r="R214" s="9" t="s">
        <v>90</v>
      </c>
      <c r="S214" s="9" t="s">
        <v>47</v>
      </c>
      <c r="T214" s="9" t="s">
        <v>44</v>
      </c>
      <c r="U214" s="9" t="s">
        <v>44</v>
      </c>
      <c r="V214" s="11">
        <v>65.34</v>
      </c>
      <c r="W214" s="11">
        <v>4.0</v>
      </c>
      <c r="X214" s="9" t="s">
        <v>48</v>
      </c>
      <c r="Y214" s="9" t="s">
        <v>362</v>
      </c>
      <c r="Z214" s="12"/>
      <c r="AA214" s="9">
        <v>1305840.0</v>
      </c>
      <c r="AB214" s="12"/>
      <c r="AC214" s="9" t="s">
        <v>50</v>
      </c>
    </row>
    <row r="215">
      <c r="A215" s="9" t="s">
        <v>33</v>
      </c>
      <c r="B215" s="11">
        <v>6.0</v>
      </c>
      <c r="C215" s="9" t="s">
        <v>43</v>
      </c>
      <c r="D215" s="9" t="s">
        <v>55</v>
      </c>
      <c r="E215" s="9" t="s">
        <v>56</v>
      </c>
      <c r="F215" s="9" t="s">
        <v>45</v>
      </c>
      <c r="G215" s="9" t="s">
        <v>46</v>
      </c>
      <c r="H215" s="9" t="s">
        <v>363</v>
      </c>
      <c r="I215" s="11">
        <v>8176787.0</v>
      </c>
      <c r="J215" s="11">
        <v>2.66803445E8</v>
      </c>
      <c r="K215" s="13">
        <v>46304.0</v>
      </c>
      <c r="L215" s="14">
        <v>46318.0</v>
      </c>
      <c r="M215" s="12"/>
      <c r="N215" s="9">
        <v>1.0</v>
      </c>
      <c r="O215" s="11">
        <v>9.0</v>
      </c>
      <c r="P215" s="9" t="s">
        <v>44</v>
      </c>
      <c r="Q215" s="12"/>
      <c r="R215" s="9" t="s">
        <v>90</v>
      </c>
      <c r="S215" s="9" t="s">
        <v>47</v>
      </c>
      <c r="T215" s="9" t="s">
        <v>44</v>
      </c>
      <c r="U215" s="9" t="s">
        <v>44</v>
      </c>
      <c r="V215" s="11">
        <v>63.12</v>
      </c>
      <c r="W215" s="11">
        <v>1.0</v>
      </c>
      <c r="X215" s="9" t="s">
        <v>48</v>
      </c>
      <c r="Y215" s="9" t="s">
        <v>364</v>
      </c>
      <c r="Z215" s="12"/>
      <c r="AA215" s="9">
        <v>1305181.0</v>
      </c>
      <c r="AB215" s="12"/>
      <c r="AC215" s="9" t="s">
        <v>50</v>
      </c>
    </row>
    <row r="216">
      <c r="A216" s="9" t="s">
        <v>33</v>
      </c>
      <c r="B216" s="11">
        <v>6.0</v>
      </c>
      <c r="C216" s="9" t="s">
        <v>43</v>
      </c>
      <c r="D216" s="9" t="s">
        <v>55</v>
      </c>
      <c r="E216" s="9" t="s">
        <v>56</v>
      </c>
      <c r="F216" s="9" t="s">
        <v>45</v>
      </c>
      <c r="G216" s="9" t="s">
        <v>46</v>
      </c>
      <c r="H216" s="9" t="s">
        <v>363</v>
      </c>
      <c r="I216" s="11">
        <v>8176812.0</v>
      </c>
      <c r="J216" s="11">
        <v>2.66803446E8</v>
      </c>
      <c r="K216" s="13">
        <v>46304.0</v>
      </c>
      <c r="L216" s="14">
        <v>46318.0</v>
      </c>
      <c r="M216" s="12"/>
      <c r="N216" s="9">
        <v>101.0</v>
      </c>
      <c r="O216" s="11">
        <v>9.0</v>
      </c>
      <c r="P216" s="9" t="s">
        <v>44</v>
      </c>
      <c r="Q216" s="12"/>
      <c r="R216" s="9" t="s">
        <v>90</v>
      </c>
      <c r="S216" s="9" t="s">
        <v>47</v>
      </c>
      <c r="T216" s="9" t="s">
        <v>44</v>
      </c>
      <c r="U216" s="9" t="s">
        <v>44</v>
      </c>
      <c r="V216" s="11">
        <v>63.12</v>
      </c>
      <c r="W216" s="11">
        <v>1.0</v>
      </c>
      <c r="X216" s="9" t="s">
        <v>48</v>
      </c>
      <c r="Y216" s="9" t="s">
        <v>365</v>
      </c>
      <c r="Z216" s="12"/>
      <c r="AA216" s="9">
        <v>1305467.0</v>
      </c>
      <c r="AB216" s="12"/>
      <c r="AC216" s="9" t="s">
        <v>50</v>
      </c>
    </row>
    <row r="217">
      <c r="A217" s="9" t="s">
        <v>33</v>
      </c>
      <c r="B217" s="11">
        <v>6.0</v>
      </c>
      <c r="C217" s="9" t="s">
        <v>43</v>
      </c>
      <c r="D217" s="9" t="s">
        <v>55</v>
      </c>
      <c r="E217" s="9" t="s">
        <v>56</v>
      </c>
      <c r="F217" s="9" t="s">
        <v>45</v>
      </c>
      <c r="G217" s="9" t="s">
        <v>46</v>
      </c>
      <c r="H217" s="9" t="s">
        <v>87</v>
      </c>
      <c r="I217" s="11">
        <v>8176944.0</v>
      </c>
      <c r="J217" s="11">
        <v>2.66803447E8</v>
      </c>
      <c r="K217" s="13">
        <v>46304.0</v>
      </c>
      <c r="L217" s="14">
        <v>46321.0</v>
      </c>
      <c r="M217" s="12"/>
      <c r="N217" s="9">
        <v>112.0</v>
      </c>
      <c r="O217" s="11">
        <v>10.0</v>
      </c>
      <c r="P217" s="9" t="s">
        <v>44</v>
      </c>
      <c r="Q217" s="12"/>
      <c r="R217" s="9" t="s">
        <v>90</v>
      </c>
      <c r="S217" s="9" t="s">
        <v>47</v>
      </c>
      <c r="T217" s="9" t="s">
        <v>44</v>
      </c>
      <c r="U217" s="9" t="s">
        <v>44</v>
      </c>
      <c r="V217" s="11">
        <v>63.12</v>
      </c>
      <c r="W217" s="11">
        <v>1.0</v>
      </c>
      <c r="X217" s="9" t="s">
        <v>48</v>
      </c>
      <c r="Y217" s="9" t="s">
        <v>366</v>
      </c>
      <c r="Z217" s="12"/>
      <c r="AA217" s="9">
        <v>1305452.0</v>
      </c>
      <c r="AB217" s="12"/>
      <c r="AC217" s="9" t="s">
        <v>50</v>
      </c>
    </row>
    <row r="218">
      <c r="A218" s="9" t="s">
        <v>33</v>
      </c>
      <c r="B218" s="11">
        <v>6.0</v>
      </c>
      <c r="C218" s="9" t="s">
        <v>43</v>
      </c>
      <c r="D218" s="9" t="s">
        <v>55</v>
      </c>
      <c r="E218" s="9" t="s">
        <v>56</v>
      </c>
      <c r="F218" s="9" t="s">
        <v>45</v>
      </c>
      <c r="G218" s="9" t="s">
        <v>46</v>
      </c>
      <c r="H218" s="9" t="s">
        <v>344</v>
      </c>
      <c r="I218" s="11">
        <v>8176945.0</v>
      </c>
      <c r="J218" s="11">
        <v>2.66803448E8</v>
      </c>
      <c r="K218" s="13">
        <v>46304.0</v>
      </c>
      <c r="L218" s="14">
        <v>46318.0</v>
      </c>
      <c r="M218" s="12"/>
      <c r="N218" s="9">
        <v>6.0</v>
      </c>
      <c r="O218" s="11">
        <v>9.0</v>
      </c>
      <c r="P218" s="9" t="s">
        <v>44</v>
      </c>
      <c r="Q218" s="12"/>
      <c r="R218" s="9" t="s">
        <v>90</v>
      </c>
      <c r="S218" s="9" t="s">
        <v>47</v>
      </c>
      <c r="T218" s="9" t="s">
        <v>44</v>
      </c>
      <c r="U218" s="9" t="s">
        <v>44</v>
      </c>
      <c r="V218" s="11">
        <v>48.96</v>
      </c>
      <c r="W218" s="11">
        <v>1.0</v>
      </c>
      <c r="X218" s="9" t="s">
        <v>48</v>
      </c>
      <c r="Y218" s="9" t="s">
        <v>367</v>
      </c>
      <c r="Z218" s="12"/>
      <c r="AA218" s="9">
        <v>1305322.0</v>
      </c>
      <c r="AB218" s="12"/>
      <c r="AC218" s="9" t="s">
        <v>50</v>
      </c>
    </row>
    <row r="219">
      <c r="A219" s="9" t="s">
        <v>33</v>
      </c>
      <c r="B219" s="11">
        <v>6.0</v>
      </c>
      <c r="C219" s="9" t="s">
        <v>43</v>
      </c>
      <c r="D219" s="9" t="s">
        <v>55</v>
      </c>
      <c r="E219" s="9" t="s">
        <v>56</v>
      </c>
      <c r="F219" s="9" t="s">
        <v>45</v>
      </c>
      <c r="G219" s="9" t="s">
        <v>46</v>
      </c>
      <c r="H219" s="9" t="s">
        <v>344</v>
      </c>
      <c r="I219" s="11">
        <v>8176984.0</v>
      </c>
      <c r="J219" s="11">
        <v>2.66803449E8</v>
      </c>
      <c r="K219" s="13">
        <v>46304.0</v>
      </c>
      <c r="L219" s="14">
        <v>46318.0</v>
      </c>
      <c r="M219" s="12"/>
      <c r="N219" s="9">
        <v>5.0</v>
      </c>
      <c r="O219" s="11">
        <v>9.0</v>
      </c>
      <c r="P219" s="9" t="s">
        <v>44</v>
      </c>
      <c r="Q219" s="12"/>
      <c r="R219" s="9" t="s">
        <v>90</v>
      </c>
      <c r="S219" s="9" t="s">
        <v>47</v>
      </c>
      <c r="T219" s="9" t="s">
        <v>44</v>
      </c>
      <c r="U219" s="9" t="s">
        <v>44</v>
      </c>
      <c r="V219" s="11">
        <v>48.96</v>
      </c>
      <c r="W219" s="11">
        <v>2.0</v>
      </c>
      <c r="X219" s="9" t="s">
        <v>48</v>
      </c>
      <c r="Y219" s="9" t="s">
        <v>368</v>
      </c>
      <c r="Z219" s="12"/>
      <c r="AA219" s="9">
        <v>1305557.0</v>
      </c>
      <c r="AB219" s="12"/>
      <c r="AC219" s="9" t="s">
        <v>50</v>
      </c>
    </row>
    <row r="220">
      <c r="A220" s="9" t="s">
        <v>33</v>
      </c>
      <c r="B220" s="11">
        <v>6.0</v>
      </c>
      <c r="C220" s="9" t="s">
        <v>43</v>
      </c>
      <c r="D220" s="9" t="s">
        <v>55</v>
      </c>
      <c r="E220" s="9" t="s">
        <v>56</v>
      </c>
      <c r="F220" s="9" t="s">
        <v>45</v>
      </c>
      <c r="G220" s="9" t="s">
        <v>46</v>
      </c>
      <c r="H220" s="9" t="s">
        <v>191</v>
      </c>
      <c r="I220" s="11">
        <v>8176724.0</v>
      </c>
      <c r="J220" s="11">
        <v>2.6680345E8</v>
      </c>
      <c r="K220" s="13">
        <v>46304.0</v>
      </c>
      <c r="L220" s="14">
        <v>46316.0</v>
      </c>
      <c r="M220" s="12"/>
      <c r="N220" s="9">
        <v>561.0</v>
      </c>
      <c r="O220" s="11">
        <v>7.0</v>
      </c>
      <c r="P220" s="9" t="s">
        <v>44</v>
      </c>
      <c r="Q220" s="12"/>
      <c r="R220" s="9" t="s">
        <v>52</v>
      </c>
      <c r="S220" s="9" t="s">
        <v>47</v>
      </c>
      <c r="T220" s="9" t="s">
        <v>44</v>
      </c>
      <c r="U220" s="9" t="s">
        <v>44</v>
      </c>
      <c r="V220" s="11">
        <v>45.49</v>
      </c>
      <c r="W220" s="11">
        <v>2.0</v>
      </c>
      <c r="X220" s="9" t="s">
        <v>48</v>
      </c>
      <c r="Y220" s="9" t="s">
        <v>369</v>
      </c>
      <c r="Z220" s="12"/>
      <c r="AA220" s="9">
        <v>1305872.0</v>
      </c>
      <c r="AB220" s="12"/>
      <c r="AC220" s="9" t="s">
        <v>50</v>
      </c>
    </row>
    <row r="221">
      <c r="A221" s="9" t="s">
        <v>33</v>
      </c>
      <c r="B221" s="11">
        <v>6.0</v>
      </c>
      <c r="C221" s="9" t="s">
        <v>43</v>
      </c>
      <c r="D221" s="9" t="s">
        <v>55</v>
      </c>
      <c r="E221" s="9" t="s">
        <v>56</v>
      </c>
      <c r="F221" s="9" t="s">
        <v>45</v>
      </c>
      <c r="G221" s="9" t="s">
        <v>46</v>
      </c>
      <c r="H221" s="9" t="s">
        <v>370</v>
      </c>
      <c r="I221" s="11">
        <v>8177032.0</v>
      </c>
      <c r="J221" s="11">
        <v>2.66803451E8</v>
      </c>
      <c r="K221" s="13">
        <v>46304.0</v>
      </c>
      <c r="L221" s="14">
        <v>46325.0</v>
      </c>
      <c r="M221" s="12"/>
      <c r="N221" s="9">
        <v>4.0</v>
      </c>
      <c r="O221" s="11">
        <v>14.0</v>
      </c>
      <c r="P221" s="9" t="s">
        <v>44</v>
      </c>
      <c r="Q221" s="12"/>
      <c r="R221" s="9" t="s">
        <v>90</v>
      </c>
      <c r="S221" s="9" t="s">
        <v>47</v>
      </c>
      <c r="T221" s="9" t="s">
        <v>44</v>
      </c>
      <c r="U221" s="9" t="s">
        <v>44</v>
      </c>
      <c r="V221" s="11">
        <v>63.12</v>
      </c>
      <c r="W221" s="11">
        <v>1.0</v>
      </c>
      <c r="X221" s="9" t="s">
        <v>48</v>
      </c>
      <c r="Y221" s="9" t="s">
        <v>371</v>
      </c>
      <c r="Z221" s="12"/>
      <c r="AA221" s="9">
        <v>1305078.0</v>
      </c>
      <c r="AB221" s="12"/>
      <c r="AC221" s="9" t="s">
        <v>50</v>
      </c>
    </row>
    <row r="222">
      <c r="A222" s="9" t="s">
        <v>33</v>
      </c>
      <c r="B222" s="11">
        <v>6.0</v>
      </c>
      <c r="C222" s="9" t="s">
        <v>43</v>
      </c>
      <c r="D222" s="9" t="s">
        <v>55</v>
      </c>
      <c r="E222" s="9" t="s">
        <v>56</v>
      </c>
      <c r="F222" s="9" t="s">
        <v>45</v>
      </c>
      <c r="G222" s="9" t="s">
        <v>46</v>
      </c>
      <c r="H222" s="9" t="s">
        <v>99</v>
      </c>
      <c r="I222" s="11">
        <v>8176788.0</v>
      </c>
      <c r="J222" s="11">
        <v>2.66803452E8</v>
      </c>
      <c r="K222" s="13">
        <v>46304.0</v>
      </c>
      <c r="L222" s="14">
        <v>46315.0</v>
      </c>
      <c r="M222" s="12"/>
      <c r="N222" s="9">
        <v>4.0</v>
      </c>
      <c r="O222" s="11">
        <v>6.0</v>
      </c>
      <c r="P222" s="9" t="s">
        <v>44</v>
      </c>
      <c r="Q222" s="12"/>
      <c r="R222" s="9" t="s">
        <v>90</v>
      </c>
      <c r="S222" s="9" t="s">
        <v>47</v>
      </c>
      <c r="T222" s="9" t="s">
        <v>44</v>
      </c>
      <c r="U222" s="9" t="s">
        <v>44</v>
      </c>
      <c r="V222" s="11">
        <v>51.54</v>
      </c>
      <c r="W222" s="11">
        <v>1.0</v>
      </c>
      <c r="X222" s="9" t="s">
        <v>48</v>
      </c>
      <c r="Y222" s="9" t="s">
        <v>372</v>
      </c>
      <c r="Z222" s="12"/>
      <c r="AA222" s="9">
        <v>1305330.0</v>
      </c>
      <c r="AB222" s="12"/>
      <c r="AC222" s="9" t="s">
        <v>50</v>
      </c>
    </row>
    <row r="223">
      <c r="A223" s="9" t="s">
        <v>33</v>
      </c>
      <c r="B223" s="11">
        <v>6.0</v>
      </c>
      <c r="C223" s="9" t="s">
        <v>43</v>
      </c>
      <c r="D223" s="9" t="s">
        <v>55</v>
      </c>
      <c r="E223" s="9" t="s">
        <v>56</v>
      </c>
      <c r="F223" s="9" t="s">
        <v>45</v>
      </c>
      <c r="G223" s="9" t="s">
        <v>46</v>
      </c>
      <c r="H223" s="9" t="s">
        <v>99</v>
      </c>
      <c r="I223" s="11">
        <v>8176758.0</v>
      </c>
      <c r="J223" s="11">
        <v>2.66803453E8</v>
      </c>
      <c r="K223" s="13">
        <v>46304.0</v>
      </c>
      <c r="L223" s="14">
        <v>46315.0</v>
      </c>
      <c r="M223" s="12"/>
      <c r="N223" s="9">
        <v>4.0</v>
      </c>
      <c r="O223" s="11">
        <v>6.0</v>
      </c>
      <c r="P223" s="9" t="s">
        <v>44</v>
      </c>
      <c r="Q223" s="12"/>
      <c r="R223" s="9" t="s">
        <v>90</v>
      </c>
      <c r="S223" s="9" t="s">
        <v>47</v>
      </c>
      <c r="T223" s="9" t="s">
        <v>44</v>
      </c>
      <c r="U223" s="9" t="s">
        <v>44</v>
      </c>
      <c r="V223" s="11">
        <v>51.54</v>
      </c>
      <c r="W223" s="11">
        <v>2.0</v>
      </c>
      <c r="X223" s="9" t="s">
        <v>48</v>
      </c>
      <c r="Y223" s="9" t="s">
        <v>373</v>
      </c>
      <c r="Z223" s="12"/>
      <c r="AA223" s="9">
        <v>1305962.0</v>
      </c>
      <c r="AB223" s="12"/>
      <c r="AC223" s="9" t="s">
        <v>50</v>
      </c>
    </row>
    <row r="224">
      <c r="A224" s="9" t="s">
        <v>33</v>
      </c>
      <c r="B224" s="11">
        <v>6.0</v>
      </c>
      <c r="C224" s="9" t="s">
        <v>43</v>
      </c>
      <c r="D224" s="9" t="s">
        <v>55</v>
      </c>
      <c r="E224" s="9" t="s">
        <v>56</v>
      </c>
      <c r="F224" s="9" t="s">
        <v>45</v>
      </c>
      <c r="G224" s="9" t="s">
        <v>46</v>
      </c>
      <c r="H224" s="9" t="s">
        <v>99</v>
      </c>
      <c r="I224" s="11">
        <v>8176725.0</v>
      </c>
      <c r="J224" s="11">
        <v>2.66803454E8</v>
      </c>
      <c r="K224" s="13">
        <v>46304.0</v>
      </c>
      <c r="L224" s="14">
        <v>46316.0</v>
      </c>
      <c r="M224" s="12"/>
      <c r="N224" s="9">
        <v>101.0</v>
      </c>
      <c r="O224" s="11">
        <v>7.0</v>
      </c>
      <c r="P224" s="9" t="s">
        <v>44</v>
      </c>
      <c r="Q224" s="12"/>
      <c r="R224" s="9" t="s">
        <v>90</v>
      </c>
      <c r="S224" s="9" t="s">
        <v>47</v>
      </c>
      <c r="T224" s="9" t="s">
        <v>44</v>
      </c>
      <c r="U224" s="9" t="s">
        <v>44</v>
      </c>
      <c r="V224" s="11">
        <v>57.25</v>
      </c>
      <c r="W224" s="11">
        <v>4.0</v>
      </c>
      <c r="X224" s="9" t="s">
        <v>48</v>
      </c>
      <c r="Y224" s="9" t="s">
        <v>374</v>
      </c>
      <c r="Z224" s="12"/>
      <c r="AA224" s="9">
        <v>1305774.0</v>
      </c>
      <c r="AB224" s="12"/>
      <c r="AC224" s="9" t="s">
        <v>50</v>
      </c>
    </row>
    <row r="225">
      <c r="A225" s="9" t="s">
        <v>33</v>
      </c>
      <c r="B225" s="11">
        <v>6.0</v>
      </c>
      <c r="C225" s="9" t="s">
        <v>43</v>
      </c>
      <c r="D225" s="9" t="s">
        <v>55</v>
      </c>
      <c r="E225" s="9" t="s">
        <v>56</v>
      </c>
      <c r="F225" s="9" t="s">
        <v>45</v>
      </c>
      <c r="G225" s="9" t="s">
        <v>46</v>
      </c>
      <c r="H225" s="9" t="s">
        <v>375</v>
      </c>
      <c r="I225" s="11">
        <v>8176946.0</v>
      </c>
      <c r="J225" s="11">
        <v>2.66803455E8</v>
      </c>
      <c r="K225" s="13">
        <v>46304.0</v>
      </c>
      <c r="L225" s="14">
        <v>46324.0</v>
      </c>
      <c r="M225" s="12"/>
      <c r="N225" s="9">
        <v>107.0</v>
      </c>
      <c r="O225" s="11">
        <v>13.0</v>
      </c>
      <c r="P225" s="9" t="s">
        <v>44</v>
      </c>
      <c r="Q225" s="12"/>
      <c r="R225" s="9" t="s">
        <v>90</v>
      </c>
      <c r="S225" s="9" t="s">
        <v>47</v>
      </c>
      <c r="T225" s="9" t="s">
        <v>44</v>
      </c>
      <c r="U225" s="9" t="s">
        <v>44</v>
      </c>
      <c r="V225" s="11">
        <v>71.9</v>
      </c>
      <c r="W225" s="11">
        <v>3.0</v>
      </c>
      <c r="X225" s="9" t="s">
        <v>48</v>
      </c>
      <c r="Y225" s="9" t="s">
        <v>376</v>
      </c>
      <c r="Z225" s="12"/>
      <c r="AA225" s="9">
        <v>1305810.0</v>
      </c>
      <c r="AB225" s="12"/>
      <c r="AC225" s="9" t="s">
        <v>50</v>
      </c>
    </row>
    <row r="226">
      <c r="A226" s="9" t="s">
        <v>33</v>
      </c>
      <c r="B226" s="11">
        <v>6.0</v>
      </c>
      <c r="C226" s="9" t="s">
        <v>43</v>
      </c>
      <c r="D226" s="9" t="s">
        <v>55</v>
      </c>
      <c r="E226" s="9" t="s">
        <v>56</v>
      </c>
      <c r="F226" s="9" t="s">
        <v>45</v>
      </c>
      <c r="G226" s="9" t="s">
        <v>46</v>
      </c>
      <c r="H226" s="9" t="s">
        <v>377</v>
      </c>
      <c r="I226" s="11">
        <v>8176854.0</v>
      </c>
      <c r="J226" s="11">
        <v>2.66803456E8</v>
      </c>
      <c r="K226" s="13">
        <v>46304.0</v>
      </c>
      <c r="L226" s="14">
        <v>46324.0</v>
      </c>
      <c r="M226" s="12"/>
      <c r="N226" s="9">
        <v>3.0</v>
      </c>
      <c r="O226" s="11">
        <v>13.0</v>
      </c>
      <c r="P226" s="9" t="s">
        <v>44</v>
      </c>
      <c r="Q226" s="12"/>
      <c r="R226" s="9" t="s">
        <v>90</v>
      </c>
      <c r="S226" s="9" t="s">
        <v>47</v>
      </c>
      <c r="T226" s="9" t="s">
        <v>44</v>
      </c>
      <c r="U226" s="9" t="s">
        <v>44</v>
      </c>
      <c r="V226" s="11">
        <v>71.9</v>
      </c>
      <c r="W226" s="11">
        <v>1.0</v>
      </c>
      <c r="X226" s="9" t="s">
        <v>48</v>
      </c>
      <c r="Y226" s="9" t="s">
        <v>378</v>
      </c>
      <c r="Z226" s="12"/>
      <c r="AA226" s="9">
        <v>1305572.0</v>
      </c>
      <c r="AB226" s="12"/>
      <c r="AC226" s="9" t="s">
        <v>50</v>
      </c>
    </row>
    <row r="227">
      <c r="A227" s="9" t="s">
        <v>33</v>
      </c>
      <c r="B227" s="11">
        <v>6.0</v>
      </c>
      <c r="C227" s="9" t="s">
        <v>43</v>
      </c>
      <c r="D227" s="9" t="s">
        <v>55</v>
      </c>
      <c r="E227" s="9" t="s">
        <v>56</v>
      </c>
      <c r="F227" s="9" t="s">
        <v>45</v>
      </c>
      <c r="G227" s="9" t="s">
        <v>46</v>
      </c>
      <c r="H227" s="9" t="s">
        <v>377</v>
      </c>
      <c r="I227" s="11">
        <v>8177033.0</v>
      </c>
      <c r="J227" s="11">
        <v>2.66803457E8</v>
      </c>
      <c r="K227" s="13">
        <v>46304.0</v>
      </c>
      <c r="L227" s="14">
        <v>46324.0</v>
      </c>
      <c r="M227" s="12"/>
      <c r="N227" s="9">
        <v>5.0</v>
      </c>
      <c r="O227" s="11">
        <v>13.0</v>
      </c>
      <c r="P227" s="9" t="s">
        <v>44</v>
      </c>
      <c r="Q227" s="12"/>
      <c r="R227" s="9" t="s">
        <v>90</v>
      </c>
      <c r="S227" s="9" t="s">
        <v>47</v>
      </c>
      <c r="T227" s="9" t="s">
        <v>44</v>
      </c>
      <c r="U227" s="9" t="s">
        <v>44</v>
      </c>
      <c r="V227" s="11">
        <v>71.9</v>
      </c>
      <c r="W227" s="11">
        <v>1.0</v>
      </c>
      <c r="X227" s="9" t="s">
        <v>48</v>
      </c>
      <c r="Y227" s="9" t="s">
        <v>379</v>
      </c>
      <c r="Z227" s="12"/>
      <c r="AA227" s="9">
        <v>1305130.0</v>
      </c>
      <c r="AB227" s="12"/>
      <c r="AC227" s="9" t="s">
        <v>50</v>
      </c>
    </row>
    <row r="228">
      <c r="A228" s="9" t="s">
        <v>33</v>
      </c>
      <c r="B228" s="11">
        <v>6.0</v>
      </c>
      <c r="C228" s="9" t="s">
        <v>43</v>
      </c>
      <c r="D228" s="9" t="s">
        <v>55</v>
      </c>
      <c r="E228" s="9" t="s">
        <v>56</v>
      </c>
      <c r="F228" s="9" t="s">
        <v>45</v>
      </c>
      <c r="G228" s="9" t="s">
        <v>46</v>
      </c>
      <c r="H228" s="9" t="s">
        <v>377</v>
      </c>
      <c r="I228" s="11">
        <v>8177034.0</v>
      </c>
      <c r="J228" s="11">
        <v>2.66803458E8</v>
      </c>
      <c r="K228" s="13">
        <v>46304.0</v>
      </c>
      <c r="L228" s="14">
        <v>46324.0</v>
      </c>
      <c r="M228" s="12"/>
      <c r="N228" s="9">
        <v>4.0</v>
      </c>
      <c r="O228" s="11">
        <v>13.0</v>
      </c>
      <c r="P228" s="9" t="s">
        <v>44</v>
      </c>
      <c r="Q228" s="12"/>
      <c r="R228" s="9" t="s">
        <v>90</v>
      </c>
      <c r="S228" s="9" t="s">
        <v>47</v>
      </c>
      <c r="T228" s="9" t="s">
        <v>44</v>
      </c>
      <c r="U228" s="9" t="s">
        <v>44</v>
      </c>
      <c r="V228" s="11">
        <v>71.9</v>
      </c>
      <c r="W228" s="11">
        <v>1.0</v>
      </c>
      <c r="X228" s="9" t="s">
        <v>48</v>
      </c>
      <c r="Y228" s="9" t="s">
        <v>380</v>
      </c>
      <c r="Z228" s="12"/>
      <c r="AA228" s="9">
        <v>1305276.0</v>
      </c>
      <c r="AB228" s="12"/>
      <c r="AC228" s="9" t="s">
        <v>50</v>
      </c>
    </row>
    <row r="229">
      <c r="A229" s="9" t="s">
        <v>33</v>
      </c>
      <c r="B229" s="11">
        <v>6.0</v>
      </c>
      <c r="C229" s="9" t="s">
        <v>43</v>
      </c>
      <c r="D229" s="9" t="s">
        <v>55</v>
      </c>
      <c r="E229" s="9" t="s">
        <v>56</v>
      </c>
      <c r="F229" s="9" t="s">
        <v>45</v>
      </c>
      <c r="G229" s="9" t="s">
        <v>46</v>
      </c>
      <c r="H229" s="9" t="s">
        <v>381</v>
      </c>
      <c r="I229" s="11">
        <v>8176741.0</v>
      </c>
      <c r="J229" s="11">
        <v>2.66803459E8</v>
      </c>
      <c r="K229" s="13">
        <v>46304.0</v>
      </c>
      <c r="L229" s="14">
        <v>46318.0</v>
      </c>
      <c r="M229" s="12"/>
      <c r="N229" s="9">
        <v>105.0</v>
      </c>
      <c r="O229" s="11">
        <v>9.0</v>
      </c>
      <c r="P229" s="9" t="s">
        <v>44</v>
      </c>
      <c r="Q229" s="12"/>
      <c r="R229" s="9" t="s">
        <v>90</v>
      </c>
      <c r="S229" s="9" t="s">
        <v>47</v>
      </c>
      <c r="T229" s="9" t="s">
        <v>44</v>
      </c>
      <c r="U229" s="9" t="s">
        <v>44</v>
      </c>
      <c r="V229" s="11">
        <v>71.9</v>
      </c>
      <c r="W229" s="11">
        <v>1.0</v>
      </c>
      <c r="X229" s="9" t="s">
        <v>48</v>
      </c>
      <c r="Y229" s="9" t="s">
        <v>382</v>
      </c>
      <c r="Z229" s="12"/>
      <c r="AA229" s="9">
        <v>1305663.0</v>
      </c>
      <c r="AB229" s="12"/>
      <c r="AC229" s="9" t="s">
        <v>50</v>
      </c>
    </row>
    <row r="230">
      <c r="A230" s="9" t="s">
        <v>33</v>
      </c>
      <c r="B230" s="11">
        <v>6.0</v>
      </c>
      <c r="C230" s="9" t="s">
        <v>43</v>
      </c>
      <c r="D230" s="9" t="s">
        <v>55</v>
      </c>
      <c r="E230" s="9" t="s">
        <v>56</v>
      </c>
      <c r="F230" s="9" t="s">
        <v>45</v>
      </c>
      <c r="G230" s="9" t="s">
        <v>46</v>
      </c>
      <c r="H230" s="9" t="s">
        <v>381</v>
      </c>
      <c r="I230" s="11">
        <v>8177035.0</v>
      </c>
      <c r="J230" s="11">
        <v>2.6680346E8</v>
      </c>
      <c r="K230" s="13">
        <v>46304.0</v>
      </c>
      <c r="L230" s="14">
        <v>46318.0</v>
      </c>
      <c r="M230" s="12"/>
      <c r="N230" s="9">
        <v>105.0</v>
      </c>
      <c r="O230" s="11">
        <v>9.0</v>
      </c>
      <c r="P230" s="9" t="s">
        <v>44</v>
      </c>
      <c r="Q230" s="12"/>
      <c r="R230" s="9" t="s">
        <v>90</v>
      </c>
      <c r="S230" s="9" t="s">
        <v>47</v>
      </c>
      <c r="T230" s="9" t="s">
        <v>44</v>
      </c>
      <c r="U230" s="9" t="s">
        <v>44</v>
      </c>
      <c r="V230" s="11">
        <v>71.9</v>
      </c>
      <c r="W230" s="11">
        <v>1.0</v>
      </c>
      <c r="X230" s="9" t="s">
        <v>48</v>
      </c>
      <c r="Y230" s="9" t="s">
        <v>383</v>
      </c>
      <c r="Z230" s="12"/>
      <c r="AA230" s="9">
        <v>1304778.0</v>
      </c>
      <c r="AB230" s="12"/>
      <c r="AC230" s="9" t="s">
        <v>50</v>
      </c>
    </row>
    <row r="231">
      <c r="A231" s="9" t="s">
        <v>33</v>
      </c>
      <c r="B231" s="11">
        <v>6.0</v>
      </c>
      <c r="C231" s="9" t="s">
        <v>43</v>
      </c>
      <c r="D231" s="9" t="s">
        <v>55</v>
      </c>
      <c r="E231" s="9" t="s">
        <v>56</v>
      </c>
      <c r="F231" s="9" t="s">
        <v>45</v>
      </c>
      <c r="G231" s="9" t="s">
        <v>46</v>
      </c>
      <c r="H231" s="9" t="s">
        <v>381</v>
      </c>
      <c r="I231" s="11">
        <v>8176947.0</v>
      </c>
      <c r="J231" s="11">
        <v>2.66803461E8</v>
      </c>
      <c r="K231" s="13">
        <v>46304.0</v>
      </c>
      <c r="L231" s="14">
        <v>46316.0</v>
      </c>
      <c r="M231" s="12"/>
      <c r="N231" s="9">
        <v>101.0</v>
      </c>
      <c r="O231" s="11">
        <v>7.0</v>
      </c>
      <c r="P231" s="9" t="s">
        <v>44</v>
      </c>
      <c r="Q231" s="12"/>
      <c r="R231" s="9" t="s">
        <v>90</v>
      </c>
      <c r="S231" s="9" t="s">
        <v>47</v>
      </c>
      <c r="T231" s="9" t="s">
        <v>44</v>
      </c>
      <c r="U231" s="9" t="s">
        <v>44</v>
      </c>
      <c r="V231" s="11">
        <v>64.23</v>
      </c>
      <c r="W231" s="11">
        <v>1.0</v>
      </c>
      <c r="X231" s="9" t="s">
        <v>48</v>
      </c>
      <c r="Y231" s="9" t="s">
        <v>384</v>
      </c>
      <c r="Z231" s="12"/>
      <c r="AA231" s="9">
        <v>1305714.0</v>
      </c>
      <c r="AB231" s="12"/>
      <c r="AC231" s="9" t="s">
        <v>50</v>
      </c>
    </row>
    <row r="232">
      <c r="A232" s="9" t="s">
        <v>33</v>
      </c>
      <c r="B232" s="11">
        <v>6.0</v>
      </c>
      <c r="C232" s="9" t="s">
        <v>43</v>
      </c>
      <c r="D232" s="9" t="s">
        <v>55</v>
      </c>
      <c r="E232" s="9" t="s">
        <v>56</v>
      </c>
      <c r="F232" s="9" t="s">
        <v>45</v>
      </c>
      <c r="G232" s="9" t="s">
        <v>46</v>
      </c>
      <c r="H232" s="9" t="s">
        <v>381</v>
      </c>
      <c r="I232" s="11">
        <v>8176813.0</v>
      </c>
      <c r="J232" s="11">
        <v>2.66803462E8</v>
      </c>
      <c r="K232" s="13">
        <v>46304.0</v>
      </c>
      <c r="L232" s="14">
        <v>46318.0</v>
      </c>
      <c r="M232" s="12"/>
      <c r="N232" s="9">
        <v>103.0</v>
      </c>
      <c r="O232" s="11">
        <v>9.0</v>
      </c>
      <c r="P232" s="9" t="s">
        <v>44</v>
      </c>
      <c r="Q232" s="12"/>
      <c r="R232" s="9" t="s">
        <v>90</v>
      </c>
      <c r="S232" s="9" t="s">
        <v>47</v>
      </c>
      <c r="T232" s="9" t="s">
        <v>44</v>
      </c>
      <c r="U232" s="9" t="s">
        <v>44</v>
      </c>
      <c r="V232" s="11">
        <v>71.9</v>
      </c>
      <c r="W232" s="11">
        <v>1.0</v>
      </c>
      <c r="X232" s="9" t="s">
        <v>48</v>
      </c>
      <c r="Y232" s="9" t="s">
        <v>385</v>
      </c>
      <c r="Z232" s="12"/>
      <c r="AA232" s="9">
        <v>1305691.0</v>
      </c>
      <c r="AB232" s="12"/>
      <c r="AC232" s="9" t="s">
        <v>50</v>
      </c>
    </row>
    <row r="233">
      <c r="A233" s="9" t="s">
        <v>33</v>
      </c>
      <c r="B233" s="11">
        <v>6.0</v>
      </c>
      <c r="C233" s="9" t="s">
        <v>43</v>
      </c>
      <c r="D233" s="9" t="s">
        <v>55</v>
      </c>
      <c r="E233" s="9" t="s">
        <v>56</v>
      </c>
      <c r="F233" s="9" t="s">
        <v>45</v>
      </c>
      <c r="G233" s="9" t="s">
        <v>46</v>
      </c>
      <c r="H233" s="9" t="s">
        <v>381</v>
      </c>
      <c r="I233" s="11">
        <v>8176814.0</v>
      </c>
      <c r="J233" s="11">
        <v>2.66803463E8</v>
      </c>
      <c r="K233" s="13">
        <v>46304.0</v>
      </c>
      <c r="L233" s="14">
        <v>46321.0</v>
      </c>
      <c r="M233" s="12"/>
      <c r="N233" s="9">
        <v>102.0</v>
      </c>
      <c r="O233" s="11">
        <v>10.0</v>
      </c>
      <c r="P233" s="9" t="s">
        <v>44</v>
      </c>
      <c r="Q233" s="12"/>
      <c r="R233" s="9" t="s">
        <v>90</v>
      </c>
      <c r="S233" s="9" t="s">
        <v>47</v>
      </c>
      <c r="T233" s="9" t="s">
        <v>44</v>
      </c>
      <c r="U233" s="9" t="s">
        <v>44</v>
      </c>
      <c r="V233" s="11">
        <v>71.9</v>
      </c>
      <c r="W233" s="11">
        <v>1.0</v>
      </c>
      <c r="X233" s="9" t="s">
        <v>48</v>
      </c>
      <c r="Y233" s="9" t="s">
        <v>386</v>
      </c>
      <c r="Z233" s="12"/>
      <c r="AA233" s="9">
        <v>1305593.0</v>
      </c>
      <c r="AB233" s="12"/>
      <c r="AC233" s="9" t="s">
        <v>50</v>
      </c>
    </row>
    <row r="234">
      <c r="A234" s="9" t="s">
        <v>33</v>
      </c>
      <c r="B234" s="11">
        <v>6.0</v>
      </c>
      <c r="C234" s="9" t="s">
        <v>43</v>
      </c>
      <c r="D234" s="9" t="s">
        <v>55</v>
      </c>
      <c r="E234" s="9" t="s">
        <v>56</v>
      </c>
      <c r="F234" s="9" t="s">
        <v>45</v>
      </c>
      <c r="G234" s="9" t="s">
        <v>46</v>
      </c>
      <c r="H234" s="9" t="s">
        <v>387</v>
      </c>
      <c r="I234" s="11">
        <v>8176815.0</v>
      </c>
      <c r="J234" s="11">
        <v>2.66803464E8</v>
      </c>
      <c r="K234" s="13">
        <v>46304.0</v>
      </c>
      <c r="L234" s="14">
        <v>46322.0</v>
      </c>
      <c r="M234" s="12"/>
      <c r="N234" s="9">
        <v>4.0</v>
      </c>
      <c r="O234" s="11">
        <v>11.0</v>
      </c>
      <c r="P234" s="9" t="s">
        <v>44</v>
      </c>
      <c r="Q234" s="12"/>
      <c r="R234" s="9" t="s">
        <v>90</v>
      </c>
      <c r="S234" s="9" t="s">
        <v>47</v>
      </c>
      <c r="T234" s="9" t="s">
        <v>44</v>
      </c>
      <c r="U234" s="9" t="s">
        <v>44</v>
      </c>
      <c r="V234" s="11">
        <v>71.9</v>
      </c>
      <c r="W234" s="11">
        <v>1.0</v>
      </c>
      <c r="X234" s="9" t="s">
        <v>48</v>
      </c>
      <c r="Y234" s="9" t="s">
        <v>388</v>
      </c>
      <c r="Z234" s="12"/>
      <c r="AA234" s="9">
        <v>1305254.0</v>
      </c>
      <c r="AB234" s="12"/>
      <c r="AC234" s="9" t="s">
        <v>50</v>
      </c>
    </row>
    <row r="235">
      <c r="A235" s="9" t="s">
        <v>33</v>
      </c>
      <c r="B235" s="11">
        <v>6.0</v>
      </c>
      <c r="C235" s="9" t="s">
        <v>43</v>
      </c>
      <c r="D235" s="9" t="s">
        <v>55</v>
      </c>
      <c r="E235" s="9" t="s">
        <v>389</v>
      </c>
      <c r="F235" s="9" t="s">
        <v>45</v>
      </c>
      <c r="G235" s="9" t="s">
        <v>46</v>
      </c>
      <c r="H235" s="9" t="s">
        <v>107</v>
      </c>
      <c r="I235" s="11">
        <v>8177036.0</v>
      </c>
      <c r="J235" s="11">
        <v>2.66803465E8</v>
      </c>
      <c r="K235" s="13">
        <v>46304.0</v>
      </c>
      <c r="L235" s="14">
        <v>46315.0</v>
      </c>
      <c r="M235" s="12"/>
      <c r="N235" s="9">
        <v>700.0</v>
      </c>
      <c r="O235" s="11">
        <v>6.0</v>
      </c>
      <c r="P235" s="9" t="s">
        <v>44</v>
      </c>
      <c r="Q235" s="12"/>
      <c r="R235" s="9" t="s">
        <v>90</v>
      </c>
      <c r="S235" s="9" t="s">
        <v>47</v>
      </c>
      <c r="T235" s="9" t="s">
        <v>44</v>
      </c>
      <c r="U235" s="9" t="s">
        <v>44</v>
      </c>
      <c r="V235" s="11">
        <v>80.97</v>
      </c>
      <c r="W235" s="11">
        <v>6.0</v>
      </c>
      <c r="X235" s="9" t="s">
        <v>48</v>
      </c>
      <c r="Y235" s="9" t="s">
        <v>390</v>
      </c>
      <c r="Z235" s="12"/>
      <c r="AA235" s="9" t="s">
        <v>391</v>
      </c>
      <c r="AB235" s="12"/>
      <c r="AC235" s="9" t="s">
        <v>50</v>
      </c>
    </row>
    <row r="236">
      <c r="A236" s="9" t="s">
        <v>33</v>
      </c>
      <c r="B236" s="11">
        <v>6.0</v>
      </c>
      <c r="C236" s="9" t="s">
        <v>43</v>
      </c>
      <c r="D236" s="9" t="s">
        <v>55</v>
      </c>
      <c r="E236" s="9" t="s">
        <v>56</v>
      </c>
      <c r="F236" s="9" t="s">
        <v>45</v>
      </c>
      <c r="G236" s="9" t="s">
        <v>46</v>
      </c>
      <c r="H236" s="9" t="s">
        <v>107</v>
      </c>
      <c r="I236" s="11">
        <v>8176742.0</v>
      </c>
      <c r="J236" s="11">
        <v>2.66803466E8</v>
      </c>
      <c r="K236" s="13">
        <v>46304.0</v>
      </c>
      <c r="L236" s="14">
        <v>46315.0</v>
      </c>
      <c r="M236" s="12"/>
      <c r="N236" s="9">
        <v>9.0</v>
      </c>
      <c r="O236" s="11">
        <v>6.0</v>
      </c>
      <c r="P236" s="9" t="s">
        <v>44</v>
      </c>
      <c r="Q236" s="12"/>
      <c r="R236" s="9" t="s">
        <v>90</v>
      </c>
      <c r="S236" s="9" t="s">
        <v>47</v>
      </c>
      <c r="T236" s="9" t="s">
        <v>44</v>
      </c>
      <c r="U236" s="9" t="s">
        <v>44</v>
      </c>
      <c r="V236" s="11">
        <v>56.53</v>
      </c>
      <c r="W236" s="11">
        <v>1.0</v>
      </c>
      <c r="X236" s="9" t="s">
        <v>48</v>
      </c>
      <c r="Y236" s="9" t="s">
        <v>392</v>
      </c>
      <c r="Z236" s="12"/>
      <c r="AA236" s="9">
        <v>1305904.0</v>
      </c>
      <c r="AB236" s="12"/>
      <c r="AC236" s="9" t="s">
        <v>50</v>
      </c>
    </row>
    <row r="237">
      <c r="A237" s="9" t="s">
        <v>33</v>
      </c>
      <c r="B237" s="11">
        <v>6.0</v>
      </c>
      <c r="C237" s="9" t="s">
        <v>43</v>
      </c>
      <c r="D237" s="9" t="s">
        <v>55</v>
      </c>
      <c r="E237" s="9" t="s">
        <v>56</v>
      </c>
      <c r="F237" s="9" t="s">
        <v>45</v>
      </c>
      <c r="G237" s="9" t="s">
        <v>46</v>
      </c>
      <c r="H237" s="9" t="s">
        <v>107</v>
      </c>
      <c r="I237" s="11">
        <v>8176985.0</v>
      </c>
      <c r="J237" s="11">
        <v>2.66803467E8</v>
      </c>
      <c r="K237" s="13">
        <v>46304.0</v>
      </c>
      <c r="L237" s="14">
        <v>46315.0</v>
      </c>
      <c r="M237" s="12"/>
      <c r="N237" s="9">
        <v>700.0</v>
      </c>
      <c r="O237" s="11">
        <v>6.0</v>
      </c>
      <c r="P237" s="9" t="s">
        <v>44</v>
      </c>
      <c r="Q237" s="12"/>
      <c r="R237" s="9" t="s">
        <v>90</v>
      </c>
      <c r="S237" s="9" t="s">
        <v>47</v>
      </c>
      <c r="T237" s="9" t="s">
        <v>44</v>
      </c>
      <c r="U237" s="9" t="s">
        <v>44</v>
      </c>
      <c r="V237" s="11">
        <v>64.23</v>
      </c>
      <c r="W237" s="11">
        <v>2.0</v>
      </c>
      <c r="X237" s="9" t="s">
        <v>48</v>
      </c>
      <c r="Y237" s="9" t="s">
        <v>393</v>
      </c>
      <c r="Z237" s="12"/>
      <c r="AA237" s="9">
        <v>1305684.0</v>
      </c>
      <c r="AB237" s="12"/>
      <c r="AC237" s="9" t="s">
        <v>50</v>
      </c>
    </row>
    <row r="238">
      <c r="A238" s="9" t="s">
        <v>33</v>
      </c>
      <c r="B238" s="11">
        <v>6.0</v>
      </c>
      <c r="C238" s="9" t="s">
        <v>43</v>
      </c>
      <c r="D238" s="9" t="s">
        <v>55</v>
      </c>
      <c r="E238" s="9" t="s">
        <v>56</v>
      </c>
      <c r="F238" s="9" t="s">
        <v>45</v>
      </c>
      <c r="G238" s="9" t="s">
        <v>46</v>
      </c>
      <c r="H238" s="9" t="s">
        <v>359</v>
      </c>
      <c r="I238" s="11">
        <v>8177037.0</v>
      </c>
      <c r="J238" s="11">
        <v>2.66803468E8</v>
      </c>
      <c r="K238" s="13">
        <v>46304.0</v>
      </c>
      <c r="L238" s="14">
        <v>46317.0</v>
      </c>
      <c r="M238" s="12"/>
      <c r="N238" s="9">
        <v>1.0</v>
      </c>
      <c r="O238" s="11">
        <v>8.0</v>
      </c>
      <c r="P238" s="9" t="s">
        <v>44</v>
      </c>
      <c r="Q238" s="12"/>
      <c r="R238" s="9" t="s">
        <v>52</v>
      </c>
      <c r="S238" s="9" t="s">
        <v>47</v>
      </c>
      <c r="T238" s="9" t="s">
        <v>44</v>
      </c>
      <c r="U238" s="9" t="s">
        <v>44</v>
      </c>
      <c r="V238" s="11">
        <v>45.49</v>
      </c>
      <c r="W238" s="11">
        <v>3.0</v>
      </c>
      <c r="X238" s="9" t="s">
        <v>48</v>
      </c>
      <c r="Y238" s="9" t="s">
        <v>394</v>
      </c>
      <c r="Z238" s="12"/>
      <c r="AA238" s="9" t="s">
        <v>395</v>
      </c>
      <c r="AB238" s="12"/>
      <c r="AC238" s="9" t="s">
        <v>50</v>
      </c>
    </row>
    <row r="239">
      <c r="A239" s="9" t="s">
        <v>33</v>
      </c>
      <c r="B239" s="11">
        <v>6.0</v>
      </c>
      <c r="C239" s="9" t="s">
        <v>43</v>
      </c>
      <c r="D239" s="9" t="s">
        <v>55</v>
      </c>
      <c r="E239" s="9" t="s">
        <v>56</v>
      </c>
      <c r="F239" s="9" t="s">
        <v>45</v>
      </c>
      <c r="G239" s="9" t="s">
        <v>46</v>
      </c>
      <c r="H239" s="9" t="s">
        <v>107</v>
      </c>
      <c r="I239" s="11">
        <v>8176716.0</v>
      </c>
      <c r="J239" s="11">
        <v>2.66803469E8</v>
      </c>
      <c r="K239" s="13">
        <v>46304.0</v>
      </c>
      <c r="L239" s="14">
        <v>46315.0</v>
      </c>
      <c r="M239" s="12"/>
      <c r="N239" s="9">
        <v>700.0</v>
      </c>
      <c r="O239" s="11">
        <v>6.0</v>
      </c>
      <c r="P239" s="9" t="s">
        <v>44</v>
      </c>
      <c r="Q239" s="12"/>
      <c r="R239" s="9" t="s">
        <v>90</v>
      </c>
      <c r="S239" s="9" t="s">
        <v>47</v>
      </c>
      <c r="T239" s="9" t="s">
        <v>44</v>
      </c>
      <c r="U239" s="9" t="s">
        <v>44</v>
      </c>
      <c r="V239" s="11">
        <v>64.23</v>
      </c>
      <c r="W239" s="11">
        <v>1.0</v>
      </c>
      <c r="X239" s="9" t="s">
        <v>48</v>
      </c>
      <c r="Y239" s="9" t="s">
        <v>71</v>
      </c>
      <c r="Z239" s="12"/>
      <c r="AA239" s="9">
        <v>1305932.0</v>
      </c>
      <c r="AB239" s="12"/>
      <c r="AC239" s="9" t="s">
        <v>50</v>
      </c>
    </row>
    <row r="240">
      <c r="A240" s="9" t="s">
        <v>33</v>
      </c>
      <c r="B240" s="11">
        <v>6.0</v>
      </c>
      <c r="C240" s="9" t="s">
        <v>43</v>
      </c>
      <c r="D240" s="9" t="s">
        <v>55</v>
      </c>
      <c r="E240" s="9" t="s">
        <v>56</v>
      </c>
      <c r="F240" s="9" t="s">
        <v>45</v>
      </c>
      <c r="G240" s="9" t="s">
        <v>46</v>
      </c>
      <c r="H240" s="9" t="s">
        <v>107</v>
      </c>
      <c r="I240" s="11">
        <v>8176948.0</v>
      </c>
      <c r="J240" s="11">
        <v>2.6680347E8</v>
      </c>
      <c r="K240" s="13">
        <v>46304.0</v>
      </c>
      <c r="L240" s="14">
        <v>46315.0</v>
      </c>
      <c r="M240" s="12"/>
      <c r="N240" s="9">
        <v>16.0</v>
      </c>
      <c r="O240" s="11">
        <v>6.0</v>
      </c>
      <c r="P240" s="9" t="s">
        <v>44</v>
      </c>
      <c r="Q240" s="12"/>
      <c r="R240" s="9" t="s">
        <v>90</v>
      </c>
      <c r="S240" s="9" t="s">
        <v>47</v>
      </c>
      <c r="T240" s="9" t="s">
        <v>44</v>
      </c>
      <c r="U240" s="9" t="s">
        <v>44</v>
      </c>
      <c r="V240" s="11">
        <v>64.23</v>
      </c>
      <c r="W240" s="11">
        <v>2.0</v>
      </c>
      <c r="X240" s="9" t="s">
        <v>48</v>
      </c>
      <c r="Y240" s="9" t="s">
        <v>110</v>
      </c>
      <c r="Z240" s="12"/>
      <c r="AA240" s="9" t="s">
        <v>396</v>
      </c>
      <c r="AB240" s="12"/>
      <c r="AC240" s="9" t="s">
        <v>50</v>
      </c>
    </row>
    <row r="241">
      <c r="A241" s="9" t="s">
        <v>33</v>
      </c>
      <c r="B241" s="11">
        <v>6.0</v>
      </c>
      <c r="C241" s="9" t="s">
        <v>43</v>
      </c>
      <c r="D241" s="9" t="s">
        <v>55</v>
      </c>
      <c r="E241" s="9" t="s">
        <v>56</v>
      </c>
      <c r="F241" s="9" t="s">
        <v>45</v>
      </c>
      <c r="G241" s="9" t="s">
        <v>46</v>
      </c>
      <c r="H241" s="9" t="s">
        <v>107</v>
      </c>
      <c r="I241" s="11">
        <v>8177038.0</v>
      </c>
      <c r="J241" s="11">
        <v>2.66803471E8</v>
      </c>
      <c r="K241" s="13">
        <v>46304.0</v>
      </c>
      <c r="L241" s="14">
        <v>46315.0</v>
      </c>
      <c r="M241" s="12"/>
      <c r="N241" s="9">
        <v>15.0</v>
      </c>
      <c r="O241" s="11">
        <v>6.0</v>
      </c>
      <c r="P241" s="9" t="s">
        <v>44</v>
      </c>
      <c r="Q241" s="12"/>
      <c r="R241" s="9" t="s">
        <v>90</v>
      </c>
      <c r="S241" s="9" t="s">
        <v>47</v>
      </c>
      <c r="T241" s="9" t="s">
        <v>44</v>
      </c>
      <c r="U241" s="9" t="s">
        <v>44</v>
      </c>
      <c r="V241" s="11">
        <v>64.23</v>
      </c>
      <c r="W241" s="11">
        <v>1.0</v>
      </c>
      <c r="X241" s="9" t="s">
        <v>48</v>
      </c>
      <c r="Y241" s="9" t="s">
        <v>397</v>
      </c>
      <c r="Z241" s="12"/>
      <c r="AA241" s="9">
        <v>1305079.0</v>
      </c>
      <c r="AB241" s="12"/>
      <c r="AC241" s="9" t="s">
        <v>50</v>
      </c>
    </row>
    <row r="242">
      <c r="A242" s="9" t="s">
        <v>33</v>
      </c>
      <c r="B242" s="11">
        <v>6.0</v>
      </c>
      <c r="C242" s="9" t="s">
        <v>43</v>
      </c>
      <c r="D242" s="9" t="s">
        <v>44</v>
      </c>
      <c r="E242" s="12"/>
      <c r="F242" s="9" t="s">
        <v>45</v>
      </c>
      <c r="G242" s="9" t="s">
        <v>46</v>
      </c>
      <c r="H242" s="9" t="s">
        <v>398</v>
      </c>
      <c r="I242" s="11">
        <v>0.0</v>
      </c>
      <c r="J242" s="11">
        <v>2.66803472E8</v>
      </c>
      <c r="K242" s="13">
        <v>46304.0</v>
      </c>
      <c r="L242" s="14">
        <v>46321.0</v>
      </c>
      <c r="M242" s="12"/>
      <c r="N242" s="9">
        <v>102.0</v>
      </c>
      <c r="O242" s="11">
        <v>10.0</v>
      </c>
      <c r="P242" s="9" t="s">
        <v>44</v>
      </c>
      <c r="Q242" s="12"/>
      <c r="R242" s="12"/>
      <c r="S242" s="9" t="s">
        <v>47</v>
      </c>
      <c r="T242" s="9" t="s">
        <v>44</v>
      </c>
      <c r="U242" s="9" t="s">
        <v>44</v>
      </c>
      <c r="V242" s="11">
        <v>71.9</v>
      </c>
      <c r="W242" s="11">
        <v>1.0</v>
      </c>
      <c r="X242" s="9" t="s">
        <v>48</v>
      </c>
      <c r="Y242" s="9" t="s">
        <v>399</v>
      </c>
      <c r="Z242" s="12"/>
      <c r="AA242" s="9">
        <v>1303857.0</v>
      </c>
      <c r="AB242" s="12"/>
      <c r="AC242" s="9" t="s">
        <v>50</v>
      </c>
    </row>
    <row r="243">
      <c r="A243" s="9" t="s">
        <v>33</v>
      </c>
      <c r="B243" s="11">
        <v>6.0</v>
      </c>
      <c r="C243" s="9" t="s">
        <v>43</v>
      </c>
      <c r="D243" s="9" t="s">
        <v>55</v>
      </c>
      <c r="E243" s="9" t="s">
        <v>56</v>
      </c>
      <c r="F243" s="9" t="s">
        <v>45</v>
      </c>
      <c r="G243" s="9" t="s">
        <v>46</v>
      </c>
      <c r="H243" s="9" t="s">
        <v>398</v>
      </c>
      <c r="I243" s="11">
        <v>8176912.0</v>
      </c>
      <c r="J243" s="11">
        <v>2.66803473E8</v>
      </c>
      <c r="K243" s="13">
        <v>46304.0</v>
      </c>
      <c r="L243" s="14">
        <v>46323.0</v>
      </c>
      <c r="M243" s="12"/>
      <c r="N243" s="9">
        <v>105.0</v>
      </c>
      <c r="O243" s="11">
        <v>12.0</v>
      </c>
      <c r="P243" s="9" t="s">
        <v>44</v>
      </c>
      <c r="Q243" s="12"/>
      <c r="R243" s="9" t="s">
        <v>52</v>
      </c>
      <c r="S243" s="9" t="s">
        <v>47</v>
      </c>
      <c r="T243" s="9" t="s">
        <v>44</v>
      </c>
      <c r="U243" s="9" t="s">
        <v>44</v>
      </c>
      <c r="V243" s="11">
        <v>71.9</v>
      </c>
      <c r="W243" s="11">
        <v>1.0</v>
      </c>
      <c r="X243" s="9" t="s">
        <v>48</v>
      </c>
      <c r="Y243" s="9" t="s">
        <v>400</v>
      </c>
      <c r="Z243" s="12"/>
      <c r="AA243" s="9">
        <v>1305326.0</v>
      </c>
      <c r="AB243" s="12"/>
      <c r="AC243" s="9" t="s">
        <v>50</v>
      </c>
    </row>
    <row r="244">
      <c r="A244" s="9" t="s">
        <v>33</v>
      </c>
      <c r="B244" s="11">
        <v>6.0</v>
      </c>
      <c r="C244" s="9" t="s">
        <v>43</v>
      </c>
      <c r="D244" s="9" t="s">
        <v>55</v>
      </c>
      <c r="E244" s="9" t="s">
        <v>56</v>
      </c>
      <c r="F244" s="9" t="s">
        <v>45</v>
      </c>
      <c r="G244" s="9" t="s">
        <v>46</v>
      </c>
      <c r="H244" s="9" t="s">
        <v>398</v>
      </c>
      <c r="I244" s="11">
        <v>8176913.0</v>
      </c>
      <c r="J244" s="11">
        <v>2.66803474E8</v>
      </c>
      <c r="K244" s="13">
        <v>46304.0</v>
      </c>
      <c r="L244" s="14">
        <v>46322.0</v>
      </c>
      <c r="M244" s="12"/>
      <c r="N244" s="9">
        <v>107.0</v>
      </c>
      <c r="O244" s="11">
        <v>11.0</v>
      </c>
      <c r="P244" s="9" t="s">
        <v>44</v>
      </c>
      <c r="Q244" s="12"/>
      <c r="R244" s="12"/>
      <c r="S244" s="9" t="s">
        <v>47</v>
      </c>
      <c r="T244" s="9" t="s">
        <v>44</v>
      </c>
      <c r="U244" s="9" t="s">
        <v>44</v>
      </c>
      <c r="V244" s="11">
        <v>71.9</v>
      </c>
      <c r="W244" s="11">
        <v>1.0</v>
      </c>
      <c r="X244" s="9" t="s">
        <v>48</v>
      </c>
      <c r="Y244" s="9" t="s">
        <v>401</v>
      </c>
      <c r="Z244" s="12"/>
      <c r="AA244" s="9">
        <v>1305876.0</v>
      </c>
      <c r="AB244" s="12"/>
      <c r="AC244" s="9" t="s">
        <v>50</v>
      </c>
    </row>
    <row r="245">
      <c r="A245" s="9" t="s">
        <v>33</v>
      </c>
      <c r="B245" s="11">
        <v>6.0</v>
      </c>
      <c r="C245" s="9" t="s">
        <v>43</v>
      </c>
      <c r="D245" s="9" t="s">
        <v>55</v>
      </c>
      <c r="E245" s="9" t="s">
        <v>56</v>
      </c>
      <c r="F245" s="9" t="s">
        <v>45</v>
      </c>
      <c r="G245" s="9" t="s">
        <v>46</v>
      </c>
      <c r="H245" s="9" t="s">
        <v>107</v>
      </c>
      <c r="I245" s="11">
        <v>8177039.0</v>
      </c>
      <c r="J245" s="11">
        <v>2.66803475E8</v>
      </c>
      <c r="K245" s="13">
        <v>46304.0</v>
      </c>
      <c r="L245" s="14">
        <v>46318.0</v>
      </c>
      <c r="M245" s="12"/>
      <c r="N245" s="9">
        <v>103.0</v>
      </c>
      <c r="O245" s="11">
        <v>9.0</v>
      </c>
      <c r="P245" s="9" t="s">
        <v>44</v>
      </c>
      <c r="Q245" s="12"/>
      <c r="R245" s="9" t="s">
        <v>90</v>
      </c>
      <c r="S245" s="9" t="s">
        <v>47</v>
      </c>
      <c r="T245" s="9" t="s">
        <v>44</v>
      </c>
      <c r="U245" s="9" t="s">
        <v>44</v>
      </c>
      <c r="V245" s="11">
        <v>71.9</v>
      </c>
      <c r="W245" s="11">
        <v>1.0</v>
      </c>
      <c r="X245" s="9" t="s">
        <v>48</v>
      </c>
      <c r="Y245" s="9" t="s">
        <v>402</v>
      </c>
      <c r="Z245" s="12"/>
      <c r="AA245" s="9">
        <v>1304744.0</v>
      </c>
      <c r="AB245" s="12"/>
      <c r="AC245" s="9" t="s">
        <v>50</v>
      </c>
    </row>
    <row r="246">
      <c r="A246" s="9" t="s">
        <v>33</v>
      </c>
      <c r="B246" s="11">
        <v>6.0</v>
      </c>
      <c r="C246" s="9" t="s">
        <v>43</v>
      </c>
      <c r="D246" s="9" t="s">
        <v>55</v>
      </c>
      <c r="E246" s="9" t="s">
        <v>56</v>
      </c>
      <c r="F246" s="9" t="s">
        <v>45</v>
      </c>
      <c r="G246" s="9" t="s">
        <v>46</v>
      </c>
      <c r="H246" s="9" t="s">
        <v>107</v>
      </c>
      <c r="I246" s="11">
        <v>8176743.0</v>
      </c>
      <c r="J246" s="11">
        <v>2.66803476E8</v>
      </c>
      <c r="K246" s="13">
        <v>46304.0</v>
      </c>
      <c r="L246" s="14">
        <v>46318.0</v>
      </c>
      <c r="M246" s="12"/>
      <c r="N246" s="9">
        <v>102.0</v>
      </c>
      <c r="O246" s="11">
        <v>9.0</v>
      </c>
      <c r="P246" s="9" t="s">
        <v>44</v>
      </c>
      <c r="Q246" s="12"/>
      <c r="R246" s="9" t="s">
        <v>90</v>
      </c>
      <c r="S246" s="9" t="s">
        <v>47</v>
      </c>
      <c r="T246" s="9" t="s">
        <v>44</v>
      </c>
      <c r="U246" s="9" t="s">
        <v>44</v>
      </c>
      <c r="V246" s="11">
        <v>71.9</v>
      </c>
      <c r="W246" s="11">
        <v>4.0</v>
      </c>
      <c r="X246" s="9" t="s">
        <v>48</v>
      </c>
      <c r="Y246" s="9" t="s">
        <v>403</v>
      </c>
      <c r="Z246" s="12"/>
      <c r="AA246" s="9">
        <v>1305973.0</v>
      </c>
      <c r="AB246" s="12"/>
      <c r="AC246" s="9" t="s">
        <v>50</v>
      </c>
    </row>
    <row r="247">
      <c r="A247" s="9" t="s">
        <v>33</v>
      </c>
      <c r="B247" s="11">
        <v>6.0</v>
      </c>
      <c r="C247" s="9" t="s">
        <v>43</v>
      </c>
      <c r="D247" s="9" t="s">
        <v>55</v>
      </c>
      <c r="E247" s="9" t="s">
        <v>56</v>
      </c>
      <c r="F247" s="9" t="s">
        <v>45</v>
      </c>
      <c r="G247" s="9" t="s">
        <v>46</v>
      </c>
      <c r="H247" s="9" t="s">
        <v>359</v>
      </c>
      <c r="I247" s="11">
        <v>8176881.0</v>
      </c>
      <c r="J247" s="11">
        <v>2.66803477E8</v>
      </c>
      <c r="K247" s="13">
        <v>46304.0</v>
      </c>
      <c r="L247" s="14">
        <v>46317.0</v>
      </c>
      <c r="M247" s="12"/>
      <c r="N247" s="9">
        <v>605.0</v>
      </c>
      <c r="O247" s="11">
        <v>8.0</v>
      </c>
      <c r="P247" s="9" t="s">
        <v>44</v>
      </c>
      <c r="Q247" s="12"/>
      <c r="R247" s="12"/>
      <c r="S247" s="9" t="s">
        <v>47</v>
      </c>
      <c r="T247" s="9" t="s">
        <v>44</v>
      </c>
      <c r="U247" s="9" t="s">
        <v>44</v>
      </c>
      <c r="V247" s="11">
        <v>45.49</v>
      </c>
      <c r="W247" s="11">
        <v>1.0</v>
      </c>
      <c r="X247" s="9" t="s">
        <v>48</v>
      </c>
      <c r="Y247" s="9" t="s">
        <v>404</v>
      </c>
      <c r="Z247" s="12"/>
      <c r="AA247" s="9">
        <v>1305054.0</v>
      </c>
      <c r="AB247" s="12"/>
      <c r="AC247" s="9" t="s">
        <v>50</v>
      </c>
    </row>
    <row r="248">
      <c r="A248" s="9" t="s">
        <v>33</v>
      </c>
      <c r="B248" s="11">
        <v>6.0</v>
      </c>
      <c r="C248" s="9" t="s">
        <v>43</v>
      </c>
      <c r="D248" s="9" t="s">
        <v>55</v>
      </c>
      <c r="E248" s="9" t="s">
        <v>56</v>
      </c>
      <c r="F248" s="9" t="s">
        <v>45</v>
      </c>
      <c r="G248" s="9" t="s">
        <v>46</v>
      </c>
      <c r="H248" s="9" t="s">
        <v>398</v>
      </c>
      <c r="I248" s="11">
        <v>8176882.0</v>
      </c>
      <c r="J248" s="11">
        <v>2.66803478E8</v>
      </c>
      <c r="K248" s="13">
        <v>46304.0</v>
      </c>
      <c r="L248" s="14">
        <v>46322.0</v>
      </c>
      <c r="M248" s="12"/>
      <c r="N248" s="9">
        <v>103.0</v>
      </c>
      <c r="O248" s="11">
        <v>11.0</v>
      </c>
      <c r="P248" s="9" t="s">
        <v>44</v>
      </c>
      <c r="Q248" s="12"/>
      <c r="R248" s="12"/>
      <c r="S248" s="9" t="s">
        <v>47</v>
      </c>
      <c r="T248" s="9" t="s">
        <v>44</v>
      </c>
      <c r="U248" s="9" t="s">
        <v>44</v>
      </c>
      <c r="V248" s="11">
        <v>71.9</v>
      </c>
      <c r="W248" s="11">
        <v>1.0</v>
      </c>
      <c r="X248" s="9" t="s">
        <v>48</v>
      </c>
      <c r="Y248" s="9" t="s">
        <v>405</v>
      </c>
      <c r="Z248" s="12"/>
      <c r="AA248" s="9">
        <v>1305628.0</v>
      </c>
      <c r="AB248" s="12"/>
      <c r="AC248" s="9" t="s">
        <v>50</v>
      </c>
    </row>
    <row r="249">
      <c r="A249" s="9" t="s">
        <v>33</v>
      </c>
      <c r="B249" s="11">
        <v>6.0</v>
      </c>
      <c r="C249" s="9" t="s">
        <v>43</v>
      </c>
      <c r="D249" s="9" t="s">
        <v>55</v>
      </c>
      <c r="E249" s="9" t="s">
        <v>56</v>
      </c>
      <c r="F249" s="9" t="s">
        <v>45</v>
      </c>
      <c r="G249" s="9" t="s">
        <v>46</v>
      </c>
      <c r="H249" s="9" t="s">
        <v>406</v>
      </c>
      <c r="I249" s="11">
        <v>8176986.0</v>
      </c>
      <c r="J249" s="11">
        <v>2.66803479E8</v>
      </c>
      <c r="K249" s="13">
        <v>46304.0</v>
      </c>
      <c r="L249" s="14">
        <v>46323.0</v>
      </c>
      <c r="M249" s="12"/>
      <c r="N249" s="9">
        <v>5.0</v>
      </c>
      <c r="O249" s="11">
        <v>11.0</v>
      </c>
      <c r="P249" s="9" t="s">
        <v>44</v>
      </c>
      <c r="Q249" s="12"/>
      <c r="R249" s="9" t="s">
        <v>52</v>
      </c>
      <c r="S249" s="9" t="s">
        <v>47</v>
      </c>
      <c r="T249" s="9" t="s">
        <v>44</v>
      </c>
      <c r="U249" s="9" t="s">
        <v>44</v>
      </c>
      <c r="V249" s="11">
        <v>64.23</v>
      </c>
      <c r="W249" s="11">
        <v>1.0</v>
      </c>
      <c r="X249" s="9" t="s">
        <v>48</v>
      </c>
      <c r="Y249" s="9" t="s">
        <v>407</v>
      </c>
      <c r="Z249" s="12"/>
      <c r="AA249" s="9">
        <v>1305530.0</v>
      </c>
      <c r="AB249" s="12"/>
      <c r="AC249" s="9" t="s">
        <v>50</v>
      </c>
    </row>
    <row r="250">
      <c r="A250" s="9" t="s">
        <v>33</v>
      </c>
      <c r="B250" s="11">
        <v>6.0</v>
      </c>
      <c r="C250" s="9" t="s">
        <v>43</v>
      </c>
      <c r="D250" s="9" t="s">
        <v>55</v>
      </c>
      <c r="E250" s="9" t="s">
        <v>56</v>
      </c>
      <c r="F250" s="9" t="s">
        <v>45</v>
      </c>
      <c r="G250" s="9" t="s">
        <v>46</v>
      </c>
      <c r="H250" s="9" t="s">
        <v>406</v>
      </c>
      <c r="I250" s="11">
        <v>8177040.0</v>
      </c>
      <c r="J250" s="11">
        <v>2.6680348E8</v>
      </c>
      <c r="K250" s="13">
        <v>46304.0</v>
      </c>
      <c r="L250" s="14">
        <v>46323.0</v>
      </c>
      <c r="M250" s="12"/>
      <c r="N250" s="9">
        <v>6.0</v>
      </c>
      <c r="O250" s="11">
        <v>11.0</v>
      </c>
      <c r="P250" s="9" t="s">
        <v>44</v>
      </c>
      <c r="Q250" s="12"/>
      <c r="R250" s="9" t="s">
        <v>52</v>
      </c>
      <c r="S250" s="9" t="s">
        <v>47</v>
      </c>
      <c r="T250" s="9" t="s">
        <v>44</v>
      </c>
      <c r="U250" s="9" t="s">
        <v>44</v>
      </c>
      <c r="V250" s="11">
        <v>64.23</v>
      </c>
      <c r="W250" s="11">
        <v>4.0</v>
      </c>
      <c r="X250" s="9" t="s">
        <v>48</v>
      </c>
      <c r="Y250" s="9" t="s">
        <v>408</v>
      </c>
      <c r="Z250" s="12"/>
      <c r="AA250" s="9" t="s">
        <v>409</v>
      </c>
      <c r="AB250" s="12"/>
      <c r="AC250" s="9" t="s">
        <v>50</v>
      </c>
    </row>
    <row r="251">
      <c r="A251" s="9" t="s">
        <v>33</v>
      </c>
      <c r="B251" s="11">
        <v>6.0</v>
      </c>
      <c r="C251" s="9" t="s">
        <v>43</v>
      </c>
      <c r="D251" s="9" t="s">
        <v>55</v>
      </c>
      <c r="E251" s="9" t="s">
        <v>56</v>
      </c>
      <c r="F251" s="9" t="s">
        <v>45</v>
      </c>
      <c r="G251" s="9" t="s">
        <v>46</v>
      </c>
      <c r="H251" s="9" t="s">
        <v>406</v>
      </c>
      <c r="I251" s="11">
        <v>8177061.0</v>
      </c>
      <c r="J251" s="11">
        <v>2.66803481E8</v>
      </c>
      <c r="K251" s="13">
        <v>46304.0</v>
      </c>
      <c r="L251" s="14">
        <v>46323.0</v>
      </c>
      <c r="M251" s="12"/>
      <c r="N251" s="9">
        <v>6.0</v>
      </c>
      <c r="O251" s="11">
        <v>11.0</v>
      </c>
      <c r="P251" s="9" t="s">
        <v>44</v>
      </c>
      <c r="Q251" s="12"/>
      <c r="R251" s="9" t="s">
        <v>52</v>
      </c>
      <c r="S251" s="9" t="s">
        <v>47</v>
      </c>
      <c r="T251" s="9" t="s">
        <v>44</v>
      </c>
      <c r="U251" s="9" t="s">
        <v>44</v>
      </c>
      <c r="V251" s="11">
        <v>64.23</v>
      </c>
      <c r="W251" s="11">
        <v>2.0</v>
      </c>
      <c r="X251" s="9" t="s">
        <v>48</v>
      </c>
      <c r="Y251" s="9" t="s">
        <v>410</v>
      </c>
      <c r="Z251" s="12"/>
      <c r="AA251" s="9" t="s">
        <v>411</v>
      </c>
      <c r="AB251" s="12"/>
      <c r="AC251" s="9" t="s">
        <v>50</v>
      </c>
    </row>
    <row r="252">
      <c r="A252" s="9" t="s">
        <v>33</v>
      </c>
      <c r="B252" s="11">
        <v>6.0</v>
      </c>
      <c r="C252" s="9" t="s">
        <v>43</v>
      </c>
      <c r="D252" s="9" t="s">
        <v>55</v>
      </c>
      <c r="E252" s="9" t="s">
        <v>56</v>
      </c>
      <c r="F252" s="9" t="s">
        <v>45</v>
      </c>
      <c r="G252" s="9" t="s">
        <v>46</v>
      </c>
      <c r="H252" s="9" t="s">
        <v>406</v>
      </c>
      <c r="I252" s="11">
        <v>8176883.0</v>
      </c>
      <c r="J252" s="11">
        <v>2.66803482E8</v>
      </c>
      <c r="K252" s="13">
        <v>46304.0</v>
      </c>
      <c r="L252" s="13">
        <v>46335.0</v>
      </c>
      <c r="M252" s="12"/>
      <c r="N252" s="9">
        <v>103.0</v>
      </c>
      <c r="O252" s="11">
        <v>18.0</v>
      </c>
      <c r="P252" s="9" t="s">
        <v>44</v>
      </c>
      <c r="Q252" s="12"/>
      <c r="R252" s="12"/>
      <c r="S252" s="9" t="s">
        <v>47</v>
      </c>
      <c r="T252" s="9" t="s">
        <v>44</v>
      </c>
      <c r="U252" s="9" t="s">
        <v>44</v>
      </c>
      <c r="V252" s="11">
        <v>71.9</v>
      </c>
      <c r="W252" s="11">
        <v>1.0</v>
      </c>
      <c r="X252" s="9" t="s">
        <v>48</v>
      </c>
      <c r="Y252" s="9" t="s">
        <v>412</v>
      </c>
      <c r="Z252" s="12"/>
      <c r="AA252" s="9">
        <v>1305683.0</v>
      </c>
      <c r="AB252" s="12"/>
      <c r="AC252" s="9" t="s">
        <v>50</v>
      </c>
    </row>
    <row r="253">
      <c r="A253" s="9" t="s">
        <v>33</v>
      </c>
      <c r="B253" s="11">
        <v>6.0</v>
      </c>
      <c r="C253" s="9" t="s">
        <v>43</v>
      </c>
      <c r="D253" s="9" t="s">
        <v>55</v>
      </c>
      <c r="E253" s="9" t="s">
        <v>56</v>
      </c>
      <c r="F253" s="9" t="s">
        <v>45</v>
      </c>
      <c r="G253" s="9" t="s">
        <v>46</v>
      </c>
      <c r="H253" s="9" t="s">
        <v>115</v>
      </c>
      <c r="I253" s="11">
        <v>8176789.0</v>
      </c>
      <c r="J253" s="11">
        <v>2.66803483E8</v>
      </c>
      <c r="K253" s="13">
        <v>46304.0</v>
      </c>
      <c r="L253" s="14">
        <v>46324.0</v>
      </c>
      <c r="M253" s="12"/>
      <c r="N253" s="9">
        <v>103.0</v>
      </c>
      <c r="O253" s="11">
        <v>13.0</v>
      </c>
      <c r="P253" s="9" t="s">
        <v>44</v>
      </c>
      <c r="Q253" s="12"/>
      <c r="R253" s="9" t="s">
        <v>90</v>
      </c>
      <c r="S253" s="9" t="s">
        <v>47</v>
      </c>
      <c r="T253" s="9" t="s">
        <v>44</v>
      </c>
      <c r="U253" s="9" t="s">
        <v>44</v>
      </c>
      <c r="V253" s="11">
        <v>71.9</v>
      </c>
      <c r="W253" s="11">
        <v>1.0</v>
      </c>
      <c r="X253" s="9" t="s">
        <v>48</v>
      </c>
      <c r="Y253" s="9" t="s">
        <v>413</v>
      </c>
      <c r="Z253" s="12"/>
      <c r="AA253" s="9">
        <v>1305648.0</v>
      </c>
      <c r="AB253" s="12"/>
      <c r="AC253" s="9" t="s">
        <v>50</v>
      </c>
    </row>
    <row r="254">
      <c r="A254" s="9" t="s">
        <v>33</v>
      </c>
      <c r="B254" s="11">
        <v>6.0</v>
      </c>
      <c r="C254" s="9" t="s">
        <v>43</v>
      </c>
      <c r="D254" s="9" t="s">
        <v>55</v>
      </c>
      <c r="E254" s="9" t="s">
        <v>56</v>
      </c>
      <c r="F254" s="9" t="s">
        <v>45</v>
      </c>
      <c r="G254" s="9" t="s">
        <v>46</v>
      </c>
      <c r="H254" s="9" t="s">
        <v>414</v>
      </c>
      <c r="I254" s="11">
        <v>8176884.0</v>
      </c>
      <c r="J254" s="11">
        <v>2.66803484E8</v>
      </c>
      <c r="K254" s="13">
        <v>46304.0</v>
      </c>
      <c r="L254" s="14">
        <v>46324.0</v>
      </c>
      <c r="M254" s="12"/>
      <c r="N254" s="9" t="s">
        <v>415</v>
      </c>
      <c r="O254" s="11">
        <v>13.0</v>
      </c>
      <c r="P254" s="9" t="s">
        <v>44</v>
      </c>
      <c r="Q254" s="12"/>
      <c r="R254" s="9" t="s">
        <v>90</v>
      </c>
      <c r="S254" s="9" t="s">
        <v>47</v>
      </c>
      <c r="T254" s="9" t="s">
        <v>44</v>
      </c>
      <c r="U254" s="9" t="s">
        <v>44</v>
      </c>
      <c r="V254" s="11">
        <v>71.9</v>
      </c>
      <c r="W254" s="11">
        <v>1.0</v>
      </c>
      <c r="X254" s="9" t="s">
        <v>48</v>
      </c>
      <c r="Y254" s="9" t="s">
        <v>416</v>
      </c>
      <c r="Z254" s="12"/>
      <c r="AA254" s="9">
        <v>1305052.0</v>
      </c>
      <c r="AB254" s="12"/>
      <c r="AC254" s="9" t="s">
        <v>50</v>
      </c>
    </row>
    <row r="255">
      <c r="A255" s="9" t="s">
        <v>33</v>
      </c>
      <c r="B255" s="11">
        <v>6.0</v>
      </c>
      <c r="C255" s="9" t="s">
        <v>43</v>
      </c>
      <c r="D255" s="9" t="s">
        <v>55</v>
      </c>
      <c r="E255" s="9" t="s">
        <v>56</v>
      </c>
      <c r="F255" s="9" t="s">
        <v>45</v>
      </c>
      <c r="G255" s="9" t="s">
        <v>46</v>
      </c>
      <c r="H255" s="9" t="s">
        <v>417</v>
      </c>
      <c r="I255" s="11">
        <v>8176751.0</v>
      </c>
      <c r="J255" s="11">
        <v>2.66803485E8</v>
      </c>
      <c r="K255" s="13">
        <v>46304.0</v>
      </c>
      <c r="L255" s="14">
        <v>46323.0</v>
      </c>
      <c r="M255" s="12"/>
      <c r="N255" s="9">
        <v>12.0</v>
      </c>
      <c r="O255" s="11">
        <v>12.0</v>
      </c>
      <c r="P255" s="9" t="s">
        <v>44</v>
      </c>
      <c r="Q255" s="12"/>
      <c r="R255" s="9" t="s">
        <v>90</v>
      </c>
      <c r="S255" s="9" t="s">
        <v>47</v>
      </c>
      <c r="T255" s="9" t="s">
        <v>44</v>
      </c>
      <c r="U255" s="9" t="s">
        <v>44</v>
      </c>
      <c r="V255" s="11">
        <v>100.03</v>
      </c>
      <c r="W255" s="11">
        <v>8.0</v>
      </c>
      <c r="X255" s="9" t="s">
        <v>48</v>
      </c>
      <c r="Y255" s="9" t="s">
        <v>418</v>
      </c>
      <c r="Z255" s="12"/>
      <c r="AA255" s="9">
        <v>1305959.0</v>
      </c>
      <c r="AB255" s="12"/>
      <c r="AC255" s="9" t="s">
        <v>50</v>
      </c>
    </row>
    <row r="256">
      <c r="A256" s="9" t="s">
        <v>33</v>
      </c>
      <c r="B256" s="11">
        <v>6.0</v>
      </c>
      <c r="C256" s="9" t="s">
        <v>43</v>
      </c>
      <c r="D256" s="9" t="s">
        <v>55</v>
      </c>
      <c r="E256" s="9" t="s">
        <v>56</v>
      </c>
      <c r="F256" s="9" t="s">
        <v>45</v>
      </c>
      <c r="G256" s="9" t="s">
        <v>46</v>
      </c>
      <c r="H256" s="9" t="s">
        <v>417</v>
      </c>
      <c r="I256" s="11">
        <v>8176987.0</v>
      </c>
      <c r="J256" s="11">
        <v>2.66803486E8</v>
      </c>
      <c r="K256" s="13">
        <v>46304.0</v>
      </c>
      <c r="L256" s="14">
        <v>46323.0</v>
      </c>
      <c r="M256" s="12"/>
      <c r="N256" s="9">
        <v>4.0</v>
      </c>
      <c r="O256" s="11">
        <v>12.0</v>
      </c>
      <c r="P256" s="9" t="s">
        <v>44</v>
      </c>
      <c r="Q256" s="12"/>
      <c r="R256" s="9" t="s">
        <v>90</v>
      </c>
      <c r="S256" s="9" t="s">
        <v>47</v>
      </c>
      <c r="T256" s="9" t="s">
        <v>44</v>
      </c>
      <c r="U256" s="9" t="s">
        <v>44</v>
      </c>
      <c r="V256" s="11">
        <v>64.23</v>
      </c>
      <c r="W256" s="11">
        <v>1.0</v>
      </c>
      <c r="X256" s="9" t="s">
        <v>48</v>
      </c>
      <c r="Y256" s="9" t="s">
        <v>419</v>
      </c>
      <c r="Z256" s="12"/>
      <c r="AA256" s="9">
        <v>1305357.0</v>
      </c>
      <c r="AB256" s="12"/>
      <c r="AC256" s="9" t="s">
        <v>50</v>
      </c>
    </row>
    <row r="257">
      <c r="A257" s="9" t="s">
        <v>33</v>
      </c>
      <c r="B257" s="11">
        <v>6.0</v>
      </c>
      <c r="C257" s="9" t="s">
        <v>43</v>
      </c>
      <c r="D257" s="9" t="s">
        <v>55</v>
      </c>
      <c r="E257" s="9" t="s">
        <v>56</v>
      </c>
      <c r="F257" s="9" t="s">
        <v>45</v>
      </c>
      <c r="G257" s="9" t="s">
        <v>46</v>
      </c>
      <c r="H257" s="9" t="s">
        <v>420</v>
      </c>
      <c r="I257" s="11">
        <v>8176885.0</v>
      </c>
      <c r="J257" s="11">
        <v>2.66803488E8</v>
      </c>
      <c r="K257" s="13">
        <v>46304.0</v>
      </c>
      <c r="L257" s="14">
        <v>46336.0</v>
      </c>
      <c r="M257" s="12"/>
      <c r="N257" s="9">
        <v>105.0</v>
      </c>
      <c r="O257" s="11">
        <v>20.0</v>
      </c>
      <c r="P257" s="9" t="s">
        <v>44</v>
      </c>
      <c r="Q257" s="12"/>
      <c r="R257" s="9" t="s">
        <v>90</v>
      </c>
      <c r="S257" s="9" t="s">
        <v>47</v>
      </c>
      <c r="T257" s="9" t="s">
        <v>44</v>
      </c>
      <c r="U257" s="9" t="s">
        <v>44</v>
      </c>
      <c r="V257" s="11">
        <v>71.9</v>
      </c>
      <c r="W257" s="11">
        <v>1.0</v>
      </c>
      <c r="X257" s="9" t="s">
        <v>48</v>
      </c>
      <c r="Y257" s="9" t="s">
        <v>421</v>
      </c>
      <c r="Z257" s="12"/>
      <c r="AA257" s="9">
        <v>1305578.0</v>
      </c>
      <c r="AB257" s="12"/>
      <c r="AC257" s="9" t="s">
        <v>50</v>
      </c>
    </row>
    <row r="258">
      <c r="A258" s="9" t="s">
        <v>33</v>
      </c>
      <c r="B258" s="11">
        <v>6.0</v>
      </c>
      <c r="C258" s="9" t="s">
        <v>43</v>
      </c>
      <c r="D258" s="9" t="s">
        <v>55</v>
      </c>
      <c r="E258" s="9" t="s">
        <v>56</v>
      </c>
      <c r="F258" s="9" t="s">
        <v>45</v>
      </c>
      <c r="G258" s="9" t="s">
        <v>46</v>
      </c>
      <c r="H258" s="9" t="s">
        <v>422</v>
      </c>
      <c r="I258" s="11">
        <v>8176816.0</v>
      </c>
      <c r="J258" s="11">
        <v>2.66803489E8</v>
      </c>
      <c r="K258" s="13">
        <v>46304.0</v>
      </c>
      <c r="L258" s="13">
        <v>46330.0</v>
      </c>
      <c r="M258" s="12"/>
      <c r="N258" s="9">
        <v>400.0</v>
      </c>
      <c r="O258" s="11">
        <v>15.0</v>
      </c>
      <c r="P258" s="9" t="s">
        <v>44</v>
      </c>
      <c r="Q258" s="12"/>
      <c r="R258" s="12"/>
      <c r="S258" s="9" t="s">
        <v>47</v>
      </c>
      <c r="T258" s="9" t="s">
        <v>44</v>
      </c>
      <c r="U258" s="9" t="s">
        <v>44</v>
      </c>
      <c r="V258" s="11">
        <v>71.9</v>
      </c>
      <c r="W258" s="11">
        <v>1.0</v>
      </c>
      <c r="X258" s="9" t="s">
        <v>48</v>
      </c>
      <c r="Y258" s="9" t="s">
        <v>423</v>
      </c>
      <c r="Z258" s="12"/>
      <c r="AA258" s="9">
        <v>1305616.0</v>
      </c>
      <c r="AB258" s="12"/>
      <c r="AC258" s="9" t="s">
        <v>50</v>
      </c>
    </row>
    <row r="259">
      <c r="A259" s="9" t="s">
        <v>33</v>
      </c>
      <c r="B259" s="11">
        <v>6.0</v>
      </c>
      <c r="C259" s="9" t="s">
        <v>43</v>
      </c>
      <c r="D259" s="9" t="s">
        <v>55</v>
      </c>
      <c r="E259" s="9" t="s">
        <v>56</v>
      </c>
      <c r="F259" s="9" t="s">
        <v>45</v>
      </c>
      <c r="G259" s="9" t="s">
        <v>46</v>
      </c>
      <c r="H259" s="9" t="s">
        <v>422</v>
      </c>
      <c r="I259" s="11">
        <v>8176855.0</v>
      </c>
      <c r="J259" s="11">
        <v>2.6680349E8</v>
      </c>
      <c r="K259" s="13">
        <v>46304.0</v>
      </c>
      <c r="L259" s="14">
        <v>46321.0</v>
      </c>
      <c r="M259" s="12"/>
      <c r="N259" s="9">
        <v>2.0</v>
      </c>
      <c r="O259" s="11">
        <v>9.0</v>
      </c>
      <c r="P259" s="9" t="s">
        <v>44</v>
      </c>
      <c r="Q259" s="12"/>
      <c r="R259" s="12"/>
      <c r="S259" s="9" t="s">
        <v>47</v>
      </c>
      <c r="T259" s="9" t="s">
        <v>44</v>
      </c>
      <c r="U259" s="9" t="s">
        <v>44</v>
      </c>
      <c r="V259" s="11">
        <v>64.23</v>
      </c>
      <c r="W259" s="11">
        <v>1.0</v>
      </c>
      <c r="X259" s="9" t="s">
        <v>48</v>
      </c>
      <c r="Y259" s="9" t="s">
        <v>71</v>
      </c>
      <c r="Z259" s="12"/>
      <c r="AA259" s="9">
        <v>1304173.0</v>
      </c>
      <c r="AB259" s="12"/>
      <c r="AC259" s="9" t="s">
        <v>50</v>
      </c>
    </row>
    <row r="260">
      <c r="A260" s="9" t="s">
        <v>33</v>
      </c>
      <c r="B260" s="11">
        <v>6.0</v>
      </c>
      <c r="C260" s="9" t="s">
        <v>43</v>
      </c>
      <c r="D260" s="9" t="s">
        <v>55</v>
      </c>
      <c r="E260" s="9" t="s">
        <v>56</v>
      </c>
      <c r="F260" s="9" t="s">
        <v>45</v>
      </c>
      <c r="G260" s="9" t="s">
        <v>46</v>
      </c>
      <c r="H260" s="9" t="s">
        <v>422</v>
      </c>
      <c r="I260" s="11">
        <v>8176886.0</v>
      </c>
      <c r="J260" s="11">
        <v>2.66803491E8</v>
      </c>
      <c r="K260" s="13">
        <v>46304.0</v>
      </c>
      <c r="L260" s="13">
        <v>46330.0</v>
      </c>
      <c r="M260" s="12"/>
      <c r="N260" s="9">
        <v>207.0</v>
      </c>
      <c r="O260" s="11">
        <v>15.0</v>
      </c>
      <c r="P260" s="9" t="s">
        <v>44</v>
      </c>
      <c r="Q260" s="12"/>
      <c r="R260" s="9" t="s">
        <v>52</v>
      </c>
      <c r="S260" s="9" t="s">
        <v>47</v>
      </c>
      <c r="T260" s="9" t="s">
        <v>44</v>
      </c>
      <c r="U260" s="9" t="s">
        <v>44</v>
      </c>
      <c r="V260" s="11">
        <v>71.9</v>
      </c>
      <c r="W260" s="11">
        <v>2.0</v>
      </c>
      <c r="X260" s="9" t="s">
        <v>48</v>
      </c>
      <c r="Y260" s="9" t="s">
        <v>424</v>
      </c>
      <c r="Z260" s="12"/>
      <c r="AA260" s="9" t="s">
        <v>425</v>
      </c>
      <c r="AB260" s="12"/>
      <c r="AC260" s="9" t="s">
        <v>50</v>
      </c>
    </row>
    <row r="261">
      <c r="A261" s="9" t="s">
        <v>33</v>
      </c>
      <c r="B261" s="11">
        <v>6.0</v>
      </c>
      <c r="C261" s="9" t="s">
        <v>43</v>
      </c>
      <c r="D261" s="9" t="s">
        <v>55</v>
      </c>
      <c r="E261" s="9" t="s">
        <v>56</v>
      </c>
      <c r="F261" s="9" t="s">
        <v>45</v>
      </c>
      <c r="G261" s="9" t="s">
        <v>46</v>
      </c>
      <c r="H261" s="9" t="s">
        <v>426</v>
      </c>
      <c r="I261" s="11">
        <v>8177041.0</v>
      </c>
      <c r="J261" s="11">
        <v>2.66803492E8</v>
      </c>
      <c r="K261" s="13">
        <v>46304.0</v>
      </c>
      <c r="L261" s="14">
        <v>46323.0</v>
      </c>
      <c r="M261" s="12"/>
      <c r="N261" s="9">
        <v>2.0</v>
      </c>
      <c r="O261" s="11">
        <v>12.0</v>
      </c>
      <c r="P261" s="9" t="s">
        <v>44</v>
      </c>
      <c r="Q261" s="12"/>
      <c r="R261" s="9" t="s">
        <v>90</v>
      </c>
      <c r="S261" s="9" t="s">
        <v>47</v>
      </c>
      <c r="T261" s="9" t="s">
        <v>44</v>
      </c>
      <c r="U261" s="9" t="s">
        <v>44</v>
      </c>
      <c r="V261" s="11">
        <v>71.87</v>
      </c>
      <c r="W261" s="11">
        <v>1.0</v>
      </c>
      <c r="X261" s="9" t="s">
        <v>48</v>
      </c>
      <c r="Y261" s="9" t="s">
        <v>427</v>
      </c>
      <c r="Z261" s="12"/>
      <c r="AA261" s="9">
        <v>1305102.0</v>
      </c>
      <c r="AB261" s="12"/>
      <c r="AC261" s="9" t="s">
        <v>50</v>
      </c>
    </row>
    <row r="262">
      <c r="A262" s="9" t="s">
        <v>33</v>
      </c>
      <c r="B262" s="11">
        <v>6.0</v>
      </c>
      <c r="C262" s="9" t="s">
        <v>43</v>
      </c>
      <c r="D262" s="9" t="s">
        <v>55</v>
      </c>
      <c r="E262" s="9" t="s">
        <v>56</v>
      </c>
      <c r="F262" s="9" t="s">
        <v>45</v>
      </c>
      <c r="G262" s="9" t="s">
        <v>46</v>
      </c>
      <c r="H262" s="9" t="s">
        <v>426</v>
      </c>
      <c r="I262" s="11">
        <v>8176988.0</v>
      </c>
      <c r="J262" s="11">
        <v>2.66803493E8</v>
      </c>
      <c r="K262" s="13">
        <v>46304.0</v>
      </c>
      <c r="L262" s="14">
        <v>46323.0</v>
      </c>
      <c r="M262" s="12"/>
      <c r="N262" s="9">
        <v>2.0</v>
      </c>
      <c r="O262" s="11">
        <v>12.0</v>
      </c>
      <c r="P262" s="9" t="s">
        <v>44</v>
      </c>
      <c r="Q262" s="12"/>
      <c r="R262" s="9" t="s">
        <v>90</v>
      </c>
      <c r="S262" s="9" t="s">
        <v>47</v>
      </c>
      <c r="T262" s="9" t="s">
        <v>44</v>
      </c>
      <c r="U262" s="9" t="s">
        <v>44</v>
      </c>
      <c r="V262" s="11">
        <v>71.87</v>
      </c>
      <c r="W262" s="11">
        <v>1.0</v>
      </c>
      <c r="X262" s="9" t="s">
        <v>48</v>
      </c>
      <c r="Y262" s="9" t="s">
        <v>428</v>
      </c>
      <c r="Z262" s="12"/>
      <c r="AA262" s="9">
        <v>1305524.0</v>
      </c>
      <c r="AB262" s="12"/>
      <c r="AC262" s="9" t="s">
        <v>50</v>
      </c>
    </row>
    <row r="263">
      <c r="A263" s="9" t="s">
        <v>33</v>
      </c>
      <c r="B263" s="11">
        <v>6.0</v>
      </c>
      <c r="C263" s="9" t="s">
        <v>43</v>
      </c>
      <c r="D263" s="9" t="s">
        <v>55</v>
      </c>
      <c r="E263" s="9" t="s">
        <v>56</v>
      </c>
      <c r="F263" s="9" t="s">
        <v>45</v>
      </c>
      <c r="G263" s="9" t="s">
        <v>46</v>
      </c>
      <c r="H263" s="9" t="s">
        <v>426</v>
      </c>
      <c r="I263" s="11">
        <v>8176989.0</v>
      </c>
      <c r="J263" s="11">
        <v>2.66803494E8</v>
      </c>
      <c r="K263" s="13">
        <v>46304.0</v>
      </c>
      <c r="L263" s="14">
        <v>46323.0</v>
      </c>
      <c r="M263" s="12"/>
      <c r="N263" s="9">
        <v>5.0</v>
      </c>
      <c r="O263" s="11">
        <v>12.0</v>
      </c>
      <c r="P263" s="9" t="s">
        <v>44</v>
      </c>
      <c r="Q263" s="12"/>
      <c r="R263" s="9" t="s">
        <v>90</v>
      </c>
      <c r="S263" s="9" t="s">
        <v>47</v>
      </c>
      <c r="T263" s="9" t="s">
        <v>44</v>
      </c>
      <c r="U263" s="9" t="s">
        <v>44</v>
      </c>
      <c r="V263" s="11">
        <v>71.87</v>
      </c>
      <c r="W263" s="11">
        <v>2.0</v>
      </c>
      <c r="X263" s="9" t="s">
        <v>48</v>
      </c>
      <c r="Y263" s="9" t="s">
        <v>429</v>
      </c>
      <c r="Z263" s="12"/>
      <c r="AA263" s="9" t="s">
        <v>430</v>
      </c>
      <c r="AB263" s="12"/>
      <c r="AC263" s="9" t="s">
        <v>50</v>
      </c>
    </row>
    <row r="264">
      <c r="A264" s="9" t="s">
        <v>33</v>
      </c>
      <c r="B264" s="11">
        <v>6.0</v>
      </c>
      <c r="C264" s="9" t="s">
        <v>43</v>
      </c>
      <c r="D264" s="9" t="s">
        <v>55</v>
      </c>
      <c r="E264" s="9" t="s">
        <v>56</v>
      </c>
      <c r="F264" s="9" t="s">
        <v>45</v>
      </c>
      <c r="G264" s="9" t="s">
        <v>46</v>
      </c>
      <c r="H264" s="9" t="s">
        <v>426</v>
      </c>
      <c r="I264" s="11">
        <v>8176817.0</v>
      </c>
      <c r="J264" s="11">
        <v>2.66803495E8</v>
      </c>
      <c r="K264" s="13">
        <v>46304.0</v>
      </c>
      <c r="L264" s="14">
        <v>46323.0</v>
      </c>
      <c r="M264" s="12"/>
      <c r="N264" s="9">
        <v>5.0</v>
      </c>
      <c r="O264" s="11">
        <v>12.0</v>
      </c>
      <c r="P264" s="9" t="s">
        <v>44</v>
      </c>
      <c r="Q264" s="12"/>
      <c r="R264" s="9" t="s">
        <v>90</v>
      </c>
      <c r="S264" s="9" t="s">
        <v>47</v>
      </c>
      <c r="T264" s="9" t="s">
        <v>44</v>
      </c>
      <c r="U264" s="9" t="s">
        <v>44</v>
      </c>
      <c r="V264" s="11">
        <v>71.87</v>
      </c>
      <c r="W264" s="11">
        <v>1.0</v>
      </c>
      <c r="X264" s="9" t="s">
        <v>48</v>
      </c>
      <c r="Y264" s="9" t="s">
        <v>431</v>
      </c>
      <c r="Z264" s="12"/>
      <c r="AA264" s="9">
        <v>1305456.0</v>
      </c>
      <c r="AB264" s="12"/>
      <c r="AC264" s="9" t="s">
        <v>50</v>
      </c>
    </row>
    <row r="265">
      <c r="A265" s="9" t="s">
        <v>33</v>
      </c>
      <c r="B265" s="11">
        <v>6.0</v>
      </c>
      <c r="C265" s="9" t="s">
        <v>43</v>
      </c>
      <c r="D265" s="9" t="s">
        <v>55</v>
      </c>
      <c r="E265" s="9" t="s">
        <v>56</v>
      </c>
      <c r="F265" s="9" t="s">
        <v>45</v>
      </c>
      <c r="G265" s="9" t="s">
        <v>46</v>
      </c>
      <c r="H265" s="9" t="s">
        <v>191</v>
      </c>
      <c r="I265" s="11">
        <v>8177577.0</v>
      </c>
      <c r="J265" s="11">
        <v>2.66803496E8</v>
      </c>
      <c r="K265" s="13">
        <v>46304.0</v>
      </c>
      <c r="L265" s="14">
        <v>46317.0</v>
      </c>
      <c r="M265" s="12"/>
      <c r="N265" s="9">
        <v>672.0</v>
      </c>
      <c r="O265" s="11">
        <v>8.0</v>
      </c>
      <c r="P265" s="9" t="s">
        <v>44</v>
      </c>
      <c r="Q265" s="12"/>
      <c r="R265" s="12"/>
      <c r="S265" s="9" t="s">
        <v>47</v>
      </c>
      <c r="T265" s="9" t="s">
        <v>44</v>
      </c>
      <c r="U265" s="9" t="s">
        <v>44</v>
      </c>
      <c r="V265" s="11">
        <v>45.49</v>
      </c>
      <c r="W265" s="11">
        <v>1.0</v>
      </c>
      <c r="X265" s="9" t="s">
        <v>48</v>
      </c>
      <c r="Y265" s="9" t="s">
        <v>432</v>
      </c>
      <c r="Z265" s="12"/>
      <c r="AA265" s="9">
        <v>1305387.0</v>
      </c>
      <c r="AB265" s="12"/>
      <c r="AC265" s="9" t="s">
        <v>50</v>
      </c>
    </row>
    <row r="266">
      <c r="A266" s="9" t="s">
        <v>33</v>
      </c>
      <c r="B266" s="11">
        <v>6.0</v>
      </c>
      <c r="C266" s="9" t="s">
        <v>43</v>
      </c>
      <c r="D266" s="9" t="s">
        <v>55</v>
      </c>
      <c r="E266" s="9" t="s">
        <v>56</v>
      </c>
      <c r="F266" s="9" t="s">
        <v>45</v>
      </c>
      <c r="G266" s="9" t="s">
        <v>46</v>
      </c>
      <c r="H266" s="9" t="s">
        <v>117</v>
      </c>
      <c r="I266" s="11">
        <v>8176990.0</v>
      </c>
      <c r="J266" s="11">
        <v>2.66803497E8</v>
      </c>
      <c r="K266" s="13">
        <v>46304.0</v>
      </c>
      <c r="L266" s="14">
        <v>46338.0</v>
      </c>
      <c r="M266" s="12"/>
      <c r="N266" s="9">
        <v>500.0</v>
      </c>
      <c r="O266" s="11">
        <v>22.0</v>
      </c>
      <c r="P266" s="9" t="s">
        <v>44</v>
      </c>
      <c r="Q266" s="12"/>
      <c r="R266" s="9" t="s">
        <v>90</v>
      </c>
      <c r="S266" s="9" t="s">
        <v>47</v>
      </c>
      <c r="T266" s="9" t="s">
        <v>44</v>
      </c>
      <c r="U266" s="9" t="s">
        <v>44</v>
      </c>
      <c r="V266" s="11">
        <v>71.87</v>
      </c>
      <c r="W266" s="11">
        <v>1.0</v>
      </c>
      <c r="X266" s="9" t="s">
        <v>48</v>
      </c>
      <c r="Y266" s="9" t="s">
        <v>433</v>
      </c>
      <c r="Z266" s="12"/>
      <c r="AA266" s="9">
        <v>1305692.0</v>
      </c>
      <c r="AB266" s="12"/>
      <c r="AC266" s="9" t="s">
        <v>50</v>
      </c>
    </row>
    <row r="267">
      <c r="A267" s="9" t="s">
        <v>33</v>
      </c>
      <c r="B267" s="11">
        <v>6.0</v>
      </c>
      <c r="C267" s="9" t="s">
        <v>43</v>
      </c>
      <c r="D267" s="9" t="s">
        <v>55</v>
      </c>
      <c r="E267" s="9" t="s">
        <v>56</v>
      </c>
      <c r="F267" s="9" t="s">
        <v>45</v>
      </c>
      <c r="G267" s="9" t="s">
        <v>46</v>
      </c>
      <c r="H267" s="9" t="s">
        <v>434</v>
      </c>
      <c r="I267" s="11">
        <v>8176818.0</v>
      </c>
      <c r="J267" s="11">
        <v>2.66803498E8</v>
      </c>
      <c r="K267" s="13">
        <v>46304.0</v>
      </c>
      <c r="L267" s="14">
        <v>46345.0</v>
      </c>
      <c r="M267" s="12"/>
      <c r="N267" s="9">
        <v>600.0</v>
      </c>
      <c r="O267" s="11">
        <v>27.0</v>
      </c>
      <c r="P267" s="9" t="s">
        <v>44</v>
      </c>
      <c r="Q267" s="12"/>
      <c r="R267" s="12"/>
      <c r="S267" s="9" t="s">
        <v>47</v>
      </c>
      <c r="T267" s="9" t="s">
        <v>44</v>
      </c>
      <c r="U267" s="9" t="s">
        <v>44</v>
      </c>
      <c r="V267" s="11">
        <v>71.87</v>
      </c>
      <c r="W267" s="11">
        <v>1.0</v>
      </c>
      <c r="X267" s="9" t="s">
        <v>48</v>
      </c>
      <c r="Y267" s="9" t="s">
        <v>435</v>
      </c>
      <c r="Z267" s="12"/>
      <c r="AA267" s="9">
        <v>1305027.0</v>
      </c>
      <c r="AB267" s="12"/>
      <c r="AC267" s="9" t="s">
        <v>50</v>
      </c>
    </row>
    <row r="268">
      <c r="A268" s="9" t="s">
        <v>33</v>
      </c>
      <c r="B268" s="11">
        <v>6.0</v>
      </c>
      <c r="C268" s="9" t="s">
        <v>43</v>
      </c>
      <c r="D268" s="9" t="s">
        <v>55</v>
      </c>
      <c r="E268" s="9" t="s">
        <v>56</v>
      </c>
      <c r="F268" s="9" t="s">
        <v>45</v>
      </c>
      <c r="G268" s="9" t="s">
        <v>46</v>
      </c>
      <c r="H268" s="9" t="s">
        <v>117</v>
      </c>
      <c r="I268" s="11">
        <v>8177042.0</v>
      </c>
      <c r="J268" s="11">
        <v>2.66803499E8</v>
      </c>
      <c r="K268" s="13">
        <v>46304.0</v>
      </c>
      <c r="L268" s="13">
        <v>46331.0</v>
      </c>
      <c r="M268" s="12"/>
      <c r="N268" s="9">
        <v>600.0</v>
      </c>
      <c r="O268" s="11">
        <v>17.0</v>
      </c>
      <c r="P268" s="9" t="s">
        <v>44</v>
      </c>
      <c r="Q268" s="12"/>
      <c r="R268" s="9" t="s">
        <v>90</v>
      </c>
      <c r="S268" s="9" t="s">
        <v>47</v>
      </c>
      <c r="T268" s="9" t="s">
        <v>44</v>
      </c>
      <c r="U268" s="9" t="s">
        <v>44</v>
      </c>
      <c r="V268" s="11">
        <v>71.87</v>
      </c>
      <c r="W268" s="11">
        <v>1.0</v>
      </c>
      <c r="X268" s="9" t="s">
        <v>48</v>
      </c>
      <c r="Y268" s="9" t="s">
        <v>436</v>
      </c>
      <c r="Z268" s="12"/>
      <c r="AA268" s="9">
        <v>1304894.0</v>
      </c>
      <c r="AB268" s="12"/>
      <c r="AC268" s="9" t="s">
        <v>50</v>
      </c>
    </row>
    <row r="269">
      <c r="A269" s="9" t="s">
        <v>33</v>
      </c>
      <c r="B269" s="11">
        <v>6.0</v>
      </c>
      <c r="C269" s="9" t="s">
        <v>43</v>
      </c>
      <c r="D269" s="9" t="s">
        <v>55</v>
      </c>
      <c r="E269" s="9" t="s">
        <v>56</v>
      </c>
      <c r="F269" s="9" t="s">
        <v>45</v>
      </c>
      <c r="G269" s="9" t="s">
        <v>46</v>
      </c>
      <c r="H269" s="9" t="s">
        <v>119</v>
      </c>
      <c r="I269" s="11">
        <v>8177062.0</v>
      </c>
      <c r="J269" s="11">
        <v>2.668035E8</v>
      </c>
      <c r="K269" s="13">
        <v>46304.0</v>
      </c>
      <c r="L269" s="13">
        <v>46330.0</v>
      </c>
      <c r="M269" s="12"/>
      <c r="N269" s="9">
        <v>200.0</v>
      </c>
      <c r="O269" s="11">
        <v>16.0</v>
      </c>
      <c r="P269" s="9" t="s">
        <v>44</v>
      </c>
      <c r="Q269" s="12"/>
      <c r="R269" s="9" t="s">
        <v>90</v>
      </c>
      <c r="S269" s="9" t="s">
        <v>47</v>
      </c>
      <c r="T269" s="9" t="s">
        <v>44</v>
      </c>
      <c r="U269" s="9" t="s">
        <v>44</v>
      </c>
      <c r="V269" s="11">
        <v>71.87</v>
      </c>
      <c r="W269" s="11">
        <v>1.0</v>
      </c>
      <c r="X269" s="9" t="s">
        <v>48</v>
      </c>
      <c r="Y269" s="9" t="s">
        <v>437</v>
      </c>
      <c r="Z269" s="12"/>
      <c r="AA269" s="9">
        <v>1305043.0</v>
      </c>
      <c r="AB269" s="12"/>
      <c r="AC269" s="9" t="s">
        <v>50</v>
      </c>
    </row>
    <row r="270">
      <c r="A270" s="9" t="s">
        <v>33</v>
      </c>
      <c r="B270" s="11">
        <v>6.0</v>
      </c>
      <c r="C270" s="9" t="s">
        <v>43</v>
      </c>
      <c r="D270" s="9" t="s">
        <v>55</v>
      </c>
      <c r="E270" s="9" t="s">
        <v>56</v>
      </c>
      <c r="F270" s="9" t="s">
        <v>45</v>
      </c>
      <c r="G270" s="9" t="s">
        <v>46</v>
      </c>
      <c r="H270" s="9" t="s">
        <v>119</v>
      </c>
      <c r="I270" s="11">
        <v>8177043.0</v>
      </c>
      <c r="J270" s="11">
        <v>2.66803501E8</v>
      </c>
      <c r="K270" s="13">
        <v>46304.0</v>
      </c>
      <c r="L270" s="13">
        <v>46331.0</v>
      </c>
      <c r="M270" s="12"/>
      <c r="N270" s="9">
        <v>100.0</v>
      </c>
      <c r="O270" s="11">
        <v>17.0</v>
      </c>
      <c r="P270" s="9" t="s">
        <v>44</v>
      </c>
      <c r="Q270" s="12"/>
      <c r="R270" s="9" t="s">
        <v>90</v>
      </c>
      <c r="S270" s="9" t="s">
        <v>47</v>
      </c>
      <c r="T270" s="9" t="s">
        <v>44</v>
      </c>
      <c r="U270" s="9" t="s">
        <v>44</v>
      </c>
      <c r="V270" s="11">
        <v>71.87</v>
      </c>
      <c r="W270" s="11">
        <v>1.0</v>
      </c>
      <c r="X270" s="9" t="s">
        <v>48</v>
      </c>
      <c r="Y270" s="9" t="s">
        <v>438</v>
      </c>
      <c r="Z270" s="12"/>
      <c r="AA270" s="9">
        <v>1304774.0</v>
      </c>
      <c r="AB270" s="12"/>
      <c r="AC270" s="9" t="s">
        <v>50</v>
      </c>
    </row>
    <row r="271">
      <c r="A271" s="9" t="s">
        <v>33</v>
      </c>
      <c r="B271" s="11">
        <v>6.0</v>
      </c>
      <c r="C271" s="9" t="s">
        <v>43</v>
      </c>
      <c r="D271" s="9" t="s">
        <v>55</v>
      </c>
      <c r="E271" s="9" t="s">
        <v>56</v>
      </c>
      <c r="F271" s="9" t="s">
        <v>45</v>
      </c>
      <c r="G271" s="9" t="s">
        <v>46</v>
      </c>
      <c r="H271" s="9" t="s">
        <v>426</v>
      </c>
      <c r="I271" s="11">
        <v>8176790.0</v>
      </c>
      <c r="J271" s="11">
        <v>2.66803502E8</v>
      </c>
      <c r="K271" s="13">
        <v>46304.0</v>
      </c>
      <c r="L271" s="14">
        <v>46324.0</v>
      </c>
      <c r="M271" s="12"/>
      <c r="N271" s="9">
        <v>303.0</v>
      </c>
      <c r="O271" s="11">
        <v>13.0</v>
      </c>
      <c r="P271" s="9" t="s">
        <v>44</v>
      </c>
      <c r="Q271" s="12"/>
      <c r="R271" s="9" t="s">
        <v>90</v>
      </c>
      <c r="S271" s="9" t="s">
        <v>47</v>
      </c>
      <c r="T271" s="9" t="s">
        <v>44</v>
      </c>
      <c r="U271" s="9" t="s">
        <v>44</v>
      </c>
      <c r="V271" s="11">
        <v>71.87</v>
      </c>
      <c r="W271" s="11">
        <v>2.0</v>
      </c>
      <c r="X271" s="9" t="s">
        <v>48</v>
      </c>
      <c r="Y271" s="9" t="s">
        <v>439</v>
      </c>
      <c r="Z271" s="12"/>
      <c r="AA271" s="9">
        <v>1305794.0</v>
      </c>
      <c r="AB271" s="12"/>
      <c r="AC271" s="9" t="s">
        <v>50</v>
      </c>
    </row>
    <row r="272">
      <c r="A272" s="9" t="s">
        <v>33</v>
      </c>
      <c r="B272" s="11">
        <v>6.0</v>
      </c>
      <c r="C272" s="9" t="s">
        <v>43</v>
      </c>
      <c r="D272" s="9" t="s">
        <v>55</v>
      </c>
      <c r="E272" s="9" t="s">
        <v>56</v>
      </c>
      <c r="F272" s="9" t="s">
        <v>45</v>
      </c>
      <c r="G272" s="9" t="s">
        <v>46</v>
      </c>
      <c r="H272" s="9" t="s">
        <v>119</v>
      </c>
      <c r="I272" s="11">
        <v>8176819.0</v>
      </c>
      <c r="J272" s="11">
        <v>2.66803503E8</v>
      </c>
      <c r="K272" s="13">
        <v>46304.0</v>
      </c>
      <c r="L272" s="14">
        <v>46343.0</v>
      </c>
      <c r="M272" s="12"/>
      <c r="N272" s="9">
        <v>902.0</v>
      </c>
      <c r="O272" s="11">
        <v>25.0</v>
      </c>
      <c r="P272" s="9" t="s">
        <v>44</v>
      </c>
      <c r="Q272" s="12"/>
      <c r="R272" s="9" t="s">
        <v>90</v>
      </c>
      <c r="S272" s="9" t="s">
        <v>47</v>
      </c>
      <c r="T272" s="9" t="s">
        <v>44</v>
      </c>
      <c r="U272" s="9" t="s">
        <v>44</v>
      </c>
      <c r="V272" s="11">
        <v>212.21</v>
      </c>
      <c r="W272" s="11">
        <v>1.0</v>
      </c>
      <c r="X272" s="9" t="s">
        <v>48</v>
      </c>
      <c r="Y272" s="9" t="s">
        <v>440</v>
      </c>
      <c r="Z272" s="12"/>
      <c r="AA272" s="9">
        <v>1305081.0</v>
      </c>
      <c r="AB272" s="12"/>
      <c r="AC272" s="9" t="s">
        <v>50</v>
      </c>
    </row>
    <row r="273">
      <c r="A273" s="9" t="s">
        <v>33</v>
      </c>
      <c r="B273" s="11">
        <v>6.0</v>
      </c>
      <c r="C273" s="9" t="s">
        <v>43</v>
      </c>
      <c r="D273" s="9" t="s">
        <v>55</v>
      </c>
      <c r="E273" s="9" t="s">
        <v>56</v>
      </c>
      <c r="F273" s="9" t="s">
        <v>45</v>
      </c>
      <c r="G273" s="9" t="s">
        <v>46</v>
      </c>
      <c r="H273" s="9" t="s">
        <v>441</v>
      </c>
      <c r="I273" s="11">
        <v>8176820.0</v>
      </c>
      <c r="J273" s="11">
        <v>2.66803504E8</v>
      </c>
      <c r="K273" s="13">
        <v>46304.0</v>
      </c>
      <c r="L273" s="13">
        <v>46360.0</v>
      </c>
      <c r="M273" s="12"/>
      <c r="N273" s="9">
        <v>103.0</v>
      </c>
      <c r="O273" s="11">
        <v>37.0</v>
      </c>
      <c r="P273" s="9" t="s">
        <v>44</v>
      </c>
      <c r="Q273" s="12"/>
      <c r="R273" s="9" t="s">
        <v>52</v>
      </c>
      <c r="S273" s="9" t="s">
        <v>47</v>
      </c>
      <c r="T273" s="9" t="s">
        <v>44</v>
      </c>
      <c r="U273" s="9" t="s">
        <v>44</v>
      </c>
      <c r="V273" s="11">
        <v>264.02</v>
      </c>
      <c r="W273" s="11">
        <v>1.0</v>
      </c>
      <c r="X273" s="9" t="s">
        <v>48</v>
      </c>
      <c r="Y273" s="9" t="s">
        <v>442</v>
      </c>
      <c r="Z273" s="12"/>
      <c r="AA273" s="9">
        <v>1305119.0</v>
      </c>
      <c r="AB273" s="12"/>
      <c r="AC273" s="9" t="s">
        <v>50</v>
      </c>
    </row>
    <row r="274">
      <c r="A274" s="9" t="s">
        <v>33</v>
      </c>
      <c r="B274" s="11">
        <v>6.0</v>
      </c>
      <c r="C274" s="9" t="s">
        <v>43</v>
      </c>
      <c r="D274" s="9" t="s">
        <v>55</v>
      </c>
      <c r="E274" s="9" t="s">
        <v>56</v>
      </c>
      <c r="F274" s="9" t="s">
        <v>45</v>
      </c>
      <c r="G274" s="9" t="s">
        <v>46</v>
      </c>
      <c r="H274" s="9" t="s">
        <v>128</v>
      </c>
      <c r="I274" s="11">
        <v>8176766.0</v>
      </c>
      <c r="J274" s="11">
        <v>2.66803505E8</v>
      </c>
      <c r="K274" s="13">
        <v>46304.0</v>
      </c>
      <c r="L274" s="14">
        <v>46353.0</v>
      </c>
      <c r="M274" s="12"/>
      <c r="N274" s="9">
        <v>1.0</v>
      </c>
      <c r="O274" s="11">
        <v>32.0</v>
      </c>
      <c r="P274" s="9" t="s">
        <v>44</v>
      </c>
      <c r="Q274" s="12"/>
      <c r="R274" s="9" t="s">
        <v>52</v>
      </c>
      <c r="S274" s="9" t="s">
        <v>47</v>
      </c>
      <c r="T274" s="9" t="s">
        <v>44</v>
      </c>
      <c r="U274" s="9" t="s">
        <v>44</v>
      </c>
      <c r="V274" s="11">
        <v>156.52</v>
      </c>
      <c r="W274" s="11">
        <v>6.0</v>
      </c>
      <c r="X274" s="9" t="s">
        <v>48</v>
      </c>
      <c r="Y274" s="9" t="s">
        <v>443</v>
      </c>
      <c r="Z274" s="12"/>
      <c r="AA274" s="9">
        <v>1305844.0</v>
      </c>
      <c r="AB274" s="12"/>
      <c r="AC274" s="9" t="s">
        <v>50</v>
      </c>
    </row>
    <row r="275">
      <c r="A275" s="9" t="s">
        <v>33</v>
      </c>
      <c r="B275" s="11">
        <v>6.0</v>
      </c>
      <c r="C275" s="9" t="s">
        <v>43</v>
      </c>
      <c r="D275" s="9" t="s">
        <v>55</v>
      </c>
      <c r="E275" s="9" t="s">
        <v>56</v>
      </c>
      <c r="F275" s="9" t="s">
        <v>45</v>
      </c>
      <c r="G275" s="9" t="s">
        <v>46</v>
      </c>
      <c r="H275" s="9" t="s">
        <v>444</v>
      </c>
      <c r="I275" s="11">
        <v>8176887.0</v>
      </c>
      <c r="J275" s="11">
        <v>2.66803506E8</v>
      </c>
      <c r="K275" s="13">
        <v>46304.0</v>
      </c>
      <c r="L275" s="14">
        <v>46316.0</v>
      </c>
      <c r="M275" s="12"/>
      <c r="N275" s="9">
        <v>9.0</v>
      </c>
      <c r="O275" s="11">
        <v>7.0</v>
      </c>
      <c r="P275" s="9" t="s">
        <v>44</v>
      </c>
      <c r="Q275" s="12"/>
      <c r="R275" s="12"/>
      <c r="S275" s="9" t="s">
        <v>47</v>
      </c>
      <c r="T275" s="9" t="s">
        <v>44</v>
      </c>
      <c r="U275" s="9" t="s">
        <v>44</v>
      </c>
      <c r="V275" s="11">
        <v>51.54</v>
      </c>
      <c r="W275" s="11">
        <v>1.0</v>
      </c>
      <c r="X275" s="9" t="s">
        <v>48</v>
      </c>
      <c r="Y275" s="9" t="s">
        <v>445</v>
      </c>
      <c r="Z275" s="12"/>
      <c r="AA275" s="9">
        <v>1305725.0</v>
      </c>
      <c r="AB275" s="12"/>
      <c r="AC275" s="9" t="s">
        <v>50</v>
      </c>
    </row>
    <row r="276">
      <c r="A276" s="9" t="s">
        <v>33</v>
      </c>
      <c r="B276" s="11">
        <v>6.0</v>
      </c>
      <c r="C276" s="9" t="s">
        <v>43</v>
      </c>
      <c r="D276" s="9" t="s">
        <v>55</v>
      </c>
      <c r="E276" s="9" t="s">
        <v>56</v>
      </c>
      <c r="F276" s="9" t="s">
        <v>45</v>
      </c>
      <c r="G276" s="9" t="s">
        <v>46</v>
      </c>
      <c r="H276" s="9" t="s">
        <v>444</v>
      </c>
      <c r="I276" s="11">
        <v>8176991.0</v>
      </c>
      <c r="J276" s="11">
        <v>2.66803507E8</v>
      </c>
      <c r="K276" s="13">
        <v>46304.0</v>
      </c>
      <c r="L276" s="14">
        <v>46316.0</v>
      </c>
      <c r="M276" s="12"/>
      <c r="N276" s="9">
        <v>2.0</v>
      </c>
      <c r="O276" s="11">
        <v>7.0</v>
      </c>
      <c r="P276" s="9" t="s">
        <v>44</v>
      </c>
      <c r="Q276" s="12"/>
      <c r="R276" s="9" t="s">
        <v>52</v>
      </c>
      <c r="S276" s="9" t="s">
        <v>47</v>
      </c>
      <c r="T276" s="9" t="s">
        <v>44</v>
      </c>
      <c r="U276" s="9" t="s">
        <v>44</v>
      </c>
      <c r="V276" s="11">
        <v>51.54</v>
      </c>
      <c r="W276" s="11">
        <v>3.0</v>
      </c>
      <c r="X276" s="9" t="s">
        <v>48</v>
      </c>
      <c r="Y276" s="9" t="s">
        <v>255</v>
      </c>
      <c r="Z276" s="12"/>
      <c r="AA276" s="9">
        <v>1305922.0</v>
      </c>
      <c r="AB276" s="12"/>
      <c r="AC276" s="9" t="s">
        <v>50</v>
      </c>
    </row>
    <row r="277">
      <c r="A277" s="9" t="s">
        <v>33</v>
      </c>
      <c r="B277" s="11">
        <v>6.0</v>
      </c>
      <c r="C277" s="9" t="s">
        <v>43</v>
      </c>
      <c r="D277" s="9" t="s">
        <v>55</v>
      </c>
      <c r="E277" s="9" t="s">
        <v>56</v>
      </c>
      <c r="F277" s="9" t="s">
        <v>45</v>
      </c>
      <c r="G277" s="9" t="s">
        <v>46</v>
      </c>
      <c r="H277" s="9" t="s">
        <v>444</v>
      </c>
      <c r="I277" s="11">
        <v>8176821.0</v>
      </c>
      <c r="J277" s="11">
        <v>2.66803508E8</v>
      </c>
      <c r="K277" s="13">
        <v>46304.0</v>
      </c>
      <c r="L277" s="14">
        <v>46316.0</v>
      </c>
      <c r="M277" s="12"/>
      <c r="N277" s="9">
        <v>4.0</v>
      </c>
      <c r="O277" s="11">
        <v>7.0</v>
      </c>
      <c r="P277" s="9" t="s">
        <v>44</v>
      </c>
      <c r="Q277" s="12"/>
      <c r="R277" s="9" t="s">
        <v>52</v>
      </c>
      <c r="S277" s="9" t="s">
        <v>47</v>
      </c>
      <c r="T277" s="9" t="s">
        <v>44</v>
      </c>
      <c r="U277" s="9" t="s">
        <v>44</v>
      </c>
      <c r="V277" s="11">
        <v>51.54</v>
      </c>
      <c r="W277" s="11">
        <v>1.0</v>
      </c>
      <c r="X277" s="9" t="s">
        <v>48</v>
      </c>
      <c r="Y277" s="9" t="s">
        <v>446</v>
      </c>
      <c r="Z277" s="12"/>
      <c r="AA277" s="9">
        <v>1305165.0</v>
      </c>
      <c r="AB277" s="12"/>
      <c r="AC277" s="9" t="s">
        <v>50</v>
      </c>
    </row>
    <row r="278">
      <c r="A278" s="9" t="s">
        <v>33</v>
      </c>
      <c r="B278" s="11">
        <v>6.0</v>
      </c>
      <c r="C278" s="9" t="s">
        <v>43</v>
      </c>
      <c r="D278" s="9" t="s">
        <v>55</v>
      </c>
      <c r="E278" s="9" t="s">
        <v>56</v>
      </c>
      <c r="F278" s="9" t="s">
        <v>45</v>
      </c>
      <c r="G278" s="9" t="s">
        <v>46</v>
      </c>
      <c r="H278" s="9" t="s">
        <v>444</v>
      </c>
      <c r="I278" s="11">
        <v>8176822.0</v>
      </c>
      <c r="J278" s="11">
        <v>2.66803509E8</v>
      </c>
      <c r="K278" s="13">
        <v>46304.0</v>
      </c>
      <c r="L278" s="14">
        <v>46316.0</v>
      </c>
      <c r="M278" s="12"/>
      <c r="N278" s="9">
        <v>3.0</v>
      </c>
      <c r="O278" s="11">
        <v>7.0</v>
      </c>
      <c r="P278" s="9" t="s">
        <v>44</v>
      </c>
      <c r="Q278" s="12"/>
      <c r="R278" s="12"/>
      <c r="S278" s="9" t="s">
        <v>47</v>
      </c>
      <c r="T278" s="9" t="s">
        <v>44</v>
      </c>
      <c r="U278" s="9" t="s">
        <v>44</v>
      </c>
      <c r="V278" s="11">
        <v>51.54</v>
      </c>
      <c r="W278" s="11">
        <v>1.0</v>
      </c>
      <c r="X278" s="9" t="s">
        <v>48</v>
      </c>
      <c r="Y278" s="9" t="s">
        <v>447</v>
      </c>
      <c r="Z278" s="12"/>
      <c r="AA278" s="9">
        <v>1305687.0</v>
      </c>
      <c r="AB278" s="12"/>
      <c r="AC278" s="9" t="s">
        <v>50</v>
      </c>
    </row>
    <row r="279">
      <c r="A279" s="9" t="s">
        <v>33</v>
      </c>
      <c r="B279" s="11">
        <v>6.0</v>
      </c>
      <c r="C279" s="9" t="s">
        <v>43</v>
      </c>
      <c r="D279" s="9" t="s">
        <v>55</v>
      </c>
      <c r="E279" s="9" t="s">
        <v>56</v>
      </c>
      <c r="F279" s="9" t="s">
        <v>45</v>
      </c>
      <c r="G279" s="9" t="s">
        <v>46</v>
      </c>
      <c r="H279" s="9" t="s">
        <v>444</v>
      </c>
      <c r="I279" s="11">
        <v>8176992.0</v>
      </c>
      <c r="J279" s="11">
        <v>2.6680351E8</v>
      </c>
      <c r="K279" s="13">
        <v>46304.0</v>
      </c>
      <c r="L279" s="14">
        <v>46316.0</v>
      </c>
      <c r="M279" s="12"/>
      <c r="N279" s="9">
        <v>20.0</v>
      </c>
      <c r="O279" s="11">
        <v>7.0</v>
      </c>
      <c r="P279" s="9" t="s">
        <v>44</v>
      </c>
      <c r="Q279" s="12"/>
      <c r="R279" s="9" t="s">
        <v>52</v>
      </c>
      <c r="S279" s="9" t="s">
        <v>47</v>
      </c>
      <c r="T279" s="9" t="s">
        <v>44</v>
      </c>
      <c r="U279" s="9" t="s">
        <v>44</v>
      </c>
      <c r="V279" s="11">
        <v>51.54</v>
      </c>
      <c r="W279" s="11">
        <v>1.0</v>
      </c>
      <c r="X279" s="9" t="s">
        <v>48</v>
      </c>
      <c r="Y279" s="9" t="s">
        <v>448</v>
      </c>
      <c r="Z279" s="12"/>
      <c r="AA279" s="9">
        <v>1305555.0</v>
      </c>
      <c r="AB279" s="12"/>
      <c r="AC279" s="9" t="s">
        <v>50</v>
      </c>
    </row>
    <row r="280">
      <c r="A280" s="9" t="s">
        <v>33</v>
      </c>
      <c r="B280" s="11">
        <v>6.0</v>
      </c>
      <c r="C280" s="9" t="s">
        <v>43</v>
      </c>
      <c r="D280" s="9" t="s">
        <v>55</v>
      </c>
      <c r="E280" s="9" t="s">
        <v>56</v>
      </c>
      <c r="F280" s="9" t="s">
        <v>45</v>
      </c>
      <c r="G280" s="9" t="s">
        <v>46</v>
      </c>
      <c r="H280" s="9" t="s">
        <v>444</v>
      </c>
      <c r="I280" s="11">
        <v>8176888.0</v>
      </c>
      <c r="J280" s="11">
        <v>2.66803511E8</v>
      </c>
      <c r="K280" s="13">
        <v>46304.0</v>
      </c>
      <c r="L280" s="14">
        <v>46316.0</v>
      </c>
      <c r="M280" s="12"/>
      <c r="N280" s="9">
        <v>21.0</v>
      </c>
      <c r="O280" s="11">
        <v>7.0</v>
      </c>
      <c r="P280" s="9" t="s">
        <v>44</v>
      </c>
      <c r="Q280" s="12"/>
      <c r="R280" s="9" t="s">
        <v>52</v>
      </c>
      <c r="S280" s="9" t="s">
        <v>47</v>
      </c>
      <c r="T280" s="9" t="s">
        <v>44</v>
      </c>
      <c r="U280" s="9" t="s">
        <v>44</v>
      </c>
      <c r="V280" s="11">
        <v>51.54</v>
      </c>
      <c r="W280" s="11">
        <v>1.0</v>
      </c>
      <c r="X280" s="9" t="s">
        <v>48</v>
      </c>
      <c r="Y280" s="9" t="s">
        <v>449</v>
      </c>
      <c r="Z280" s="12"/>
      <c r="AA280" s="9">
        <v>1305477.0</v>
      </c>
      <c r="AB280" s="12"/>
      <c r="AC280" s="9" t="s">
        <v>50</v>
      </c>
    </row>
    <row r="281">
      <c r="A281" s="9" t="s">
        <v>33</v>
      </c>
      <c r="B281" s="11">
        <v>6.0</v>
      </c>
      <c r="C281" s="9" t="s">
        <v>43</v>
      </c>
      <c r="D281" s="9" t="s">
        <v>55</v>
      </c>
      <c r="E281" s="9" t="s">
        <v>56</v>
      </c>
      <c r="F281" s="9" t="s">
        <v>45</v>
      </c>
      <c r="G281" s="9" t="s">
        <v>46</v>
      </c>
      <c r="H281" s="9" t="s">
        <v>450</v>
      </c>
      <c r="I281" s="11">
        <v>8176752.0</v>
      </c>
      <c r="J281" s="11">
        <v>2.66803512E8</v>
      </c>
      <c r="K281" s="13">
        <v>46304.0</v>
      </c>
      <c r="L281" s="14">
        <v>46321.0</v>
      </c>
      <c r="M281" s="12"/>
      <c r="N281" s="9">
        <v>26.0</v>
      </c>
      <c r="O281" s="11">
        <v>10.0</v>
      </c>
      <c r="P281" s="9" t="s">
        <v>44</v>
      </c>
      <c r="Q281" s="12"/>
      <c r="R281" s="9" t="s">
        <v>52</v>
      </c>
      <c r="S281" s="9" t="s">
        <v>47</v>
      </c>
      <c r="T281" s="9" t="s">
        <v>44</v>
      </c>
      <c r="U281" s="9" t="s">
        <v>44</v>
      </c>
      <c r="V281" s="11">
        <v>63.12</v>
      </c>
      <c r="W281" s="11">
        <v>1.0</v>
      </c>
      <c r="X281" s="9" t="s">
        <v>48</v>
      </c>
      <c r="Y281" s="9" t="s">
        <v>451</v>
      </c>
      <c r="Z281" s="12"/>
      <c r="AA281" s="9">
        <v>1305804.0</v>
      </c>
      <c r="AB281" s="12"/>
      <c r="AC281" s="9" t="s">
        <v>50</v>
      </c>
    </row>
    <row r="282">
      <c r="A282" s="9" t="s">
        <v>33</v>
      </c>
      <c r="B282" s="11">
        <v>6.0</v>
      </c>
      <c r="C282" s="9" t="s">
        <v>43</v>
      </c>
      <c r="D282" s="9" t="s">
        <v>55</v>
      </c>
      <c r="E282" s="9" t="s">
        <v>56</v>
      </c>
      <c r="F282" s="9" t="s">
        <v>45</v>
      </c>
      <c r="G282" s="9" t="s">
        <v>46</v>
      </c>
      <c r="H282" s="9" t="s">
        <v>450</v>
      </c>
      <c r="I282" s="11">
        <v>8176759.0</v>
      </c>
      <c r="J282" s="11">
        <v>2.66803513E8</v>
      </c>
      <c r="K282" s="13">
        <v>46304.0</v>
      </c>
      <c r="L282" s="14">
        <v>46316.0</v>
      </c>
      <c r="M282" s="12"/>
      <c r="N282" s="9">
        <v>27.0</v>
      </c>
      <c r="O282" s="11">
        <v>7.0</v>
      </c>
      <c r="P282" s="9" t="s">
        <v>44</v>
      </c>
      <c r="Q282" s="12"/>
      <c r="R282" s="9" t="s">
        <v>52</v>
      </c>
      <c r="S282" s="9" t="s">
        <v>47</v>
      </c>
      <c r="T282" s="9" t="s">
        <v>44</v>
      </c>
      <c r="U282" s="9" t="s">
        <v>44</v>
      </c>
      <c r="V282" s="11">
        <v>51.54</v>
      </c>
      <c r="W282" s="11">
        <v>2.0</v>
      </c>
      <c r="X282" s="9" t="s">
        <v>48</v>
      </c>
      <c r="Y282" s="9" t="s">
        <v>452</v>
      </c>
      <c r="Z282" s="12"/>
      <c r="AA282" s="9">
        <v>1305867.0</v>
      </c>
      <c r="AB282" s="12"/>
      <c r="AC282" s="9" t="s">
        <v>50</v>
      </c>
    </row>
    <row r="283">
      <c r="A283" s="9" t="s">
        <v>33</v>
      </c>
      <c r="B283" s="11">
        <v>6.0</v>
      </c>
      <c r="C283" s="9" t="s">
        <v>43</v>
      </c>
      <c r="D283" s="9" t="s">
        <v>55</v>
      </c>
      <c r="E283" s="9" t="s">
        <v>56</v>
      </c>
      <c r="F283" s="9" t="s">
        <v>45</v>
      </c>
      <c r="G283" s="9" t="s">
        <v>46</v>
      </c>
      <c r="H283" s="9" t="s">
        <v>450</v>
      </c>
      <c r="I283" s="11">
        <v>8176856.0</v>
      </c>
      <c r="J283" s="11">
        <v>2.66803514E8</v>
      </c>
      <c r="K283" s="13">
        <v>46304.0</v>
      </c>
      <c r="L283" s="14">
        <v>46316.0</v>
      </c>
      <c r="M283" s="12"/>
      <c r="N283" s="9">
        <v>27.0</v>
      </c>
      <c r="O283" s="11">
        <v>7.0</v>
      </c>
      <c r="P283" s="9" t="s">
        <v>44</v>
      </c>
      <c r="Q283" s="12"/>
      <c r="R283" s="12"/>
      <c r="S283" s="9" t="s">
        <v>47</v>
      </c>
      <c r="T283" s="9" t="s">
        <v>44</v>
      </c>
      <c r="U283" s="9" t="s">
        <v>44</v>
      </c>
      <c r="V283" s="11">
        <v>51.54</v>
      </c>
      <c r="W283" s="11">
        <v>1.0</v>
      </c>
      <c r="X283" s="9" t="s">
        <v>48</v>
      </c>
      <c r="Y283" s="9" t="s">
        <v>453</v>
      </c>
      <c r="Z283" s="12"/>
      <c r="AA283" s="9">
        <v>1305681.0</v>
      </c>
      <c r="AB283" s="12"/>
      <c r="AC283" s="9" t="s">
        <v>50</v>
      </c>
    </row>
    <row r="284">
      <c r="A284" s="9" t="s">
        <v>33</v>
      </c>
      <c r="B284" s="11">
        <v>6.0</v>
      </c>
      <c r="C284" s="9" t="s">
        <v>43</v>
      </c>
      <c r="D284" s="9" t="s">
        <v>55</v>
      </c>
      <c r="E284" s="9" t="s">
        <v>56</v>
      </c>
      <c r="F284" s="9" t="s">
        <v>45</v>
      </c>
      <c r="G284" s="9" t="s">
        <v>46</v>
      </c>
      <c r="H284" s="9" t="s">
        <v>454</v>
      </c>
      <c r="I284" s="11">
        <v>8176949.0</v>
      </c>
      <c r="J284" s="11">
        <v>2.66803515E8</v>
      </c>
      <c r="K284" s="13">
        <v>46304.0</v>
      </c>
      <c r="L284" s="14">
        <v>46322.0</v>
      </c>
      <c r="M284" s="12"/>
      <c r="N284" s="9">
        <v>300.0</v>
      </c>
      <c r="O284" s="11">
        <v>11.0</v>
      </c>
      <c r="P284" s="9" t="s">
        <v>44</v>
      </c>
      <c r="Q284" s="12"/>
      <c r="R284" s="9" t="s">
        <v>52</v>
      </c>
      <c r="S284" s="9" t="s">
        <v>47</v>
      </c>
      <c r="T284" s="9" t="s">
        <v>44</v>
      </c>
      <c r="U284" s="9" t="s">
        <v>44</v>
      </c>
      <c r="V284" s="11">
        <v>63.12</v>
      </c>
      <c r="W284" s="11">
        <v>2.0</v>
      </c>
      <c r="X284" s="9" t="s">
        <v>48</v>
      </c>
      <c r="Y284" s="9" t="s">
        <v>455</v>
      </c>
      <c r="Z284" s="12"/>
      <c r="AA284" s="9">
        <v>1305566.0</v>
      </c>
      <c r="AB284" s="12"/>
      <c r="AC284" s="9" t="s">
        <v>50</v>
      </c>
    </row>
    <row r="285">
      <c r="A285" s="9" t="s">
        <v>33</v>
      </c>
      <c r="B285" s="11">
        <v>6.0</v>
      </c>
      <c r="C285" s="9" t="s">
        <v>43</v>
      </c>
      <c r="D285" s="9" t="s">
        <v>55</v>
      </c>
      <c r="E285" s="9" t="s">
        <v>56</v>
      </c>
      <c r="F285" s="9" t="s">
        <v>45</v>
      </c>
      <c r="G285" s="9" t="s">
        <v>46</v>
      </c>
      <c r="H285" s="9" t="s">
        <v>456</v>
      </c>
      <c r="I285" s="11">
        <v>8177044.0</v>
      </c>
      <c r="J285" s="11">
        <v>2.66803516E8</v>
      </c>
      <c r="K285" s="13">
        <v>46304.0</v>
      </c>
      <c r="L285" s="14">
        <v>46316.0</v>
      </c>
      <c r="M285" s="12"/>
      <c r="N285" s="9">
        <v>11.0</v>
      </c>
      <c r="O285" s="11">
        <v>7.0</v>
      </c>
      <c r="P285" s="9" t="s">
        <v>44</v>
      </c>
      <c r="Q285" s="12"/>
      <c r="R285" s="12"/>
      <c r="S285" s="9" t="s">
        <v>47</v>
      </c>
      <c r="T285" s="9" t="s">
        <v>44</v>
      </c>
      <c r="U285" s="9" t="s">
        <v>44</v>
      </c>
      <c r="V285" s="11">
        <v>56.59</v>
      </c>
      <c r="W285" s="11">
        <v>1.0</v>
      </c>
      <c r="X285" s="9" t="s">
        <v>48</v>
      </c>
      <c r="Y285" s="9" t="s">
        <v>457</v>
      </c>
      <c r="Z285" s="12"/>
      <c r="AA285" s="9">
        <v>1305229.0</v>
      </c>
      <c r="AB285" s="12"/>
      <c r="AC285" s="9" t="s">
        <v>50</v>
      </c>
    </row>
    <row r="286">
      <c r="A286" s="9" t="s">
        <v>33</v>
      </c>
      <c r="B286" s="11">
        <v>6.0</v>
      </c>
      <c r="C286" s="9" t="s">
        <v>43</v>
      </c>
      <c r="D286" s="9" t="s">
        <v>55</v>
      </c>
      <c r="E286" s="9" t="s">
        <v>56</v>
      </c>
      <c r="F286" s="9" t="s">
        <v>45</v>
      </c>
      <c r="G286" s="9" t="s">
        <v>46</v>
      </c>
      <c r="H286" s="9" t="s">
        <v>456</v>
      </c>
      <c r="I286" s="11">
        <v>8176914.0</v>
      </c>
      <c r="J286" s="11">
        <v>2.66803517E8</v>
      </c>
      <c r="K286" s="13">
        <v>46304.0</v>
      </c>
      <c r="L286" s="14">
        <v>46316.0</v>
      </c>
      <c r="M286" s="12"/>
      <c r="N286" s="9">
        <v>4.0</v>
      </c>
      <c r="O286" s="11">
        <v>7.0</v>
      </c>
      <c r="P286" s="9" t="s">
        <v>44</v>
      </c>
      <c r="Q286" s="12"/>
      <c r="R286" s="9" t="s">
        <v>52</v>
      </c>
      <c r="S286" s="9" t="s">
        <v>47</v>
      </c>
      <c r="T286" s="9" t="s">
        <v>44</v>
      </c>
      <c r="U286" s="9" t="s">
        <v>44</v>
      </c>
      <c r="V286" s="11">
        <v>56.59</v>
      </c>
      <c r="W286" s="11">
        <v>1.0</v>
      </c>
      <c r="X286" s="9" t="s">
        <v>48</v>
      </c>
      <c r="Y286" s="9" t="s">
        <v>458</v>
      </c>
      <c r="Z286" s="12"/>
      <c r="AA286" s="9">
        <v>1305504.0</v>
      </c>
      <c r="AB286" s="12"/>
      <c r="AC286" s="9" t="s">
        <v>50</v>
      </c>
    </row>
    <row r="287">
      <c r="A287" s="9" t="s">
        <v>33</v>
      </c>
      <c r="B287" s="11">
        <v>6.0</v>
      </c>
      <c r="C287" s="9" t="s">
        <v>43</v>
      </c>
      <c r="D287" s="9" t="s">
        <v>55</v>
      </c>
      <c r="E287" s="9" t="s">
        <v>56</v>
      </c>
      <c r="F287" s="9" t="s">
        <v>45</v>
      </c>
      <c r="G287" s="9" t="s">
        <v>46</v>
      </c>
      <c r="H287" s="9" t="s">
        <v>456</v>
      </c>
      <c r="I287" s="11">
        <v>8176993.0</v>
      </c>
      <c r="J287" s="11">
        <v>2.66803518E8</v>
      </c>
      <c r="K287" s="13">
        <v>46304.0</v>
      </c>
      <c r="L287" s="14">
        <v>46316.0</v>
      </c>
      <c r="M287" s="12"/>
      <c r="N287" s="9">
        <v>8.0</v>
      </c>
      <c r="O287" s="11">
        <v>7.0</v>
      </c>
      <c r="P287" s="9" t="s">
        <v>44</v>
      </c>
      <c r="Q287" s="12"/>
      <c r="R287" s="12"/>
      <c r="S287" s="9" t="s">
        <v>47</v>
      </c>
      <c r="T287" s="9" t="s">
        <v>44</v>
      </c>
      <c r="U287" s="9" t="s">
        <v>44</v>
      </c>
      <c r="V287" s="11">
        <v>56.59</v>
      </c>
      <c r="W287" s="11">
        <v>1.0</v>
      </c>
      <c r="X287" s="9" t="s">
        <v>48</v>
      </c>
      <c r="Y287" s="9" t="s">
        <v>459</v>
      </c>
      <c r="Z287" s="12"/>
      <c r="AA287" s="9">
        <v>1305377.0</v>
      </c>
      <c r="AB287" s="12"/>
      <c r="AC287" s="9" t="s">
        <v>50</v>
      </c>
    </row>
    <row r="288">
      <c r="A288" s="9" t="s">
        <v>33</v>
      </c>
      <c r="B288" s="11">
        <v>6.0</v>
      </c>
      <c r="C288" s="9" t="s">
        <v>43</v>
      </c>
      <c r="D288" s="9" t="s">
        <v>55</v>
      </c>
      <c r="E288" s="9" t="s">
        <v>56</v>
      </c>
      <c r="F288" s="9" t="s">
        <v>45</v>
      </c>
      <c r="G288" s="9" t="s">
        <v>46</v>
      </c>
      <c r="H288" s="9" t="s">
        <v>456</v>
      </c>
      <c r="I288" s="11">
        <v>8176994.0</v>
      </c>
      <c r="J288" s="11">
        <v>2.66803519E8</v>
      </c>
      <c r="K288" s="13">
        <v>46304.0</v>
      </c>
      <c r="L288" s="14">
        <v>46316.0</v>
      </c>
      <c r="M288" s="12"/>
      <c r="N288" s="9">
        <v>16.0</v>
      </c>
      <c r="O288" s="11">
        <v>7.0</v>
      </c>
      <c r="P288" s="9" t="s">
        <v>44</v>
      </c>
      <c r="Q288" s="12"/>
      <c r="R288" s="9" t="s">
        <v>52</v>
      </c>
      <c r="S288" s="9" t="s">
        <v>47</v>
      </c>
      <c r="T288" s="9" t="s">
        <v>44</v>
      </c>
      <c r="U288" s="9" t="s">
        <v>44</v>
      </c>
      <c r="V288" s="11">
        <v>56.59</v>
      </c>
      <c r="W288" s="11">
        <v>3.0</v>
      </c>
      <c r="X288" s="9" t="s">
        <v>48</v>
      </c>
      <c r="Y288" s="9" t="s">
        <v>71</v>
      </c>
      <c r="Z288" s="12"/>
      <c r="AA288" s="9" t="s">
        <v>460</v>
      </c>
      <c r="AB288" s="12"/>
      <c r="AC288" s="9" t="s">
        <v>50</v>
      </c>
    </row>
    <row r="289">
      <c r="A289" s="9" t="s">
        <v>33</v>
      </c>
      <c r="B289" s="11">
        <v>6.0</v>
      </c>
      <c r="C289" s="9" t="s">
        <v>43</v>
      </c>
      <c r="D289" s="9" t="s">
        <v>55</v>
      </c>
      <c r="E289" s="9" t="s">
        <v>56</v>
      </c>
      <c r="F289" s="9" t="s">
        <v>45</v>
      </c>
      <c r="G289" s="9" t="s">
        <v>46</v>
      </c>
      <c r="H289" s="9" t="s">
        <v>456</v>
      </c>
      <c r="I289" s="11">
        <v>8176791.0</v>
      </c>
      <c r="J289" s="11">
        <v>2.6680352E8</v>
      </c>
      <c r="K289" s="13">
        <v>46304.0</v>
      </c>
      <c r="L289" s="14">
        <v>46316.0</v>
      </c>
      <c r="M289" s="12"/>
      <c r="N289" s="9">
        <v>14.0</v>
      </c>
      <c r="O289" s="11">
        <v>7.0</v>
      </c>
      <c r="P289" s="9" t="s">
        <v>44</v>
      </c>
      <c r="Q289" s="12"/>
      <c r="R289" s="9" t="s">
        <v>52</v>
      </c>
      <c r="S289" s="9" t="s">
        <v>47</v>
      </c>
      <c r="T289" s="9" t="s">
        <v>44</v>
      </c>
      <c r="U289" s="9" t="s">
        <v>44</v>
      </c>
      <c r="V289" s="11">
        <v>56.59</v>
      </c>
      <c r="W289" s="11">
        <v>1.0</v>
      </c>
      <c r="X289" s="9" t="s">
        <v>48</v>
      </c>
      <c r="Y289" s="9" t="s">
        <v>461</v>
      </c>
      <c r="Z289" s="12"/>
      <c r="AA289" s="9">
        <v>1305703.0</v>
      </c>
      <c r="AB289" s="12"/>
      <c r="AC289" s="9" t="s">
        <v>50</v>
      </c>
    </row>
    <row r="290">
      <c r="A290" s="9" t="s">
        <v>33</v>
      </c>
      <c r="B290" s="11">
        <v>6.0</v>
      </c>
      <c r="C290" s="9" t="s">
        <v>43</v>
      </c>
      <c r="D290" s="9" t="s">
        <v>55</v>
      </c>
      <c r="E290" s="9" t="s">
        <v>56</v>
      </c>
      <c r="F290" s="9" t="s">
        <v>45</v>
      </c>
      <c r="G290" s="9" t="s">
        <v>46</v>
      </c>
      <c r="H290" s="9" t="s">
        <v>456</v>
      </c>
      <c r="I290" s="11">
        <v>8176915.0</v>
      </c>
      <c r="J290" s="11">
        <v>2.66803521E8</v>
      </c>
      <c r="K290" s="13">
        <v>46304.0</v>
      </c>
      <c r="L290" s="14">
        <v>46316.0</v>
      </c>
      <c r="M290" s="12"/>
      <c r="N290" s="9">
        <v>19.0</v>
      </c>
      <c r="O290" s="11">
        <v>7.0</v>
      </c>
      <c r="P290" s="9" t="s">
        <v>44</v>
      </c>
      <c r="Q290" s="12"/>
      <c r="R290" s="9" t="s">
        <v>52</v>
      </c>
      <c r="S290" s="9" t="s">
        <v>47</v>
      </c>
      <c r="T290" s="9" t="s">
        <v>44</v>
      </c>
      <c r="U290" s="9" t="s">
        <v>44</v>
      </c>
      <c r="V290" s="11">
        <v>56.59</v>
      </c>
      <c r="W290" s="11">
        <v>1.0</v>
      </c>
      <c r="X290" s="9" t="s">
        <v>48</v>
      </c>
      <c r="Y290" s="9" t="s">
        <v>462</v>
      </c>
      <c r="Z290" s="12"/>
      <c r="AA290" s="9">
        <v>1305508.0</v>
      </c>
      <c r="AB290" s="12"/>
      <c r="AC290" s="9" t="s">
        <v>50</v>
      </c>
    </row>
    <row r="291">
      <c r="A291" s="9" t="s">
        <v>33</v>
      </c>
      <c r="B291" s="11">
        <v>6.0</v>
      </c>
      <c r="C291" s="9" t="s">
        <v>43</v>
      </c>
      <c r="D291" s="9" t="s">
        <v>55</v>
      </c>
      <c r="E291" s="9" t="s">
        <v>56</v>
      </c>
      <c r="F291" s="9" t="s">
        <v>45</v>
      </c>
      <c r="G291" s="9" t="s">
        <v>46</v>
      </c>
      <c r="H291" s="9" t="s">
        <v>463</v>
      </c>
      <c r="I291" s="11">
        <v>8176916.0</v>
      </c>
      <c r="J291" s="11">
        <v>2.66803523E8</v>
      </c>
      <c r="K291" s="13">
        <v>46304.0</v>
      </c>
      <c r="L291" s="14">
        <v>46317.0</v>
      </c>
      <c r="M291" s="12"/>
      <c r="N291" s="9">
        <v>1.0</v>
      </c>
      <c r="O291" s="11">
        <v>8.0</v>
      </c>
      <c r="P291" s="9" t="s">
        <v>44</v>
      </c>
      <c r="Q291" s="12"/>
      <c r="R291" s="9" t="s">
        <v>52</v>
      </c>
      <c r="S291" s="9" t="s">
        <v>47</v>
      </c>
      <c r="T291" s="9" t="s">
        <v>44</v>
      </c>
      <c r="U291" s="9" t="s">
        <v>44</v>
      </c>
      <c r="V291" s="11">
        <v>56.59</v>
      </c>
      <c r="W291" s="11">
        <v>1.0</v>
      </c>
      <c r="X291" s="9" t="s">
        <v>48</v>
      </c>
      <c r="Y291" s="9" t="s">
        <v>464</v>
      </c>
      <c r="Z291" s="12"/>
      <c r="AA291" s="9">
        <v>1305406.0</v>
      </c>
      <c r="AB291" s="12"/>
      <c r="AC291" s="9" t="s">
        <v>50</v>
      </c>
    </row>
    <row r="292">
      <c r="A292" s="9" t="s">
        <v>33</v>
      </c>
      <c r="B292" s="11">
        <v>6.0</v>
      </c>
      <c r="C292" s="9" t="s">
        <v>43</v>
      </c>
      <c r="D292" s="9" t="s">
        <v>55</v>
      </c>
      <c r="E292" s="9" t="s">
        <v>56</v>
      </c>
      <c r="F292" s="9" t="s">
        <v>45</v>
      </c>
      <c r="G292" s="9" t="s">
        <v>46</v>
      </c>
      <c r="H292" s="9" t="s">
        <v>463</v>
      </c>
      <c r="I292" s="11">
        <v>8177063.0</v>
      </c>
      <c r="J292" s="11">
        <v>2.66803524E8</v>
      </c>
      <c r="K292" s="13">
        <v>46304.0</v>
      </c>
      <c r="L292" s="14">
        <v>46318.0</v>
      </c>
      <c r="M292" s="12"/>
      <c r="N292" s="9">
        <v>103.0</v>
      </c>
      <c r="O292" s="11">
        <v>9.0</v>
      </c>
      <c r="P292" s="9" t="s">
        <v>44</v>
      </c>
      <c r="Q292" s="12"/>
      <c r="R292" s="12"/>
      <c r="S292" s="9" t="s">
        <v>47</v>
      </c>
      <c r="T292" s="9" t="s">
        <v>44</v>
      </c>
      <c r="U292" s="9" t="s">
        <v>44</v>
      </c>
      <c r="V292" s="11">
        <v>63.12</v>
      </c>
      <c r="W292" s="11">
        <v>1.0</v>
      </c>
      <c r="X292" s="9" t="s">
        <v>48</v>
      </c>
      <c r="Y292" s="9" t="s">
        <v>465</v>
      </c>
      <c r="Z292" s="12"/>
      <c r="AA292" s="9">
        <v>1304822.0</v>
      </c>
      <c r="AB292" s="12"/>
      <c r="AC292" s="9" t="s">
        <v>50</v>
      </c>
    </row>
    <row r="293">
      <c r="A293" s="9" t="s">
        <v>33</v>
      </c>
      <c r="B293" s="11">
        <v>6.0</v>
      </c>
      <c r="C293" s="9" t="s">
        <v>43</v>
      </c>
      <c r="D293" s="9" t="s">
        <v>55</v>
      </c>
      <c r="E293" s="9" t="s">
        <v>56</v>
      </c>
      <c r="F293" s="9" t="s">
        <v>45</v>
      </c>
      <c r="G293" s="9" t="s">
        <v>46</v>
      </c>
      <c r="H293" s="9" t="s">
        <v>463</v>
      </c>
      <c r="I293" s="11">
        <v>8176823.0</v>
      </c>
      <c r="J293" s="11">
        <v>2.66803525E8</v>
      </c>
      <c r="K293" s="13">
        <v>46304.0</v>
      </c>
      <c r="L293" s="14">
        <v>46318.0</v>
      </c>
      <c r="M293" s="12"/>
      <c r="N293" s="9">
        <v>103.0</v>
      </c>
      <c r="O293" s="11">
        <v>9.0</v>
      </c>
      <c r="P293" s="9" t="s">
        <v>44</v>
      </c>
      <c r="Q293" s="12"/>
      <c r="R293" s="9" t="s">
        <v>52</v>
      </c>
      <c r="S293" s="9" t="s">
        <v>47</v>
      </c>
      <c r="T293" s="9" t="s">
        <v>44</v>
      </c>
      <c r="U293" s="9" t="s">
        <v>44</v>
      </c>
      <c r="V293" s="11">
        <v>63.12</v>
      </c>
      <c r="W293" s="11">
        <v>1.0</v>
      </c>
      <c r="X293" s="9" t="s">
        <v>48</v>
      </c>
      <c r="Y293" s="9" t="s">
        <v>466</v>
      </c>
      <c r="Z293" s="12"/>
      <c r="AA293" s="9">
        <v>1305242.0</v>
      </c>
      <c r="AB293" s="12"/>
      <c r="AC293" s="9" t="s">
        <v>50</v>
      </c>
    </row>
    <row r="294">
      <c r="A294" s="9" t="s">
        <v>33</v>
      </c>
      <c r="B294" s="11">
        <v>6.0</v>
      </c>
      <c r="C294" s="9" t="s">
        <v>43</v>
      </c>
      <c r="D294" s="9" t="s">
        <v>55</v>
      </c>
      <c r="E294" s="9" t="s">
        <v>56</v>
      </c>
      <c r="F294" s="9" t="s">
        <v>45</v>
      </c>
      <c r="G294" s="9" t="s">
        <v>46</v>
      </c>
      <c r="H294" s="9" t="s">
        <v>463</v>
      </c>
      <c r="I294" s="11">
        <v>8177045.0</v>
      </c>
      <c r="J294" s="11">
        <v>2.66803526E8</v>
      </c>
      <c r="K294" s="13">
        <v>46304.0</v>
      </c>
      <c r="L294" s="14">
        <v>46318.0</v>
      </c>
      <c r="M294" s="12"/>
      <c r="N294" s="9">
        <v>103.0</v>
      </c>
      <c r="O294" s="11">
        <v>9.0</v>
      </c>
      <c r="P294" s="9" t="s">
        <v>44</v>
      </c>
      <c r="Q294" s="12"/>
      <c r="R294" s="12"/>
      <c r="S294" s="9" t="s">
        <v>47</v>
      </c>
      <c r="T294" s="9" t="s">
        <v>44</v>
      </c>
      <c r="U294" s="9" t="s">
        <v>44</v>
      </c>
      <c r="V294" s="11">
        <v>63.12</v>
      </c>
      <c r="W294" s="11">
        <v>1.0</v>
      </c>
      <c r="X294" s="9" t="s">
        <v>48</v>
      </c>
      <c r="Y294" s="9" t="s">
        <v>467</v>
      </c>
      <c r="Z294" s="12"/>
      <c r="AA294" s="9">
        <v>1305247.0</v>
      </c>
      <c r="AB294" s="12"/>
      <c r="AC294" s="9" t="s">
        <v>50</v>
      </c>
    </row>
    <row r="295">
      <c r="A295" s="9" t="s">
        <v>33</v>
      </c>
      <c r="B295" s="11">
        <v>6.0</v>
      </c>
      <c r="C295" s="9" t="s">
        <v>43</v>
      </c>
      <c r="D295" s="9" t="s">
        <v>55</v>
      </c>
      <c r="E295" s="9" t="s">
        <v>56</v>
      </c>
      <c r="F295" s="9" t="s">
        <v>45</v>
      </c>
      <c r="G295" s="9" t="s">
        <v>46</v>
      </c>
      <c r="H295" s="9" t="s">
        <v>463</v>
      </c>
      <c r="I295" s="11">
        <v>8177046.0</v>
      </c>
      <c r="J295" s="11">
        <v>2.66803527E8</v>
      </c>
      <c r="K295" s="13">
        <v>46304.0</v>
      </c>
      <c r="L295" s="14">
        <v>46318.0</v>
      </c>
      <c r="M295" s="12"/>
      <c r="N295" s="9">
        <v>103.0</v>
      </c>
      <c r="O295" s="11">
        <v>9.0</v>
      </c>
      <c r="P295" s="9" t="s">
        <v>44</v>
      </c>
      <c r="Q295" s="12"/>
      <c r="R295" s="12"/>
      <c r="S295" s="9" t="s">
        <v>47</v>
      </c>
      <c r="T295" s="9" t="s">
        <v>44</v>
      </c>
      <c r="U295" s="9" t="s">
        <v>44</v>
      </c>
      <c r="V295" s="11">
        <v>63.12</v>
      </c>
      <c r="W295" s="11">
        <v>1.0</v>
      </c>
      <c r="X295" s="9" t="s">
        <v>48</v>
      </c>
      <c r="Y295" s="9" t="s">
        <v>468</v>
      </c>
      <c r="Z295" s="12"/>
      <c r="AA295" s="9">
        <v>1304818.0</v>
      </c>
      <c r="AB295" s="12"/>
      <c r="AC295" s="9" t="s">
        <v>50</v>
      </c>
    </row>
    <row r="296">
      <c r="A296" s="9" t="s">
        <v>33</v>
      </c>
      <c r="B296" s="11">
        <v>6.0</v>
      </c>
      <c r="C296" s="9" t="s">
        <v>43</v>
      </c>
      <c r="D296" s="9" t="s">
        <v>55</v>
      </c>
      <c r="E296" s="9" t="s">
        <v>56</v>
      </c>
      <c r="F296" s="9" t="s">
        <v>45</v>
      </c>
      <c r="G296" s="9" t="s">
        <v>46</v>
      </c>
      <c r="H296" s="9" t="s">
        <v>469</v>
      </c>
      <c r="I296" s="11">
        <v>8176995.0</v>
      </c>
      <c r="J296" s="11">
        <v>2.66803528E8</v>
      </c>
      <c r="K296" s="13">
        <v>46304.0</v>
      </c>
      <c r="L296" s="14">
        <v>46324.0</v>
      </c>
      <c r="M296" s="12"/>
      <c r="N296" s="9">
        <v>103.0</v>
      </c>
      <c r="O296" s="11">
        <v>13.0</v>
      </c>
      <c r="P296" s="9" t="s">
        <v>44</v>
      </c>
      <c r="Q296" s="12"/>
      <c r="R296" s="9" t="s">
        <v>52</v>
      </c>
      <c r="S296" s="9" t="s">
        <v>47</v>
      </c>
      <c r="T296" s="9" t="s">
        <v>44</v>
      </c>
      <c r="U296" s="9" t="s">
        <v>44</v>
      </c>
      <c r="V296" s="11">
        <v>63.12</v>
      </c>
      <c r="W296" s="11">
        <v>1.0</v>
      </c>
      <c r="X296" s="9" t="s">
        <v>48</v>
      </c>
      <c r="Y296" s="9" t="s">
        <v>470</v>
      </c>
      <c r="Z296" s="12"/>
      <c r="AA296" s="9">
        <v>1305413.0</v>
      </c>
      <c r="AB296" s="12"/>
      <c r="AC296" s="9" t="s">
        <v>50</v>
      </c>
    </row>
    <row r="297">
      <c r="A297" s="9" t="s">
        <v>33</v>
      </c>
      <c r="B297" s="11">
        <v>6.0</v>
      </c>
      <c r="C297" s="9" t="s">
        <v>43</v>
      </c>
      <c r="D297" s="9" t="s">
        <v>55</v>
      </c>
      <c r="E297" s="9" t="s">
        <v>56</v>
      </c>
      <c r="F297" s="9" t="s">
        <v>45</v>
      </c>
      <c r="G297" s="9" t="s">
        <v>46</v>
      </c>
      <c r="H297" s="9" t="s">
        <v>471</v>
      </c>
      <c r="I297" s="11">
        <v>8176889.0</v>
      </c>
      <c r="J297" s="11">
        <v>2.66803529E8</v>
      </c>
      <c r="K297" s="13">
        <v>46304.0</v>
      </c>
      <c r="L297" s="14">
        <v>46322.0</v>
      </c>
      <c r="M297" s="12"/>
      <c r="N297" s="9">
        <v>101.0</v>
      </c>
      <c r="O297" s="11">
        <v>11.0</v>
      </c>
      <c r="P297" s="9" t="s">
        <v>44</v>
      </c>
      <c r="Q297" s="12"/>
      <c r="R297" s="9" t="s">
        <v>52</v>
      </c>
      <c r="S297" s="9" t="s">
        <v>47</v>
      </c>
      <c r="T297" s="9" t="s">
        <v>44</v>
      </c>
      <c r="U297" s="9" t="s">
        <v>44</v>
      </c>
      <c r="V297" s="11">
        <v>63.12</v>
      </c>
      <c r="W297" s="11">
        <v>1.0</v>
      </c>
      <c r="X297" s="9" t="s">
        <v>48</v>
      </c>
      <c r="Y297" s="9" t="s">
        <v>472</v>
      </c>
      <c r="Z297" s="12"/>
      <c r="AA297" s="9">
        <v>1305729.0</v>
      </c>
      <c r="AB297" s="12"/>
      <c r="AC297" s="9" t="s">
        <v>50</v>
      </c>
    </row>
    <row r="298">
      <c r="A298" s="9" t="s">
        <v>33</v>
      </c>
      <c r="B298" s="11">
        <v>6.0</v>
      </c>
      <c r="C298" s="9" t="s">
        <v>43</v>
      </c>
      <c r="D298" s="9" t="s">
        <v>55</v>
      </c>
      <c r="E298" s="9" t="s">
        <v>56</v>
      </c>
      <c r="F298" s="9" t="s">
        <v>45</v>
      </c>
      <c r="G298" s="9" t="s">
        <v>46</v>
      </c>
      <c r="H298" s="9" t="s">
        <v>471</v>
      </c>
      <c r="I298" s="11">
        <v>8176857.0</v>
      </c>
      <c r="J298" s="11">
        <v>2.6680353E8</v>
      </c>
      <c r="K298" s="13">
        <v>46304.0</v>
      </c>
      <c r="L298" s="14">
        <v>46322.0</v>
      </c>
      <c r="M298" s="12"/>
      <c r="N298" s="9">
        <v>101.0</v>
      </c>
      <c r="O298" s="11">
        <v>11.0</v>
      </c>
      <c r="P298" s="9" t="s">
        <v>44</v>
      </c>
      <c r="Q298" s="12"/>
      <c r="R298" s="12"/>
      <c r="S298" s="9" t="s">
        <v>47</v>
      </c>
      <c r="T298" s="9" t="s">
        <v>44</v>
      </c>
      <c r="U298" s="9" t="s">
        <v>44</v>
      </c>
      <c r="V298" s="11">
        <v>63.12</v>
      </c>
      <c r="W298" s="11">
        <v>1.0</v>
      </c>
      <c r="X298" s="9" t="s">
        <v>48</v>
      </c>
      <c r="Y298" s="9" t="s">
        <v>473</v>
      </c>
      <c r="Z298" s="12"/>
      <c r="AA298" s="9">
        <v>1305740.0</v>
      </c>
      <c r="AB298" s="12"/>
      <c r="AC298" s="9" t="s">
        <v>50</v>
      </c>
    </row>
    <row r="299">
      <c r="A299" s="9" t="s">
        <v>33</v>
      </c>
      <c r="B299" s="11">
        <v>6.0</v>
      </c>
      <c r="C299" s="9" t="s">
        <v>43</v>
      </c>
      <c r="D299" s="9" t="s">
        <v>55</v>
      </c>
      <c r="E299" s="9" t="s">
        <v>56</v>
      </c>
      <c r="F299" s="9" t="s">
        <v>45</v>
      </c>
      <c r="G299" s="9" t="s">
        <v>46</v>
      </c>
      <c r="H299" s="9" t="s">
        <v>471</v>
      </c>
      <c r="I299" s="11">
        <v>8176950.0</v>
      </c>
      <c r="J299" s="11">
        <v>2.66803531E8</v>
      </c>
      <c r="K299" s="13">
        <v>46304.0</v>
      </c>
      <c r="L299" s="14">
        <v>46323.0</v>
      </c>
      <c r="M299" s="12"/>
      <c r="N299" s="9">
        <v>103.0</v>
      </c>
      <c r="O299" s="11">
        <v>12.0</v>
      </c>
      <c r="P299" s="9" t="s">
        <v>44</v>
      </c>
      <c r="Q299" s="12"/>
      <c r="R299" s="9" t="s">
        <v>52</v>
      </c>
      <c r="S299" s="9" t="s">
        <v>47</v>
      </c>
      <c r="T299" s="9" t="s">
        <v>44</v>
      </c>
      <c r="U299" s="9" t="s">
        <v>44</v>
      </c>
      <c r="V299" s="11">
        <v>63.12</v>
      </c>
      <c r="W299" s="11">
        <v>1.0</v>
      </c>
      <c r="X299" s="9" t="s">
        <v>48</v>
      </c>
      <c r="Y299" s="9" t="s">
        <v>474</v>
      </c>
      <c r="Z299" s="12"/>
      <c r="AA299" s="9">
        <v>1305465.0</v>
      </c>
      <c r="AB299" s="12"/>
      <c r="AC299" s="9" t="s">
        <v>50</v>
      </c>
    </row>
    <row r="300">
      <c r="A300" s="9" t="s">
        <v>33</v>
      </c>
      <c r="B300" s="11">
        <v>6.0</v>
      </c>
      <c r="C300" s="9" t="s">
        <v>43</v>
      </c>
      <c r="D300" s="9" t="s">
        <v>55</v>
      </c>
      <c r="E300" s="9" t="s">
        <v>56</v>
      </c>
      <c r="F300" s="9" t="s">
        <v>45</v>
      </c>
      <c r="G300" s="9" t="s">
        <v>46</v>
      </c>
      <c r="H300" s="9" t="s">
        <v>475</v>
      </c>
      <c r="I300" s="11">
        <v>8176712.0</v>
      </c>
      <c r="J300" s="11">
        <v>2.66803532E8</v>
      </c>
      <c r="K300" s="13">
        <v>46304.0</v>
      </c>
      <c r="L300" s="14">
        <v>46342.0</v>
      </c>
      <c r="M300" s="12"/>
      <c r="N300" s="9">
        <v>1.0</v>
      </c>
      <c r="O300" s="11">
        <v>24.0</v>
      </c>
      <c r="P300" s="9" t="s">
        <v>44</v>
      </c>
      <c r="Q300" s="12"/>
      <c r="R300" s="9" t="s">
        <v>52</v>
      </c>
      <c r="S300" s="9" t="s">
        <v>47</v>
      </c>
      <c r="T300" s="9" t="s">
        <v>44</v>
      </c>
      <c r="U300" s="9" t="s">
        <v>44</v>
      </c>
      <c r="V300" s="11">
        <v>119.2</v>
      </c>
      <c r="W300" s="11">
        <v>1.0</v>
      </c>
      <c r="X300" s="9" t="s">
        <v>48</v>
      </c>
      <c r="Y300" s="9" t="s">
        <v>476</v>
      </c>
      <c r="Z300" s="12"/>
      <c r="AA300" s="9">
        <v>1305847.0</v>
      </c>
      <c r="AB300" s="12"/>
      <c r="AC300" s="9" t="s">
        <v>50</v>
      </c>
    </row>
    <row r="301">
      <c r="A301" s="9" t="s">
        <v>33</v>
      </c>
      <c r="B301" s="11">
        <v>6.0</v>
      </c>
      <c r="C301" s="9" t="s">
        <v>43</v>
      </c>
      <c r="D301" s="9" t="s">
        <v>55</v>
      </c>
      <c r="E301" s="9" t="s">
        <v>56</v>
      </c>
      <c r="F301" s="9" t="s">
        <v>45</v>
      </c>
      <c r="G301" s="9" t="s">
        <v>46</v>
      </c>
      <c r="H301" s="9" t="s">
        <v>475</v>
      </c>
      <c r="I301" s="11">
        <v>8176996.0</v>
      </c>
      <c r="J301" s="11">
        <v>2.66803533E8</v>
      </c>
      <c r="K301" s="13">
        <v>46304.0</v>
      </c>
      <c r="L301" s="14">
        <v>46342.0</v>
      </c>
      <c r="M301" s="12"/>
      <c r="N301" s="9">
        <v>1.0</v>
      </c>
      <c r="O301" s="11">
        <v>24.0</v>
      </c>
      <c r="P301" s="9" t="s">
        <v>44</v>
      </c>
      <c r="Q301" s="12"/>
      <c r="R301" s="9" t="s">
        <v>52</v>
      </c>
      <c r="S301" s="9" t="s">
        <v>47</v>
      </c>
      <c r="T301" s="9" t="s">
        <v>44</v>
      </c>
      <c r="U301" s="9" t="s">
        <v>44</v>
      </c>
      <c r="V301" s="11">
        <v>119.2</v>
      </c>
      <c r="W301" s="11">
        <v>1.0</v>
      </c>
      <c r="X301" s="9" t="s">
        <v>48</v>
      </c>
      <c r="Y301" s="9" t="s">
        <v>477</v>
      </c>
      <c r="Z301" s="12"/>
      <c r="AA301" s="9">
        <v>1305853.0</v>
      </c>
      <c r="AB301" s="12"/>
      <c r="AC301" s="9" t="s">
        <v>50</v>
      </c>
    </row>
    <row r="302">
      <c r="A302" s="9" t="s">
        <v>33</v>
      </c>
      <c r="B302" s="11">
        <v>6.0</v>
      </c>
      <c r="C302" s="9" t="s">
        <v>43</v>
      </c>
      <c r="D302" s="9" t="s">
        <v>55</v>
      </c>
      <c r="E302" s="9" t="s">
        <v>56</v>
      </c>
      <c r="F302" s="9" t="s">
        <v>45</v>
      </c>
      <c r="G302" s="9" t="s">
        <v>46</v>
      </c>
      <c r="H302" s="9" t="s">
        <v>475</v>
      </c>
      <c r="I302" s="11">
        <v>8176917.0</v>
      </c>
      <c r="J302" s="11">
        <v>2.66803534E8</v>
      </c>
      <c r="K302" s="13">
        <v>46304.0</v>
      </c>
      <c r="L302" s="14">
        <v>46342.0</v>
      </c>
      <c r="M302" s="12"/>
      <c r="N302" s="9">
        <v>1.0</v>
      </c>
      <c r="O302" s="11">
        <v>24.0</v>
      </c>
      <c r="P302" s="9" t="s">
        <v>44</v>
      </c>
      <c r="Q302" s="12"/>
      <c r="R302" s="9" t="s">
        <v>52</v>
      </c>
      <c r="S302" s="9" t="s">
        <v>47</v>
      </c>
      <c r="T302" s="9" t="s">
        <v>44</v>
      </c>
      <c r="U302" s="9" t="s">
        <v>44</v>
      </c>
      <c r="V302" s="11">
        <v>119.2</v>
      </c>
      <c r="W302" s="11">
        <v>1.0</v>
      </c>
      <c r="X302" s="9" t="s">
        <v>48</v>
      </c>
      <c r="Y302" s="9" t="s">
        <v>477</v>
      </c>
      <c r="Z302" s="12"/>
      <c r="AA302" s="9">
        <v>1305854.0</v>
      </c>
      <c r="AB302" s="12"/>
      <c r="AC302" s="9" t="s">
        <v>50</v>
      </c>
    </row>
    <row r="303">
      <c r="A303" s="9" t="s">
        <v>33</v>
      </c>
      <c r="B303" s="11">
        <v>6.0</v>
      </c>
      <c r="C303" s="9" t="s">
        <v>43</v>
      </c>
      <c r="D303" s="9" t="s">
        <v>55</v>
      </c>
      <c r="E303" s="9" t="s">
        <v>56</v>
      </c>
      <c r="F303" s="9" t="s">
        <v>45</v>
      </c>
      <c r="G303" s="9" t="s">
        <v>46</v>
      </c>
      <c r="H303" s="9" t="s">
        <v>475</v>
      </c>
      <c r="I303" s="11">
        <v>8176890.0</v>
      </c>
      <c r="J303" s="11">
        <v>2.66803535E8</v>
      </c>
      <c r="K303" s="13">
        <v>46304.0</v>
      </c>
      <c r="L303" s="14">
        <v>46351.0</v>
      </c>
      <c r="M303" s="12"/>
      <c r="N303" s="9">
        <v>1.0</v>
      </c>
      <c r="O303" s="11">
        <v>30.0</v>
      </c>
      <c r="P303" s="9" t="s">
        <v>44</v>
      </c>
      <c r="Q303" s="12"/>
      <c r="R303" s="12"/>
      <c r="S303" s="9" t="s">
        <v>47</v>
      </c>
      <c r="T303" s="9" t="s">
        <v>44</v>
      </c>
      <c r="U303" s="9" t="s">
        <v>44</v>
      </c>
      <c r="V303" s="11">
        <v>119.2</v>
      </c>
      <c r="W303" s="11">
        <v>1.0</v>
      </c>
      <c r="X303" s="9" t="s">
        <v>48</v>
      </c>
      <c r="Y303" s="9" t="s">
        <v>478</v>
      </c>
      <c r="Z303" s="12"/>
      <c r="AA303" s="9">
        <v>1303675.0</v>
      </c>
      <c r="AB303" s="12"/>
      <c r="AC303" s="9" t="s">
        <v>50</v>
      </c>
    </row>
    <row r="304">
      <c r="A304" s="9" t="s">
        <v>33</v>
      </c>
      <c r="B304" s="11">
        <v>6.0</v>
      </c>
      <c r="C304" s="9" t="s">
        <v>43</v>
      </c>
      <c r="D304" s="9" t="s">
        <v>55</v>
      </c>
      <c r="E304" s="9" t="s">
        <v>56</v>
      </c>
      <c r="F304" s="9" t="s">
        <v>45</v>
      </c>
      <c r="G304" s="9" t="s">
        <v>46</v>
      </c>
      <c r="H304" s="9" t="s">
        <v>479</v>
      </c>
      <c r="I304" s="11">
        <v>8176918.0</v>
      </c>
      <c r="J304" s="11">
        <v>2.66803536E8</v>
      </c>
      <c r="K304" s="13">
        <v>46304.0</v>
      </c>
      <c r="L304" s="14">
        <v>46337.0</v>
      </c>
      <c r="M304" s="12"/>
      <c r="N304" s="9">
        <v>101.0</v>
      </c>
      <c r="O304" s="11">
        <v>21.0</v>
      </c>
      <c r="P304" s="9" t="s">
        <v>44</v>
      </c>
      <c r="Q304" s="12"/>
      <c r="R304" s="9" t="s">
        <v>52</v>
      </c>
      <c r="S304" s="9" t="s">
        <v>47</v>
      </c>
      <c r="T304" s="9" t="s">
        <v>44</v>
      </c>
      <c r="U304" s="9" t="s">
        <v>44</v>
      </c>
      <c r="V304" s="11">
        <v>119.2</v>
      </c>
      <c r="W304" s="11">
        <v>1.0</v>
      </c>
      <c r="X304" s="9" t="s">
        <v>48</v>
      </c>
      <c r="Y304" s="9" t="s">
        <v>480</v>
      </c>
      <c r="Z304" s="12"/>
      <c r="AA304" s="9">
        <v>1305661.0</v>
      </c>
      <c r="AB304" s="12"/>
      <c r="AC304" s="9" t="s">
        <v>50</v>
      </c>
    </row>
    <row r="305">
      <c r="A305" s="9" t="s">
        <v>33</v>
      </c>
      <c r="B305" s="11">
        <v>6.0</v>
      </c>
      <c r="C305" s="9" t="s">
        <v>43</v>
      </c>
      <c r="D305" s="9" t="s">
        <v>55</v>
      </c>
      <c r="E305" s="9" t="s">
        <v>56</v>
      </c>
      <c r="F305" s="9" t="s">
        <v>45</v>
      </c>
      <c r="G305" s="9" t="s">
        <v>46</v>
      </c>
      <c r="H305" s="9" t="s">
        <v>479</v>
      </c>
      <c r="I305" s="11">
        <v>8176767.0</v>
      </c>
      <c r="J305" s="11">
        <v>2.66803537E8</v>
      </c>
      <c r="K305" s="13">
        <v>46304.0</v>
      </c>
      <c r="L305" s="14">
        <v>46337.0</v>
      </c>
      <c r="M305" s="12"/>
      <c r="N305" s="9">
        <v>101.0</v>
      </c>
      <c r="O305" s="11">
        <v>21.0</v>
      </c>
      <c r="P305" s="9" t="s">
        <v>44</v>
      </c>
      <c r="Q305" s="12"/>
      <c r="R305" s="9" t="s">
        <v>52</v>
      </c>
      <c r="S305" s="9" t="s">
        <v>47</v>
      </c>
      <c r="T305" s="9" t="s">
        <v>44</v>
      </c>
      <c r="U305" s="9" t="s">
        <v>44</v>
      </c>
      <c r="V305" s="11">
        <v>119.2</v>
      </c>
      <c r="W305" s="11">
        <v>2.0</v>
      </c>
      <c r="X305" s="9" t="s">
        <v>48</v>
      </c>
      <c r="Y305" s="9" t="s">
        <v>481</v>
      </c>
      <c r="Z305" s="12"/>
      <c r="AA305" s="9">
        <v>1305883.0</v>
      </c>
      <c r="AB305" s="12"/>
      <c r="AC305" s="9" t="s">
        <v>50</v>
      </c>
    </row>
    <row r="306">
      <c r="A306" s="9" t="s">
        <v>33</v>
      </c>
      <c r="B306" s="11">
        <v>6.0</v>
      </c>
      <c r="C306" s="9" t="s">
        <v>43</v>
      </c>
      <c r="D306" s="9" t="s">
        <v>55</v>
      </c>
      <c r="E306" s="9" t="s">
        <v>56</v>
      </c>
      <c r="F306" s="9" t="s">
        <v>45</v>
      </c>
      <c r="G306" s="9" t="s">
        <v>46</v>
      </c>
      <c r="H306" s="9" t="s">
        <v>482</v>
      </c>
      <c r="I306" s="11">
        <v>8176891.0</v>
      </c>
      <c r="J306" s="11">
        <v>2.66803538E8</v>
      </c>
      <c r="K306" s="13">
        <v>46304.0</v>
      </c>
      <c r="L306" s="13">
        <v>46331.0</v>
      </c>
      <c r="M306" s="12"/>
      <c r="N306" s="9">
        <v>108.0</v>
      </c>
      <c r="O306" s="11">
        <v>17.0</v>
      </c>
      <c r="P306" s="9" t="s">
        <v>44</v>
      </c>
      <c r="Q306" s="12"/>
      <c r="R306" s="12"/>
      <c r="S306" s="9" t="s">
        <v>47</v>
      </c>
      <c r="T306" s="9" t="s">
        <v>44</v>
      </c>
      <c r="U306" s="9" t="s">
        <v>44</v>
      </c>
      <c r="V306" s="11">
        <v>63.12</v>
      </c>
      <c r="W306" s="11">
        <v>1.0</v>
      </c>
      <c r="X306" s="9" t="s">
        <v>48</v>
      </c>
      <c r="Y306" s="9" t="s">
        <v>483</v>
      </c>
      <c r="Z306" s="12"/>
      <c r="AA306" s="9">
        <v>1305015.0</v>
      </c>
      <c r="AB306" s="12"/>
      <c r="AC306" s="9" t="s">
        <v>50</v>
      </c>
    </row>
    <row r="307">
      <c r="A307" s="9" t="s">
        <v>33</v>
      </c>
      <c r="B307" s="11">
        <v>6.0</v>
      </c>
      <c r="C307" s="9" t="s">
        <v>43</v>
      </c>
      <c r="D307" s="9" t="s">
        <v>55</v>
      </c>
      <c r="E307" s="9" t="s">
        <v>56</v>
      </c>
      <c r="F307" s="9" t="s">
        <v>45</v>
      </c>
      <c r="G307" s="9" t="s">
        <v>46</v>
      </c>
      <c r="H307" s="9" t="s">
        <v>482</v>
      </c>
      <c r="I307" s="11">
        <v>8176824.0</v>
      </c>
      <c r="J307" s="11">
        <v>2.66803539E8</v>
      </c>
      <c r="K307" s="13">
        <v>46304.0</v>
      </c>
      <c r="L307" s="13">
        <v>46330.0</v>
      </c>
      <c r="M307" s="12"/>
      <c r="N307" s="9">
        <v>109.0</v>
      </c>
      <c r="O307" s="11">
        <v>16.0</v>
      </c>
      <c r="P307" s="9" t="s">
        <v>44</v>
      </c>
      <c r="Q307" s="12"/>
      <c r="R307" s="9" t="s">
        <v>52</v>
      </c>
      <c r="S307" s="9" t="s">
        <v>47</v>
      </c>
      <c r="T307" s="9" t="s">
        <v>44</v>
      </c>
      <c r="U307" s="9" t="s">
        <v>44</v>
      </c>
      <c r="V307" s="11">
        <v>56.59</v>
      </c>
      <c r="W307" s="11">
        <v>1.0</v>
      </c>
      <c r="X307" s="9" t="s">
        <v>48</v>
      </c>
      <c r="Y307" s="9" t="s">
        <v>484</v>
      </c>
      <c r="Z307" s="12"/>
      <c r="AA307" s="9">
        <v>1305109.0</v>
      </c>
      <c r="AB307" s="12"/>
      <c r="AC307" s="9" t="s">
        <v>50</v>
      </c>
    </row>
    <row r="308">
      <c r="A308" s="9" t="s">
        <v>33</v>
      </c>
      <c r="B308" s="11">
        <v>6.0</v>
      </c>
      <c r="C308" s="9" t="s">
        <v>43</v>
      </c>
      <c r="D308" s="9" t="s">
        <v>55</v>
      </c>
      <c r="E308" s="9" t="s">
        <v>56</v>
      </c>
      <c r="F308" s="9" t="s">
        <v>45</v>
      </c>
      <c r="G308" s="9" t="s">
        <v>46</v>
      </c>
      <c r="H308" s="9" t="s">
        <v>482</v>
      </c>
      <c r="I308" s="11">
        <v>8176825.0</v>
      </c>
      <c r="J308" s="11">
        <v>2.6680354E8</v>
      </c>
      <c r="K308" s="13">
        <v>46304.0</v>
      </c>
      <c r="L308" s="13">
        <v>46330.0</v>
      </c>
      <c r="M308" s="12"/>
      <c r="N308" s="9">
        <v>109.0</v>
      </c>
      <c r="O308" s="11">
        <v>16.0</v>
      </c>
      <c r="P308" s="9" t="s">
        <v>44</v>
      </c>
      <c r="Q308" s="12"/>
      <c r="R308" s="12"/>
      <c r="S308" s="9" t="s">
        <v>47</v>
      </c>
      <c r="T308" s="9" t="s">
        <v>44</v>
      </c>
      <c r="U308" s="9" t="s">
        <v>44</v>
      </c>
      <c r="V308" s="11">
        <v>56.59</v>
      </c>
      <c r="W308" s="11">
        <v>1.0</v>
      </c>
      <c r="X308" s="9" t="s">
        <v>48</v>
      </c>
      <c r="Y308" s="9" t="s">
        <v>485</v>
      </c>
      <c r="Z308" s="12"/>
      <c r="AA308" s="9">
        <v>1305131.0</v>
      </c>
      <c r="AB308" s="12"/>
      <c r="AC308" s="9" t="s">
        <v>50</v>
      </c>
    </row>
    <row r="309">
      <c r="A309" s="9" t="s">
        <v>33</v>
      </c>
      <c r="B309" s="11">
        <v>6.0</v>
      </c>
      <c r="C309" s="9" t="s">
        <v>43</v>
      </c>
      <c r="D309" s="9" t="s">
        <v>55</v>
      </c>
      <c r="E309" s="9" t="s">
        <v>56</v>
      </c>
      <c r="F309" s="9" t="s">
        <v>45</v>
      </c>
      <c r="G309" s="9" t="s">
        <v>46</v>
      </c>
      <c r="H309" s="9" t="s">
        <v>486</v>
      </c>
      <c r="I309" s="11">
        <v>8176826.0</v>
      </c>
      <c r="J309" s="11">
        <v>2.66803541E8</v>
      </c>
      <c r="K309" s="13">
        <v>46304.0</v>
      </c>
      <c r="L309" s="13">
        <v>46331.0</v>
      </c>
      <c r="M309" s="12"/>
      <c r="N309" s="9">
        <v>103.0</v>
      </c>
      <c r="O309" s="11">
        <v>17.0</v>
      </c>
      <c r="P309" s="9" t="s">
        <v>44</v>
      </c>
      <c r="Q309" s="12"/>
      <c r="R309" s="9" t="s">
        <v>52</v>
      </c>
      <c r="S309" s="9" t="s">
        <v>47</v>
      </c>
      <c r="T309" s="9" t="s">
        <v>44</v>
      </c>
      <c r="U309" s="9" t="s">
        <v>44</v>
      </c>
      <c r="V309" s="11">
        <v>63.12</v>
      </c>
      <c r="W309" s="11">
        <v>1.0</v>
      </c>
      <c r="X309" s="9" t="s">
        <v>48</v>
      </c>
      <c r="Y309" s="9" t="s">
        <v>487</v>
      </c>
      <c r="Z309" s="12"/>
      <c r="AA309" s="9">
        <v>1305207.0</v>
      </c>
      <c r="AB309" s="12"/>
      <c r="AC309" s="9" t="s">
        <v>50</v>
      </c>
    </row>
    <row r="310">
      <c r="A310" s="9" t="s">
        <v>33</v>
      </c>
      <c r="B310" s="11">
        <v>6.0</v>
      </c>
      <c r="C310" s="9" t="s">
        <v>43</v>
      </c>
      <c r="D310" s="9" t="s">
        <v>55</v>
      </c>
      <c r="E310" s="9" t="s">
        <v>56</v>
      </c>
      <c r="F310" s="9" t="s">
        <v>45</v>
      </c>
      <c r="G310" s="9" t="s">
        <v>46</v>
      </c>
      <c r="H310" s="9" t="s">
        <v>488</v>
      </c>
      <c r="I310" s="11">
        <v>8176919.0</v>
      </c>
      <c r="J310" s="11">
        <v>2.66803542E8</v>
      </c>
      <c r="K310" s="13">
        <v>46304.0</v>
      </c>
      <c r="L310" s="14">
        <v>46317.0</v>
      </c>
      <c r="M310" s="12"/>
      <c r="N310" s="9">
        <v>1.0</v>
      </c>
      <c r="O310" s="11">
        <v>8.0</v>
      </c>
      <c r="P310" s="9" t="s">
        <v>44</v>
      </c>
      <c r="Q310" s="12"/>
      <c r="R310" s="9" t="s">
        <v>52</v>
      </c>
      <c r="S310" s="9" t="s">
        <v>47</v>
      </c>
      <c r="T310" s="9" t="s">
        <v>44</v>
      </c>
      <c r="U310" s="9" t="s">
        <v>44</v>
      </c>
      <c r="V310" s="11">
        <v>60.94</v>
      </c>
      <c r="W310" s="11">
        <v>1.0</v>
      </c>
      <c r="X310" s="9" t="s">
        <v>48</v>
      </c>
      <c r="Y310" s="9" t="s">
        <v>489</v>
      </c>
      <c r="Z310" s="12"/>
      <c r="AA310" s="9">
        <v>1305419.0</v>
      </c>
      <c r="AB310" s="12"/>
      <c r="AC310" s="9" t="s">
        <v>50</v>
      </c>
    </row>
    <row r="311">
      <c r="A311" s="9" t="s">
        <v>33</v>
      </c>
      <c r="B311" s="11">
        <v>6.0</v>
      </c>
      <c r="C311" s="9" t="s">
        <v>43</v>
      </c>
      <c r="D311" s="9" t="s">
        <v>55</v>
      </c>
      <c r="E311" s="9" t="s">
        <v>56</v>
      </c>
      <c r="F311" s="9" t="s">
        <v>45</v>
      </c>
      <c r="G311" s="9" t="s">
        <v>46</v>
      </c>
      <c r="H311" s="9" t="s">
        <v>488</v>
      </c>
      <c r="I311" s="11">
        <v>8176997.0</v>
      </c>
      <c r="J311" s="11">
        <v>2.66803543E8</v>
      </c>
      <c r="K311" s="13">
        <v>46304.0</v>
      </c>
      <c r="L311" s="14">
        <v>46317.0</v>
      </c>
      <c r="M311" s="12"/>
      <c r="N311" s="9">
        <v>4.0</v>
      </c>
      <c r="O311" s="11">
        <v>8.0</v>
      </c>
      <c r="P311" s="9" t="s">
        <v>44</v>
      </c>
      <c r="Q311" s="12"/>
      <c r="R311" s="9" t="s">
        <v>52</v>
      </c>
      <c r="S311" s="9" t="s">
        <v>47</v>
      </c>
      <c r="T311" s="9" t="s">
        <v>44</v>
      </c>
      <c r="U311" s="9" t="s">
        <v>44</v>
      </c>
      <c r="V311" s="11">
        <v>60.94</v>
      </c>
      <c r="W311" s="11">
        <v>3.0</v>
      </c>
      <c r="X311" s="9" t="s">
        <v>48</v>
      </c>
      <c r="Y311" s="9" t="s">
        <v>490</v>
      </c>
      <c r="Z311" s="12"/>
      <c r="AA311" s="9">
        <v>1305617.0</v>
      </c>
      <c r="AB311" s="12"/>
      <c r="AC311" s="9" t="s">
        <v>50</v>
      </c>
    </row>
    <row r="312">
      <c r="A312" s="9" t="s">
        <v>33</v>
      </c>
      <c r="B312" s="11">
        <v>6.0</v>
      </c>
      <c r="C312" s="9" t="s">
        <v>43</v>
      </c>
      <c r="D312" s="9" t="s">
        <v>55</v>
      </c>
      <c r="E312" s="9" t="s">
        <v>56</v>
      </c>
      <c r="F312" s="9" t="s">
        <v>45</v>
      </c>
      <c r="G312" s="9" t="s">
        <v>46</v>
      </c>
      <c r="H312" s="9" t="s">
        <v>488</v>
      </c>
      <c r="I312" s="11">
        <v>8176744.0</v>
      </c>
      <c r="J312" s="11">
        <v>2.66803544E8</v>
      </c>
      <c r="K312" s="13">
        <v>46304.0</v>
      </c>
      <c r="L312" s="14">
        <v>46318.0</v>
      </c>
      <c r="M312" s="12"/>
      <c r="N312" s="9">
        <v>15.0</v>
      </c>
      <c r="O312" s="11">
        <v>9.0</v>
      </c>
      <c r="P312" s="9" t="s">
        <v>44</v>
      </c>
      <c r="Q312" s="12"/>
      <c r="R312" s="9" t="s">
        <v>52</v>
      </c>
      <c r="S312" s="9" t="s">
        <v>47</v>
      </c>
      <c r="T312" s="9" t="s">
        <v>44</v>
      </c>
      <c r="U312" s="9" t="s">
        <v>44</v>
      </c>
      <c r="V312" s="11">
        <v>70.51</v>
      </c>
      <c r="W312" s="11">
        <v>3.0</v>
      </c>
      <c r="X312" s="9" t="s">
        <v>48</v>
      </c>
      <c r="Y312" s="9" t="s">
        <v>490</v>
      </c>
      <c r="Z312" s="12"/>
      <c r="AA312" s="9">
        <v>1305941.0</v>
      </c>
      <c r="AB312" s="12"/>
      <c r="AC312" s="9" t="s">
        <v>50</v>
      </c>
    </row>
    <row r="313">
      <c r="A313" s="9" t="s">
        <v>33</v>
      </c>
      <c r="B313" s="11">
        <v>6.0</v>
      </c>
      <c r="C313" s="9" t="s">
        <v>43</v>
      </c>
      <c r="D313" s="9" t="s">
        <v>55</v>
      </c>
      <c r="E313" s="9" t="s">
        <v>56</v>
      </c>
      <c r="F313" s="9" t="s">
        <v>45</v>
      </c>
      <c r="G313" s="9" t="s">
        <v>46</v>
      </c>
      <c r="H313" s="9" t="s">
        <v>491</v>
      </c>
      <c r="I313" s="11">
        <v>8176920.0</v>
      </c>
      <c r="J313" s="11">
        <v>2.66803545E8</v>
      </c>
      <c r="K313" s="13">
        <v>46304.0</v>
      </c>
      <c r="L313" s="14">
        <v>46323.0</v>
      </c>
      <c r="M313" s="12"/>
      <c r="N313" s="9">
        <v>101.0</v>
      </c>
      <c r="O313" s="11">
        <v>12.0</v>
      </c>
      <c r="P313" s="9" t="s">
        <v>44</v>
      </c>
      <c r="Q313" s="12"/>
      <c r="R313" s="9" t="s">
        <v>52</v>
      </c>
      <c r="S313" s="9" t="s">
        <v>47</v>
      </c>
      <c r="T313" s="9" t="s">
        <v>44</v>
      </c>
      <c r="U313" s="9" t="s">
        <v>44</v>
      </c>
      <c r="V313" s="11">
        <v>68.09</v>
      </c>
      <c r="W313" s="11">
        <v>1.0</v>
      </c>
      <c r="X313" s="9" t="s">
        <v>48</v>
      </c>
      <c r="Y313" s="9" t="s">
        <v>492</v>
      </c>
      <c r="Z313" s="12"/>
      <c r="AA313" s="9">
        <v>1305956.0</v>
      </c>
      <c r="AB313" s="12"/>
      <c r="AC313" s="9" t="s">
        <v>50</v>
      </c>
    </row>
    <row r="314">
      <c r="A314" s="9" t="s">
        <v>33</v>
      </c>
      <c r="B314" s="11">
        <v>6.0</v>
      </c>
      <c r="C314" s="9" t="s">
        <v>43</v>
      </c>
      <c r="D314" s="9" t="s">
        <v>55</v>
      </c>
      <c r="E314" s="9" t="s">
        <v>56</v>
      </c>
      <c r="F314" s="9" t="s">
        <v>45</v>
      </c>
      <c r="G314" s="9" t="s">
        <v>46</v>
      </c>
      <c r="H314" s="9" t="s">
        <v>491</v>
      </c>
      <c r="I314" s="11">
        <v>8176998.0</v>
      </c>
      <c r="J314" s="11">
        <v>2.66803546E8</v>
      </c>
      <c r="K314" s="13">
        <v>46304.0</v>
      </c>
      <c r="L314" s="13">
        <v>46335.0</v>
      </c>
      <c r="M314" s="12"/>
      <c r="N314" s="9">
        <v>101.0</v>
      </c>
      <c r="O314" s="11">
        <v>19.0</v>
      </c>
      <c r="P314" s="9" t="s">
        <v>44</v>
      </c>
      <c r="Q314" s="12"/>
      <c r="R314" s="9" t="s">
        <v>52</v>
      </c>
      <c r="S314" s="9" t="s">
        <v>47</v>
      </c>
      <c r="T314" s="9" t="s">
        <v>44</v>
      </c>
      <c r="U314" s="9" t="s">
        <v>44</v>
      </c>
      <c r="V314" s="11">
        <v>68.09</v>
      </c>
      <c r="W314" s="11">
        <v>1.0</v>
      </c>
      <c r="X314" s="9" t="s">
        <v>48</v>
      </c>
      <c r="Y314" s="9" t="s">
        <v>493</v>
      </c>
      <c r="Z314" s="12"/>
      <c r="AA314" s="9">
        <v>1305347.0</v>
      </c>
      <c r="AB314" s="12"/>
      <c r="AC314" s="9" t="s">
        <v>50</v>
      </c>
    </row>
    <row r="315">
      <c r="A315" s="9" t="s">
        <v>33</v>
      </c>
      <c r="B315" s="11">
        <v>6.0</v>
      </c>
      <c r="C315" s="9" t="s">
        <v>43</v>
      </c>
      <c r="D315" s="9" t="s">
        <v>55</v>
      </c>
      <c r="E315" s="9" t="s">
        <v>56</v>
      </c>
      <c r="F315" s="9" t="s">
        <v>45</v>
      </c>
      <c r="G315" s="9" t="s">
        <v>46</v>
      </c>
      <c r="H315" s="9" t="s">
        <v>488</v>
      </c>
      <c r="I315" s="11">
        <v>8176792.0</v>
      </c>
      <c r="J315" s="11">
        <v>2.66803547E8</v>
      </c>
      <c r="K315" s="13">
        <v>46304.0</v>
      </c>
      <c r="L315" s="13">
        <v>46329.0</v>
      </c>
      <c r="M315" s="12"/>
      <c r="N315" s="9">
        <v>502.0</v>
      </c>
      <c r="O315" s="11">
        <v>15.0</v>
      </c>
      <c r="P315" s="9" t="s">
        <v>44</v>
      </c>
      <c r="Q315" s="12"/>
      <c r="R315" s="9" t="s">
        <v>52</v>
      </c>
      <c r="S315" s="9" t="s">
        <v>47</v>
      </c>
      <c r="T315" s="9" t="s">
        <v>44</v>
      </c>
      <c r="U315" s="9" t="s">
        <v>44</v>
      </c>
      <c r="V315" s="11">
        <v>68.09</v>
      </c>
      <c r="W315" s="11">
        <v>1.0</v>
      </c>
      <c r="X315" s="9" t="s">
        <v>48</v>
      </c>
      <c r="Y315" s="9" t="s">
        <v>494</v>
      </c>
      <c r="Z315" s="12"/>
      <c r="AA315" s="9">
        <v>1305811.0</v>
      </c>
      <c r="AB315" s="12"/>
      <c r="AC315" s="9" t="s">
        <v>50</v>
      </c>
    </row>
    <row r="316">
      <c r="A316" s="9" t="s">
        <v>33</v>
      </c>
      <c r="B316" s="11">
        <v>6.0</v>
      </c>
      <c r="C316" s="9" t="s">
        <v>43</v>
      </c>
      <c r="D316" s="9" t="s">
        <v>55</v>
      </c>
      <c r="E316" s="9" t="s">
        <v>56</v>
      </c>
      <c r="F316" s="9" t="s">
        <v>45</v>
      </c>
      <c r="G316" s="9" t="s">
        <v>46</v>
      </c>
      <c r="H316" s="9" t="s">
        <v>495</v>
      </c>
      <c r="I316" s="11">
        <v>8176858.0</v>
      </c>
      <c r="J316" s="11">
        <v>2.66803548E8</v>
      </c>
      <c r="K316" s="13">
        <v>46304.0</v>
      </c>
      <c r="L316" s="14">
        <v>46323.0</v>
      </c>
      <c r="M316" s="12"/>
      <c r="N316" s="9">
        <v>600.0</v>
      </c>
      <c r="O316" s="11">
        <v>12.0</v>
      </c>
      <c r="P316" s="9" t="s">
        <v>44</v>
      </c>
      <c r="Q316" s="12"/>
      <c r="R316" s="12"/>
      <c r="S316" s="9" t="s">
        <v>47</v>
      </c>
      <c r="T316" s="9" t="s">
        <v>44</v>
      </c>
      <c r="U316" s="9" t="s">
        <v>44</v>
      </c>
      <c r="V316" s="11">
        <v>68.09</v>
      </c>
      <c r="W316" s="11">
        <v>1.0</v>
      </c>
      <c r="X316" s="9" t="s">
        <v>48</v>
      </c>
      <c r="Y316" s="9" t="s">
        <v>496</v>
      </c>
      <c r="Z316" s="12"/>
      <c r="AA316" s="9">
        <v>1305515.0</v>
      </c>
      <c r="AB316" s="12"/>
      <c r="AC316" s="9" t="s">
        <v>50</v>
      </c>
    </row>
    <row r="317">
      <c r="A317" s="9" t="s">
        <v>33</v>
      </c>
      <c r="B317" s="11">
        <v>6.0</v>
      </c>
      <c r="C317" s="9" t="s">
        <v>43</v>
      </c>
      <c r="D317" s="9" t="s">
        <v>55</v>
      </c>
      <c r="E317" s="9" t="s">
        <v>56</v>
      </c>
      <c r="F317" s="9" t="s">
        <v>45</v>
      </c>
      <c r="G317" s="9" t="s">
        <v>46</v>
      </c>
      <c r="H317" s="9" t="s">
        <v>495</v>
      </c>
      <c r="I317" s="11">
        <v>8176892.0</v>
      </c>
      <c r="J317" s="11">
        <v>2.66803549E8</v>
      </c>
      <c r="K317" s="13">
        <v>46304.0</v>
      </c>
      <c r="L317" s="14">
        <v>46323.0</v>
      </c>
      <c r="M317" s="12"/>
      <c r="N317" s="9">
        <v>501.0</v>
      </c>
      <c r="O317" s="11">
        <v>12.0</v>
      </c>
      <c r="P317" s="9" t="s">
        <v>44</v>
      </c>
      <c r="Q317" s="12"/>
      <c r="R317" s="12"/>
      <c r="S317" s="9" t="s">
        <v>47</v>
      </c>
      <c r="T317" s="9" t="s">
        <v>44</v>
      </c>
      <c r="U317" s="9" t="s">
        <v>44</v>
      </c>
      <c r="V317" s="11">
        <v>68.09</v>
      </c>
      <c r="W317" s="11">
        <v>1.0</v>
      </c>
      <c r="X317" s="9" t="s">
        <v>48</v>
      </c>
      <c r="Y317" s="9" t="s">
        <v>497</v>
      </c>
      <c r="Z317" s="12"/>
      <c r="AA317" s="9">
        <v>1303923.0</v>
      </c>
      <c r="AB317" s="12"/>
      <c r="AC317" s="9" t="s">
        <v>50</v>
      </c>
    </row>
    <row r="318">
      <c r="A318" s="9" t="s">
        <v>33</v>
      </c>
      <c r="B318" s="11">
        <v>6.0</v>
      </c>
      <c r="C318" s="9" t="s">
        <v>43</v>
      </c>
      <c r="D318" s="9" t="s">
        <v>55</v>
      </c>
      <c r="E318" s="9" t="s">
        <v>56</v>
      </c>
      <c r="F318" s="9" t="s">
        <v>45</v>
      </c>
      <c r="G318" s="9" t="s">
        <v>46</v>
      </c>
      <c r="H318" s="9" t="s">
        <v>495</v>
      </c>
      <c r="I318" s="11">
        <v>8177047.0</v>
      </c>
      <c r="J318" s="11">
        <v>2.6680355E8</v>
      </c>
      <c r="K318" s="13">
        <v>46304.0</v>
      </c>
      <c r="L318" s="14">
        <v>46323.0</v>
      </c>
      <c r="M318" s="12"/>
      <c r="N318" s="9">
        <v>501.0</v>
      </c>
      <c r="O318" s="11">
        <v>12.0</v>
      </c>
      <c r="P318" s="9" t="s">
        <v>44</v>
      </c>
      <c r="Q318" s="12"/>
      <c r="R318" s="12"/>
      <c r="S318" s="9" t="s">
        <v>47</v>
      </c>
      <c r="T318" s="9" t="s">
        <v>44</v>
      </c>
      <c r="U318" s="9" t="s">
        <v>44</v>
      </c>
      <c r="V318" s="11">
        <v>68.09</v>
      </c>
      <c r="W318" s="11">
        <v>1.0</v>
      </c>
      <c r="X318" s="9" t="s">
        <v>48</v>
      </c>
      <c r="Y318" s="9" t="s">
        <v>498</v>
      </c>
      <c r="Z318" s="12"/>
      <c r="AA318" s="9">
        <v>1305103.0</v>
      </c>
      <c r="AB318" s="12"/>
      <c r="AC318" s="9" t="s">
        <v>50</v>
      </c>
    </row>
    <row r="319">
      <c r="A319" s="9" t="s">
        <v>33</v>
      </c>
      <c r="B319" s="11">
        <v>6.0</v>
      </c>
      <c r="C319" s="9" t="s">
        <v>43</v>
      </c>
      <c r="D319" s="9" t="s">
        <v>55</v>
      </c>
      <c r="E319" s="9" t="s">
        <v>56</v>
      </c>
      <c r="F319" s="9" t="s">
        <v>45</v>
      </c>
      <c r="G319" s="9" t="s">
        <v>46</v>
      </c>
      <c r="H319" s="9" t="s">
        <v>495</v>
      </c>
      <c r="I319" s="11">
        <v>8176999.0</v>
      </c>
      <c r="J319" s="11">
        <v>2.66803551E8</v>
      </c>
      <c r="K319" s="13">
        <v>46304.0</v>
      </c>
      <c r="L319" s="14">
        <v>46323.0</v>
      </c>
      <c r="M319" s="12"/>
      <c r="N319" s="9">
        <v>101.0</v>
      </c>
      <c r="O319" s="11">
        <v>12.0</v>
      </c>
      <c r="P319" s="9" t="s">
        <v>44</v>
      </c>
      <c r="Q319" s="12"/>
      <c r="R319" s="12"/>
      <c r="S319" s="9" t="s">
        <v>47</v>
      </c>
      <c r="T319" s="9" t="s">
        <v>44</v>
      </c>
      <c r="U319" s="9" t="s">
        <v>44</v>
      </c>
      <c r="V319" s="11">
        <v>68.09</v>
      </c>
      <c r="W319" s="11">
        <v>1.0</v>
      </c>
      <c r="X319" s="9" t="s">
        <v>48</v>
      </c>
      <c r="Y319" s="9" t="s">
        <v>499</v>
      </c>
      <c r="Z319" s="12"/>
      <c r="AA319" s="9">
        <v>1305611.0</v>
      </c>
      <c r="AB319" s="12"/>
      <c r="AC319" s="9" t="s">
        <v>50</v>
      </c>
    </row>
    <row r="320">
      <c r="A320" s="9" t="s">
        <v>33</v>
      </c>
      <c r="B320" s="11">
        <v>6.0</v>
      </c>
      <c r="C320" s="9" t="s">
        <v>43</v>
      </c>
      <c r="D320" s="9" t="s">
        <v>55</v>
      </c>
      <c r="E320" s="9" t="s">
        <v>56</v>
      </c>
      <c r="F320" s="9" t="s">
        <v>45</v>
      </c>
      <c r="G320" s="9" t="s">
        <v>46</v>
      </c>
      <c r="H320" s="9" t="s">
        <v>133</v>
      </c>
      <c r="I320" s="11">
        <v>8176760.0</v>
      </c>
      <c r="J320" s="11">
        <v>2.66803553E8</v>
      </c>
      <c r="K320" s="13">
        <v>46304.0</v>
      </c>
      <c r="L320" s="14">
        <v>46316.0</v>
      </c>
      <c r="M320" s="12"/>
      <c r="N320" s="9">
        <v>14.0</v>
      </c>
      <c r="O320" s="11">
        <v>7.0</v>
      </c>
      <c r="P320" s="9" t="s">
        <v>44</v>
      </c>
      <c r="Q320" s="12"/>
      <c r="R320" s="9" t="s">
        <v>90</v>
      </c>
      <c r="S320" s="9" t="s">
        <v>47</v>
      </c>
      <c r="T320" s="9" t="s">
        <v>44</v>
      </c>
      <c r="U320" s="9" t="s">
        <v>44</v>
      </c>
      <c r="V320" s="11">
        <v>67.31</v>
      </c>
      <c r="W320" s="11">
        <v>7.0</v>
      </c>
      <c r="X320" s="9" t="s">
        <v>48</v>
      </c>
      <c r="Y320" s="9" t="s">
        <v>500</v>
      </c>
      <c r="Z320" s="12"/>
      <c r="AA320" s="9">
        <v>1305964.0</v>
      </c>
      <c r="AB320" s="12"/>
      <c r="AC320" s="9" t="s">
        <v>50</v>
      </c>
    </row>
    <row r="321">
      <c r="A321" s="9" t="s">
        <v>33</v>
      </c>
      <c r="B321" s="11">
        <v>6.0</v>
      </c>
      <c r="C321" s="9" t="s">
        <v>43</v>
      </c>
      <c r="D321" s="9" t="s">
        <v>55</v>
      </c>
      <c r="E321" s="9" t="s">
        <v>56</v>
      </c>
      <c r="F321" s="9" t="s">
        <v>45</v>
      </c>
      <c r="G321" s="9" t="s">
        <v>46</v>
      </c>
      <c r="H321" s="9" t="s">
        <v>133</v>
      </c>
      <c r="I321" s="11">
        <v>8176827.0</v>
      </c>
      <c r="J321" s="11">
        <v>2.66803554E8</v>
      </c>
      <c r="K321" s="13">
        <v>46304.0</v>
      </c>
      <c r="L321" s="14">
        <v>46316.0</v>
      </c>
      <c r="M321" s="12"/>
      <c r="N321" s="9">
        <v>25.0</v>
      </c>
      <c r="O321" s="11">
        <v>7.0</v>
      </c>
      <c r="P321" s="9" t="s">
        <v>44</v>
      </c>
      <c r="Q321" s="12"/>
      <c r="R321" s="9" t="s">
        <v>90</v>
      </c>
      <c r="S321" s="9" t="s">
        <v>47</v>
      </c>
      <c r="T321" s="9" t="s">
        <v>44</v>
      </c>
      <c r="U321" s="9" t="s">
        <v>44</v>
      </c>
      <c r="V321" s="11">
        <v>47.89</v>
      </c>
      <c r="W321" s="11">
        <v>1.0</v>
      </c>
      <c r="X321" s="9" t="s">
        <v>48</v>
      </c>
      <c r="Y321" s="9" t="s">
        <v>501</v>
      </c>
      <c r="Z321" s="12"/>
      <c r="AA321" s="9">
        <v>1305162.0</v>
      </c>
      <c r="AB321" s="12"/>
      <c r="AC321" s="9" t="s">
        <v>50</v>
      </c>
    </row>
    <row r="322">
      <c r="A322" s="9" t="s">
        <v>33</v>
      </c>
      <c r="B322" s="11">
        <v>6.0</v>
      </c>
      <c r="C322" s="9" t="s">
        <v>43</v>
      </c>
      <c r="D322" s="9" t="s">
        <v>55</v>
      </c>
      <c r="E322" s="9" t="s">
        <v>56</v>
      </c>
      <c r="F322" s="9" t="s">
        <v>45</v>
      </c>
      <c r="G322" s="9" t="s">
        <v>46</v>
      </c>
      <c r="H322" s="9" t="s">
        <v>133</v>
      </c>
      <c r="I322" s="11">
        <v>8176951.0</v>
      </c>
      <c r="J322" s="11">
        <v>2.66803556E8</v>
      </c>
      <c r="K322" s="13">
        <v>46304.0</v>
      </c>
      <c r="L322" s="14">
        <v>46316.0</v>
      </c>
      <c r="M322" s="12"/>
      <c r="N322" s="9">
        <v>25.0</v>
      </c>
      <c r="O322" s="11">
        <v>7.0</v>
      </c>
      <c r="P322" s="9" t="s">
        <v>44</v>
      </c>
      <c r="Q322" s="12"/>
      <c r="R322" s="9" t="s">
        <v>90</v>
      </c>
      <c r="S322" s="9" t="s">
        <v>47</v>
      </c>
      <c r="T322" s="9" t="s">
        <v>44</v>
      </c>
      <c r="U322" s="9" t="s">
        <v>44</v>
      </c>
      <c r="V322" s="11">
        <v>47.89</v>
      </c>
      <c r="W322" s="11">
        <v>1.0</v>
      </c>
      <c r="X322" s="9" t="s">
        <v>48</v>
      </c>
      <c r="Y322" s="9" t="s">
        <v>502</v>
      </c>
      <c r="Z322" s="12"/>
      <c r="AA322" s="9">
        <v>1305539.0</v>
      </c>
      <c r="AB322" s="12"/>
      <c r="AC322" s="9" t="s">
        <v>50</v>
      </c>
    </row>
    <row r="323">
      <c r="A323" s="9" t="s">
        <v>33</v>
      </c>
      <c r="B323" s="11">
        <v>6.0</v>
      </c>
      <c r="C323" s="9" t="s">
        <v>43</v>
      </c>
      <c r="D323" s="9" t="s">
        <v>55</v>
      </c>
      <c r="E323" s="9" t="s">
        <v>56</v>
      </c>
      <c r="F323" s="9" t="s">
        <v>45</v>
      </c>
      <c r="G323" s="9" t="s">
        <v>46</v>
      </c>
      <c r="H323" s="9" t="s">
        <v>133</v>
      </c>
      <c r="I323" s="11">
        <v>8176952.0</v>
      </c>
      <c r="J323" s="11">
        <v>2.66803558E8</v>
      </c>
      <c r="K323" s="13">
        <v>46304.0</v>
      </c>
      <c r="L323" s="14">
        <v>46316.0</v>
      </c>
      <c r="M323" s="12"/>
      <c r="N323" s="9">
        <v>27.0</v>
      </c>
      <c r="O323" s="11">
        <v>7.0</v>
      </c>
      <c r="P323" s="9" t="s">
        <v>44</v>
      </c>
      <c r="Q323" s="12"/>
      <c r="R323" s="9" t="s">
        <v>90</v>
      </c>
      <c r="S323" s="9" t="s">
        <v>47</v>
      </c>
      <c r="T323" s="9" t="s">
        <v>44</v>
      </c>
      <c r="U323" s="9" t="s">
        <v>44</v>
      </c>
      <c r="V323" s="11">
        <v>47.89</v>
      </c>
      <c r="W323" s="11">
        <v>1.0</v>
      </c>
      <c r="X323" s="9" t="s">
        <v>48</v>
      </c>
      <c r="Y323" s="9" t="s">
        <v>503</v>
      </c>
      <c r="Z323" s="12"/>
      <c r="AA323" s="9">
        <v>1305366.0</v>
      </c>
      <c r="AB323" s="12"/>
      <c r="AC323" s="9" t="s">
        <v>50</v>
      </c>
    </row>
    <row r="324">
      <c r="A324" s="9" t="s">
        <v>33</v>
      </c>
      <c r="B324" s="11">
        <v>6.0</v>
      </c>
      <c r="C324" s="9" t="s">
        <v>43</v>
      </c>
      <c r="D324" s="9" t="s">
        <v>55</v>
      </c>
      <c r="E324" s="9" t="s">
        <v>56</v>
      </c>
      <c r="F324" s="9" t="s">
        <v>45</v>
      </c>
      <c r="G324" s="9" t="s">
        <v>46</v>
      </c>
      <c r="H324" s="9" t="s">
        <v>133</v>
      </c>
      <c r="I324" s="11">
        <v>8176921.0</v>
      </c>
      <c r="J324" s="11">
        <v>2.6680356E8</v>
      </c>
      <c r="K324" s="13">
        <v>46304.0</v>
      </c>
      <c r="L324" s="14">
        <v>46316.0</v>
      </c>
      <c r="M324" s="12"/>
      <c r="N324" s="9">
        <v>5.0</v>
      </c>
      <c r="O324" s="11">
        <v>7.0</v>
      </c>
      <c r="P324" s="9" t="s">
        <v>44</v>
      </c>
      <c r="Q324" s="12"/>
      <c r="R324" s="9" t="s">
        <v>90</v>
      </c>
      <c r="S324" s="9" t="s">
        <v>47</v>
      </c>
      <c r="T324" s="9" t="s">
        <v>44</v>
      </c>
      <c r="U324" s="9" t="s">
        <v>44</v>
      </c>
      <c r="V324" s="11">
        <v>47.89</v>
      </c>
      <c r="W324" s="11">
        <v>1.0</v>
      </c>
      <c r="X324" s="9" t="s">
        <v>48</v>
      </c>
      <c r="Y324" s="9" t="s">
        <v>504</v>
      </c>
      <c r="Z324" s="12"/>
      <c r="AA324" s="9">
        <v>1304147.0</v>
      </c>
      <c r="AB324" s="12"/>
      <c r="AC324" s="9" t="s">
        <v>50</v>
      </c>
    </row>
    <row r="325">
      <c r="A325" s="9" t="s">
        <v>33</v>
      </c>
      <c r="B325" s="11">
        <v>6.0</v>
      </c>
      <c r="C325" s="9" t="s">
        <v>43</v>
      </c>
      <c r="D325" s="9" t="s">
        <v>55</v>
      </c>
      <c r="E325" s="9" t="s">
        <v>56</v>
      </c>
      <c r="F325" s="9" t="s">
        <v>45</v>
      </c>
      <c r="G325" s="9" t="s">
        <v>46</v>
      </c>
      <c r="H325" s="9" t="s">
        <v>133</v>
      </c>
      <c r="I325" s="11">
        <v>8176717.0</v>
      </c>
      <c r="J325" s="11">
        <v>2.66803562E8</v>
      </c>
      <c r="K325" s="13">
        <v>46304.0</v>
      </c>
      <c r="L325" s="14">
        <v>46316.0</v>
      </c>
      <c r="M325" s="12"/>
      <c r="N325" s="9">
        <v>5.0</v>
      </c>
      <c r="O325" s="11">
        <v>7.0</v>
      </c>
      <c r="P325" s="9" t="s">
        <v>44</v>
      </c>
      <c r="Q325" s="12"/>
      <c r="R325" s="9" t="s">
        <v>90</v>
      </c>
      <c r="S325" s="9" t="s">
        <v>47</v>
      </c>
      <c r="T325" s="9" t="s">
        <v>44</v>
      </c>
      <c r="U325" s="9" t="s">
        <v>44</v>
      </c>
      <c r="V325" s="11">
        <v>47.89</v>
      </c>
      <c r="W325" s="11">
        <v>2.0</v>
      </c>
      <c r="X325" s="9" t="s">
        <v>48</v>
      </c>
      <c r="Y325" s="9" t="s">
        <v>505</v>
      </c>
      <c r="Z325" s="12"/>
      <c r="AA325" s="9">
        <v>1305984.0</v>
      </c>
      <c r="AB325" s="12"/>
      <c r="AC325" s="9" t="s">
        <v>50</v>
      </c>
    </row>
    <row r="326">
      <c r="A326" s="9" t="s">
        <v>33</v>
      </c>
      <c r="B326" s="11">
        <v>6.0</v>
      </c>
      <c r="C326" s="9" t="s">
        <v>43</v>
      </c>
      <c r="D326" s="9" t="s">
        <v>55</v>
      </c>
      <c r="E326" s="9" t="s">
        <v>56</v>
      </c>
      <c r="F326" s="9" t="s">
        <v>45</v>
      </c>
      <c r="G326" s="9" t="s">
        <v>46</v>
      </c>
      <c r="H326" s="9" t="s">
        <v>133</v>
      </c>
      <c r="I326" s="11">
        <v>8177000.0</v>
      </c>
      <c r="J326" s="11">
        <v>2.66803564E8</v>
      </c>
      <c r="K326" s="13">
        <v>46304.0</v>
      </c>
      <c r="L326" s="14">
        <v>46316.0</v>
      </c>
      <c r="M326" s="12"/>
      <c r="N326" s="9">
        <v>23.0</v>
      </c>
      <c r="O326" s="11">
        <v>7.0</v>
      </c>
      <c r="P326" s="9" t="s">
        <v>44</v>
      </c>
      <c r="Q326" s="12"/>
      <c r="R326" s="9" t="s">
        <v>90</v>
      </c>
      <c r="S326" s="9" t="s">
        <v>47</v>
      </c>
      <c r="T326" s="9" t="s">
        <v>44</v>
      </c>
      <c r="U326" s="9" t="s">
        <v>44</v>
      </c>
      <c r="V326" s="11">
        <v>47.89</v>
      </c>
      <c r="W326" s="11">
        <v>1.0</v>
      </c>
      <c r="X326" s="9" t="s">
        <v>48</v>
      </c>
      <c r="Y326" s="9" t="s">
        <v>506</v>
      </c>
      <c r="Z326" s="12"/>
      <c r="AA326" s="9">
        <v>1305255.0</v>
      </c>
      <c r="AB326" s="12"/>
      <c r="AC326" s="9" t="s">
        <v>50</v>
      </c>
    </row>
    <row r="327">
      <c r="A327" s="9" t="s">
        <v>33</v>
      </c>
      <c r="B327" s="11">
        <v>6.0</v>
      </c>
      <c r="C327" s="9" t="s">
        <v>43</v>
      </c>
      <c r="D327" s="9" t="s">
        <v>55</v>
      </c>
      <c r="E327" s="9" t="s">
        <v>56</v>
      </c>
      <c r="F327" s="9" t="s">
        <v>45</v>
      </c>
      <c r="G327" s="9" t="s">
        <v>46</v>
      </c>
      <c r="H327" s="9" t="s">
        <v>222</v>
      </c>
      <c r="I327" s="11">
        <v>8177048.0</v>
      </c>
      <c r="J327" s="11">
        <v>2.66803566E8</v>
      </c>
      <c r="K327" s="13">
        <v>46304.0</v>
      </c>
      <c r="L327" s="14">
        <v>46316.0</v>
      </c>
      <c r="M327" s="12"/>
      <c r="N327" s="9">
        <v>821.0</v>
      </c>
      <c r="O327" s="11">
        <v>7.0</v>
      </c>
      <c r="P327" s="9" t="s">
        <v>44</v>
      </c>
      <c r="Q327" s="12"/>
      <c r="R327" s="9" t="s">
        <v>52</v>
      </c>
      <c r="S327" s="9" t="s">
        <v>47</v>
      </c>
      <c r="T327" s="9" t="s">
        <v>44</v>
      </c>
      <c r="U327" s="9" t="s">
        <v>44</v>
      </c>
      <c r="V327" s="11">
        <v>45.49</v>
      </c>
      <c r="W327" s="11">
        <v>2.0</v>
      </c>
      <c r="X327" s="9" t="s">
        <v>48</v>
      </c>
      <c r="Y327" s="9" t="s">
        <v>507</v>
      </c>
      <c r="Z327" s="12"/>
      <c r="AA327" s="9" t="s">
        <v>508</v>
      </c>
      <c r="AB327" s="12"/>
      <c r="AC327" s="9" t="s">
        <v>50</v>
      </c>
    </row>
    <row r="328">
      <c r="A328" s="9" t="s">
        <v>33</v>
      </c>
      <c r="B328" s="11">
        <v>6.0</v>
      </c>
      <c r="C328" s="9" t="s">
        <v>43</v>
      </c>
      <c r="D328" s="9" t="s">
        <v>55</v>
      </c>
      <c r="E328" s="9" t="s">
        <v>56</v>
      </c>
      <c r="F328" s="9" t="s">
        <v>45</v>
      </c>
      <c r="G328" s="9" t="s">
        <v>46</v>
      </c>
      <c r="H328" s="9" t="s">
        <v>133</v>
      </c>
      <c r="I328" s="11">
        <v>8176753.0</v>
      </c>
      <c r="J328" s="11">
        <v>2.66803568E8</v>
      </c>
      <c r="K328" s="13">
        <v>46304.0</v>
      </c>
      <c r="L328" s="14">
        <v>46316.0</v>
      </c>
      <c r="M328" s="12"/>
      <c r="N328" s="9">
        <v>9.0</v>
      </c>
      <c r="O328" s="11">
        <v>7.0</v>
      </c>
      <c r="P328" s="9" t="s">
        <v>44</v>
      </c>
      <c r="Q328" s="12"/>
      <c r="R328" s="9" t="s">
        <v>90</v>
      </c>
      <c r="S328" s="9" t="s">
        <v>47</v>
      </c>
      <c r="T328" s="9" t="s">
        <v>44</v>
      </c>
      <c r="U328" s="9" t="s">
        <v>44</v>
      </c>
      <c r="V328" s="11">
        <v>47.89</v>
      </c>
      <c r="W328" s="11">
        <v>2.0</v>
      </c>
      <c r="X328" s="9" t="s">
        <v>48</v>
      </c>
      <c r="Y328" s="9" t="s">
        <v>509</v>
      </c>
      <c r="Z328" s="12"/>
      <c r="AA328" s="9">
        <v>1305938.0</v>
      </c>
      <c r="AB328" s="12"/>
      <c r="AC328" s="9" t="s">
        <v>50</v>
      </c>
    </row>
    <row r="329">
      <c r="A329" s="9" t="s">
        <v>33</v>
      </c>
      <c r="B329" s="11">
        <v>6.0</v>
      </c>
      <c r="C329" s="9" t="s">
        <v>43</v>
      </c>
      <c r="D329" s="9" t="s">
        <v>55</v>
      </c>
      <c r="E329" s="9" t="s">
        <v>56</v>
      </c>
      <c r="F329" s="9" t="s">
        <v>45</v>
      </c>
      <c r="G329" s="9" t="s">
        <v>46</v>
      </c>
      <c r="H329" s="9" t="s">
        <v>133</v>
      </c>
      <c r="I329" s="11">
        <v>8177001.0</v>
      </c>
      <c r="J329" s="11">
        <v>2.66803569E8</v>
      </c>
      <c r="K329" s="13">
        <v>46304.0</v>
      </c>
      <c r="L329" s="14">
        <v>46317.0</v>
      </c>
      <c r="M329" s="12"/>
      <c r="N329" s="9">
        <v>108.0</v>
      </c>
      <c r="O329" s="11">
        <v>8.0</v>
      </c>
      <c r="P329" s="9" t="s">
        <v>44</v>
      </c>
      <c r="Q329" s="12"/>
      <c r="R329" s="9" t="s">
        <v>90</v>
      </c>
      <c r="S329" s="9" t="s">
        <v>47</v>
      </c>
      <c r="T329" s="9" t="s">
        <v>44</v>
      </c>
      <c r="U329" s="9" t="s">
        <v>44</v>
      </c>
      <c r="V329" s="11">
        <v>47.89</v>
      </c>
      <c r="W329" s="11">
        <v>1.0</v>
      </c>
      <c r="X329" s="9" t="s">
        <v>48</v>
      </c>
      <c r="Y329" s="9" t="s">
        <v>510</v>
      </c>
      <c r="Z329" s="12"/>
      <c r="AA329" s="9">
        <v>1305180.0</v>
      </c>
      <c r="AB329" s="12"/>
      <c r="AC329" s="9" t="s">
        <v>50</v>
      </c>
    </row>
    <row r="330">
      <c r="A330" s="9" t="s">
        <v>33</v>
      </c>
      <c r="B330" s="11">
        <v>6.0</v>
      </c>
      <c r="C330" s="9" t="s">
        <v>43</v>
      </c>
      <c r="D330" s="9" t="s">
        <v>55</v>
      </c>
      <c r="E330" s="9" t="s">
        <v>56</v>
      </c>
      <c r="F330" s="9" t="s">
        <v>45</v>
      </c>
      <c r="G330" s="9" t="s">
        <v>46</v>
      </c>
      <c r="H330" s="9" t="s">
        <v>133</v>
      </c>
      <c r="I330" s="11">
        <v>8176953.0</v>
      </c>
      <c r="J330" s="11">
        <v>2.66803571E8</v>
      </c>
      <c r="K330" s="13">
        <v>46304.0</v>
      </c>
      <c r="L330" s="14">
        <v>46317.0</v>
      </c>
      <c r="M330" s="12"/>
      <c r="N330" s="9">
        <v>107.0</v>
      </c>
      <c r="O330" s="11">
        <v>8.0</v>
      </c>
      <c r="P330" s="9" t="s">
        <v>44</v>
      </c>
      <c r="Q330" s="12"/>
      <c r="R330" s="9" t="s">
        <v>90</v>
      </c>
      <c r="S330" s="9" t="s">
        <v>47</v>
      </c>
      <c r="T330" s="9" t="s">
        <v>44</v>
      </c>
      <c r="U330" s="9" t="s">
        <v>44</v>
      </c>
      <c r="V330" s="11">
        <v>47.89</v>
      </c>
      <c r="W330" s="11">
        <v>4.0</v>
      </c>
      <c r="X330" s="9" t="s">
        <v>48</v>
      </c>
      <c r="Y330" s="9" t="s">
        <v>511</v>
      </c>
      <c r="Z330" s="12"/>
      <c r="AA330" s="9" t="s">
        <v>512</v>
      </c>
      <c r="AB330" s="12"/>
      <c r="AC330" s="9" t="s">
        <v>50</v>
      </c>
    </row>
    <row r="331">
      <c r="A331" s="9" t="s">
        <v>33</v>
      </c>
      <c r="B331" s="11">
        <v>6.0</v>
      </c>
      <c r="C331" s="9" t="s">
        <v>43</v>
      </c>
      <c r="D331" s="9" t="s">
        <v>55</v>
      </c>
      <c r="E331" s="9" t="s">
        <v>56</v>
      </c>
      <c r="F331" s="9" t="s">
        <v>45</v>
      </c>
      <c r="G331" s="9" t="s">
        <v>46</v>
      </c>
      <c r="H331" s="9" t="s">
        <v>133</v>
      </c>
      <c r="I331" s="11">
        <v>8176745.0</v>
      </c>
      <c r="J331" s="11">
        <v>2.66803573E8</v>
      </c>
      <c r="K331" s="13">
        <v>46304.0</v>
      </c>
      <c r="L331" s="14">
        <v>46318.0</v>
      </c>
      <c r="M331" s="12"/>
      <c r="N331" s="9">
        <v>104.0</v>
      </c>
      <c r="O331" s="11">
        <v>9.0</v>
      </c>
      <c r="P331" s="9" t="s">
        <v>44</v>
      </c>
      <c r="Q331" s="12"/>
      <c r="R331" s="9" t="s">
        <v>90</v>
      </c>
      <c r="S331" s="9" t="s">
        <v>47</v>
      </c>
      <c r="T331" s="9" t="s">
        <v>44</v>
      </c>
      <c r="U331" s="9" t="s">
        <v>44</v>
      </c>
      <c r="V331" s="11">
        <v>55.69</v>
      </c>
      <c r="W331" s="11">
        <v>4.0</v>
      </c>
      <c r="X331" s="9" t="s">
        <v>48</v>
      </c>
      <c r="Y331" s="9" t="s">
        <v>513</v>
      </c>
      <c r="Z331" s="12"/>
      <c r="AA331" s="9">
        <v>1304649.0</v>
      </c>
      <c r="AB331" s="12"/>
      <c r="AC331" s="9" t="s">
        <v>50</v>
      </c>
    </row>
    <row r="332">
      <c r="A332" s="9" t="s">
        <v>33</v>
      </c>
      <c r="B332" s="11">
        <v>6.0</v>
      </c>
      <c r="C332" s="9" t="s">
        <v>43</v>
      </c>
      <c r="D332" s="9" t="s">
        <v>55</v>
      </c>
      <c r="E332" s="9" t="s">
        <v>56</v>
      </c>
      <c r="F332" s="9" t="s">
        <v>45</v>
      </c>
      <c r="G332" s="9" t="s">
        <v>46</v>
      </c>
      <c r="H332" s="9" t="s">
        <v>133</v>
      </c>
      <c r="I332" s="11">
        <v>8177049.0</v>
      </c>
      <c r="J332" s="11">
        <v>2.66803574E8</v>
      </c>
      <c r="K332" s="13">
        <v>46304.0</v>
      </c>
      <c r="L332" s="14">
        <v>46322.0</v>
      </c>
      <c r="M332" s="12"/>
      <c r="N332" s="9">
        <v>104.0</v>
      </c>
      <c r="O332" s="11">
        <v>11.0</v>
      </c>
      <c r="P332" s="9" t="s">
        <v>44</v>
      </c>
      <c r="Q332" s="12"/>
      <c r="R332" s="9" t="s">
        <v>90</v>
      </c>
      <c r="S332" s="9" t="s">
        <v>47</v>
      </c>
      <c r="T332" s="9" t="s">
        <v>44</v>
      </c>
      <c r="U332" s="9" t="s">
        <v>44</v>
      </c>
      <c r="V332" s="11">
        <v>53.7</v>
      </c>
      <c r="W332" s="11">
        <v>1.0</v>
      </c>
      <c r="X332" s="9" t="s">
        <v>48</v>
      </c>
      <c r="Y332" s="9" t="s">
        <v>514</v>
      </c>
      <c r="Z332" s="12"/>
      <c r="AA332" s="9">
        <v>1304857.0</v>
      </c>
      <c r="AB332" s="12"/>
      <c r="AC332" s="9" t="s">
        <v>50</v>
      </c>
    </row>
    <row r="333">
      <c r="A333" s="9" t="s">
        <v>33</v>
      </c>
      <c r="B333" s="11">
        <v>6.0</v>
      </c>
      <c r="C333" s="9" t="s">
        <v>43</v>
      </c>
      <c r="D333" s="9" t="s">
        <v>55</v>
      </c>
      <c r="E333" s="9" t="s">
        <v>56</v>
      </c>
      <c r="F333" s="9" t="s">
        <v>45</v>
      </c>
      <c r="G333" s="9" t="s">
        <v>46</v>
      </c>
      <c r="H333" s="9" t="s">
        <v>515</v>
      </c>
      <c r="I333" s="11">
        <v>8176893.0</v>
      </c>
      <c r="J333" s="11">
        <v>2.66803576E8</v>
      </c>
      <c r="K333" s="13">
        <v>46304.0</v>
      </c>
      <c r="L333" s="14">
        <v>46317.0</v>
      </c>
      <c r="M333" s="12"/>
      <c r="N333" s="9">
        <v>1.0</v>
      </c>
      <c r="O333" s="11">
        <v>8.0</v>
      </c>
      <c r="P333" s="9" t="s">
        <v>44</v>
      </c>
      <c r="Q333" s="12"/>
      <c r="R333" s="9" t="s">
        <v>90</v>
      </c>
      <c r="S333" s="9" t="s">
        <v>47</v>
      </c>
      <c r="T333" s="9" t="s">
        <v>44</v>
      </c>
      <c r="U333" s="9" t="s">
        <v>44</v>
      </c>
      <c r="V333" s="11">
        <v>47.89</v>
      </c>
      <c r="W333" s="11">
        <v>1.0</v>
      </c>
      <c r="X333" s="9" t="s">
        <v>48</v>
      </c>
      <c r="Y333" s="9" t="s">
        <v>516</v>
      </c>
      <c r="Z333" s="12"/>
      <c r="AA333" s="9">
        <v>1305412.0</v>
      </c>
      <c r="AB333" s="12"/>
      <c r="AC333" s="9" t="s">
        <v>50</v>
      </c>
    </row>
    <row r="334">
      <c r="A334" s="9" t="s">
        <v>33</v>
      </c>
      <c r="B334" s="11">
        <v>6.0</v>
      </c>
      <c r="C334" s="9" t="s">
        <v>43</v>
      </c>
      <c r="D334" s="9" t="s">
        <v>55</v>
      </c>
      <c r="E334" s="9" t="s">
        <v>56</v>
      </c>
      <c r="F334" s="9" t="s">
        <v>45</v>
      </c>
      <c r="G334" s="9" t="s">
        <v>46</v>
      </c>
      <c r="H334" s="9" t="s">
        <v>515</v>
      </c>
      <c r="I334" s="11">
        <v>8176859.0</v>
      </c>
      <c r="J334" s="11">
        <v>2.66803578E8</v>
      </c>
      <c r="K334" s="13">
        <v>46304.0</v>
      </c>
      <c r="L334" s="14">
        <v>46321.0</v>
      </c>
      <c r="M334" s="12"/>
      <c r="N334" s="9">
        <v>107.0</v>
      </c>
      <c r="O334" s="11">
        <v>10.0</v>
      </c>
      <c r="P334" s="9" t="s">
        <v>44</v>
      </c>
      <c r="Q334" s="12"/>
      <c r="R334" s="9" t="s">
        <v>90</v>
      </c>
      <c r="S334" s="9" t="s">
        <v>47</v>
      </c>
      <c r="T334" s="9" t="s">
        <v>44</v>
      </c>
      <c r="U334" s="9" t="s">
        <v>44</v>
      </c>
      <c r="V334" s="11">
        <v>53.7</v>
      </c>
      <c r="W334" s="11">
        <v>1.0</v>
      </c>
      <c r="X334" s="9" t="s">
        <v>48</v>
      </c>
      <c r="Y334" s="9" t="s">
        <v>517</v>
      </c>
      <c r="Z334" s="12"/>
      <c r="AA334" s="9">
        <v>1305519.0</v>
      </c>
      <c r="AB334" s="12"/>
      <c r="AC334" s="9" t="s">
        <v>50</v>
      </c>
    </row>
    <row r="335">
      <c r="A335" s="9" t="s">
        <v>33</v>
      </c>
      <c r="B335" s="11">
        <v>6.0</v>
      </c>
      <c r="C335" s="9" t="s">
        <v>43</v>
      </c>
      <c r="D335" s="9" t="s">
        <v>55</v>
      </c>
      <c r="E335" s="9" t="s">
        <v>56</v>
      </c>
      <c r="F335" s="9" t="s">
        <v>45</v>
      </c>
      <c r="G335" s="9" t="s">
        <v>46</v>
      </c>
      <c r="H335" s="9" t="s">
        <v>515</v>
      </c>
      <c r="I335" s="11">
        <v>8177002.0</v>
      </c>
      <c r="J335" s="11">
        <v>2.66803579E8</v>
      </c>
      <c r="K335" s="13">
        <v>46304.0</v>
      </c>
      <c r="L335" s="14">
        <v>46321.0</v>
      </c>
      <c r="M335" s="12"/>
      <c r="N335" s="9">
        <v>105.0</v>
      </c>
      <c r="O335" s="11">
        <v>10.0</v>
      </c>
      <c r="P335" s="9" t="s">
        <v>44</v>
      </c>
      <c r="Q335" s="12"/>
      <c r="R335" s="9" t="s">
        <v>90</v>
      </c>
      <c r="S335" s="9" t="s">
        <v>47</v>
      </c>
      <c r="T335" s="9" t="s">
        <v>44</v>
      </c>
      <c r="U335" s="9" t="s">
        <v>44</v>
      </c>
      <c r="V335" s="11">
        <v>53.7</v>
      </c>
      <c r="W335" s="11">
        <v>1.0</v>
      </c>
      <c r="X335" s="9" t="s">
        <v>48</v>
      </c>
      <c r="Y335" s="9" t="s">
        <v>518</v>
      </c>
      <c r="Z335" s="12"/>
      <c r="AA335" s="9">
        <v>1305532.0</v>
      </c>
      <c r="AB335" s="12"/>
      <c r="AC335" s="9" t="s">
        <v>50</v>
      </c>
    </row>
    <row r="336">
      <c r="A336" s="9" t="s">
        <v>33</v>
      </c>
      <c r="B336" s="11">
        <v>6.0</v>
      </c>
      <c r="C336" s="9" t="s">
        <v>43</v>
      </c>
      <c r="D336" s="9" t="s">
        <v>55</v>
      </c>
      <c r="E336" s="9" t="s">
        <v>56</v>
      </c>
      <c r="F336" s="9" t="s">
        <v>45</v>
      </c>
      <c r="G336" s="9" t="s">
        <v>46</v>
      </c>
      <c r="H336" s="9" t="s">
        <v>136</v>
      </c>
      <c r="I336" s="11">
        <v>8176761.0</v>
      </c>
      <c r="J336" s="11">
        <v>2.66803581E8</v>
      </c>
      <c r="K336" s="13">
        <v>46304.0</v>
      </c>
      <c r="L336" s="14">
        <v>46322.0</v>
      </c>
      <c r="M336" s="12"/>
      <c r="N336" s="9">
        <v>101.0</v>
      </c>
      <c r="O336" s="11">
        <v>11.0</v>
      </c>
      <c r="P336" s="9" t="s">
        <v>44</v>
      </c>
      <c r="Q336" s="12"/>
      <c r="R336" s="9" t="s">
        <v>90</v>
      </c>
      <c r="S336" s="9" t="s">
        <v>47</v>
      </c>
      <c r="T336" s="9" t="s">
        <v>44</v>
      </c>
      <c r="U336" s="9" t="s">
        <v>44</v>
      </c>
      <c r="V336" s="11">
        <v>62.65</v>
      </c>
      <c r="W336" s="11">
        <v>3.0</v>
      </c>
      <c r="X336" s="9" t="s">
        <v>48</v>
      </c>
      <c r="Y336" s="9" t="s">
        <v>519</v>
      </c>
      <c r="Z336" s="12"/>
      <c r="AA336" s="9">
        <v>1305822.0</v>
      </c>
      <c r="AB336" s="12"/>
      <c r="AC336" s="9" t="s">
        <v>50</v>
      </c>
    </row>
    <row r="337">
      <c r="A337" s="9" t="s">
        <v>33</v>
      </c>
      <c r="B337" s="11">
        <v>6.0</v>
      </c>
      <c r="C337" s="9" t="s">
        <v>43</v>
      </c>
      <c r="D337" s="9" t="s">
        <v>55</v>
      </c>
      <c r="E337" s="9" t="s">
        <v>56</v>
      </c>
      <c r="F337" s="9" t="s">
        <v>45</v>
      </c>
      <c r="G337" s="9" t="s">
        <v>46</v>
      </c>
      <c r="H337" s="9" t="s">
        <v>520</v>
      </c>
      <c r="I337" s="11">
        <v>8177003.0</v>
      </c>
      <c r="J337" s="11">
        <v>2.66803583E8</v>
      </c>
      <c r="K337" s="13">
        <v>46304.0</v>
      </c>
      <c r="L337" s="14">
        <v>46318.0</v>
      </c>
      <c r="M337" s="12"/>
      <c r="N337" s="9">
        <v>102.0</v>
      </c>
      <c r="O337" s="11">
        <v>9.0</v>
      </c>
      <c r="P337" s="9" t="s">
        <v>44</v>
      </c>
      <c r="Q337" s="12"/>
      <c r="R337" s="9" t="s">
        <v>90</v>
      </c>
      <c r="S337" s="9" t="s">
        <v>47</v>
      </c>
      <c r="T337" s="9" t="s">
        <v>44</v>
      </c>
      <c r="U337" s="9" t="s">
        <v>44</v>
      </c>
      <c r="V337" s="11">
        <v>53.7</v>
      </c>
      <c r="W337" s="11">
        <v>1.0</v>
      </c>
      <c r="X337" s="9" t="s">
        <v>48</v>
      </c>
      <c r="Y337" s="9" t="s">
        <v>521</v>
      </c>
      <c r="Z337" s="12"/>
      <c r="AA337" s="9">
        <v>1305746.0</v>
      </c>
      <c r="AB337" s="12"/>
      <c r="AC337" s="9" t="s">
        <v>50</v>
      </c>
    </row>
    <row r="338">
      <c r="A338" s="9" t="s">
        <v>33</v>
      </c>
      <c r="B338" s="11">
        <v>6.0</v>
      </c>
      <c r="C338" s="9" t="s">
        <v>43</v>
      </c>
      <c r="D338" s="9" t="s">
        <v>55</v>
      </c>
      <c r="E338" s="9" t="s">
        <v>56</v>
      </c>
      <c r="F338" s="9" t="s">
        <v>45</v>
      </c>
      <c r="G338" s="9" t="s">
        <v>46</v>
      </c>
      <c r="H338" s="9" t="s">
        <v>522</v>
      </c>
      <c r="I338" s="11">
        <v>8176828.0</v>
      </c>
      <c r="J338" s="11">
        <v>2.66803585E8</v>
      </c>
      <c r="K338" s="13">
        <v>46304.0</v>
      </c>
      <c r="L338" s="14">
        <v>46322.0</v>
      </c>
      <c r="M338" s="12"/>
      <c r="N338" s="9">
        <v>109.0</v>
      </c>
      <c r="O338" s="11">
        <v>11.0</v>
      </c>
      <c r="P338" s="9" t="s">
        <v>44</v>
      </c>
      <c r="Q338" s="12"/>
      <c r="R338" s="9" t="s">
        <v>90</v>
      </c>
      <c r="S338" s="9" t="s">
        <v>47</v>
      </c>
      <c r="T338" s="9" t="s">
        <v>44</v>
      </c>
      <c r="U338" s="9" t="s">
        <v>44</v>
      </c>
      <c r="V338" s="11">
        <v>47.89</v>
      </c>
      <c r="W338" s="11">
        <v>1.0</v>
      </c>
      <c r="X338" s="9" t="s">
        <v>48</v>
      </c>
      <c r="Y338" s="9" t="s">
        <v>523</v>
      </c>
      <c r="Z338" s="12"/>
      <c r="AA338" s="9">
        <v>1305074.0</v>
      </c>
      <c r="AB338" s="12"/>
      <c r="AC338" s="9" t="s">
        <v>50</v>
      </c>
    </row>
    <row r="339">
      <c r="A339" s="9" t="s">
        <v>33</v>
      </c>
      <c r="B339" s="11">
        <v>6.0</v>
      </c>
      <c r="C339" s="9" t="s">
        <v>43</v>
      </c>
      <c r="D339" s="9" t="s">
        <v>55</v>
      </c>
      <c r="E339" s="9" t="s">
        <v>56</v>
      </c>
      <c r="F339" s="9" t="s">
        <v>45</v>
      </c>
      <c r="G339" s="9" t="s">
        <v>46</v>
      </c>
      <c r="H339" s="9" t="s">
        <v>522</v>
      </c>
      <c r="I339" s="11">
        <v>8177050.0</v>
      </c>
      <c r="J339" s="11">
        <v>2.66803587E8</v>
      </c>
      <c r="K339" s="13">
        <v>46304.0</v>
      </c>
      <c r="L339" s="14">
        <v>46323.0</v>
      </c>
      <c r="M339" s="12"/>
      <c r="N339" s="9">
        <v>110.0</v>
      </c>
      <c r="O339" s="11">
        <v>12.0</v>
      </c>
      <c r="P339" s="9" t="s">
        <v>44</v>
      </c>
      <c r="Q339" s="12"/>
      <c r="R339" s="9" t="s">
        <v>90</v>
      </c>
      <c r="S339" s="9" t="s">
        <v>47</v>
      </c>
      <c r="T339" s="9" t="s">
        <v>44</v>
      </c>
      <c r="U339" s="9" t="s">
        <v>44</v>
      </c>
      <c r="V339" s="11">
        <v>53.7</v>
      </c>
      <c r="W339" s="11">
        <v>1.0</v>
      </c>
      <c r="X339" s="9" t="s">
        <v>48</v>
      </c>
      <c r="Y339" s="9" t="s">
        <v>524</v>
      </c>
      <c r="Z339" s="12"/>
      <c r="AA339" s="9">
        <v>1305127.0</v>
      </c>
      <c r="AB339" s="12"/>
      <c r="AC339" s="9" t="s">
        <v>50</v>
      </c>
    </row>
    <row r="340">
      <c r="A340" s="9" t="s">
        <v>33</v>
      </c>
      <c r="B340" s="11">
        <v>6.0</v>
      </c>
      <c r="C340" s="9" t="s">
        <v>43</v>
      </c>
      <c r="D340" s="9" t="s">
        <v>55</v>
      </c>
      <c r="E340" s="9" t="s">
        <v>56</v>
      </c>
      <c r="F340" s="9" t="s">
        <v>45</v>
      </c>
      <c r="G340" s="9" t="s">
        <v>46</v>
      </c>
      <c r="H340" s="9" t="s">
        <v>522</v>
      </c>
      <c r="I340" s="11">
        <v>8176793.0</v>
      </c>
      <c r="J340" s="11">
        <v>2.66803588E8</v>
      </c>
      <c r="K340" s="13">
        <v>46304.0</v>
      </c>
      <c r="L340" s="14">
        <v>46322.0</v>
      </c>
      <c r="M340" s="12"/>
      <c r="N340" s="9">
        <v>110.0</v>
      </c>
      <c r="O340" s="11">
        <v>11.0</v>
      </c>
      <c r="P340" s="9" t="s">
        <v>44</v>
      </c>
      <c r="Q340" s="12"/>
      <c r="R340" s="9" t="s">
        <v>90</v>
      </c>
      <c r="S340" s="9" t="s">
        <v>47</v>
      </c>
      <c r="T340" s="9" t="s">
        <v>44</v>
      </c>
      <c r="U340" s="9" t="s">
        <v>44</v>
      </c>
      <c r="V340" s="11">
        <v>53.7</v>
      </c>
      <c r="W340" s="11">
        <v>1.0</v>
      </c>
      <c r="X340" s="9" t="s">
        <v>48</v>
      </c>
      <c r="Y340" s="9" t="s">
        <v>525</v>
      </c>
      <c r="Z340" s="12"/>
      <c r="AA340" s="9">
        <v>1305039.0</v>
      </c>
      <c r="AB340" s="12"/>
      <c r="AC340" s="9" t="s">
        <v>50</v>
      </c>
    </row>
    <row r="341">
      <c r="A341" s="9" t="s">
        <v>33</v>
      </c>
      <c r="B341" s="11">
        <v>6.0</v>
      </c>
      <c r="C341" s="9" t="s">
        <v>43</v>
      </c>
      <c r="D341" s="9" t="s">
        <v>55</v>
      </c>
      <c r="E341" s="9" t="s">
        <v>56</v>
      </c>
      <c r="F341" s="9" t="s">
        <v>45</v>
      </c>
      <c r="G341" s="9" t="s">
        <v>46</v>
      </c>
      <c r="H341" s="9" t="s">
        <v>522</v>
      </c>
      <c r="I341" s="11">
        <v>8177004.0</v>
      </c>
      <c r="J341" s="11">
        <v>2.6680359E8</v>
      </c>
      <c r="K341" s="13">
        <v>46304.0</v>
      </c>
      <c r="L341" s="14">
        <v>46318.0</v>
      </c>
      <c r="M341" s="12"/>
      <c r="N341" s="9">
        <v>114.0</v>
      </c>
      <c r="O341" s="11">
        <v>9.0</v>
      </c>
      <c r="P341" s="9" t="s">
        <v>44</v>
      </c>
      <c r="Q341" s="12"/>
      <c r="R341" s="9" t="s">
        <v>90</v>
      </c>
      <c r="S341" s="9" t="s">
        <v>47</v>
      </c>
      <c r="T341" s="9" t="s">
        <v>44</v>
      </c>
      <c r="U341" s="9" t="s">
        <v>44</v>
      </c>
      <c r="V341" s="11">
        <v>53.7</v>
      </c>
      <c r="W341" s="11">
        <v>1.0</v>
      </c>
      <c r="X341" s="9" t="s">
        <v>48</v>
      </c>
      <c r="Y341" s="9" t="s">
        <v>526</v>
      </c>
      <c r="Z341" s="12"/>
      <c r="AA341" s="9">
        <v>1305562.0</v>
      </c>
      <c r="AB341" s="12"/>
      <c r="AC341" s="9" t="s">
        <v>50</v>
      </c>
    </row>
    <row r="342">
      <c r="A342" s="9" t="s">
        <v>33</v>
      </c>
      <c r="B342" s="11">
        <v>6.0</v>
      </c>
      <c r="C342" s="9" t="s">
        <v>43</v>
      </c>
      <c r="D342" s="9" t="s">
        <v>55</v>
      </c>
      <c r="E342" s="9" t="s">
        <v>56</v>
      </c>
      <c r="F342" s="9" t="s">
        <v>45</v>
      </c>
      <c r="G342" s="9" t="s">
        <v>46</v>
      </c>
      <c r="H342" s="9" t="s">
        <v>222</v>
      </c>
      <c r="I342" s="11">
        <v>8177051.0</v>
      </c>
      <c r="J342" s="11">
        <v>2.66803592E8</v>
      </c>
      <c r="K342" s="13">
        <v>46304.0</v>
      </c>
      <c r="L342" s="14">
        <v>46316.0</v>
      </c>
      <c r="M342" s="12"/>
      <c r="N342" s="9">
        <v>2740.0</v>
      </c>
      <c r="O342" s="11">
        <v>7.0</v>
      </c>
      <c r="P342" s="9" t="s">
        <v>44</v>
      </c>
      <c r="Q342" s="12"/>
      <c r="R342" s="9" t="s">
        <v>52</v>
      </c>
      <c r="S342" s="9" t="s">
        <v>47</v>
      </c>
      <c r="T342" s="9" t="s">
        <v>44</v>
      </c>
      <c r="U342" s="9" t="s">
        <v>44</v>
      </c>
      <c r="V342" s="11">
        <v>45.49</v>
      </c>
      <c r="W342" s="11">
        <v>1.0</v>
      </c>
      <c r="X342" s="9" t="s">
        <v>48</v>
      </c>
      <c r="Y342" s="9" t="s">
        <v>527</v>
      </c>
      <c r="Z342" s="12"/>
      <c r="AA342" s="9">
        <v>1304819.0</v>
      </c>
      <c r="AB342" s="12"/>
      <c r="AC342" s="9" t="s">
        <v>50</v>
      </c>
    </row>
    <row r="343">
      <c r="A343" s="9" t="s">
        <v>33</v>
      </c>
      <c r="B343" s="11">
        <v>6.0</v>
      </c>
      <c r="C343" s="9" t="s">
        <v>43</v>
      </c>
      <c r="D343" s="9" t="s">
        <v>55</v>
      </c>
      <c r="E343" s="9" t="s">
        <v>56</v>
      </c>
      <c r="F343" s="9" t="s">
        <v>45</v>
      </c>
      <c r="G343" s="9" t="s">
        <v>46</v>
      </c>
      <c r="H343" s="9" t="s">
        <v>522</v>
      </c>
      <c r="I343" s="11">
        <v>8176860.0</v>
      </c>
      <c r="J343" s="11">
        <v>2.66803593E8</v>
      </c>
      <c r="K343" s="13">
        <v>46304.0</v>
      </c>
      <c r="L343" s="14">
        <v>46322.0</v>
      </c>
      <c r="M343" s="12"/>
      <c r="N343" s="9">
        <v>103.0</v>
      </c>
      <c r="O343" s="11">
        <v>11.0</v>
      </c>
      <c r="P343" s="9" t="s">
        <v>44</v>
      </c>
      <c r="Q343" s="12"/>
      <c r="R343" s="9" t="s">
        <v>90</v>
      </c>
      <c r="S343" s="9" t="s">
        <v>47</v>
      </c>
      <c r="T343" s="9" t="s">
        <v>44</v>
      </c>
      <c r="U343" s="9" t="s">
        <v>44</v>
      </c>
      <c r="V343" s="11">
        <v>53.7</v>
      </c>
      <c r="W343" s="11">
        <v>1.0</v>
      </c>
      <c r="X343" s="9" t="s">
        <v>48</v>
      </c>
      <c r="Y343" s="9" t="s">
        <v>528</v>
      </c>
      <c r="Z343" s="12"/>
      <c r="AA343" s="9">
        <v>1305573.0</v>
      </c>
      <c r="AB343" s="12"/>
      <c r="AC343" s="9" t="s">
        <v>50</v>
      </c>
    </row>
    <row r="344">
      <c r="A344" s="9" t="s">
        <v>33</v>
      </c>
      <c r="B344" s="11">
        <v>6.0</v>
      </c>
      <c r="C344" s="9" t="s">
        <v>43</v>
      </c>
      <c r="D344" s="9" t="s">
        <v>55</v>
      </c>
      <c r="E344" s="9" t="s">
        <v>56</v>
      </c>
      <c r="F344" s="9" t="s">
        <v>45</v>
      </c>
      <c r="G344" s="9" t="s">
        <v>46</v>
      </c>
      <c r="H344" s="9" t="s">
        <v>529</v>
      </c>
      <c r="I344" s="11">
        <v>8177005.0</v>
      </c>
      <c r="J344" s="11">
        <v>2.66803595E8</v>
      </c>
      <c r="K344" s="13">
        <v>46304.0</v>
      </c>
      <c r="L344" s="14">
        <v>46317.0</v>
      </c>
      <c r="M344" s="12"/>
      <c r="N344" s="9">
        <v>8.0</v>
      </c>
      <c r="O344" s="11">
        <v>8.0</v>
      </c>
      <c r="P344" s="9" t="s">
        <v>44</v>
      </c>
      <c r="Q344" s="12"/>
      <c r="R344" s="9" t="s">
        <v>52</v>
      </c>
      <c r="S344" s="9" t="s">
        <v>47</v>
      </c>
      <c r="T344" s="9" t="s">
        <v>44</v>
      </c>
      <c r="U344" s="9" t="s">
        <v>44</v>
      </c>
      <c r="V344" s="11">
        <v>47.89</v>
      </c>
      <c r="W344" s="11">
        <v>1.0</v>
      </c>
      <c r="X344" s="9" t="s">
        <v>48</v>
      </c>
      <c r="Y344" s="9" t="s">
        <v>530</v>
      </c>
      <c r="Z344" s="12"/>
      <c r="AA344" s="9">
        <v>1305625.0</v>
      </c>
      <c r="AB344" s="12"/>
      <c r="AC344" s="9" t="s">
        <v>50</v>
      </c>
    </row>
    <row r="345">
      <c r="A345" s="9" t="s">
        <v>33</v>
      </c>
      <c r="B345" s="11">
        <v>6.0</v>
      </c>
      <c r="C345" s="9" t="s">
        <v>43</v>
      </c>
      <c r="D345" s="9" t="s">
        <v>55</v>
      </c>
      <c r="E345" s="9" t="s">
        <v>56</v>
      </c>
      <c r="F345" s="9" t="s">
        <v>45</v>
      </c>
      <c r="G345" s="9" t="s">
        <v>46</v>
      </c>
      <c r="H345" s="9" t="s">
        <v>529</v>
      </c>
      <c r="I345" s="11">
        <v>8176829.0</v>
      </c>
      <c r="J345" s="11">
        <v>2.66803597E8</v>
      </c>
      <c r="K345" s="13">
        <v>46304.0</v>
      </c>
      <c r="L345" s="14">
        <v>46317.0</v>
      </c>
      <c r="M345" s="12"/>
      <c r="N345" s="9">
        <v>5.0</v>
      </c>
      <c r="O345" s="11">
        <v>8.0</v>
      </c>
      <c r="P345" s="9" t="s">
        <v>44</v>
      </c>
      <c r="Q345" s="12"/>
      <c r="R345" s="12"/>
      <c r="S345" s="9" t="s">
        <v>47</v>
      </c>
      <c r="T345" s="9" t="s">
        <v>44</v>
      </c>
      <c r="U345" s="9" t="s">
        <v>44</v>
      </c>
      <c r="V345" s="11">
        <v>47.89</v>
      </c>
      <c r="W345" s="11">
        <v>1.0</v>
      </c>
      <c r="X345" s="9" t="s">
        <v>48</v>
      </c>
      <c r="Y345" s="9" t="s">
        <v>531</v>
      </c>
      <c r="Z345" s="12"/>
      <c r="AA345" s="9">
        <v>1305250.0</v>
      </c>
      <c r="AB345" s="12"/>
      <c r="AC345" s="9" t="s">
        <v>50</v>
      </c>
    </row>
    <row r="346">
      <c r="A346" s="9" t="s">
        <v>33</v>
      </c>
      <c r="B346" s="11">
        <v>6.0</v>
      </c>
      <c r="C346" s="9" t="s">
        <v>43</v>
      </c>
      <c r="D346" s="9" t="s">
        <v>55</v>
      </c>
      <c r="E346" s="9" t="s">
        <v>56</v>
      </c>
      <c r="F346" s="9" t="s">
        <v>45</v>
      </c>
      <c r="G346" s="9" t="s">
        <v>46</v>
      </c>
      <c r="H346" s="9" t="s">
        <v>529</v>
      </c>
      <c r="I346" s="11">
        <v>8176830.0</v>
      </c>
      <c r="J346" s="11">
        <v>2.66803598E8</v>
      </c>
      <c r="K346" s="13">
        <v>46304.0</v>
      </c>
      <c r="L346" s="14">
        <v>46317.0</v>
      </c>
      <c r="M346" s="12"/>
      <c r="N346" s="9">
        <v>4.0</v>
      </c>
      <c r="O346" s="11">
        <v>8.0</v>
      </c>
      <c r="P346" s="9" t="s">
        <v>44</v>
      </c>
      <c r="Q346" s="12"/>
      <c r="R346" s="9" t="s">
        <v>52</v>
      </c>
      <c r="S346" s="9" t="s">
        <v>47</v>
      </c>
      <c r="T346" s="9" t="s">
        <v>44</v>
      </c>
      <c r="U346" s="9" t="s">
        <v>44</v>
      </c>
      <c r="V346" s="11">
        <v>47.89</v>
      </c>
      <c r="W346" s="11">
        <v>1.0</v>
      </c>
      <c r="X346" s="9" t="s">
        <v>48</v>
      </c>
      <c r="Y346" s="9" t="s">
        <v>532</v>
      </c>
      <c r="Z346" s="12"/>
      <c r="AA346" s="9">
        <v>1305124.0</v>
      </c>
      <c r="AB346" s="12"/>
      <c r="AC346" s="9" t="s">
        <v>50</v>
      </c>
    </row>
    <row r="347">
      <c r="A347" s="9" t="s">
        <v>33</v>
      </c>
      <c r="B347" s="11">
        <v>6.0</v>
      </c>
      <c r="C347" s="9" t="s">
        <v>43</v>
      </c>
      <c r="D347" s="9" t="s">
        <v>55</v>
      </c>
      <c r="E347" s="9" t="s">
        <v>56</v>
      </c>
      <c r="F347" s="9" t="s">
        <v>45</v>
      </c>
      <c r="G347" s="9" t="s">
        <v>46</v>
      </c>
      <c r="H347" s="9" t="s">
        <v>529</v>
      </c>
      <c r="I347" s="11">
        <v>8176831.0</v>
      </c>
      <c r="J347" s="11">
        <v>2.66803599E8</v>
      </c>
      <c r="K347" s="13">
        <v>46304.0</v>
      </c>
      <c r="L347" s="14">
        <v>46317.0</v>
      </c>
      <c r="M347" s="12"/>
      <c r="N347" s="9">
        <v>4.0</v>
      </c>
      <c r="O347" s="11">
        <v>8.0</v>
      </c>
      <c r="P347" s="9" t="s">
        <v>44</v>
      </c>
      <c r="Q347" s="12"/>
      <c r="R347" s="9" t="s">
        <v>52</v>
      </c>
      <c r="S347" s="9" t="s">
        <v>47</v>
      </c>
      <c r="T347" s="9" t="s">
        <v>44</v>
      </c>
      <c r="U347" s="9" t="s">
        <v>44</v>
      </c>
      <c r="V347" s="11">
        <v>47.89</v>
      </c>
      <c r="W347" s="11">
        <v>1.0</v>
      </c>
      <c r="X347" s="9" t="s">
        <v>48</v>
      </c>
      <c r="Y347" s="9" t="s">
        <v>533</v>
      </c>
      <c r="Z347" s="12"/>
      <c r="AA347" s="9">
        <v>1305200.0</v>
      </c>
      <c r="AB347" s="12"/>
      <c r="AC347" s="9" t="s">
        <v>50</v>
      </c>
    </row>
    <row r="348">
      <c r="A348" s="9" t="s">
        <v>33</v>
      </c>
      <c r="B348" s="11">
        <v>6.0</v>
      </c>
      <c r="C348" s="9" t="s">
        <v>43</v>
      </c>
      <c r="D348" s="9" t="s">
        <v>55</v>
      </c>
      <c r="E348" s="9" t="s">
        <v>56</v>
      </c>
      <c r="F348" s="9" t="s">
        <v>45</v>
      </c>
      <c r="G348" s="9" t="s">
        <v>46</v>
      </c>
      <c r="H348" s="9" t="s">
        <v>529</v>
      </c>
      <c r="I348" s="11">
        <v>8177006.0</v>
      </c>
      <c r="J348" s="11">
        <v>2.668036E8</v>
      </c>
      <c r="K348" s="13">
        <v>46304.0</v>
      </c>
      <c r="L348" s="14">
        <v>46318.0</v>
      </c>
      <c r="M348" s="12"/>
      <c r="N348" s="9">
        <v>102.0</v>
      </c>
      <c r="O348" s="11">
        <v>9.0</v>
      </c>
      <c r="P348" s="9" t="s">
        <v>44</v>
      </c>
      <c r="Q348" s="12"/>
      <c r="R348" s="12"/>
      <c r="S348" s="9" t="s">
        <v>47</v>
      </c>
      <c r="T348" s="9" t="s">
        <v>44</v>
      </c>
      <c r="U348" s="9" t="s">
        <v>44</v>
      </c>
      <c r="V348" s="11">
        <v>53.7</v>
      </c>
      <c r="W348" s="11">
        <v>1.0</v>
      </c>
      <c r="X348" s="9" t="s">
        <v>48</v>
      </c>
      <c r="Y348" s="9" t="s">
        <v>534</v>
      </c>
      <c r="Z348" s="12"/>
      <c r="AA348" s="9">
        <v>1305689.0</v>
      </c>
      <c r="AB348" s="12"/>
      <c r="AC348" s="9" t="s">
        <v>50</v>
      </c>
    </row>
    <row r="349">
      <c r="A349" s="9" t="s">
        <v>33</v>
      </c>
      <c r="B349" s="11">
        <v>6.0</v>
      </c>
      <c r="C349" s="9" t="s">
        <v>43</v>
      </c>
      <c r="D349" s="9" t="s">
        <v>55</v>
      </c>
      <c r="E349" s="9" t="s">
        <v>56</v>
      </c>
      <c r="F349" s="9" t="s">
        <v>45</v>
      </c>
      <c r="G349" s="9" t="s">
        <v>46</v>
      </c>
      <c r="H349" s="9" t="s">
        <v>535</v>
      </c>
      <c r="I349" s="11">
        <v>8176922.0</v>
      </c>
      <c r="J349" s="11">
        <v>2.66803601E8</v>
      </c>
      <c r="K349" s="13">
        <v>46304.0</v>
      </c>
      <c r="L349" s="14">
        <v>46318.0</v>
      </c>
      <c r="M349" s="12"/>
      <c r="N349" s="9">
        <v>106.0</v>
      </c>
      <c r="O349" s="11">
        <v>9.0</v>
      </c>
      <c r="P349" s="9" t="s">
        <v>44</v>
      </c>
      <c r="Q349" s="12"/>
      <c r="R349" s="9" t="s">
        <v>52</v>
      </c>
      <c r="S349" s="9" t="s">
        <v>47</v>
      </c>
      <c r="T349" s="9" t="s">
        <v>44</v>
      </c>
      <c r="U349" s="9" t="s">
        <v>44</v>
      </c>
      <c r="V349" s="11">
        <v>53.7</v>
      </c>
      <c r="W349" s="11">
        <v>1.0</v>
      </c>
      <c r="X349" s="9" t="s">
        <v>48</v>
      </c>
      <c r="Y349" s="9" t="s">
        <v>536</v>
      </c>
      <c r="Z349" s="12"/>
      <c r="AA349" s="9">
        <v>1305344.0</v>
      </c>
      <c r="AB349" s="12"/>
      <c r="AC349" s="9" t="s">
        <v>50</v>
      </c>
    </row>
    <row r="350">
      <c r="A350" s="9" t="s">
        <v>33</v>
      </c>
      <c r="B350" s="11">
        <v>6.0</v>
      </c>
      <c r="C350" s="9" t="s">
        <v>43</v>
      </c>
      <c r="D350" s="9" t="s">
        <v>55</v>
      </c>
      <c r="E350" s="9" t="s">
        <v>56</v>
      </c>
      <c r="F350" s="9" t="s">
        <v>45</v>
      </c>
      <c r="G350" s="9" t="s">
        <v>46</v>
      </c>
      <c r="H350" s="9" t="s">
        <v>535</v>
      </c>
      <c r="I350" s="11">
        <v>8177007.0</v>
      </c>
      <c r="J350" s="11">
        <v>2.66803602E8</v>
      </c>
      <c r="K350" s="13">
        <v>46304.0</v>
      </c>
      <c r="L350" s="14">
        <v>46322.0</v>
      </c>
      <c r="M350" s="12"/>
      <c r="N350" s="9">
        <v>110.0</v>
      </c>
      <c r="O350" s="11">
        <v>11.0</v>
      </c>
      <c r="P350" s="9" t="s">
        <v>44</v>
      </c>
      <c r="Q350" s="12"/>
      <c r="R350" s="9" t="s">
        <v>52</v>
      </c>
      <c r="S350" s="9" t="s">
        <v>47</v>
      </c>
      <c r="T350" s="9" t="s">
        <v>44</v>
      </c>
      <c r="U350" s="9" t="s">
        <v>44</v>
      </c>
      <c r="V350" s="11">
        <v>62.65</v>
      </c>
      <c r="W350" s="11">
        <v>6.0</v>
      </c>
      <c r="X350" s="9" t="s">
        <v>48</v>
      </c>
      <c r="Y350" s="9" t="s">
        <v>537</v>
      </c>
      <c r="Z350" s="12"/>
      <c r="AA350" s="9">
        <v>1305535.0</v>
      </c>
      <c r="AB350" s="12"/>
      <c r="AC350" s="9" t="s">
        <v>50</v>
      </c>
    </row>
    <row r="351">
      <c r="A351" s="9" t="s">
        <v>33</v>
      </c>
      <c r="B351" s="11">
        <v>6.0</v>
      </c>
      <c r="C351" s="9" t="s">
        <v>43</v>
      </c>
      <c r="D351" s="9" t="s">
        <v>55</v>
      </c>
      <c r="E351" s="9" t="s">
        <v>56</v>
      </c>
      <c r="F351" s="9" t="s">
        <v>45</v>
      </c>
      <c r="G351" s="9" t="s">
        <v>46</v>
      </c>
      <c r="H351" s="9" t="s">
        <v>535</v>
      </c>
      <c r="I351" s="11">
        <v>8176894.0</v>
      </c>
      <c r="J351" s="11">
        <v>2.66803603E8</v>
      </c>
      <c r="K351" s="13">
        <v>46304.0</v>
      </c>
      <c r="L351" s="14">
        <v>46317.0</v>
      </c>
      <c r="M351" s="12"/>
      <c r="N351" s="9">
        <v>2.0</v>
      </c>
      <c r="O351" s="11">
        <v>8.0</v>
      </c>
      <c r="P351" s="9" t="s">
        <v>44</v>
      </c>
      <c r="Q351" s="12"/>
      <c r="R351" s="12"/>
      <c r="S351" s="9" t="s">
        <v>47</v>
      </c>
      <c r="T351" s="9" t="s">
        <v>44</v>
      </c>
      <c r="U351" s="9" t="s">
        <v>44</v>
      </c>
      <c r="V351" s="11">
        <v>47.89</v>
      </c>
      <c r="W351" s="11">
        <v>1.0</v>
      </c>
      <c r="X351" s="9" t="s">
        <v>48</v>
      </c>
      <c r="Y351" s="9" t="s">
        <v>538</v>
      </c>
      <c r="Z351" s="12"/>
      <c r="AA351" s="9">
        <v>1305633.0</v>
      </c>
      <c r="AB351" s="12"/>
      <c r="AC351" s="9" t="s">
        <v>50</v>
      </c>
    </row>
    <row r="352">
      <c r="A352" s="9" t="s">
        <v>33</v>
      </c>
      <c r="B352" s="11">
        <v>6.0</v>
      </c>
      <c r="C352" s="9" t="s">
        <v>43</v>
      </c>
      <c r="D352" s="9" t="s">
        <v>55</v>
      </c>
      <c r="E352" s="9" t="s">
        <v>56</v>
      </c>
      <c r="F352" s="9" t="s">
        <v>45</v>
      </c>
      <c r="G352" s="9" t="s">
        <v>46</v>
      </c>
      <c r="H352" s="9" t="s">
        <v>535</v>
      </c>
      <c r="I352" s="11">
        <v>8176895.0</v>
      </c>
      <c r="J352" s="11">
        <v>2.66803604E8</v>
      </c>
      <c r="K352" s="13">
        <v>46304.0</v>
      </c>
      <c r="L352" s="14">
        <v>46317.0</v>
      </c>
      <c r="M352" s="12"/>
      <c r="N352" s="9">
        <v>4.0</v>
      </c>
      <c r="O352" s="11">
        <v>8.0</v>
      </c>
      <c r="P352" s="9" t="s">
        <v>44</v>
      </c>
      <c r="Q352" s="12"/>
      <c r="R352" s="12"/>
      <c r="S352" s="9" t="s">
        <v>47</v>
      </c>
      <c r="T352" s="9" t="s">
        <v>44</v>
      </c>
      <c r="U352" s="9" t="s">
        <v>44</v>
      </c>
      <c r="V352" s="11">
        <v>47.89</v>
      </c>
      <c r="W352" s="11">
        <v>1.0</v>
      </c>
      <c r="X352" s="9" t="s">
        <v>48</v>
      </c>
      <c r="Y352" s="9" t="s">
        <v>71</v>
      </c>
      <c r="Z352" s="12"/>
      <c r="AA352" s="9">
        <v>1305613.0</v>
      </c>
      <c r="AB352" s="12"/>
      <c r="AC352" s="9" t="s">
        <v>50</v>
      </c>
    </row>
    <row r="353">
      <c r="A353" s="9" t="s">
        <v>33</v>
      </c>
      <c r="B353" s="11">
        <v>6.0</v>
      </c>
      <c r="C353" s="9" t="s">
        <v>43</v>
      </c>
      <c r="D353" s="9" t="s">
        <v>55</v>
      </c>
      <c r="E353" s="9" t="s">
        <v>56</v>
      </c>
      <c r="F353" s="9" t="s">
        <v>45</v>
      </c>
      <c r="G353" s="9" t="s">
        <v>46</v>
      </c>
      <c r="H353" s="9" t="s">
        <v>539</v>
      </c>
      <c r="I353" s="11">
        <v>8177008.0</v>
      </c>
      <c r="J353" s="11">
        <v>2.66803605E8</v>
      </c>
      <c r="K353" s="13">
        <v>46304.0</v>
      </c>
      <c r="L353" s="14">
        <v>46317.0</v>
      </c>
      <c r="M353" s="12"/>
      <c r="N353" s="9">
        <v>1.0</v>
      </c>
      <c r="O353" s="11">
        <v>8.0</v>
      </c>
      <c r="P353" s="9" t="s">
        <v>44</v>
      </c>
      <c r="Q353" s="12"/>
      <c r="R353" s="9" t="s">
        <v>90</v>
      </c>
      <c r="S353" s="9" t="s">
        <v>47</v>
      </c>
      <c r="T353" s="9" t="s">
        <v>44</v>
      </c>
      <c r="U353" s="9" t="s">
        <v>44</v>
      </c>
      <c r="V353" s="11">
        <v>47.89</v>
      </c>
      <c r="W353" s="11">
        <v>1.0</v>
      </c>
      <c r="X353" s="9" t="s">
        <v>48</v>
      </c>
      <c r="Y353" s="9" t="s">
        <v>540</v>
      </c>
      <c r="Z353" s="12"/>
      <c r="AA353" s="9">
        <v>1305104.0</v>
      </c>
      <c r="AB353" s="12"/>
      <c r="AC353" s="9" t="s">
        <v>50</v>
      </c>
    </row>
    <row r="354">
      <c r="A354" s="9" t="s">
        <v>33</v>
      </c>
      <c r="B354" s="11">
        <v>6.0</v>
      </c>
      <c r="C354" s="9" t="s">
        <v>43</v>
      </c>
      <c r="D354" s="9" t="s">
        <v>55</v>
      </c>
      <c r="E354" s="9" t="s">
        <v>56</v>
      </c>
      <c r="F354" s="9" t="s">
        <v>45</v>
      </c>
      <c r="G354" s="9" t="s">
        <v>46</v>
      </c>
      <c r="H354" s="9" t="s">
        <v>539</v>
      </c>
      <c r="I354" s="11">
        <v>8177009.0</v>
      </c>
      <c r="J354" s="11">
        <v>2.66803606E8</v>
      </c>
      <c r="K354" s="13">
        <v>46304.0</v>
      </c>
      <c r="L354" s="14">
        <v>46317.0</v>
      </c>
      <c r="M354" s="12"/>
      <c r="N354" s="9">
        <v>3.0</v>
      </c>
      <c r="O354" s="11">
        <v>8.0</v>
      </c>
      <c r="P354" s="9" t="s">
        <v>44</v>
      </c>
      <c r="Q354" s="12"/>
      <c r="R354" s="9" t="s">
        <v>90</v>
      </c>
      <c r="S354" s="9" t="s">
        <v>47</v>
      </c>
      <c r="T354" s="9" t="s">
        <v>44</v>
      </c>
      <c r="U354" s="9" t="s">
        <v>44</v>
      </c>
      <c r="V354" s="11">
        <v>47.89</v>
      </c>
      <c r="W354" s="11">
        <v>2.0</v>
      </c>
      <c r="X354" s="9" t="s">
        <v>48</v>
      </c>
      <c r="Y354" s="9" t="s">
        <v>541</v>
      </c>
      <c r="Z354" s="12"/>
      <c r="AA354" s="9" t="s">
        <v>542</v>
      </c>
      <c r="AB354" s="12"/>
      <c r="AC354" s="9" t="s">
        <v>50</v>
      </c>
    </row>
    <row r="355">
      <c r="A355" s="9" t="s">
        <v>33</v>
      </c>
      <c r="B355" s="11">
        <v>6.0</v>
      </c>
      <c r="C355" s="9" t="s">
        <v>43</v>
      </c>
      <c r="D355" s="9" t="s">
        <v>55</v>
      </c>
      <c r="E355" s="9" t="s">
        <v>56</v>
      </c>
      <c r="F355" s="9" t="s">
        <v>45</v>
      </c>
      <c r="G355" s="9" t="s">
        <v>46</v>
      </c>
      <c r="H355" s="9" t="s">
        <v>543</v>
      </c>
      <c r="I355" s="11">
        <v>8176832.0</v>
      </c>
      <c r="J355" s="11">
        <v>2.66803607E8</v>
      </c>
      <c r="K355" s="13">
        <v>46304.0</v>
      </c>
      <c r="L355" s="14">
        <v>46317.0</v>
      </c>
      <c r="M355" s="12"/>
      <c r="N355" s="9">
        <v>19.0</v>
      </c>
      <c r="O355" s="11">
        <v>8.0</v>
      </c>
      <c r="P355" s="9" t="s">
        <v>44</v>
      </c>
      <c r="Q355" s="12"/>
      <c r="R355" s="9" t="s">
        <v>90</v>
      </c>
      <c r="S355" s="9" t="s">
        <v>47</v>
      </c>
      <c r="T355" s="9" t="s">
        <v>44</v>
      </c>
      <c r="U355" s="9" t="s">
        <v>44</v>
      </c>
      <c r="V355" s="11">
        <v>54.19</v>
      </c>
      <c r="W355" s="11">
        <v>1.0</v>
      </c>
      <c r="X355" s="9" t="s">
        <v>48</v>
      </c>
      <c r="Y355" s="9" t="s">
        <v>544</v>
      </c>
      <c r="Z355" s="12"/>
      <c r="AA355" s="9">
        <v>1305126.0</v>
      </c>
      <c r="AB355" s="12"/>
      <c r="AC355" s="9" t="s">
        <v>50</v>
      </c>
    </row>
    <row r="356">
      <c r="A356" s="9" t="s">
        <v>33</v>
      </c>
      <c r="B356" s="11">
        <v>6.0</v>
      </c>
      <c r="C356" s="9" t="s">
        <v>43</v>
      </c>
      <c r="D356" s="9" t="s">
        <v>55</v>
      </c>
      <c r="E356" s="9" t="s">
        <v>56</v>
      </c>
      <c r="F356" s="9" t="s">
        <v>45</v>
      </c>
      <c r="G356" s="9" t="s">
        <v>46</v>
      </c>
      <c r="H356" s="9" t="s">
        <v>545</v>
      </c>
      <c r="I356" s="11">
        <v>8177010.0</v>
      </c>
      <c r="J356" s="11">
        <v>2.66803608E8</v>
      </c>
      <c r="K356" s="13">
        <v>46304.0</v>
      </c>
      <c r="L356" s="14">
        <v>46318.0</v>
      </c>
      <c r="M356" s="12"/>
      <c r="N356" s="9">
        <v>106.0</v>
      </c>
      <c r="O356" s="11">
        <v>9.0</v>
      </c>
      <c r="P356" s="9" t="s">
        <v>44</v>
      </c>
      <c r="Q356" s="12"/>
      <c r="R356" s="9" t="s">
        <v>90</v>
      </c>
      <c r="S356" s="9" t="s">
        <v>47</v>
      </c>
      <c r="T356" s="9" t="s">
        <v>44</v>
      </c>
      <c r="U356" s="9" t="s">
        <v>44</v>
      </c>
      <c r="V356" s="11">
        <v>60.93</v>
      </c>
      <c r="W356" s="11">
        <v>1.0</v>
      </c>
      <c r="X356" s="9" t="s">
        <v>48</v>
      </c>
      <c r="Y356" s="9" t="s">
        <v>546</v>
      </c>
      <c r="Z356" s="12"/>
      <c r="AA356" s="9">
        <v>1305129.0</v>
      </c>
      <c r="AB356" s="12"/>
      <c r="AC356" s="9" t="s">
        <v>50</v>
      </c>
    </row>
    <row r="357">
      <c r="A357" s="9" t="s">
        <v>33</v>
      </c>
      <c r="B357" s="11">
        <v>6.0</v>
      </c>
      <c r="C357" s="9" t="s">
        <v>43</v>
      </c>
      <c r="D357" s="9" t="s">
        <v>55</v>
      </c>
      <c r="E357" s="9" t="s">
        <v>56</v>
      </c>
      <c r="F357" s="9" t="s">
        <v>45</v>
      </c>
      <c r="G357" s="9" t="s">
        <v>46</v>
      </c>
      <c r="H357" s="9" t="s">
        <v>547</v>
      </c>
      <c r="I357" s="11">
        <v>8177011.0</v>
      </c>
      <c r="J357" s="11">
        <v>2.66803609E8</v>
      </c>
      <c r="K357" s="13">
        <v>46304.0</v>
      </c>
      <c r="L357" s="14">
        <v>46318.0</v>
      </c>
      <c r="M357" s="12"/>
      <c r="N357" s="9">
        <v>2.0</v>
      </c>
      <c r="O357" s="11">
        <v>9.0</v>
      </c>
      <c r="P357" s="9" t="s">
        <v>44</v>
      </c>
      <c r="Q357" s="12"/>
      <c r="R357" s="9" t="s">
        <v>90</v>
      </c>
      <c r="S357" s="9" t="s">
        <v>47</v>
      </c>
      <c r="T357" s="9" t="s">
        <v>44</v>
      </c>
      <c r="U357" s="9" t="s">
        <v>44</v>
      </c>
      <c r="V357" s="11">
        <v>54.19</v>
      </c>
      <c r="W357" s="11">
        <v>1.0</v>
      </c>
      <c r="X357" s="9" t="s">
        <v>48</v>
      </c>
      <c r="Y357" s="9" t="s">
        <v>71</v>
      </c>
      <c r="Z357" s="12"/>
      <c r="AA357" s="9">
        <v>1305194.0</v>
      </c>
      <c r="AB357" s="12"/>
      <c r="AC357" s="9" t="s">
        <v>50</v>
      </c>
    </row>
    <row r="358">
      <c r="A358" s="9" t="s">
        <v>33</v>
      </c>
      <c r="B358" s="11">
        <v>6.0</v>
      </c>
      <c r="C358" s="9" t="s">
        <v>43</v>
      </c>
      <c r="D358" s="9" t="s">
        <v>55</v>
      </c>
      <c r="E358" s="9" t="s">
        <v>56</v>
      </c>
      <c r="F358" s="9" t="s">
        <v>45</v>
      </c>
      <c r="G358" s="9" t="s">
        <v>46</v>
      </c>
      <c r="H358" s="9" t="s">
        <v>547</v>
      </c>
      <c r="I358" s="11">
        <v>8176768.0</v>
      </c>
      <c r="J358" s="11">
        <v>2.6680361E8</v>
      </c>
      <c r="K358" s="13">
        <v>46304.0</v>
      </c>
      <c r="L358" s="14">
        <v>46321.0</v>
      </c>
      <c r="M358" s="12"/>
      <c r="N358" s="9">
        <v>107.0</v>
      </c>
      <c r="O358" s="11">
        <v>10.0</v>
      </c>
      <c r="P358" s="9" t="s">
        <v>44</v>
      </c>
      <c r="Q358" s="12"/>
      <c r="R358" s="9" t="s">
        <v>90</v>
      </c>
      <c r="S358" s="9" t="s">
        <v>47</v>
      </c>
      <c r="T358" s="9" t="s">
        <v>44</v>
      </c>
      <c r="U358" s="9" t="s">
        <v>44</v>
      </c>
      <c r="V358" s="11">
        <v>71.37</v>
      </c>
      <c r="W358" s="11">
        <v>5.0</v>
      </c>
      <c r="X358" s="9" t="s">
        <v>48</v>
      </c>
      <c r="Y358" s="9" t="s">
        <v>548</v>
      </c>
      <c r="Z358" s="12"/>
      <c r="AA358" s="9">
        <v>1305743.0</v>
      </c>
      <c r="AB358" s="12"/>
      <c r="AC358" s="9" t="s">
        <v>50</v>
      </c>
    </row>
    <row r="359">
      <c r="A359" s="9" t="s">
        <v>33</v>
      </c>
      <c r="B359" s="11">
        <v>6.0</v>
      </c>
      <c r="C359" s="9" t="s">
        <v>43</v>
      </c>
      <c r="D359" s="9" t="s">
        <v>55</v>
      </c>
      <c r="E359" s="9" t="s">
        <v>56</v>
      </c>
      <c r="F359" s="9" t="s">
        <v>45</v>
      </c>
      <c r="G359" s="9" t="s">
        <v>46</v>
      </c>
      <c r="H359" s="9" t="s">
        <v>549</v>
      </c>
      <c r="I359" s="11">
        <v>8177012.0</v>
      </c>
      <c r="J359" s="11">
        <v>2.66803611E8</v>
      </c>
      <c r="K359" s="13">
        <v>46304.0</v>
      </c>
      <c r="L359" s="14">
        <v>46317.0</v>
      </c>
      <c r="M359" s="12"/>
      <c r="N359" s="9">
        <v>7.0</v>
      </c>
      <c r="O359" s="11">
        <v>8.0</v>
      </c>
      <c r="P359" s="9" t="s">
        <v>44</v>
      </c>
      <c r="Q359" s="12"/>
      <c r="R359" s="9" t="s">
        <v>90</v>
      </c>
      <c r="S359" s="9" t="s">
        <v>47</v>
      </c>
      <c r="T359" s="9" t="s">
        <v>44</v>
      </c>
      <c r="U359" s="9" t="s">
        <v>44</v>
      </c>
      <c r="V359" s="11">
        <v>60.93</v>
      </c>
      <c r="W359" s="11">
        <v>1.0</v>
      </c>
      <c r="X359" s="9" t="s">
        <v>48</v>
      </c>
      <c r="Y359" s="9" t="s">
        <v>550</v>
      </c>
      <c r="Z359" s="12"/>
      <c r="AA359" s="9">
        <v>1305660.0</v>
      </c>
      <c r="AB359" s="12"/>
      <c r="AC359" s="9" t="s">
        <v>50</v>
      </c>
    </row>
    <row r="360">
      <c r="A360" s="9" t="s">
        <v>33</v>
      </c>
      <c r="B360" s="11">
        <v>6.0</v>
      </c>
      <c r="C360" s="9" t="s">
        <v>43</v>
      </c>
      <c r="D360" s="9" t="s">
        <v>55</v>
      </c>
      <c r="E360" s="9" t="s">
        <v>56</v>
      </c>
      <c r="F360" s="9" t="s">
        <v>45</v>
      </c>
      <c r="G360" s="9" t="s">
        <v>46</v>
      </c>
      <c r="H360" s="9" t="s">
        <v>549</v>
      </c>
      <c r="I360" s="11">
        <v>8176833.0</v>
      </c>
      <c r="J360" s="11">
        <v>2.66803612E8</v>
      </c>
      <c r="K360" s="13">
        <v>46304.0</v>
      </c>
      <c r="L360" s="14">
        <v>46317.0</v>
      </c>
      <c r="M360" s="12"/>
      <c r="N360" s="9">
        <v>32.0</v>
      </c>
      <c r="O360" s="11">
        <v>8.0</v>
      </c>
      <c r="P360" s="9" t="s">
        <v>44</v>
      </c>
      <c r="Q360" s="12"/>
      <c r="R360" s="9" t="s">
        <v>90</v>
      </c>
      <c r="S360" s="9" t="s">
        <v>47</v>
      </c>
      <c r="T360" s="9" t="s">
        <v>44</v>
      </c>
      <c r="U360" s="9" t="s">
        <v>44</v>
      </c>
      <c r="V360" s="11">
        <v>60.93</v>
      </c>
      <c r="W360" s="11">
        <v>1.0</v>
      </c>
      <c r="X360" s="9" t="s">
        <v>48</v>
      </c>
      <c r="Y360" s="9" t="s">
        <v>551</v>
      </c>
      <c r="Z360" s="12"/>
      <c r="AA360" s="9">
        <v>1305040.0</v>
      </c>
      <c r="AB360" s="12"/>
      <c r="AC360" s="9" t="s">
        <v>50</v>
      </c>
    </row>
    <row r="361">
      <c r="A361" s="9" t="s">
        <v>33</v>
      </c>
      <c r="B361" s="11">
        <v>6.0</v>
      </c>
      <c r="C361" s="9" t="s">
        <v>43</v>
      </c>
      <c r="D361" s="9" t="s">
        <v>55</v>
      </c>
      <c r="E361" s="9" t="s">
        <v>56</v>
      </c>
      <c r="F361" s="9" t="s">
        <v>45</v>
      </c>
      <c r="G361" s="9" t="s">
        <v>46</v>
      </c>
      <c r="H361" s="9" t="s">
        <v>545</v>
      </c>
      <c r="I361" s="11">
        <v>8177052.0</v>
      </c>
      <c r="J361" s="11">
        <v>2.66803613E8</v>
      </c>
      <c r="K361" s="13">
        <v>46304.0</v>
      </c>
      <c r="L361" s="14">
        <v>46317.0</v>
      </c>
      <c r="M361" s="12"/>
      <c r="N361" s="9">
        <v>1.0</v>
      </c>
      <c r="O361" s="11">
        <v>8.0</v>
      </c>
      <c r="P361" s="9" t="s">
        <v>44</v>
      </c>
      <c r="Q361" s="12"/>
      <c r="R361" s="9" t="s">
        <v>90</v>
      </c>
      <c r="S361" s="9" t="s">
        <v>47</v>
      </c>
      <c r="T361" s="9" t="s">
        <v>44</v>
      </c>
      <c r="U361" s="9" t="s">
        <v>44</v>
      </c>
      <c r="V361" s="11">
        <v>54.19</v>
      </c>
      <c r="W361" s="11">
        <v>1.0</v>
      </c>
      <c r="X361" s="9" t="s">
        <v>48</v>
      </c>
      <c r="Y361" s="9" t="s">
        <v>552</v>
      </c>
      <c r="Z361" s="12"/>
      <c r="AA361" s="9">
        <v>1304823.0</v>
      </c>
      <c r="AB361" s="12"/>
      <c r="AC361" s="9" t="s">
        <v>50</v>
      </c>
    </row>
    <row r="362">
      <c r="A362" s="9" t="s">
        <v>33</v>
      </c>
      <c r="B362" s="11">
        <v>6.0</v>
      </c>
      <c r="C362" s="9" t="s">
        <v>43</v>
      </c>
      <c r="D362" s="9" t="s">
        <v>55</v>
      </c>
      <c r="E362" s="9" t="s">
        <v>56</v>
      </c>
      <c r="F362" s="9" t="s">
        <v>45</v>
      </c>
      <c r="G362" s="9" t="s">
        <v>46</v>
      </c>
      <c r="H362" s="9" t="s">
        <v>138</v>
      </c>
      <c r="I362" s="11">
        <v>8176726.0</v>
      </c>
      <c r="J362" s="11">
        <v>2.66803614E8</v>
      </c>
      <c r="K362" s="13">
        <v>46304.0</v>
      </c>
      <c r="L362" s="14">
        <v>46318.0</v>
      </c>
      <c r="M362" s="12"/>
      <c r="N362" s="9">
        <v>4.0</v>
      </c>
      <c r="O362" s="11">
        <v>9.0</v>
      </c>
      <c r="P362" s="9" t="s">
        <v>44</v>
      </c>
      <c r="Q362" s="12"/>
      <c r="R362" s="9" t="s">
        <v>90</v>
      </c>
      <c r="S362" s="9" t="s">
        <v>47</v>
      </c>
      <c r="T362" s="9" t="s">
        <v>44</v>
      </c>
      <c r="U362" s="9" t="s">
        <v>44</v>
      </c>
      <c r="V362" s="11">
        <v>54.19</v>
      </c>
      <c r="W362" s="11">
        <v>2.0</v>
      </c>
      <c r="X362" s="9" t="s">
        <v>48</v>
      </c>
      <c r="Y362" s="9" t="s">
        <v>553</v>
      </c>
      <c r="Z362" s="12"/>
      <c r="AA362" s="9">
        <v>1305928.0</v>
      </c>
      <c r="AB362" s="12"/>
      <c r="AC362" s="9" t="s">
        <v>50</v>
      </c>
    </row>
    <row r="363">
      <c r="A363" s="9" t="s">
        <v>33</v>
      </c>
      <c r="B363" s="11">
        <v>6.0</v>
      </c>
      <c r="C363" s="9" t="s">
        <v>43</v>
      </c>
      <c r="D363" s="9" t="s">
        <v>55</v>
      </c>
      <c r="E363" s="9" t="s">
        <v>56</v>
      </c>
      <c r="F363" s="9" t="s">
        <v>45</v>
      </c>
      <c r="G363" s="9" t="s">
        <v>46</v>
      </c>
      <c r="H363" s="9" t="s">
        <v>554</v>
      </c>
      <c r="I363" s="11">
        <v>8176762.0</v>
      </c>
      <c r="J363" s="11">
        <v>2.66803615E8</v>
      </c>
      <c r="K363" s="13">
        <v>46304.0</v>
      </c>
      <c r="L363" s="14">
        <v>46317.0</v>
      </c>
      <c r="M363" s="12"/>
      <c r="N363" s="9">
        <v>4.0</v>
      </c>
      <c r="O363" s="11">
        <v>8.0</v>
      </c>
      <c r="P363" s="9" t="s">
        <v>44</v>
      </c>
      <c r="Q363" s="12"/>
      <c r="R363" s="9" t="s">
        <v>90</v>
      </c>
      <c r="S363" s="9" t="s">
        <v>47</v>
      </c>
      <c r="T363" s="9" t="s">
        <v>44</v>
      </c>
      <c r="U363" s="9" t="s">
        <v>44</v>
      </c>
      <c r="V363" s="11">
        <v>54.19</v>
      </c>
      <c r="W363" s="11">
        <v>1.0</v>
      </c>
      <c r="X363" s="9" t="s">
        <v>48</v>
      </c>
      <c r="Y363" s="9" t="s">
        <v>555</v>
      </c>
      <c r="Z363" s="12"/>
      <c r="AA363" s="9">
        <v>1305911.0</v>
      </c>
      <c r="AB363" s="12"/>
      <c r="AC363" s="9" t="s">
        <v>50</v>
      </c>
    </row>
    <row r="364">
      <c r="A364" s="9" t="s">
        <v>33</v>
      </c>
      <c r="B364" s="11">
        <v>6.0</v>
      </c>
      <c r="C364" s="9" t="s">
        <v>43</v>
      </c>
      <c r="D364" s="9" t="s">
        <v>55</v>
      </c>
      <c r="E364" s="9" t="s">
        <v>56</v>
      </c>
      <c r="F364" s="9" t="s">
        <v>45</v>
      </c>
      <c r="G364" s="9" t="s">
        <v>46</v>
      </c>
      <c r="H364" s="9" t="s">
        <v>138</v>
      </c>
      <c r="I364" s="11">
        <v>8176834.0</v>
      </c>
      <c r="J364" s="11">
        <v>2.66803616E8</v>
      </c>
      <c r="K364" s="13">
        <v>46304.0</v>
      </c>
      <c r="L364" s="14">
        <v>46323.0</v>
      </c>
      <c r="M364" s="12"/>
      <c r="N364" s="9">
        <v>104.0</v>
      </c>
      <c r="O364" s="11">
        <v>12.0</v>
      </c>
      <c r="P364" s="9" t="s">
        <v>44</v>
      </c>
      <c r="Q364" s="12"/>
      <c r="R364" s="9" t="s">
        <v>90</v>
      </c>
      <c r="S364" s="9" t="s">
        <v>47</v>
      </c>
      <c r="T364" s="9" t="s">
        <v>44</v>
      </c>
      <c r="U364" s="9" t="s">
        <v>44</v>
      </c>
      <c r="V364" s="11">
        <v>60.93</v>
      </c>
      <c r="W364" s="11">
        <v>1.0</v>
      </c>
      <c r="X364" s="9" t="s">
        <v>48</v>
      </c>
      <c r="Y364" s="9" t="s">
        <v>139</v>
      </c>
      <c r="Z364" s="12"/>
      <c r="AA364" s="9">
        <v>1305018.0</v>
      </c>
      <c r="AB364" s="12"/>
      <c r="AC364" s="9" t="s">
        <v>50</v>
      </c>
    </row>
    <row r="365">
      <c r="A365" s="9" t="s">
        <v>33</v>
      </c>
      <c r="B365" s="11">
        <v>6.0</v>
      </c>
      <c r="C365" s="9" t="s">
        <v>43</v>
      </c>
      <c r="D365" s="9" t="s">
        <v>55</v>
      </c>
      <c r="E365" s="9" t="s">
        <v>56</v>
      </c>
      <c r="F365" s="9" t="s">
        <v>45</v>
      </c>
      <c r="G365" s="9" t="s">
        <v>46</v>
      </c>
      <c r="H365" s="9" t="s">
        <v>138</v>
      </c>
      <c r="I365" s="11">
        <v>8176954.0</v>
      </c>
      <c r="J365" s="11">
        <v>2.66803617E8</v>
      </c>
      <c r="K365" s="13">
        <v>46304.0</v>
      </c>
      <c r="L365" s="14">
        <v>46323.0</v>
      </c>
      <c r="M365" s="12"/>
      <c r="N365" s="9">
        <v>105.0</v>
      </c>
      <c r="O365" s="11">
        <v>12.0</v>
      </c>
      <c r="P365" s="9" t="s">
        <v>44</v>
      </c>
      <c r="Q365" s="12"/>
      <c r="R365" s="9" t="s">
        <v>90</v>
      </c>
      <c r="S365" s="9" t="s">
        <v>47</v>
      </c>
      <c r="T365" s="9" t="s">
        <v>44</v>
      </c>
      <c r="U365" s="9" t="s">
        <v>44</v>
      </c>
      <c r="V365" s="11">
        <v>60.93</v>
      </c>
      <c r="W365" s="11">
        <v>3.0</v>
      </c>
      <c r="X365" s="9" t="s">
        <v>48</v>
      </c>
      <c r="Y365" s="9" t="s">
        <v>556</v>
      </c>
      <c r="Z365" s="12"/>
      <c r="AA365" s="9">
        <v>1305835.0</v>
      </c>
      <c r="AB365" s="12"/>
      <c r="AC365" s="9" t="s">
        <v>50</v>
      </c>
    </row>
    <row r="366">
      <c r="A366" s="9" t="s">
        <v>33</v>
      </c>
      <c r="B366" s="11">
        <v>6.0</v>
      </c>
      <c r="C366" s="9" t="s">
        <v>43</v>
      </c>
      <c r="D366" s="9" t="s">
        <v>55</v>
      </c>
      <c r="E366" s="9" t="s">
        <v>56</v>
      </c>
      <c r="F366" s="9" t="s">
        <v>45</v>
      </c>
      <c r="G366" s="9" t="s">
        <v>46</v>
      </c>
      <c r="H366" s="9" t="s">
        <v>557</v>
      </c>
      <c r="I366" s="11">
        <v>8176763.0</v>
      </c>
      <c r="J366" s="11">
        <v>2.66803618E8</v>
      </c>
      <c r="K366" s="13">
        <v>46304.0</v>
      </c>
      <c r="L366" s="14">
        <v>46318.0</v>
      </c>
      <c r="M366" s="12"/>
      <c r="N366" s="9">
        <v>5.0</v>
      </c>
      <c r="O366" s="11">
        <v>9.0</v>
      </c>
      <c r="P366" s="9" t="s">
        <v>44</v>
      </c>
      <c r="Q366" s="12"/>
      <c r="R366" s="9" t="s">
        <v>90</v>
      </c>
      <c r="S366" s="9" t="s">
        <v>47</v>
      </c>
      <c r="T366" s="9" t="s">
        <v>44</v>
      </c>
      <c r="U366" s="9" t="s">
        <v>44</v>
      </c>
      <c r="V366" s="11">
        <v>60.93</v>
      </c>
      <c r="W366" s="11">
        <v>2.0</v>
      </c>
      <c r="X366" s="9" t="s">
        <v>48</v>
      </c>
      <c r="Y366" s="9" t="s">
        <v>558</v>
      </c>
      <c r="Z366" s="12"/>
      <c r="AA366" s="9">
        <v>1305963.0</v>
      </c>
      <c r="AB366" s="12"/>
      <c r="AC366" s="9" t="s">
        <v>50</v>
      </c>
    </row>
    <row r="367">
      <c r="A367" s="9" t="s">
        <v>33</v>
      </c>
      <c r="B367" s="11">
        <v>6.0</v>
      </c>
      <c r="C367" s="9" t="s">
        <v>43</v>
      </c>
      <c r="D367" s="9" t="s">
        <v>55</v>
      </c>
      <c r="E367" s="9" t="s">
        <v>56</v>
      </c>
      <c r="F367" s="9" t="s">
        <v>45</v>
      </c>
      <c r="G367" s="9" t="s">
        <v>46</v>
      </c>
      <c r="H367" s="9" t="s">
        <v>559</v>
      </c>
      <c r="I367" s="11">
        <v>8176727.0</v>
      </c>
      <c r="J367" s="11">
        <v>2.66803619E8</v>
      </c>
      <c r="K367" s="13">
        <v>46304.0</v>
      </c>
      <c r="L367" s="14">
        <v>46318.0</v>
      </c>
      <c r="M367" s="12"/>
      <c r="N367" s="9">
        <v>2.0</v>
      </c>
      <c r="O367" s="11">
        <v>9.0</v>
      </c>
      <c r="P367" s="9" t="s">
        <v>44</v>
      </c>
      <c r="Q367" s="12"/>
      <c r="R367" s="9" t="s">
        <v>90</v>
      </c>
      <c r="S367" s="9" t="s">
        <v>47</v>
      </c>
      <c r="T367" s="9" t="s">
        <v>44</v>
      </c>
      <c r="U367" s="9" t="s">
        <v>44</v>
      </c>
      <c r="V367" s="11">
        <v>54.19</v>
      </c>
      <c r="W367" s="11">
        <v>4.0</v>
      </c>
      <c r="X367" s="9" t="s">
        <v>48</v>
      </c>
      <c r="Y367" s="9" t="s">
        <v>560</v>
      </c>
      <c r="Z367" s="12"/>
      <c r="AA367" s="9">
        <v>1305763.0</v>
      </c>
      <c r="AB367" s="12"/>
      <c r="AC367" s="9" t="s">
        <v>50</v>
      </c>
    </row>
    <row r="368">
      <c r="A368" s="9" t="s">
        <v>33</v>
      </c>
      <c r="B368" s="11">
        <v>6.0</v>
      </c>
      <c r="C368" s="9" t="s">
        <v>43</v>
      </c>
      <c r="D368" s="9" t="s">
        <v>55</v>
      </c>
      <c r="E368" s="9" t="s">
        <v>56</v>
      </c>
      <c r="F368" s="9" t="s">
        <v>45</v>
      </c>
      <c r="G368" s="9" t="s">
        <v>46</v>
      </c>
      <c r="H368" s="9" t="s">
        <v>140</v>
      </c>
      <c r="I368" s="11">
        <v>8176728.0</v>
      </c>
      <c r="J368" s="11">
        <v>2.6680362E8</v>
      </c>
      <c r="K368" s="13">
        <v>46304.0</v>
      </c>
      <c r="L368" s="14">
        <v>46317.0</v>
      </c>
      <c r="M368" s="12"/>
      <c r="N368" s="9">
        <v>22.0</v>
      </c>
      <c r="O368" s="11">
        <v>8.0</v>
      </c>
      <c r="P368" s="9" t="s">
        <v>44</v>
      </c>
      <c r="Q368" s="12"/>
      <c r="R368" s="9" t="s">
        <v>90</v>
      </c>
      <c r="S368" s="9" t="s">
        <v>47</v>
      </c>
      <c r="T368" s="9" t="s">
        <v>44</v>
      </c>
      <c r="U368" s="9" t="s">
        <v>44</v>
      </c>
      <c r="V368" s="11">
        <v>60.04</v>
      </c>
      <c r="W368" s="11">
        <v>2.0</v>
      </c>
      <c r="X368" s="9" t="s">
        <v>48</v>
      </c>
      <c r="Y368" s="9" t="s">
        <v>143</v>
      </c>
      <c r="Z368" s="12"/>
      <c r="AA368" s="9">
        <v>1305820.0</v>
      </c>
      <c r="AB368" s="12"/>
      <c r="AC368" s="9" t="s">
        <v>50</v>
      </c>
    </row>
    <row r="369">
      <c r="A369" s="9" t="s">
        <v>33</v>
      </c>
      <c r="B369" s="11">
        <v>6.0</v>
      </c>
      <c r="C369" s="9" t="s">
        <v>43</v>
      </c>
      <c r="D369" s="9" t="s">
        <v>55</v>
      </c>
      <c r="E369" s="9" t="s">
        <v>56</v>
      </c>
      <c r="F369" s="9" t="s">
        <v>45</v>
      </c>
      <c r="G369" s="9" t="s">
        <v>46</v>
      </c>
      <c r="H369" s="9" t="s">
        <v>140</v>
      </c>
      <c r="I369" s="11">
        <v>8177064.0</v>
      </c>
      <c r="J369" s="11">
        <v>2.66803622E8</v>
      </c>
      <c r="K369" s="13">
        <v>46304.0</v>
      </c>
      <c r="L369" s="14">
        <v>46317.0</v>
      </c>
      <c r="M369" s="12"/>
      <c r="N369" s="9">
        <v>81.0</v>
      </c>
      <c r="O369" s="11">
        <v>8.0</v>
      </c>
      <c r="P369" s="9" t="s">
        <v>44</v>
      </c>
      <c r="Q369" s="12"/>
      <c r="R369" s="9" t="s">
        <v>90</v>
      </c>
      <c r="S369" s="9" t="s">
        <v>47</v>
      </c>
      <c r="T369" s="9" t="s">
        <v>44</v>
      </c>
      <c r="U369" s="9" t="s">
        <v>44</v>
      </c>
      <c r="V369" s="11">
        <v>60.04</v>
      </c>
      <c r="W369" s="11">
        <v>1.0</v>
      </c>
      <c r="X369" s="9" t="s">
        <v>48</v>
      </c>
      <c r="Y369" s="9" t="s">
        <v>561</v>
      </c>
      <c r="Z369" s="12"/>
      <c r="AA369" s="9">
        <v>1304920.0</v>
      </c>
      <c r="AB369" s="12"/>
      <c r="AC369" s="9" t="s">
        <v>50</v>
      </c>
    </row>
    <row r="370">
      <c r="A370" s="9" t="s">
        <v>33</v>
      </c>
      <c r="B370" s="11">
        <v>6.0</v>
      </c>
      <c r="C370" s="9" t="s">
        <v>43</v>
      </c>
      <c r="D370" s="9" t="s">
        <v>55</v>
      </c>
      <c r="E370" s="9" t="s">
        <v>56</v>
      </c>
      <c r="F370" s="9" t="s">
        <v>45</v>
      </c>
      <c r="G370" s="9" t="s">
        <v>46</v>
      </c>
      <c r="H370" s="9" t="s">
        <v>140</v>
      </c>
      <c r="I370" s="11">
        <v>8176955.0</v>
      </c>
      <c r="J370" s="11">
        <v>2.66803623E8</v>
      </c>
      <c r="K370" s="13">
        <v>46304.0</v>
      </c>
      <c r="L370" s="14">
        <v>46317.0</v>
      </c>
      <c r="M370" s="12"/>
      <c r="N370" s="9">
        <v>81.0</v>
      </c>
      <c r="O370" s="11">
        <v>8.0</v>
      </c>
      <c r="P370" s="9" t="s">
        <v>44</v>
      </c>
      <c r="Q370" s="12"/>
      <c r="R370" s="9" t="s">
        <v>90</v>
      </c>
      <c r="S370" s="9" t="s">
        <v>47</v>
      </c>
      <c r="T370" s="9" t="s">
        <v>44</v>
      </c>
      <c r="U370" s="9" t="s">
        <v>44</v>
      </c>
      <c r="V370" s="11">
        <v>115.68</v>
      </c>
      <c r="W370" s="11">
        <v>13.0</v>
      </c>
      <c r="X370" s="9" t="s">
        <v>48</v>
      </c>
      <c r="Y370" s="9" t="s">
        <v>562</v>
      </c>
      <c r="Z370" s="12"/>
      <c r="AA370" s="9">
        <v>1305918.0</v>
      </c>
      <c r="AB370" s="12"/>
      <c r="AC370" s="9" t="s">
        <v>50</v>
      </c>
    </row>
    <row r="371">
      <c r="A371" s="9" t="s">
        <v>33</v>
      </c>
      <c r="B371" s="11">
        <v>6.0</v>
      </c>
      <c r="C371" s="9" t="s">
        <v>43</v>
      </c>
      <c r="D371" s="9" t="s">
        <v>55</v>
      </c>
      <c r="E371" s="9" t="s">
        <v>56</v>
      </c>
      <c r="F371" s="9" t="s">
        <v>45</v>
      </c>
      <c r="G371" s="9" t="s">
        <v>46</v>
      </c>
      <c r="H371" s="9" t="s">
        <v>326</v>
      </c>
      <c r="I371" s="11">
        <v>8176794.0</v>
      </c>
      <c r="J371" s="11">
        <v>2.66803624E8</v>
      </c>
      <c r="K371" s="13">
        <v>46304.0</v>
      </c>
      <c r="L371" s="14">
        <v>46316.0</v>
      </c>
      <c r="M371" s="12"/>
      <c r="N371" s="9">
        <v>912.0</v>
      </c>
      <c r="O371" s="11">
        <v>7.0</v>
      </c>
      <c r="P371" s="9" t="s">
        <v>44</v>
      </c>
      <c r="Q371" s="12"/>
      <c r="R371" s="9" t="s">
        <v>52</v>
      </c>
      <c r="S371" s="9" t="s">
        <v>47</v>
      </c>
      <c r="T371" s="9" t="s">
        <v>44</v>
      </c>
      <c r="U371" s="9" t="s">
        <v>44</v>
      </c>
      <c r="V371" s="11">
        <v>45.49</v>
      </c>
      <c r="W371" s="11">
        <v>2.0</v>
      </c>
      <c r="X371" s="9" t="s">
        <v>48</v>
      </c>
      <c r="Y371" s="9" t="s">
        <v>563</v>
      </c>
      <c r="Z371" s="12"/>
      <c r="AA371" s="9" t="s">
        <v>564</v>
      </c>
      <c r="AB371" s="12"/>
      <c r="AC371" s="9" t="s">
        <v>50</v>
      </c>
    </row>
    <row r="372">
      <c r="A372" s="9" t="s">
        <v>33</v>
      </c>
      <c r="B372" s="11">
        <v>6.0</v>
      </c>
      <c r="C372" s="9" t="s">
        <v>43</v>
      </c>
      <c r="D372" s="9" t="s">
        <v>55</v>
      </c>
      <c r="E372" s="9" t="s">
        <v>56</v>
      </c>
      <c r="F372" s="9" t="s">
        <v>45</v>
      </c>
      <c r="G372" s="9" t="s">
        <v>46</v>
      </c>
      <c r="H372" s="9" t="s">
        <v>140</v>
      </c>
      <c r="I372" s="11">
        <v>8176923.0</v>
      </c>
      <c r="J372" s="11">
        <v>2.66803625E8</v>
      </c>
      <c r="K372" s="13">
        <v>46304.0</v>
      </c>
      <c r="L372" s="14">
        <v>46317.0</v>
      </c>
      <c r="M372" s="12"/>
      <c r="N372" s="9">
        <v>17.0</v>
      </c>
      <c r="O372" s="11">
        <v>8.0</v>
      </c>
      <c r="P372" s="9" t="s">
        <v>44</v>
      </c>
      <c r="Q372" s="12"/>
      <c r="R372" s="9" t="s">
        <v>90</v>
      </c>
      <c r="S372" s="9" t="s">
        <v>47</v>
      </c>
      <c r="T372" s="9" t="s">
        <v>44</v>
      </c>
      <c r="U372" s="9" t="s">
        <v>44</v>
      </c>
      <c r="V372" s="11">
        <v>60.04</v>
      </c>
      <c r="W372" s="11">
        <v>1.0</v>
      </c>
      <c r="X372" s="9" t="s">
        <v>48</v>
      </c>
      <c r="Y372" s="9" t="s">
        <v>565</v>
      </c>
      <c r="Z372" s="12"/>
      <c r="AA372" s="9">
        <v>1305410.0</v>
      </c>
      <c r="AB372" s="12"/>
      <c r="AC372" s="9" t="s">
        <v>50</v>
      </c>
    </row>
    <row r="373">
      <c r="A373" s="9" t="s">
        <v>33</v>
      </c>
      <c r="B373" s="11">
        <v>6.0</v>
      </c>
      <c r="C373" s="9" t="s">
        <v>43</v>
      </c>
      <c r="D373" s="9" t="s">
        <v>55</v>
      </c>
      <c r="E373" s="9" t="s">
        <v>56</v>
      </c>
      <c r="F373" s="9" t="s">
        <v>45</v>
      </c>
      <c r="G373" s="9" t="s">
        <v>46</v>
      </c>
      <c r="H373" s="9" t="s">
        <v>145</v>
      </c>
      <c r="I373" s="11">
        <v>8176956.0</v>
      </c>
      <c r="J373" s="11">
        <v>2.66803626E8</v>
      </c>
      <c r="K373" s="13">
        <v>46304.0</v>
      </c>
      <c r="L373" s="14">
        <v>46317.0</v>
      </c>
      <c r="M373" s="12"/>
      <c r="N373" s="9">
        <v>114.0</v>
      </c>
      <c r="O373" s="11">
        <v>8.0</v>
      </c>
      <c r="P373" s="9" t="s">
        <v>44</v>
      </c>
      <c r="Q373" s="12"/>
      <c r="R373" s="9" t="s">
        <v>90</v>
      </c>
      <c r="S373" s="9" t="s">
        <v>47</v>
      </c>
      <c r="T373" s="9" t="s">
        <v>44</v>
      </c>
      <c r="U373" s="9" t="s">
        <v>44</v>
      </c>
      <c r="V373" s="11">
        <v>60.04</v>
      </c>
      <c r="W373" s="11">
        <v>2.0</v>
      </c>
      <c r="X373" s="9" t="s">
        <v>48</v>
      </c>
      <c r="Y373" s="9" t="s">
        <v>566</v>
      </c>
      <c r="Z373" s="12"/>
      <c r="AA373" s="9">
        <v>1305817.0</v>
      </c>
      <c r="AB373" s="12"/>
      <c r="AC373" s="9" t="s">
        <v>50</v>
      </c>
    </row>
    <row r="374">
      <c r="A374" s="9" t="s">
        <v>33</v>
      </c>
      <c r="B374" s="11">
        <v>6.0</v>
      </c>
      <c r="C374" s="9" t="s">
        <v>43</v>
      </c>
      <c r="D374" s="9" t="s">
        <v>55</v>
      </c>
      <c r="E374" s="9" t="s">
        <v>56</v>
      </c>
      <c r="F374" s="9" t="s">
        <v>45</v>
      </c>
      <c r="G374" s="9" t="s">
        <v>46</v>
      </c>
      <c r="H374" s="9" t="s">
        <v>145</v>
      </c>
      <c r="I374" s="11">
        <v>8176924.0</v>
      </c>
      <c r="J374" s="11">
        <v>2.66803627E8</v>
      </c>
      <c r="K374" s="13">
        <v>46304.0</v>
      </c>
      <c r="L374" s="14">
        <v>46323.0</v>
      </c>
      <c r="M374" s="12"/>
      <c r="N374" s="9">
        <v>105.0</v>
      </c>
      <c r="O374" s="11">
        <v>12.0</v>
      </c>
      <c r="P374" s="9" t="s">
        <v>44</v>
      </c>
      <c r="Q374" s="12"/>
      <c r="R374" s="9" t="s">
        <v>52</v>
      </c>
      <c r="S374" s="9" t="s">
        <v>47</v>
      </c>
      <c r="T374" s="9" t="s">
        <v>44</v>
      </c>
      <c r="U374" s="9" t="s">
        <v>44</v>
      </c>
      <c r="V374" s="11">
        <v>67.68</v>
      </c>
      <c r="W374" s="11">
        <v>1.0</v>
      </c>
      <c r="X374" s="9" t="s">
        <v>48</v>
      </c>
      <c r="Y374" s="9" t="s">
        <v>567</v>
      </c>
      <c r="Z374" s="12"/>
      <c r="AA374" s="9">
        <v>1305449.0</v>
      </c>
      <c r="AB374" s="12"/>
      <c r="AC374" s="9" t="s">
        <v>50</v>
      </c>
    </row>
    <row r="375">
      <c r="A375" s="9" t="s">
        <v>33</v>
      </c>
      <c r="B375" s="11">
        <v>6.0</v>
      </c>
      <c r="C375" s="9" t="s">
        <v>43</v>
      </c>
      <c r="D375" s="9" t="s">
        <v>55</v>
      </c>
      <c r="E375" s="9" t="s">
        <v>56</v>
      </c>
      <c r="F375" s="9" t="s">
        <v>45</v>
      </c>
      <c r="G375" s="9" t="s">
        <v>46</v>
      </c>
      <c r="H375" s="9" t="s">
        <v>140</v>
      </c>
      <c r="I375" s="11">
        <v>8177013.0</v>
      </c>
      <c r="J375" s="11">
        <v>2.66803628E8</v>
      </c>
      <c r="K375" s="13">
        <v>46304.0</v>
      </c>
      <c r="L375" s="14">
        <v>46317.0</v>
      </c>
      <c r="M375" s="12"/>
      <c r="N375" s="9">
        <v>15.0</v>
      </c>
      <c r="O375" s="11">
        <v>8.0</v>
      </c>
      <c r="P375" s="9" t="s">
        <v>44</v>
      </c>
      <c r="Q375" s="12"/>
      <c r="R375" s="9" t="s">
        <v>90</v>
      </c>
      <c r="S375" s="9" t="s">
        <v>47</v>
      </c>
      <c r="T375" s="9" t="s">
        <v>44</v>
      </c>
      <c r="U375" s="9" t="s">
        <v>44</v>
      </c>
      <c r="V375" s="11">
        <v>60.04</v>
      </c>
      <c r="W375" s="11">
        <v>1.0</v>
      </c>
      <c r="X375" s="9" t="s">
        <v>48</v>
      </c>
      <c r="Y375" s="9" t="s">
        <v>568</v>
      </c>
      <c r="Z375" s="12"/>
      <c r="AA375" s="9">
        <v>1305744.0</v>
      </c>
      <c r="AB375" s="12"/>
      <c r="AC375" s="9" t="s">
        <v>50</v>
      </c>
    </row>
    <row r="376">
      <c r="A376" s="9" t="s">
        <v>33</v>
      </c>
      <c r="B376" s="11">
        <v>6.0</v>
      </c>
      <c r="C376" s="9" t="s">
        <v>43</v>
      </c>
      <c r="D376" s="9" t="s">
        <v>55</v>
      </c>
      <c r="E376" s="9" t="s">
        <v>56</v>
      </c>
      <c r="F376" s="9" t="s">
        <v>45</v>
      </c>
      <c r="G376" s="9" t="s">
        <v>46</v>
      </c>
      <c r="H376" s="9" t="s">
        <v>326</v>
      </c>
      <c r="I376" s="11">
        <v>8177053.0</v>
      </c>
      <c r="J376" s="11">
        <v>2.66803629E8</v>
      </c>
      <c r="K376" s="13">
        <v>46304.0</v>
      </c>
      <c r="L376" s="14">
        <v>46316.0</v>
      </c>
      <c r="M376" s="12"/>
      <c r="N376" s="9">
        <v>941.0</v>
      </c>
      <c r="O376" s="11">
        <v>7.0</v>
      </c>
      <c r="P376" s="9" t="s">
        <v>44</v>
      </c>
      <c r="Q376" s="12"/>
      <c r="R376" s="12"/>
      <c r="S376" s="9" t="s">
        <v>47</v>
      </c>
      <c r="T376" s="9" t="s">
        <v>44</v>
      </c>
      <c r="U376" s="9" t="s">
        <v>44</v>
      </c>
      <c r="V376" s="11">
        <v>45.49</v>
      </c>
      <c r="W376" s="11">
        <v>1.0</v>
      </c>
      <c r="X376" s="9" t="s">
        <v>48</v>
      </c>
      <c r="Y376" s="9" t="s">
        <v>569</v>
      </c>
      <c r="Z376" s="12"/>
      <c r="AA376" s="9">
        <v>1305205.0</v>
      </c>
      <c r="AB376" s="12"/>
      <c r="AC376" s="9" t="s">
        <v>50</v>
      </c>
    </row>
    <row r="377">
      <c r="A377" s="9" t="s">
        <v>33</v>
      </c>
      <c r="B377" s="11">
        <v>6.0</v>
      </c>
      <c r="C377" s="9" t="s">
        <v>43</v>
      </c>
      <c r="D377" s="9" t="s">
        <v>55</v>
      </c>
      <c r="E377" s="9" t="s">
        <v>56</v>
      </c>
      <c r="F377" s="9" t="s">
        <v>45</v>
      </c>
      <c r="G377" s="9" t="s">
        <v>46</v>
      </c>
      <c r="H377" s="9" t="s">
        <v>140</v>
      </c>
      <c r="I377" s="11">
        <v>8176861.0</v>
      </c>
      <c r="J377" s="11">
        <v>2.6680363E8</v>
      </c>
      <c r="K377" s="13">
        <v>46304.0</v>
      </c>
      <c r="L377" s="14">
        <v>46318.0</v>
      </c>
      <c r="M377" s="12"/>
      <c r="N377" s="9">
        <v>8.0</v>
      </c>
      <c r="O377" s="11">
        <v>9.0</v>
      </c>
      <c r="P377" s="9" t="s">
        <v>44</v>
      </c>
      <c r="Q377" s="12"/>
      <c r="R377" s="9" t="s">
        <v>90</v>
      </c>
      <c r="S377" s="9" t="s">
        <v>47</v>
      </c>
      <c r="T377" s="9" t="s">
        <v>44</v>
      </c>
      <c r="U377" s="9" t="s">
        <v>44</v>
      </c>
      <c r="V377" s="11">
        <v>60.04</v>
      </c>
      <c r="W377" s="11">
        <v>1.0</v>
      </c>
      <c r="X377" s="9" t="s">
        <v>48</v>
      </c>
      <c r="Y377" s="9" t="s">
        <v>570</v>
      </c>
      <c r="Z377" s="12"/>
      <c r="AA377" s="9">
        <v>1305586.0</v>
      </c>
      <c r="AB377" s="12"/>
      <c r="AC377" s="9" t="s">
        <v>50</v>
      </c>
    </row>
    <row r="378">
      <c r="A378" s="9" t="s">
        <v>33</v>
      </c>
      <c r="B378" s="11">
        <v>6.0</v>
      </c>
      <c r="C378" s="9" t="s">
        <v>43</v>
      </c>
      <c r="D378" s="9" t="s">
        <v>55</v>
      </c>
      <c r="E378" s="9" t="s">
        <v>56</v>
      </c>
      <c r="F378" s="9" t="s">
        <v>45</v>
      </c>
      <c r="G378" s="9" t="s">
        <v>46</v>
      </c>
      <c r="H378" s="9" t="s">
        <v>147</v>
      </c>
      <c r="I378" s="11">
        <v>8177054.0</v>
      </c>
      <c r="J378" s="11">
        <v>2.66803631E8</v>
      </c>
      <c r="K378" s="13">
        <v>46304.0</v>
      </c>
      <c r="L378" s="14">
        <v>46317.0</v>
      </c>
      <c r="M378" s="12"/>
      <c r="N378" s="9">
        <v>1.0</v>
      </c>
      <c r="O378" s="11">
        <v>8.0</v>
      </c>
      <c r="P378" s="9" t="s">
        <v>44</v>
      </c>
      <c r="Q378" s="12"/>
      <c r="R378" s="12"/>
      <c r="S378" s="9" t="s">
        <v>47</v>
      </c>
      <c r="T378" s="9" t="s">
        <v>44</v>
      </c>
      <c r="U378" s="9" t="s">
        <v>44</v>
      </c>
      <c r="V378" s="11">
        <v>60.04</v>
      </c>
      <c r="W378" s="11">
        <v>1.0</v>
      </c>
      <c r="X378" s="9" t="s">
        <v>48</v>
      </c>
      <c r="Y378" s="9" t="s">
        <v>571</v>
      </c>
      <c r="Z378" s="12"/>
      <c r="AA378" s="9">
        <v>1304752.0</v>
      </c>
      <c r="AB378" s="12"/>
      <c r="AC378" s="9" t="s">
        <v>50</v>
      </c>
    </row>
    <row r="379">
      <c r="A379" s="9" t="s">
        <v>33</v>
      </c>
      <c r="B379" s="11">
        <v>6.0</v>
      </c>
      <c r="C379" s="9" t="s">
        <v>43</v>
      </c>
      <c r="D379" s="9" t="s">
        <v>55</v>
      </c>
      <c r="E379" s="9" t="s">
        <v>56</v>
      </c>
      <c r="F379" s="9" t="s">
        <v>45</v>
      </c>
      <c r="G379" s="9" t="s">
        <v>46</v>
      </c>
      <c r="H379" s="9" t="s">
        <v>147</v>
      </c>
      <c r="I379" s="11">
        <v>8176957.0</v>
      </c>
      <c r="J379" s="11">
        <v>2.66803632E8</v>
      </c>
      <c r="K379" s="13">
        <v>46304.0</v>
      </c>
      <c r="L379" s="14">
        <v>46317.0</v>
      </c>
      <c r="M379" s="12"/>
      <c r="N379" s="9">
        <v>3.0</v>
      </c>
      <c r="O379" s="11">
        <v>8.0</v>
      </c>
      <c r="P379" s="9" t="s">
        <v>44</v>
      </c>
      <c r="Q379" s="12"/>
      <c r="R379" s="9" t="s">
        <v>90</v>
      </c>
      <c r="S379" s="9" t="s">
        <v>47</v>
      </c>
      <c r="T379" s="9" t="s">
        <v>44</v>
      </c>
      <c r="U379" s="9" t="s">
        <v>44</v>
      </c>
      <c r="V379" s="11">
        <v>60.04</v>
      </c>
      <c r="W379" s="11">
        <v>1.0</v>
      </c>
      <c r="X379" s="9" t="s">
        <v>48</v>
      </c>
      <c r="Y379" s="9" t="s">
        <v>572</v>
      </c>
      <c r="Z379" s="12"/>
      <c r="AA379" s="9">
        <v>1305356.0</v>
      </c>
      <c r="AB379" s="12"/>
      <c r="AC379" s="9" t="s">
        <v>50</v>
      </c>
    </row>
    <row r="380">
      <c r="A380" s="9" t="s">
        <v>33</v>
      </c>
      <c r="B380" s="11">
        <v>6.0</v>
      </c>
      <c r="C380" s="9" t="s">
        <v>43</v>
      </c>
      <c r="D380" s="9" t="s">
        <v>55</v>
      </c>
      <c r="E380" s="9" t="s">
        <v>56</v>
      </c>
      <c r="F380" s="9" t="s">
        <v>45</v>
      </c>
      <c r="G380" s="9" t="s">
        <v>46</v>
      </c>
      <c r="H380" s="9" t="s">
        <v>573</v>
      </c>
      <c r="I380" s="11">
        <v>8177014.0</v>
      </c>
      <c r="J380" s="11">
        <v>2.66803633E8</v>
      </c>
      <c r="K380" s="13">
        <v>46304.0</v>
      </c>
      <c r="L380" s="14">
        <v>46321.0</v>
      </c>
      <c r="M380" s="12"/>
      <c r="N380" s="9">
        <v>116.0</v>
      </c>
      <c r="O380" s="11">
        <v>10.0</v>
      </c>
      <c r="P380" s="9" t="s">
        <v>44</v>
      </c>
      <c r="Q380" s="12"/>
      <c r="R380" s="9" t="s">
        <v>90</v>
      </c>
      <c r="S380" s="9" t="s">
        <v>47</v>
      </c>
      <c r="T380" s="9" t="s">
        <v>44</v>
      </c>
      <c r="U380" s="9" t="s">
        <v>44</v>
      </c>
      <c r="V380" s="11">
        <v>67.68</v>
      </c>
      <c r="W380" s="11">
        <v>1.0</v>
      </c>
      <c r="X380" s="9" t="s">
        <v>48</v>
      </c>
      <c r="Y380" s="9" t="s">
        <v>574</v>
      </c>
      <c r="Z380" s="12"/>
      <c r="AA380" s="9">
        <v>1304033.0</v>
      </c>
      <c r="AB380" s="12"/>
      <c r="AC380" s="9" t="s">
        <v>50</v>
      </c>
    </row>
    <row r="381">
      <c r="A381" s="9" t="s">
        <v>33</v>
      </c>
      <c r="B381" s="11">
        <v>6.0</v>
      </c>
      <c r="C381" s="9" t="s">
        <v>43</v>
      </c>
      <c r="D381" s="9" t="s">
        <v>55</v>
      </c>
      <c r="E381" s="9" t="s">
        <v>56</v>
      </c>
      <c r="F381" s="9" t="s">
        <v>45</v>
      </c>
      <c r="G381" s="9" t="s">
        <v>46</v>
      </c>
      <c r="H381" s="9" t="s">
        <v>575</v>
      </c>
      <c r="I381" s="11">
        <v>8176862.0</v>
      </c>
      <c r="J381" s="11">
        <v>2.66803634E8</v>
      </c>
      <c r="K381" s="13">
        <v>46304.0</v>
      </c>
      <c r="L381" s="14">
        <v>46318.0</v>
      </c>
      <c r="M381" s="12"/>
      <c r="N381" s="9">
        <v>1.0</v>
      </c>
      <c r="O381" s="11">
        <v>9.0</v>
      </c>
      <c r="P381" s="9" t="s">
        <v>44</v>
      </c>
      <c r="Q381" s="12"/>
      <c r="R381" s="9" t="s">
        <v>90</v>
      </c>
      <c r="S381" s="9" t="s">
        <v>47</v>
      </c>
      <c r="T381" s="9" t="s">
        <v>44</v>
      </c>
      <c r="U381" s="9" t="s">
        <v>44</v>
      </c>
      <c r="V381" s="11">
        <v>60.04</v>
      </c>
      <c r="W381" s="11">
        <v>1.0</v>
      </c>
      <c r="X381" s="9" t="s">
        <v>48</v>
      </c>
      <c r="Y381" s="9" t="s">
        <v>576</v>
      </c>
      <c r="Z381" s="12"/>
      <c r="AA381" s="9">
        <v>1305686.0</v>
      </c>
      <c r="AB381" s="12"/>
      <c r="AC381" s="9" t="s">
        <v>50</v>
      </c>
    </row>
    <row r="382">
      <c r="A382" s="9" t="s">
        <v>33</v>
      </c>
      <c r="B382" s="11">
        <v>6.0</v>
      </c>
      <c r="C382" s="9" t="s">
        <v>43</v>
      </c>
      <c r="D382" s="9" t="s">
        <v>55</v>
      </c>
      <c r="E382" s="9" t="s">
        <v>56</v>
      </c>
      <c r="F382" s="9" t="s">
        <v>45</v>
      </c>
      <c r="G382" s="9" t="s">
        <v>46</v>
      </c>
      <c r="H382" s="9" t="s">
        <v>577</v>
      </c>
      <c r="I382" s="11">
        <v>8176835.0</v>
      </c>
      <c r="J382" s="11">
        <v>2.66803635E8</v>
      </c>
      <c r="K382" s="13">
        <v>46304.0</v>
      </c>
      <c r="L382" s="14">
        <v>46322.0</v>
      </c>
      <c r="M382" s="12"/>
      <c r="N382" s="9">
        <v>108.0</v>
      </c>
      <c r="O382" s="11">
        <v>11.0</v>
      </c>
      <c r="P382" s="9" t="s">
        <v>44</v>
      </c>
      <c r="Q382" s="12"/>
      <c r="R382" s="9" t="s">
        <v>52</v>
      </c>
      <c r="S382" s="9" t="s">
        <v>47</v>
      </c>
      <c r="T382" s="9" t="s">
        <v>44</v>
      </c>
      <c r="U382" s="9" t="s">
        <v>44</v>
      </c>
      <c r="V382" s="11">
        <v>67.68</v>
      </c>
      <c r="W382" s="11">
        <v>1.0</v>
      </c>
      <c r="X382" s="9" t="s">
        <v>48</v>
      </c>
      <c r="Y382" s="9" t="s">
        <v>578</v>
      </c>
      <c r="Z382" s="12"/>
      <c r="AA382" s="9">
        <v>1305110.0</v>
      </c>
      <c r="AB382" s="12"/>
      <c r="AC382" s="9" t="s">
        <v>50</v>
      </c>
    </row>
    <row r="383">
      <c r="A383" s="9" t="s">
        <v>33</v>
      </c>
      <c r="B383" s="11">
        <v>6.0</v>
      </c>
      <c r="C383" s="9" t="s">
        <v>43</v>
      </c>
      <c r="D383" s="9" t="s">
        <v>55</v>
      </c>
      <c r="E383" s="9" t="s">
        <v>56</v>
      </c>
      <c r="F383" s="9" t="s">
        <v>45</v>
      </c>
      <c r="G383" s="9" t="s">
        <v>46</v>
      </c>
      <c r="H383" s="9" t="s">
        <v>577</v>
      </c>
      <c r="I383" s="11">
        <v>8176764.0</v>
      </c>
      <c r="J383" s="11">
        <v>2.66803636E8</v>
      </c>
      <c r="K383" s="13">
        <v>46304.0</v>
      </c>
      <c r="L383" s="14">
        <v>46323.0</v>
      </c>
      <c r="M383" s="12"/>
      <c r="N383" s="9">
        <v>104.0</v>
      </c>
      <c r="O383" s="11">
        <v>12.0</v>
      </c>
      <c r="P383" s="9" t="s">
        <v>44</v>
      </c>
      <c r="Q383" s="12"/>
      <c r="R383" s="9" t="s">
        <v>52</v>
      </c>
      <c r="S383" s="9" t="s">
        <v>47</v>
      </c>
      <c r="T383" s="9" t="s">
        <v>44</v>
      </c>
      <c r="U383" s="9" t="s">
        <v>44</v>
      </c>
      <c r="V383" s="11">
        <v>67.68</v>
      </c>
      <c r="W383" s="11">
        <v>3.0</v>
      </c>
      <c r="X383" s="9" t="s">
        <v>48</v>
      </c>
      <c r="Y383" s="9" t="s">
        <v>579</v>
      </c>
      <c r="Z383" s="12"/>
      <c r="AA383" s="9">
        <v>1305861.0</v>
      </c>
      <c r="AB383" s="12"/>
      <c r="AC383" s="9" t="s">
        <v>50</v>
      </c>
    </row>
    <row r="384">
      <c r="A384" s="9" t="s">
        <v>33</v>
      </c>
      <c r="B384" s="11">
        <v>6.0</v>
      </c>
      <c r="C384" s="9" t="s">
        <v>43</v>
      </c>
      <c r="D384" s="9" t="s">
        <v>55</v>
      </c>
      <c r="E384" s="9" t="s">
        <v>56</v>
      </c>
      <c r="F384" s="9" t="s">
        <v>45</v>
      </c>
      <c r="G384" s="9" t="s">
        <v>46</v>
      </c>
      <c r="H384" s="9" t="s">
        <v>580</v>
      </c>
      <c r="I384" s="11">
        <v>8177015.0</v>
      </c>
      <c r="J384" s="11">
        <v>2.66803637E8</v>
      </c>
      <c r="K384" s="13">
        <v>46304.0</v>
      </c>
      <c r="L384" s="14">
        <v>46322.0</v>
      </c>
      <c r="M384" s="12"/>
      <c r="N384" s="9">
        <v>103.0</v>
      </c>
      <c r="O384" s="11">
        <v>11.0</v>
      </c>
      <c r="P384" s="9" t="s">
        <v>44</v>
      </c>
      <c r="Q384" s="12"/>
      <c r="R384" s="9" t="s">
        <v>90</v>
      </c>
      <c r="S384" s="9" t="s">
        <v>47</v>
      </c>
      <c r="T384" s="9" t="s">
        <v>44</v>
      </c>
      <c r="U384" s="9" t="s">
        <v>44</v>
      </c>
      <c r="V384" s="11">
        <v>67.68</v>
      </c>
      <c r="W384" s="11">
        <v>2.0</v>
      </c>
      <c r="X384" s="9" t="s">
        <v>48</v>
      </c>
      <c r="Y384" s="9" t="s">
        <v>581</v>
      </c>
      <c r="Z384" s="12"/>
      <c r="AA384" s="9">
        <v>1306012.0</v>
      </c>
      <c r="AB384" s="12"/>
      <c r="AC384" s="9" t="s">
        <v>50</v>
      </c>
    </row>
    <row r="385">
      <c r="A385" s="9" t="s">
        <v>33</v>
      </c>
      <c r="B385" s="11">
        <v>6.0</v>
      </c>
      <c r="C385" s="9" t="s">
        <v>43</v>
      </c>
      <c r="D385" s="9" t="s">
        <v>55</v>
      </c>
      <c r="E385" s="9" t="s">
        <v>56</v>
      </c>
      <c r="F385" s="9" t="s">
        <v>45</v>
      </c>
      <c r="G385" s="9" t="s">
        <v>46</v>
      </c>
      <c r="H385" s="9" t="s">
        <v>577</v>
      </c>
      <c r="I385" s="11">
        <v>8176795.0</v>
      </c>
      <c r="J385" s="11">
        <v>2.66803638E8</v>
      </c>
      <c r="K385" s="13">
        <v>46304.0</v>
      </c>
      <c r="L385" s="14">
        <v>46322.0</v>
      </c>
      <c r="M385" s="12"/>
      <c r="N385" s="9">
        <v>106.0</v>
      </c>
      <c r="O385" s="11">
        <v>11.0</v>
      </c>
      <c r="P385" s="9" t="s">
        <v>44</v>
      </c>
      <c r="Q385" s="12"/>
      <c r="R385" s="9" t="s">
        <v>52</v>
      </c>
      <c r="S385" s="9" t="s">
        <v>47</v>
      </c>
      <c r="T385" s="9" t="s">
        <v>44</v>
      </c>
      <c r="U385" s="9" t="s">
        <v>44</v>
      </c>
      <c r="V385" s="11">
        <v>67.68</v>
      </c>
      <c r="W385" s="11">
        <v>1.0</v>
      </c>
      <c r="X385" s="9" t="s">
        <v>48</v>
      </c>
      <c r="Y385" s="9" t="s">
        <v>582</v>
      </c>
      <c r="Z385" s="12"/>
      <c r="AA385" s="9">
        <v>1305121.0</v>
      </c>
      <c r="AB385" s="12"/>
      <c r="AC385" s="9" t="s">
        <v>50</v>
      </c>
    </row>
    <row r="386">
      <c r="A386" s="9" t="s">
        <v>33</v>
      </c>
      <c r="B386" s="11">
        <v>6.0</v>
      </c>
      <c r="C386" s="9" t="s">
        <v>43</v>
      </c>
      <c r="D386" s="9" t="s">
        <v>55</v>
      </c>
      <c r="E386" s="9" t="s">
        <v>56</v>
      </c>
      <c r="F386" s="9" t="s">
        <v>45</v>
      </c>
      <c r="G386" s="9" t="s">
        <v>46</v>
      </c>
      <c r="H386" s="9" t="s">
        <v>577</v>
      </c>
      <c r="I386" s="11">
        <v>8176796.0</v>
      </c>
      <c r="J386" s="11">
        <v>2.66803639E8</v>
      </c>
      <c r="K386" s="13">
        <v>46304.0</v>
      </c>
      <c r="L386" s="14">
        <v>46317.0</v>
      </c>
      <c r="M386" s="12"/>
      <c r="N386" s="9">
        <v>1.0</v>
      </c>
      <c r="O386" s="11">
        <v>8.0</v>
      </c>
      <c r="P386" s="9" t="s">
        <v>44</v>
      </c>
      <c r="Q386" s="12"/>
      <c r="R386" s="9" t="s">
        <v>52</v>
      </c>
      <c r="S386" s="9" t="s">
        <v>47</v>
      </c>
      <c r="T386" s="9" t="s">
        <v>44</v>
      </c>
      <c r="U386" s="9" t="s">
        <v>44</v>
      </c>
      <c r="V386" s="11">
        <v>60.04</v>
      </c>
      <c r="W386" s="11">
        <v>1.0</v>
      </c>
      <c r="X386" s="9" t="s">
        <v>48</v>
      </c>
      <c r="Y386" s="9" t="s">
        <v>583</v>
      </c>
      <c r="Z386" s="12"/>
      <c r="AA386" s="9">
        <v>1305223.0</v>
      </c>
      <c r="AB386" s="12"/>
      <c r="AC386" s="9" t="s">
        <v>50</v>
      </c>
    </row>
    <row r="387">
      <c r="A387" s="9" t="s">
        <v>33</v>
      </c>
      <c r="B387" s="11">
        <v>6.0</v>
      </c>
      <c r="C387" s="9" t="s">
        <v>43</v>
      </c>
      <c r="D387" s="9" t="s">
        <v>55</v>
      </c>
      <c r="E387" s="9" t="s">
        <v>56</v>
      </c>
      <c r="F387" s="9" t="s">
        <v>45</v>
      </c>
      <c r="G387" s="9" t="s">
        <v>46</v>
      </c>
      <c r="H387" s="9" t="s">
        <v>326</v>
      </c>
      <c r="I387" s="11">
        <v>8177065.0</v>
      </c>
      <c r="J387" s="11">
        <v>2.6680364E8</v>
      </c>
      <c r="K387" s="13">
        <v>46304.0</v>
      </c>
      <c r="L387" s="14">
        <v>46316.0</v>
      </c>
      <c r="M387" s="12"/>
      <c r="N387" s="9">
        <v>970.0</v>
      </c>
      <c r="O387" s="11">
        <v>7.0</v>
      </c>
      <c r="P387" s="9" t="s">
        <v>44</v>
      </c>
      <c r="Q387" s="12"/>
      <c r="R387" s="12"/>
      <c r="S387" s="9" t="s">
        <v>47</v>
      </c>
      <c r="T387" s="9" t="s">
        <v>44</v>
      </c>
      <c r="U387" s="9" t="s">
        <v>44</v>
      </c>
      <c r="V387" s="11">
        <v>45.49</v>
      </c>
      <c r="W387" s="11">
        <v>1.0</v>
      </c>
      <c r="X387" s="9" t="s">
        <v>48</v>
      </c>
      <c r="Y387" s="9" t="s">
        <v>584</v>
      </c>
      <c r="Z387" s="12"/>
      <c r="AA387" s="9">
        <v>1304903.0</v>
      </c>
      <c r="AB387" s="12"/>
      <c r="AC387" s="9" t="s">
        <v>50</v>
      </c>
    </row>
    <row r="388">
      <c r="A388" s="9" t="s">
        <v>33</v>
      </c>
      <c r="B388" s="11">
        <v>6.0</v>
      </c>
      <c r="C388" s="9" t="s">
        <v>43</v>
      </c>
      <c r="D388" s="9" t="s">
        <v>55</v>
      </c>
      <c r="E388" s="9" t="s">
        <v>56</v>
      </c>
      <c r="F388" s="9" t="s">
        <v>45</v>
      </c>
      <c r="G388" s="9" t="s">
        <v>46</v>
      </c>
      <c r="H388" s="9" t="s">
        <v>326</v>
      </c>
      <c r="I388" s="11">
        <v>8177055.0</v>
      </c>
      <c r="J388" s="11">
        <v>2.66803641E8</v>
      </c>
      <c r="K388" s="13">
        <v>46304.0</v>
      </c>
      <c r="L388" s="14">
        <v>46316.0</v>
      </c>
      <c r="M388" s="12"/>
      <c r="N388" s="9">
        <v>970.0</v>
      </c>
      <c r="O388" s="11">
        <v>7.0</v>
      </c>
      <c r="P388" s="9" t="s">
        <v>44</v>
      </c>
      <c r="Q388" s="12"/>
      <c r="R388" s="9" t="s">
        <v>52</v>
      </c>
      <c r="S388" s="9" t="s">
        <v>47</v>
      </c>
      <c r="T388" s="9" t="s">
        <v>44</v>
      </c>
      <c r="U388" s="9" t="s">
        <v>44</v>
      </c>
      <c r="V388" s="11">
        <v>45.49</v>
      </c>
      <c r="W388" s="11">
        <v>1.0</v>
      </c>
      <c r="X388" s="9" t="s">
        <v>48</v>
      </c>
      <c r="Y388" s="9" t="s">
        <v>585</v>
      </c>
      <c r="Z388" s="12"/>
      <c r="AA388" s="9">
        <v>1305067.0</v>
      </c>
      <c r="AB388" s="12"/>
      <c r="AC388" s="9" t="s">
        <v>50</v>
      </c>
    </row>
    <row r="389">
      <c r="A389" s="9" t="s">
        <v>33</v>
      </c>
      <c r="B389" s="11">
        <v>6.0</v>
      </c>
      <c r="C389" s="9" t="s">
        <v>43</v>
      </c>
      <c r="D389" s="9" t="s">
        <v>55</v>
      </c>
      <c r="E389" s="9" t="s">
        <v>56</v>
      </c>
      <c r="F389" s="9" t="s">
        <v>45</v>
      </c>
      <c r="G389" s="9" t="s">
        <v>46</v>
      </c>
      <c r="H389" s="9" t="s">
        <v>577</v>
      </c>
      <c r="I389" s="11">
        <v>8176797.0</v>
      </c>
      <c r="J389" s="11">
        <v>2.66803642E8</v>
      </c>
      <c r="K389" s="13">
        <v>46304.0</v>
      </c>
      <c r="L389" s="14">
        <v>46323.0</v>
      </c>
      <c r="M389" s="12"/>
      <c r="N389" s="9">
        <v>104.0</v>
      </c>
      <c r="O389" s="11">
        <v>12.0</v>
      </c>
      <c r="P389" s="9" t="s">
        <v>44</v>
      </c>
      <c r="Q389" s="12"/>
      <c r="R389" s="9" t="s">
        <v>52</v>
      </c>
      <c r="S389" s="9" t="s">
        <v>47</v>
      </c>
      <c r="T389" s="9" t="s">
        <v>44</v>
      </c>
      <c r="U389" s="9" t="s">
        <v>44</v>
      </c>
      <c r="V389" s="11">
        <v>67.68</v>
      </c>
      <c r="W389" s="11">
        <v>1.0</v>
      </c>
      <c r="X389" s="9" t="s">
        <v>48</v>
      </c>
      <c r="Y389" s="9" t="s">
        <v>586</v>
      </c>
      <c r="Z389" s="12"/>
      <c r="AA389" s="9">
        <v>1305582.0</v>
      </c>
      <c r="AB389" s="12"/>
      <c r="AC389" s="9" t="s">
        <v>50</v>
      </c>
    </row>
    <row r="390">
      <c r="A390" s="9" t="s">
        <v>33</v>
      </c>
      <c r="B390" s="11">
        <v>6.0</v>
      </c>
      <c r="C390" s="9" t="s">
        <v>43</v>
      </c>
      <c r="D390" s="9" t="s">
        <v>55</v>
      </c>
      <c r="E390" s="9" t="s">
        <v>56</v>
      </c>
      <c r="F390" s="9" t="s">
        <v>45</v>
      </c>
      <c r="G390" s="9" t="s">
        <v>46</v>
      </c>
      <c r="H390" s="9" t="s">
        <v>577</v>
      </c>
      <c r="I390" s="11">
        <v>8176836.0</v>
      </c>
      <c r="J390" s="11">
        <v>2.66803643E8</v>
      </c>
      <c r="K390" s="13">
        <v>46304.0</v>
      </c>
      <c r="L390" s="14">
        <v>46321.0</v>
      </c>
      <c r="M390" s="12"/>
      <c r="N390" s="9">
        <v>101.0</v>
      </c>
      <c r="O390" s="11">
        <v>10.0</v>
      </c>
      <c r="P390" s="9" t="s">
        <v>44</v>
      </c>
      <c r="Q390" s="12"/>
      <c r="R390" s="9" t="s">
        <v>52</v>
      </c>
      <c r="S390" s="9" t="s">
        <v>47</v>
      </c>
      <c r="T390" s="9" t="s">
        <v>44</v>
      </c>
      <c r="U390" s="9" t="s">
        <v>44</v>
      </c>
      <c r="V390" s="11">
        <v>67.68</v>
      </c>
      <c r="W390" s="11">
        <v>1.0</v>
      </c>
      <c r="X390" s="9" t="s">
        <v>48</v>
      </c>
      <c r="Y390" s="9" t="s">
        <v>587</v>
      </c>
      <c r="Z390" s="12"/>
      <c r="AA390" s="9">
        <v>1305053.0</v>
      </c>
      <c r="AB390" s="12"/>
      <c r="AC390" s="9" t="s">
        <v>50</v>
      </c>
    </row>
    <row r="391">
      <c r="A391" s="9" t="s">
        <v>33</v>
      </c>
      <c r="B391" s="11">
        <v>6.0</v>
      </c>
      <c r="C391" s="9" t="s">
        <v>43</v>
      </c>
      <c r="D391" s="9" t="s">
        <v>55</v>
      </c>
      <c r="E391" s="9" t="s">
        <v>56</v>
      </c>
      <c r="F391" s="9" t="s">
        <v>45</v>
      </c>
      <c r="G391" s="9" t="s">
        <v>46</v>
      </c>
      <c r="H391" s="9" t="s">
        <v>326</v>
      </c>
      <c r="I391" s="11">
        <v>8177056.0</v>
      </c>
      <c r="J391" s="11">
        <v>2.66803644E8</v>
      </c>
      <c r="K391" s="13">
        <v>46304.0</v>
      </c>
      <c r="L391" s="14">
        <v>46316.0</v>
      </c>
      <c r="M391" s="12"/>
      <c r="N391" s="9">
        <v>971.0</v>
      </c>
      <c r="O391" s="11">
        <v>7.0</v>
      </c>
      <c r="P391" s="9" t="s">
        <v>44</v>
      </c>
      <c r="Q391" s="12"/>
      <c r="R391" s="12"/>
      <c r="S391" s="9" t="s">
        <v>47</v>
      </c>
      <c r="T391" s="9" t="s">
        <v>44</v>
      </c>
      <c r="U391" s="9" t="s">
        <v>44</v>
      </c>
      <c r="V391" s="11">
        <v>45.49</v>
      </c>
      <c r="W391" s="11">
        <v>1.0</v>
      </c>
      <c r="X391" s="9" t="s">
        <v>48</v>
      </c>
      <c r="Y391" s="9" t="s">
        <v>588</v>
      </c>
      <c r="Z391" s="12"/>
      <c r="AA391" s="9">
        <v>1304804.0</v>
      </c>
      <c r="AB391" s="12"/>
      <c r="AC391" s="9" t="s">
        <v>50</v>
      </c>
    </row>
    <row r="392">
      <c r="A392" s="9" t="s">
        <v>33</v>
      </c>
      <c r="B392" s="11">
        <v>6.0</v>
      </c>
      <c r="C392" s="9" t="s">
        <v>43</v>
      </c>
      <c r="D392" s="9" t="s">
        <v>55</v>
      </c>
      <c r="E392" s="9" t="s">
        <v>56</v>
      </c>
      <c r="F392" s="9" t="s">
        <v>45</v>
      </c>
      <c r="G392" s="9" t="s">
        <v>46</v>
      </c>
      <c r="H392" s="9" t="s">
        <v>589</v>
      </c>
      <c r="I392" s="11">
        <v>8176837.0</v>
      </c>
      <c r="J392" s="11">
        <v>2.66803645E8</v>
      </c>
      <c r="K392" s="13">
        <v>46304.0</v>
      </c>
      <c r="L392" s="14">
        <v>46323.0</v>
      </c>
      <c r="M392" s="12"/>
      <c r="N392" s="9">
        <v>101.0</v>
      </c>
      <c r="O392" s="11">
        <v>12.0</v>
      </c>
      <c r="P392" s="9" t="s">
        <v>44</v>
      </c>
      <c r="Q392" s="12"/>
      <c r="R392" s="9" t="s">
        <v>90</v>
      </c>
      <c r="S392" s="9" t="s">
        <v>47</v>
      </c>
      <c r="T392" s="9" t="s">
        <v>44</v>
      </c>
      <c r="U392" s="9" t="s">
        <v>44</v>
      </c>
      <c r="V392" s="11">
        <v>67.68</v>
      </c>
      <c r="W392" s="11">
        <v>1.0</v>
      </c>
      <c r="X392" s="9" t="s">
        <v>48</v>
      </c>
      <c r="Y392" s="9" t="s">
        <v>590</v>
      </c>
      <c r="Z392" s="12"/>
      <c r="AA392" s="9">
        <v>1305457.0</v>
      </c>
      <c r="AB392" s="12"/>
      <c r="AC392" s="9" t="s">
        <v>50</v>
      </c>
    </row>
    <row r="393">
      <c r="A393" s="9" t="s">
        <v>33</v>
      </c>
      <c r="B393" s="11">
        <v>6.0</v>
      </c>
      <c r="C393" s="9" t="s">
        <v>43</v>
      </c>
      <c r="D393" s="9" t="s">
        <v>55</v>
      </c>
      <c r="E393" s="9" t="s">
        <v>56</v>
      </c>
      <c r="F393" s="9" t="s">
        <v>45</v>
      </c>
      <c r="G393" s="9" t="s">
        <v>46</v>
      </c>
      <c r="H393" s="9" t="s">
        <v>591</v>
      </c>
      <c r="I393" s="11">
        <v>8177016.0</v>
      </c>
      <c r="J393" s="11">
        <v>2.66803646E8</v>
      </c>
      <c r="K393" s="13">
        <v>46304.0</v>
      </c>
      <c r="L393" s="14">
        <v>46325.0</v>
      </c>
      <c r="M393" s="12"/>
      <c r="N393" s="9">
        <v>103.0</v>
      </c>
      <c r="O393" s="11">
        <v>14.0</v>
      </c>
      <c r="P393" s="9" t="s">
        <v>44</v>
      </c>
      <c r="Q393" s="12"/>
      <c r="R393" s="9" t="s">
        <v>90</v>
      </c>
      <c r="S393" s="9" t="s">
        <v>47</v>
      </c>
      <c r="T393" s="9" t="s">
        <v>44</v>
      </c>
      <c r="U393" s="9" t="s">
        <v>44</v>
      </c>
      <c r="V393" s="11">
        <v>67.68</v>
      </c>
      <c r="W393" s="11">
        <v>1.0</v>
      </c>
      <c r="X393" s="9" t="s">
        <v>48</v>
      </c>
      <c r="Y393" s="9" t="s">
        <v>592</v>
      </c>
      <c r="Z393" s="12"/>
      <c r="AA393" s="9">
        <v>1305632.0</v>
      </c>
      <c r="AB393" s="12"/>
      <c r="AC393" s="9" t="s">
        <v>50</v>
      </c>
    </row>
    <row r="394">
      <c r="A394" s="9" t="s">
        <v>33</v>
      </c>
      <c r="B394" s="11">
        <v>6.0</v>
      </c>
      <c r="C394" s="9" t="s">
        <v>43</v>
      </c>
      <c r="D394" s="9" t="s">
        <v>55</v>
      </c>
      <c r="E394" s="9" t="s">
        <v>56</v>
      </c>
      <c r="F394" s="9" t="s">
        <v>45</v>
      </c>
      <c r="G394" s="9" t="s">
        <v>46</v>
      </c>
      <c r="H394" s="9" t="s">
        <v>591</v>
      </c>
      <c r="I394" s="11">
        <v>8176958.0</v>
      </c>
      <c r="J394" s="11">
        <v>2.66803647E8</v>
      </c>
      <c r="K394" s="13">
        <v>46304.0</v>
      </c>
      <c r="L394" s="13">
        <v>46330.0</v>
      </c>
      <c r="M394" s="12"/>
      <c r="N394" s="9">
        <v>102.0</v>
      </c>
      <c r="O394" s="11">
        <v>16.0</v>
      </c>
      <c r="P394" s="9" t="s">
        <v>44</v>
      </c>
      <c r="Q394" s="12"/>
      <c r="R394" s="9" t="s">
        <v>90</v>
      </c>
      <c r="S394" s="9" t="s">
        <v>47</v>
      </c>
      <c r="T394" s="9" t="s">
        <v>44</v>
      </c>
      <c r="U394" s="9" t="s">
        <v>44</v>
      </c>
      <c r="V394" s="11">
        <v>67.68</v>
      </c>
      <c r="W394" s="11">
        <v>2.0</v>
      </c>
      <c r="X394" s="9" t="s">
        <v>48</v>
      </c>
      <c r="Y394" s="9" t="s">
        <v>593</v>
      </c>
      <c r="Z394" s="12"/>
      <c r="AA394" s="9">
        <v>1305944.0</v>
      </c>
      <c r="AB394" s="12"/>
      <c r="AC394" s="9" t="s">
        <v>50</v>
      </c>
    </row>
    <row r="395">
      <c r="A395" s="9" t="s">
        <v>33</v>
      </c>
      <c r="B395" s="11">
        <v>6.0</v>
      </c>
      <c r="C395" s="9" t="s">
        <v>43</v>
      </c>
      <c r="D395" s="9" t="s">
        <v>55</v>
      </c>
      <c r="E395" s="9" t="s">
        <v>56</v>
      </c>
      <c r="F395" s="9" t="s">
        <v>45</v>
      </c>
      <c r="G395" s="9" t="s">
        <v>46</v>
      </c>
      <c r="H395" s="9" t="s">
        <v>594</v>
      </c>
      <c r="I395" s="11">
        <v>8176838.0</v>
      </c>
      <c r="J395" s="11">
        <v>2.66803648E8</v>
      </c>
      <c r="K395" s="13">
        <v>46304.0</v>
      </c>
      <c r="L395" s="14">
        <v>46322.0</v>
      </c>
      <c r="M395" s="12"/>
      <c r="N395" s="9">
        <v>108.0</v>
      </c>
      <c r="O395" s="11">
        <v>11.0</v>
      </c>
      <c r="P395" s="9" t="s">
        <v>44</v>
      </c>
      <c r="Q395" s="12"/>
      <c r="R395" s="9" t="s">
        <v>90</v>
      </c>
      <c r="S395" s="9" t="s">
        <v>47</v>
      </c>
      <c r="T395" s="9" t="s">
        <v>44</v>
      </c>
      <c r="U395" s="9" t="s">
        <v>44</v>
      </c>
      <c r="V395" s="11">
        <v>67.68</v>
      </c>
      <c r="W395" s="11">
        <v>1.0</v>
      </c>
      <c r="X395" s="9" t="s">
        <v>48</v>
      </c>
      <c r="Y395" s="9" t="s">
        <v>595</v>
      </c>
      <c r="Z395" s="12"/>
      <c r="AA395" s="9">
        <v>1305416.0</v>
      </c>
      <c r="AB395" s="12"/>
      <c r="AC395" s="9" t="s">
        <v>50</v>
      </c>
    </row>
    <row r="396">
      <c r="A396" s="9" t="s">
        <v>33</v>
      </c>
      <c r="B396" s="11">
        <v>6.0</v>
      </c>
      <c r="C396" s="9" t="s">
        <v>43</v>
      </c>
      <c r="D396" s="9" t="s">
        <v>55</v>
      </c>
      <c r="E396" s="9" t="s">
        <v>56</v>
      </c>
      <c r="F396" s="9" t="s">
        <v>45</v>
      </c>
      <c r="G396" s="9" t="s">
        <v>46</v>
      </c>
      <c r="H396" s="9" t="s">
        <v>591</v>
      </c>
      <c r="I396" s="11">
        <v>8177066.0</v>
      </c>
      <c r="J396" s="11">
        <v>2.66803649E8</v>
      </c>
      <c r="K396" s="13">
        <v>46304.0</v>
      </c>
      <c r="L396" s="14">
        <v>46318.0</v>
      </c>
      <c r="M396" s="12"/>
      <c r="N396" s="9">
        <v>101.0</v>
      </c>
      <c r="O396" s="11">
        <v>9.0</v>
      </c>
      <c r="P396" s="9" t="s">
        <v>44</v>
      </c>
      <c r="Q396" s="12"/>
      <c r="R396" s="9" t="s">
        <v>90</v>
      </c>
      <c r="S396" s="9" t="s">
        <v>47</v>
      </c>
      <c r="T396" s="9" t="s">
        <v>44</v>
      </c>
      <c r="U396" s="9" t="s">
        <v>44</v>
      </c>
      <c r="V396" s="11">
        <v>67.68</v>
      </c>
      <c r="W396" s="11">
        <v>1.0</v>
      </c>
      <c r="X396" s="9" t="s">
        <v>48</v>
      </c>
      <c r="Y396" s="9" t="s">
        <v>596</v>
      </c>
      <c r="Z396" s="12"/>
      <c r="AA396" s="9">
        <v>1305083.0</v>
      </c>
      <c r="AB396" s="12"/>
      <c r="AC396" s="9" t="s">
        <v>50</v>
      </c>
    </row>
    <row r="397">
      <c r="A397" s="9" t="s">
        <v>33</v>
      </c>
      <c r="B397" s="11">
        <v>6.0</v>
      </c>
      <c r="C397" s="9" t="s">
        <v>43</v>
      </c>
      <c r="D397" s="9" t="s">
        <v>55</v>
      </c>
      <c r="E397" s="9" t="s">
        <v>56</v>
      </c>
      <c r="F397" s="9" t="s">
        <v>45</v>
      </c>
      <c r="G397" s="9" t="s">
        <v>46</v>
      </c>
      <c r="H397" s="9" t="s">
        <v>591</v>
      </c>
      <c r="I397" s="11">
        <v>8176839.0</v>
      </c>
      <c r="J397" s="11">
        <v>2.6680365E8</v>
      </c>
      <c r="K397" s="13">
        <v>46304.0</v>
      </c>
      <c r="L397" s="14">
        <v>46318.0</v>
      </c>
      <c r="M397" s="12"/>
      <c r="N397" s="9">
        <v>101.0</v>
      </c>
      <c r="O397" s="11">
        <v>9.0</v>
      </c>
      <c r="P397" s="9" t="s">
        <v>44</v>
      </c>
      <c r="Q397" s="12"/>
      <c r="R397" s="9" t="s">
        <v>90</v>
      </c>
      <c r="S397" s="9" t="s">
        <v>47</v>
      </c>
      <c r="T397" s="9" t="s">
        <v>44</v>
      </c>
      <c r="U397" s="9" t="s">
        <v>44</v>
      </c>
      <c r="V397" s="11">
        <v>67.68</v>
      </c>
      <c r="W397" s="11">
        <v>1.0</v>
      </c>
      <c r="X397" s="9" t="s">
        <v>48</v>
      </c>
      <c r="Y397" s="9" t="s">
        <v>597</v>
      </c>
      <c r="Z397" s="12"/>
      <c r="AA397" s="9">
        <v>1305653.0</v>
      </c>
      <c r="AB397" s="12"/>
      <c r="AC397" s="9" t="s">
        <v>50</v>
      </c>
    </row>
    <row r="398">
      <c r="A398" s="9" t="s">
        <v>33</v>
      </c>
      <c r="B398" s="11">
        <v>6.0</v>
      </c>
      <c r="C398" s="9" t="s">
        <v>43</v>
      </c>
      <c r="D398" s="9" t="s">
        <v>55</v>
      </c>
      <c r="E398" s="9" t="s">
        <v>56</v>
      </c>
      <c r="F398" s="9" t="s">
        <v>45</v>
      </c>
      <c r="G398" s="9" t="s">
        <v>46</v>
      </c>
      <c r="H398" s="9" t="s">
        <v>591</v>
      </c>
      <c r="I398" s="11">
        <v>8176959.0</v>
      </c>
      <c r="J398" s="11">
        <v>2.66803651E8</v>
      </c>
      <c r="K398" s="13">
        <v>46304.0</v>
      </c>
      <c r="L398" s="14">
        <v>46321.0</v>
      </c>
      <c r="M398" s="12"/>
      <c r="N398" s="9">
        <v>104.0</v>
      </c>
      <c r="O398" s="11">
        <v>10.0</v>
      </c>
      <c r="P398" s="9" t="s">
        <v>44</v>
      </c>
      <c r="Q398" s="12"/>
      <c r="R398" s="9" t="s">
        <v>90</v>
      </c>
      <c r="S398" s="9" t="s">
        <v>47</v>
      </c>
      <c r="T398" s="9" t="s">
        <v>44</v>
      </c>
      <c r="U398" s="9" t="s">
        <v>44</v>
      </c>
      <c r="V398" s="11">
        <v>67.68</v>
      </c>
      <c r="W398" s="11">
        <v>2.0</v>
      </c>
      <c r="X398" s="9" t="s">
        <v>48</v>
      </c>
      <c r="Y398" s="9" t="s">
        <v>598</v>
      </c>
      <c r="Z398" s="12"/>
      <c r="AA398" s="9">
        <v>1305827.0</v>
      </c>
      <c r="AB398" s="12"/>
      <c r="AC398" s="9" t="s">
        <v>50</v>
      </c>
    </row>
    <row r="399">
      <c r="A399" s="9" t="s">
        <v>33</v>
      </c>
      <c r="B399" s="11">
        <v>6.0</v>
      </c>
      <c r="C399" s="9" t="s">
        <v>43</v>
      </c>
      <c r="D399" s="9" t="s">
        <v>55</v>
      </c>
      <c r="E399" s="9" t="s">
        <v>56</v>
      </c>
      <c r="F399" s="9" t="s">
        <v>45</v>
      </c>
      <c r="G399" s="9" t="s">
        <v>46</v>
      </c>
      <c r="H399" s="9" t="s">
        <v>591</v>
      </c>
      <c r="I399" s="11">
        <v>8176863.0</v>
      </c>
      <c r="J399" s="11">
        <v>2.66803652E8</v>
      </c>
      <c r="K399" s="13">
        <v>46304.0</v>
      </c>
      <c r="L399" s="14">
        <v>46321.0</v>
      </c>
      <c r="M399" s="12"/>
      <c r="N399" s="9">
        <v>104.0</v>
      </c>
      <c r="O399" s="11">
        <v>10.0</v>
      </c>
      <c r="P399" s="9" t="s">
        <v>44</v>
      </c>
      <c r="Q399" s="12"/>
      <c r="R399" s="9" t="s">
        <v>90</v>
      </c>
      <c r="S399" s="9" t="s">
        <v>47</v>
      </c>
      <c r="T399" s="9" t="s">
        <v>44</v>
      </c>
      <c r="U399" s="9" t="s">
        <v>44</v>
      </c>
      <c r="V399" s="11">
        <v>67.68</v>
      </c>
      <c r="W399" s="11">
        <v>1.0</v>
      </c>
      <c r="X399" s="9" t="s">
        <v>48</v>
      </c>
      <c r="Y399" s="9" t="s">
        <v>599</v>
      </c>
      <c r="Z399" s="12"/>
      <c r="AA399" s="9">
        <v>1305719.0</v>
      </c>
      <c r="AB399" s="12"/>
      <c r="AC399" s="9" t="s">
        <v>50</v>
      </c>
    </row>
    <row r="400">
      <c r="A400" s="9" t="s">
        <v>33</v>
      </c>
      <c r="B400" s="11">
        <v>6.0</v>
      </c>
      <c r="C400" s="9" t="s">
        <v>43</v>
      </c>
      <c r="D400" s="9" t="s">
        <v>55</v>
      </c>
      <c r="E400" s="9" t="s">
        <v>56</v>
      </c>
      <c r="F400" s="9" t="s">
        <v>45</v>
      </c>
      <c r="G400" s="9" t="s">
        <v>46</v>
      </c>
      <c r="H400" s="9" t="s">
        <v>326</v>
      </c>
      <c r="I400" s="11">
        <v>8176864.0</v>
      </c>
      <c r="J400" s="11">
        <v>2.66803653E8</v>
      </c>
      <c r="K400" s="13">
        <v>46304.0</v>
      </c>
      <c r="L400" s="14">
        <v>46316.0</v>
      </c>
      <c r="M400" s="12"/>
      <c r="N400" s="9">
        <v>993.0</v>
      </c>
      <c r="O400" s="11">
        <v>7.0</v>
      </c>
      <c r="P400" s="9" t="s">
        <v>44</v>
      </c>
      <c r="Q400" s="12"/>
      <c r="R400" s="12"/>
      <c r="S400" s="9" t="s">
        <v>47</v>
      </c>
      <c r="T400" s="9" t="s">
        <v>44</v>
      </c>
      <c r="U400" s="9" t="s">
        <v>44</v>
      </c>
      <c r="V400" s="11">
        <v>45.49</v>
      </c>
      <c r="W400" s="11">
        <v>1.0</v>
      </c>
      <c r="X400" s="9" t="s">
        <v>48</v>
      </c>
      <c r="Y400" s="9" t="s">
        <v>600</v>
      </c>
      <c r="Z400" s="12"/>
      <c r="AA400" s="9">
        <v>1305193.0</v>
      </c>
      <c r="AB400" s="12"/>
      <c r="AC400" s="9" t="s">
        <v>50</v>
      </c>
    </row>
    <row r="401">
      <c r="A401" s="9" t="s">
        <v>33</v>
      </c>
      <c r="B401" s="11">
        <v>6.0</v>
      </c>
      <c r="C401" s="9" t="s">
        <v>43</v>
      </c>
      <c r="D401" s="9" t="s">
        <v>55</v>
      </c>
      <c r="E401" s="9" t="s">
        <v>56</v>
      </c>
      <c r="F401" s="9" t="s">
        <v>45</v>
      </c>
      <c r="G401" s="9" t="s">
        <v>46</v>
      </c>
      <c r="H401" s="9" t="s">
        <v>594</v>
      </c>
      <c r="I401" s="11">
        <v>8176746.0</v>
      </c>
      <c r="J401" s="11">
        <v>2.66803654E8</v>
      </c>
      <c r="K401" s="13">
        <v>46304.0</v>
      </c>
      <c r="L401" s="14">
        <v>46324.0</v>
      </c>
      <c r="M401" s="12"/>
      <c r="N401" s="9">
        <v>107.0</v>
      </c>
      <c r="O401" s="11">
        <v>13.0</v>
      </c>
      <c r="P401" s="9" t="s">
        <v>44</v>
      </c>
      <c r="Q401" s="12"/>
      <c r="R401" s="9" t="s">
        <v>90</v>
      </c>
      <c r="S401" s="9" t="s">
        <v>47</v>
      </c>
      <c r="T401" s="9" t="s">
        <v>44</v>
      </c>
      <c r="U401" s="9" t="s">
        <v>44</v>
      </c>
      <c r="V401" s="11">
        <v>67.68</v>
      </c>
      <c r="W401" s="11">
        <v>1.0</v>
      </c>
      <c r="X401" s="9" t="s">
        <v>48</v>
      </c>
      <c r="Y401" s="9" t="s">
        <v>601</v>
      </c>
      <c r="Z401" s="12"/>
      <c r="AA401" s="9">
        <v>1305866.0</v>
      </c>
      <c r="AB401" s="12"/>
      <c r="AC401" s="9" t="s">
        <v>50</v>
      </c>
    </row>
    <row r="402">
      <c r="A402" s="9" t="s">
        <v>33</v>
      </c>
      <c r="B402" s="11">
        <v>6.0</v>
      </c>
      <c r="C402" s="9" t="s">
        <v>43</v>
      </c>
      <c r="D402" s="9" t="s">
        <v>55</v>
      </c>
      <c r="E402" s="9" t="s">
        <v>56</v>
      </c>
      <c r="F402" s="9" t="s">
        <v>45</v>
      </c>
      <c r="G402" s="9" t="s">
        <v>46</v>
      </c>
      <c r="H402" s="9" t="s">
        <v>594</v>
      </c>
      <c r="I402" s="11">
        <v>8177057.0</v>
      </c>
      <c r="J402" s="11">
        <v>2.66803655E8</v>
      </c>
      <c r="K402" s="13">
        <v>46304.0</v>
      </c>
      <c r="L402" s="14">
        <v>46325.0</v>
      </c>
      <c r="M402" s="12"/>
      <c r="N402" s="9">
        <v>107.0</v>
      </c>
      <c r="O402" s="11">
        <v>14.0</v>
      </c>
      <c r="P402" s="9" t="s">
        <v>44</v>
      </c>
      <c r="Q402" s="12"/>
      <c r="R402" s="9" t="s">
        <v>90</v>
      </c>
      <c r="S402" s="9" t="s">
        <v>47</v>
      </c>
      <c r="T402" s="9" t="s">
        <v>44</v>
      </c>
      <c r="U402" s="9" t="s">
        <v>44</v>
      </c>
      <c r="V402" s="11">
        <v>67.68</v>
      </c>
      <c r="W402" s="11">
        <v>1.0</v>
      </c>
      <c r="X402" s="9" t="s">
        <v>48</v>
      </c>
      <c r="Y402" s="9" t="s">
        <v>602</v>
      </c>
      <c r="Z402" s="12"/>
      <c r="AA402" s="9">
        <v>1304824.0</v>
      </c>
      <c r="AB402" s="12"/>
      <c r="AC402" s="9" t="s">
        <v>50</v>
      </c>
    </row>
    <row r="403">
      <c r="A403" s="9" t="s">
        <v>33</v>
      </c>
      <c r="B403" s="11">
        <v>6.0</v>
      </c>
      <c r="C403" s="9" t="s">
        <v>43</v>
      </c>
      <c r="D403" s="9" t="s">
        <v>55</v>
      </c>
      <c r="E403" s="9" t="s">
        <v>56</v>
      </c>
      <c r="F403" s="9" t="s">
        <v>45</v>
      </c>
      <c r="G403" s="9" t="s">
        <v>46</v>
      </c>
      <c r="H403" s="9" t="s">
        <v>594</v>
      </c>
      <c r="I403" s="11">
        <v>8177058.0</v>
      </c>
      <c r="J403" s="11">
        <v>2.66803656E8</v>
      </c>
      <c r="K403" s="13">
        <v>46304.0</v>
      </c>
      <c r="L403" s="14">
        <v>46325.0</v>
      </c>
      <c r="M403" s="12"/>
      <c r="N403" s="9">
        <v>108.0</v>
      </c>
      <c r="O403" s="11">
        <v>14.0</v>
      </c>
      <c r="P403" s="9" t="s">
        <v>44</v>
      </c>
      <c r="Q403" s="12"/>
      <c r="R403" s="9" t="s">
        <v>90</v>
      </c>
      <c r="S403" s="9" t="s">
        <v>47</v>
      </c>
      <c r="T403" s="9" t="s">
        <v>44</v>
      </c>
      <c r="U403" s="9" t="s">
        <v>44</v>
      </c>
      <c r="V403" s="11">
        <v>67.68</v>
      </c>
      <c r="W403" s="11">
        <v>1.0</v>
      </c>
      <c r="X403" s="9" t="s">
        <v>48</v>
      </c>
      <c r="Y403" s="9" t="s">
        <v>603</v>
      </c>
      <c r="Z403" s="12"/>
      <c r="AA403" s="9">
        <v>1305093.0</v>
      </c>
      <c r="AB403" s="12"/>
      <c r="AC403" s="9" t="s">
        <v>50</v>
      </c>
    </row>
    <row r="404">
      <c r="A404" s="9" t="s">
        <v>33</v>
      </c>
      <c r="B404" s="11">
        <v>6.0</v>
      </c>
      <c r="C404" s="9" t="s">
        <v>43</v>
      </c>
      <c r="D404" s="9" t="s">
        <v>55</v>
      </c>
      <c r="E404" s="9" t="s">
        <v>56</v>
      </c>
      <c r="F404" s="9" t="s">
        <v>45</v>
      </c>
      <c r="G404" s="9" t="s">
        <v>46</v>
      </c>
      <c r="H404" s="9" t="s">
        <v>594</v>
      </c>
      <c r="I404" s="11">
        <v>8177059.0</v>
      </c>
      <c r="J404" s="11">
        <v>2.66803657E8</v>
      </c>
      <c r="K404" s="13">
        <v>46304.0</v>
      </c>
      <c r="L404" s="14">
        <v>46321.0</v>
      </c>
      <c r="M404" s="12"/>
      <c r="N404" s="9">
        <v>103.0</v>
      </c>
      <c r="O404" s="11">
        <v>10.0</v>
      </c>
      <c r="P404" s="9" t="s">
        <v>44</v>
      </c>
      <c r="Q404" s="12"/>
      <c r="R404" s="9" t="s">
        <v>90</v>
      </c>
      <c r="S404" s="9" t="s">
        <v>47</v>
      </c>
      <c r="T404" s="9" t="s">
        <v>44</v>
      </c>
      <c r="U404" s="9" t="s">
        <v>44</v>
      </c>
      <c r="V404" s="11">
        <v>67.68</v>
      </c>
      <c r="W404" s="11">
        <v>1.0</v>
      </c>
      <c r="X404" s="9" t="s">
        <v>48</v>
      </c>
      <c r="Y404" s="9" t="s">
        <v>604</v>
      </c>
      <c r="Z404" s="12"/>
      <c r="AA404" s="9">
        <v>1305076.0</v>
      </c>
      <c r="AB404" s="12"/>
      <c r="AC404" s="9" t="s">
        <v>50</v>
      </c>
    </row>
    <row r="405">
      <c r="A405" s="9" t="s">
        <v>33</v>
      </c>
      <c r="B405" s="11">
        <v>6.0</v>
      </c>
      <c r="C405" s="9" t="s">
        <v>43</v>
      </c>
      <c r="D405" s="9" t="s">
        <v>55</v>
      </c>
      <c r="E405" s="9" t="s">
        <v>56</v>
      </c>
      <c r="F405" s="9" t="s">
        <v>45</v>
      </c>
      <c r="G405" s="9" t="s">
        <v>46</v>
      </c>
      <c r="H405" s="9" t="s">
        <v>605</v>
      </c>
      <c r="I405" s="11">
        <v>8177283.0</v>
      </c>
      <c r="J405" s="11">
        <v>2.66806683E8</v>
      </c>
      <c r="K405" s="13">
        <v>46304.0</v>
      </c>
      <c r="L405" s="14">
        <v>46316.0</v>
      </c>
      <c r="M405" s="12"/>
      <c r="N405" s="9">
        <v>107.0</v>
      </c>
      <c r="O405" s="11">
        <v>7.0</v>
      </c>
      <c r="P405" s="9" t="s">
        <v>44</v>
      </c>
      <c r="Q405" s="12"/>
      <c r="R405" s="12"/>
      <c r="S405" s="9" t="s">
        <v>47</v>
      </c>
      <c r="T405" s="9" t="s">
        <v>44</v>
      </c>
      <c r="U405" s="9" t="s">
        <v>44</v>
      </c>
      <c r="V405" s="11">
        <v>38.46</v>
      </c>
      <c r="W405" s="11">
        <v>2.0</v>
      </c>
      <c r="X405" s="9" t="s">
        <v>48</v>
      </c>
      <c r="Y405" s="9" t="s">
        <v>606</v>
      </c>
      <c r="Z405" s="12"/>
      <c r="AA405" s="9">
        <v>1305547.0</v>
      </c>
      <c r="AB405" s="12"/>
      <c r="AC405" s="9" t="s">
        <v>50</v>
      </c>
    </row>
    <row r="406">
      <c r="A406" s="9" t="s">
        <v>33</v>
      </c>
      <c r="B406" s="11">
        <v>6.0</v>
      </c>
      <c r="C406" s="9" t="s">
        <v>43</v>
      </c>
      <c r="D406" s="9" t="s">
        <v>55</v>
      </c>
      <c r="E406" s="9" t="s">
        <v>56</v>
      </c>
      <c r="F406" s="9" t="s">
        <v>45</v>
      </c>
      <c r="G406" s="9" t="s">
        <v>46</v>
      </c>
      <c r="H406" s="9" t="s">
        <v>607</v>
      </c>
      <c r="I406" s="11">
        <v>8177238.0</v>
      </c>
      <c r="J406" s="11">
        <v>2.66806686E8</v>
      </c>
      <c r="K406" s="13">
        <v>46304.0</v>
      </c>
      <c r="L406" s="14">
        <v>46321.0</v>
      </c>
      <c r="M406" s="12"/>
      <c r="N406" s="9">
        <v>122.0</v>
      </c>
      <c r="O406" s="11">
        <v>10.0</v>
      </c>
      <c r="P406" s="9" t="s">
        <v>44</v>
      </c>
      <c r="Q406" s="12"/>
      <c r="R406" s="12"/>
      <c r="S406" s="9" t="s">
        <v>47</v>
      </c>
      <c r="T406" s="9" t="s">
        <v>44</v>
      </c>
      <c r="U406" s="9" t="s">
        <v>44</v>
      </c>
      <c r="V406" s="11">
        <v>38.46</v>
      </c>
      <c r="W406" s="11">
        <v>1.0</v>
      </c>
      <c r="X406" s="9" t="s">
        <v>48</v>
      </c>
      <c r="Y406" s="9" t="s">
        <v>608</v>
      </c>
      <c r="Z406" s="12"/>
      <c r="AA406" s="9">
        <v>1305828.0</v>
      </c>
      <c r="AB406" s="12"/>
      <c r="AC406" s="9" t="s">
        <v>50</v>
      </c>
    </row>
    <row r="407">
      <c r="A407" s="9" t="s">
        <v>33</v>
      </c>
      <c r="B407" s="11">
        <v>6.0</v>
      </c>
      <c r="C407" s="9" t="s">
        <v>43</v>
      </c>
      <c r="D407" s="9" t="s">
        <v>55</v>
      </c>
      <c r="E407" s="9" t="s">
        <v>56</v>
      </c>
      <c r="F407" s="9" t="s">
        <v>45</v>
      </c>
      <c r="G407" s="9" t="s">
        <v>46</v>
      </c>
      <c r="H407" s="9" t="s">
        <v>151</v>
      </c>
      <c r="I407" s="11">
        <v>8177284.0</v>
      </c>
      <c r="J407" s="11">
        <v>2.66806689E8</v>
      </c>
      <c r="K407" s="13">
        <v>46304.0</v>
      </c>
      <c r="L407" s="14">
        <v>46316.0</v>
      </c>
      <c r="M407" s="12"/>
      <c r="N407" s="9">
        <v>1.0</v>
      </c>
      <c r="O407" s="11">
        <v>7.0</v>
      </c>
      <c r="P407" s="9" t="s">
        <v>44</v>
      </c>
      <c r="Q407" s="12"/>
      <c r="R407" s="12"/>
      <c r="S407" s="9" t="s">
        <v>47</v>
      </c>
      <c r="T407" s="9" t="s">
        <v>44</v>
      </c>
      <c r="U407" s="9" t="s">
        <v>44</v>
      </c>
      <c r="V407" s="11">
        <v>38.46</v>
      </c>
      <c r="W407" s="11">
        <v>1.0</v>
      </c>
      <c r="X407" s="9" t="s">
        <v>48</v>
      </c>
      <c r="Y407" s="9" t="s">
        <v>609</v>
      </c>
      <c r="Z407" s="12"/>
      <c r="AA407" s="9">
        <v>1305917.0</v>
      </c>
      <c r="AB407" s="12"/>
      <c r="AC407" s="9" t="s">
        <v>50</v>
      </c>
    </row>
    <row r="408">
      <c r="A408" s="9" t="s">
        <v>33</v>
      </c>
      <c r="B408" s="11">
        <v>6.0</v>
      </c>
      <c r="C408" s="9" t="s">
        <v>43</v>
      </c>
      <c r="D408" s="9" t="s">
        <v>55</v>
      </c>
      <c r="E408" s="9" t="s">
        <v>56</v>
      </c>
      <c r="F408" s="9" t="s">
        <v>45</v>
      </c>
      <c r="G408" s="9" t="s">
        <v>46</v>
      </c>
      <c r="H408" s="9" t="s">
        <v>159</v>
      </c>
      <c r="I408" s="11">
        <v>8177211.0</v>
      </c>
      <c r="J408" s="11">
        <v>2.66806692E8</v>
      </c>
      <c r="K408" s="13">
        <v>46304.0</v>
      </c>
      <c r="L408" s="14">
        <v>46316.0</v>
      </c>
      <c r="M408" s="12"/>
      <c r="N408" s="9">
        <v>7.0</v>
      </c>
      <c r="O408" s="11">
        <v>7.0</v>
      </c>
      <c r="P408" s="9" t="s">
        <v>44</v>
      </c>
      <c r="Q408" s="12"/>
      <c r="R408" s="9" t="s">
        <v>52</v>
      </c>
      <c r="S408" s="9" t="s">
        <v>47</v>
      </c>
      <c r="T408" s="9" t="s">
        <v>44</v>
      </c>
      <c r="U408" s="9" t="s">
        <v>44</v>
      </c>
      <c r="V408" s="11">
        <v>38.46</v>
      </c>
      <c r="W408" s="11">
        <v>2.0</v>
      </c>
      <c r="X408" s="9" t="s">
        <v>48</v>
      </c>
      <c r="Y408" s="9" t="s">
        <v>610</v>
      </c>
      <c r="Z408" s="12"/>
      <c r="AA408" s="9" t="s">
        <v>611</v>
      </c>
      <c r="AB408" s="12"/>
      <c r="AC408" s="9" t="s">
        <v>50</v>
      </c>
    </row>
    <row r="409">
      <c r="A409" s="9" t="s">
        <v>33</v>
      </c>
      <c r="B409" s="11">
        <v>6.0</v>
      </c>
      <c r="C409" s="9" t="s">
        <v>43</v>
      </c>
      <c r="D409" s="9" t="s">
        <v>55</v>
      </c>
      <c r="E409" s="9" t="s">
        <v>56</v>
      </c>
      <c r="F409" s="9" t="s">
        <v>45</v>
      </c>
      <c r="G409" s="9" t="s">
        <v>46</v>
      </c>
      <c r="H409" s="9" t="s">
        <v>159</v>
      </c>
      <c r="I409" s="11">
        <v>8177239.0</v>
      </c>
      <c r="J409" s="11">
        <v>2.66806694E8</v>
      </c>
      <c r="K409" s="13">
        <v>46304.0</v>
      </c>
      <c r="L409" s="14">
        <v>46316.0</v>
      </c>
      <c r="M409" s="12"/>
      <c r="N409" s="9">
        <v>7.0</v>
      </c>
      <c r="O409" s="11">
        <v>7.0</v>
      </c>
      <c r="P409" s="9" t="s">
        <v>44</v>
      </c>
      <c r="Q409" s="12"/>
      <c r="R409" s="12"/>
      <c r="S409" s="9" t="s">
        <v>47</v>
      </c>
      <c r="T409" s="9" t="s">
        <v>44</v>
      </c>
      <c r="U409" s="9" t="s">
        <v>44</v>
      </c>
      <c r="V409" s="11">
        <v>38.46</v>
      </c>
      <c r="W409" s="11">
        <v>1.0</v>
      </c>
      <c r="X409" s="9" t="s">
        <v>48</v>
      </c>
      <c r="Y409" s="9" t="s">
        <v>612</v>
      </c>
      <c r="Z409" s="12"/>
      <c r="AA409" s="9">
        <v>1306160.0</v>
      </c>
      <c r="AB409" s="12"/>
      <c r="AC409" s="9" t="s">
        <v>50</v>
      </c>
    </row>
    <row r="410">
      <c r="A410" s="9" t="s">
        <v>33</v>
      </c>
      <c r="B410" s="11">
        <v>6.0</v>
      </c>
      <c r="C410" s="9" t="s">
        <v>43</v>
      </c>
      <c r="D410" s="9" t="s">
        <v>55</v>
      </c>
      <c r="E410" s="9" t="s">
        <v>56</v>
      </c>
      <c r="F410" s="9" t="s">
        <v>45</v>
      </c>
      <c r="G410" s="9" t="s">
        <v>46</v>
      </c>
      <c r="H410" s="9" t="s">
        <v>159</v>
      </c>
      <c r="I410" s="11">
        <v>8177314.0</v>
      </c>
      <c r="J410" s="11">
        <v>2.66806697E8</v>
      </c>
      <c r="K410" s="13">
        <v>46304.0</v>
      </c>
      <c r="L410" s="14">
        <v>46316.0</v>
      </c>
      <c r="M410" s="12"/>
      <c r="N410" s="9">
        <v>201.0</v>
      </c>
      <c r="O410" s="11">
        <v>7.0</v>
      </c>
      <c r="P410" s="9" t="s">
        <v>44</v>
      </c>
      <c r="Q410" s="12"/>
      <c r="R410" s="9" t="s">
        <v>52</v>
      </c>
      <c r="S410" s="9" t="s">
        <v>47</v>
      </c>
      <c r="T410" s="9" t="s">
        <v>44</v>
      </c>
      <c r="U410" s="9" t="s">
        <v>44</v>
      </c>
      <c r="V410" s="11">
        <v>38.46</v>
      </c>
      <c r="W410" s="11">
        <v>2.0</v>
      </c>
      <c r="X410" s="9" t="s">
        <v>48</v>
      </c>
      <c r="Y410" s="9" t="s">
        <v>613</v>
      </c>
      <c r="Z410" s="12"/>
      <c r="AA410" s="9">
        <v>1306141.0</v>
      </c>
      <c r="AB410" s="12"/>
      <c r="AC410" s="9" t="s">
        <v>50</v>
      </c>
    </row>
    <row r="411">
      <c r="A411" s="9" t="s">
        <v>33</v>
      </c>
      <c r="B411" s="11">
        <v>6.0</v>
      </c>
      <c r="C411" s="9" t="s">
        <v>43</v>
      </c>
      <c r="D411" s="9" t="s">
        <v>55</v>
      </c>
      <c r="E411" s="9" t="s">
        <v>56</v>
      </c>
      <c r="F411" s="9" t="s">
        <v>45</v>
      </c>
      <c r="G411" s="9" t="s">
        <v>46</v>
      </c>
      <c r="H411" s="9" t="s">
        <v>159</v>
      </c>
      <c r="I411" s="11">
        <v>8177315.0</v>
      </c>
      <c r="J411" s="11">
        <v>2.66806698E8</v>
      </c>
      <c r="K411" s="13">
        <v>46304.0</v>
      </c>
      <c r="L411" s="14">
        <v>46316.0</v>
      </c>
      <c r="M411" s="12"/>
      <c r="N411" s="9">
        <v>204.0</v>
      </c>
      <c r="O411" s="11">
        <v>7.0</v>
      </c>
      <c r="P411" s="9" t="s">
        <v>44</v>
      </c>
      <c r="Q411" s="12"/>
      <c r="R411" s="9" t="s">
        <v>52</v>
      </c>
      <c r="S411" s="9" t="s">
        <v>47</v>
      </c>
      <c r="T411" s="9" t="s">
        <v>44</v>
      </c>
      <c r="U411" s="9" t="s">
        <v>44</v>
      </c>
      <c r="V411" s="11">
        <v>38.46</v>
      </c>
      <c r="W411" s="11">
        <v>2.0</v>
      </c>
      <c r="X411" s="9" t="s">
        <v>48</v>
      </c>
      <c r="Y411" s="9" t="s">
        <v>614</v>
      </c>
      <c r="Z411" s="12"/>
      <c r="AA411" s="9">
        <v>1306322.0</v>
      </c>
      <c r="AB411" s="12"/>
      <c r="AC411" s="9" t="s">
        <v>50</v>
      </c>
    </row>
    <row r="412">
      <c r="A412" s="9" t="s">
        <v>33</v>
      </c>
      <c r="B412" s="11">
        <v>6.0</v>
      </c>
      <c r="C412" s="9" t="s">
        <v>43</v>
      </c>
      <c r="D412" s="9" t="s">
        <v>55</v>
      </c>
      <c r="E412" s="9" t="s">
        <v>56</v>
      </c>
      <c r="F412" s="9" t="s">
        <v>45</v>
      </c>
      <c r="G412" s="9" t="s">
        <v>46</v>
      </c>
      <c r="H412" s="9" t="s">
        <v>159</v>
      </c>
      <c r="I412" s="11">
        <v>8177316.0</v>
      </c>
      <c r="J412" s="11">
        <v>2.66806701E8</v>
      </c>
      <c r="K412" s="13">
        <v>46304.0</v>
      </c>
      <c r="L412" s="14">
        <v>46317.0</v>
      </c>
      <c r="M412" s="12"/>
      <c r="N412" s="9">
        <v>209.0</v>
      </c>
      <c r="O412" s="11">
        <v>8.0</v>
      </c>
      <c r="P412" s="9" t="s">
        <v>44</v>
      </c>
      <c r="Q412" s="12"/>
      <c r="R412" s="9" t="s">
        <v>52</v>
      </c>
      <c r="S412" s="9" t="s">
        <v>47</v>
      </c>
      <c r="T412" s="9" t="s">
        <v>44</v>
      </c>
      <c r="U412" s="9" t="s">
        <v>44</v>
      </c>
      <c r="V412" s="11">
        <v>38.46</v>
      </c>
      <c r="W412" s="11">
        <v>6.0</v>
      </c>
      <c r="X412" s="9" t="s">
        <v>48</v>
      </c>
      <c r="Y412" s="9" t="s">
        <v>615</v>
      </c>
      <c r="Z412" s="12"/>
      <c r="AA412" s="9" t="s">
        <v>616</v>
      </c>
      <c r="AB412" s="12"/>
      <c r="AC412" s="9" t="s">
        <v>50</v>
      </c>
    </row>
    <row r="413">
      <c r="A413" s="9" t="s">
        <v>33</v>
      </c>
      <c r="B413" s="11">
        <v>6.0</v>
      </c>
      <c r="C413" s="9" t="s">
        <v>43</v>
      </c>
      <c r="D413" s="9" t="s">
        <v>55</v>
      </c>
      <c r="E413" s="9" t="s">
        <v>56</v>
      </c>
      <c r="F413" s="9" t="s">
        <v>45</v>
      </c>
      <c r="G413" s="9" t="s">
        <v>46</v>
      </c>
      <c r="H413" s="9" t="s">
        <v>159</v>
      </c>
      <c r="I413" s="11">
        <v>8177148.0</v>
      </c>
      <c r="J413" s="11">
        <v>2.66806702E8</v>
      </c>
      <c r="K413" s="13">
        <v>46304.0</v>
      </c>
      <c r="L413" s="14">
        <v>46316.0</v>
      </c>
      <c r="M413" s="12"/>
      <c r="N413" s="9">
        <v>106.0</v>
      </c>
      <c r="O413" s="11">
        <v>7.0</v>
      </c>
      <c r="P413" s="9" t="s">
        <v>44</v>
      </c>
      <c r="Q413" s="12"/>
      <c r="R413" s="12"/>
      <c r="S413" s="9" t="s">
        <v>47</v>
      </c>
      <c r="T413" s="9" t="s">
        <v>44</v>
      </c>
      <c r="U413" s="9" t="s">
        <v>44</v>
      </c>
      <c r="V413" s="11">
        <v>38.46</v>
      </c>
      <c r="W413" s="11">
        <v>1.0</v>
      </c>
      <c r="X413" s="9" t="s">
        <v>48</v>
      </c>
      <c r="Y413" s="9" t="s">
        <v>71</v>
      </c>
      <c r="Z413" s="12"/>
      <c r="AA413" s="9">
        <v>1306218.0</v>
      </c>
      <c r="AB413" s="12"/>
      <c r="AC413" s="9" t="s">
        <v>50</v>
      </c>
    </row>
    <row r="414">
      <c r="A414" s="9" t="s">
        <v>33</v>
      </c>
      <c r="B414" s="11">
        <v>6.0</v>
      </c>
      <c r="C414" s="9" t="s">
        <v>43</v>
      </c>
      <c r="D414" s="9" t="s">
        <v>55</v>
      </c>
      <c r="E414" s="9" t="s">
        <v>56</v>
      </c>
      <c r="F414" s="9" t="s">
        <v>45</v>
      </c>
      <c r="G414" s="9" t="s">
        <v>46</v>
      </c>
      <c r="H414" s="9" t="s">
        <v>167</v>
      </c>
      <c r="I414" s="11">
        <v>8177149.0</v>
      </c>
      <c r="J414" s="11">
        <v>2.66806705E8</v>
      </c>
      <c r="K414" s="13">
        <v>46304.0</v>
      </c>
      <c r="L414" s="14">
        <v>46317.0</v>
      </c>
      <c r="M414" s="12"/>
      <c r="N414" s="9">
        <v>5.0</v>
      </c>
      <c r="O414" s="11">
        <v>8.0</v>
      </c>
      <c r="P414" s="9" t="s">
        <v>44</v>
      </c>
      <c r="Q414" s="12"/>
      <c r="R414" s="12"/>
      <c r="S414" s="9" t="s">
        <v>47</v>
      </c>
      <c r="T414" s="9" t="s">
        <v>44</v>
      </c>
      <c r="U414" s="9" t="s">
        <v>44</v>
      </c>
      <c r="V414" s="11">
        <v>38.46</v>
      </c>
      <c r="W414" s="11">
        <v>1.0</v>
      </c>
      <c r="X414" s="9" t="s">
        <v>48</v>
      </c>
      <c r="Y414" s="9" t="s">
        <v>617</v>
      </c>
      <c r="Z414" s="12"/>
      <c r="AA414" s="9">
        <v>1306172.0</v>
      </c>
      <c r="AB414" s="12"/>
      <c r="AC414" s="9" t="s">
        <v>50</v>
      </c>
    </row>
    <row r="415">
      <c r="A415" s="9" t="s">
        <v>33</v>
      </c>
      <c r="B415" s="11">
        <v>6.0</v>
      </c>
      <c r="C415" s="9" t="s">
        <v>43</v>
      </c>
      <c r="D415" s="9" t="s">
        <v>55</v>
      </c>
      <c r="E415" s="9" t="s">
        <v>56</v>
      </c>
      <c r="F415" s="9" t="s">
        <v>45</v>
      </c>
      <c r="G415" s="9" t="s">
        <v>46</v>
      </c>
      <c r="H415" s="9" t="s">
        <v>167</v>
      </c>
      <c r="I415" s="11">
        <v>8177212.0</v>
      </c>
      <c r="J415" s="11">
        <v>2.66806707E8</v>
      </c>
      <c r="K415" s="13">
        <v>46304.0</v>
      </c>
      <c r="L415" s="14">
        <v>46317.0</v>
      </c>
      <c r="M415" s="12"/>
      <c r="N415" s="9">
        <v>106.0</v>
      </c>
      <c r="O415" s="11">
        <v>8.0</v>
      </c>
      <c r="P415" s="9" t="s">
        <v>44</v>
      </c>
      <c r="Q415" s="12"/>
      <c r="R415" s="12"/>
      <c r="S415" s="9" t="s">
        <v>47</v>
      </c>
      <c r="T415" s="9" t="s">
        <v>44</v>
      </c>
      <c r="U415" s="9" t="s">
        <v>44</v>
      </c>
      <c r="V415" s="11">
        <v>38.46</v>
      </c>
      <c r="W415" s="11">
        <v>1.0</v>
      </c>
      <c r="X415" s="9" t="s">
        <v>48</v>
      </c>
      <c r="Y415" s="9" t="s">
        <v>618</v>
      </c>
      <c r="Z415" s="12"/>
      <c r="AA415" s="9">
        <v>1305957.0</v>
      </c>
      <c r="AB415" s="12"/>
      <c r="AC415" s="9" t="s">
        <v>50</v>
      </c>
    </row>
    <row r="416">
      <c r="A416" s="9" t="s">
        <v>33</v>
      </c>
      <c r="B416" s="11">
        <v>6.0</v>
      </c>
      <c r="C416" s="9" t="s">
        <v>43</v>
      </c>
      <c r="D416" s="9" t="s">
        <v>55</v>
      </c>
      <c r="E416" s="9" t="s">
        <v>56</v>
      </c>
      <c r="F416" s="9" t="s">
        <v>45</v>
      </c>
      <c r="G416" s="9" t="s">
        <v>46</v>
      </c>
      <c r="H416" s="9" t="s">
        <v>159</v>
      </c>
      <c r="I416" s="11">
        <v>8177182.0</v>
      </c>
      <c r="J416" s="11">
        <v>2.6680671E8</v>
      </c>
      <c r="K416" s="13">
        <v>46304.0</v>
      </c>
      <c r="L416" s="14">
        <v>46317.0</v>
      </c>
      <c r="M416" s="12"/>
      <c r="N416" s="9">
        <v>111.0</v>
      </c>
      <c r="O416" s="11">
        <v>8.0</v>
      </c>
      <c r="P416" s="9" t="s">
        <v>44</v>
      </c>
      <c r="Q416" s="12"/>
      <c r="R416" s="9" t="s">
        <v>52</v>
      </c>
      <c r="S416" s="9" t="s">
        <v>47</v>
      </c>
      <c r="T416" s="9" t="s">
        <v>44</v>
      </c>
      <c r="U416" s="9" t="s">
        <v>44</v>
      </c>
      <c r="V416" s="11">
        <v>38.46</v>
      </c>
      <c r="W416" s="11">
        <v>1.0</v>
      </c>
      <c r="X416" s="9" t="s">
        <v>48</v>
      </c>
      <c r="Y416" s="9" t="s">
        <v>619</v>
      </c>
      <c r="Z416" s="12"/>
      <c r="AA416" s="9">
        <v>1306015.0</v>
      </c>
      <c r="AB416" s="12"/>
      <c r="AC416" s="9" t="s">
        <v>50</v>
      </c>
    </row>
    <row r="417">
      <c r="A417" s="9" t="s">
        <v>33</v>
      </c>
      <c r="B417" s="11">
        <v>6.0</v>
      </c>
      <c r="C417" s="9" t="s">
        <v>43</v>
      </c>
      <c r="D417" s="9" t="s">
        <v>55</v>
      </c>
      <c r="E417" s="9" t="s">
        <v>56</v>
      </c>
      <c r="F417" s="9" t="s">
        <v>45</v>
      </c>
      <c r="G417" s="9" t="s">
        <v>46</v>
      </c>
      <c r="H417" s="9" t="s">
        <v>178</v>
      </c>
      <c r="I417" s="11">
        <v>8177126.0</v>
      </c>
      <c r="J417" s="11">
        <v>2.66806711E8</v>
      </c>
      <c r="K417" s="13">
        <v>46304.0</v>
      </c>
      <c r="L417" s="14">
        <v>46316.0</v>
      </c>
      <c r="M417" s="12"/>
      <c r="N417" s="9">
        <v>1.0</v>
      </c>
      <c r="O417" s="11">
        <v>7.0</v>
      </c>
      <c r="P417" s="9" t="s">
        <v>44</v>
      </c>
      <c r="Q417" s="12"/>
      <c r="R417" s="12"/>
      <c r="S417" s="9" t="s">
        <v>47</v>
      </c>
      <c r="T417" s="9" t="s">
        <v>44</v>
      </c>
      <c r="U417" s="9" t="s">
        <v>44</v>
      </c>
      <c r="V417" s="11">
        <v>38.46</v>
      </c>
      <c r="W417" s="11">
        <v>1.0</v>
      </c>
      <c r="X417" s="9" t="s">
        <v>48</v>
      </c>
      <c r="Y417" s="9" t="s">
        <v>620</v>
      </c>
      <c r="Z417" s="12"/>
      <c r="AA417" s="9">
        <v>1306222.0</v>
      </c>
      <c r="AB417" s="12"/>
      <c r="AC417" s="9" t="s">
        <v>50</v>
      </c>
    </row>
    <row r="418">
      <c r="A418" s="9" t="s">
        <v>33</v>
      </c>
      <c r="B418" s="11">
        <v>6.0</v>
      </c>
      <c r="C418" s="9" t="s">
        <v>43</v>
      </c>
      <c r="D418" s="9" t="s">
        <v>55</v>
      </c>
      <c r="E418" s="9" t="s">
        <v>56</v>
      </c>
      <c r="F418" s="9" t="s">
        <v>45</v>
      </c>
      <c r="G418" s="9" t="s">
        <v>46</v>
      </c>
      <c r="H418" s="9" t="s">
        <v>178</v>
      </c>
      <c r="I418" s="11">
        <v>8177317.0</v>
      </c>
      <c r="J418" s="11">
        <v>2.66806714E8</v>
      </c>
      <c r="K418" s="13">
        <v>46304.0</v>
      </c>
      <c r="L418" s="14">
        <v>46321.0</v>
      </c>
      <c r="M418" s="12"/>
      <c r="N418" s="9">
        <v>113.0</v>
      </c>
      <c r="O418" s="11">
        <v>10.0</v>
      </c>
      <c r="P418" s="9" t="s">
        <v>44</v>
      </c>
      <c r="Q418" s="12"/>
      <c r="R418" s="12"/>
      <c r="S418" s="9" t="s">
        <v>47</v>
      </c>
      <c r="T418" s="9" t="s">
        <v>44</v>
      </c>
      <c r="U418" s="9" t="s">
        <v>44</v>
      </c>
      <c r="V418" s="11">
        <v>38.46</v>
      </c>
      <c r="W418" s="11">
        <v>1.0</v>
      </c>
      <c r="X418" s="9" t="s">
        <v>48</v>
      </c>
      <c r="Y418" s="9" t="s">
        <v>621</v>
      </c>
      <c r="Z418" s="12"/>
      <c r="AA418" s="9">
        <v>1306166.0</v>
      </c>
      <c r="AB418" s="12"/>
      <c r="AC418" s="9" t="s">
        <v>50</v>
      </c>
    </row>
    <row r="419">
      <c r="A419" s="9" t="s">
        <v>33</v>
      </c>
      <c r="B419" s="11">
        <v>6.0</v>
      </c>
      <c r="C419" s="9" t="s">
        <v>43</v>
      </c>
      <c r="D419" s="9" t="s">
        <v>55</v>
      </c>
      <c r="E419" s="9" t="s">
        <v>56</v>
      </c>
      <c r="F419" s="9" t="s">
        <v>45</v>
      </c>
      <c r="G419" s="9" t="s">
        <v>46</v>
      </c>
      <c r="H419" s="9" t="s">
        <v>178</v>
      </c>
      <c r="I419" s="11">
        <v>8177342.0</v>
      </c>
      <c r="J419" s="11">
        <v>2.66806716E8</v>
      </c>
      <c r="K419" s="13">
        <v>46304.0</v>
      </c>
      <c r="L419" s="14">
        <v>46321.0</v>
      </c>
      <c r="M419" s="12"/>
      <c r="N419" s="9">
        <v>102.0</v>
      </c>
      <c r="O419" s="11">
        <v>10.0</v>
      </c>
      <c r="P419" s="9" t="s">
        <v>44</v>
      </c>
      <c r="Q419" s="12"/>
      <c r="R419" s="9" t="s">
        <v>52</v>
      </c>
      <c r="S419" s="9" t="s">
        <v>47</v>
      </c>
      <c r="T419" s="9" t="s">
        <v>44</v>
      </c>
      <c r="U419" s="9" t="s">
        <v>44</v>
      </c>
      <c r="V419" s="11">
        <v>44.45</v>
      </c>
      <c r="W419" s="11">
        <v>6.0</v>
      </c>
      <c r="X419" s="9" t="s">
        <v>48</v>
      </c>
      <c r="Y419" s="9" t="s">
        <v>622</v>
      </c>
      <c r="Z419" s="12"/>
      <c r="AA419" s="9">
        <v>1305979.0</v>
      </c>
      <c r="AB419" s="12"/>
      <c r="AC419" s="9" t="s">
        <v>50</v>
      </c>
    </row>
    <row r="420">
      <c r="A420" s="9" t="s">
        <v>33</v>
      </c>
      <c r="B420" s="11">
        <v>6.0</v>
      </c>
      <c r="C420" s="9" t="s">
        <v>43</v>
      </c>
      <c r="D420" s="9" t="s">
        <v>55</v>
      </c>
      <c r="E420" s="9" t="s">
        <v>56</v>
      </c>
      <c r="F420" s="9" t="s">
        <v>45</v>
      </c>
      <c r="G420" s="9" t="s">
        <v>46</v>
      </c>
      <c r="H420" s="9" t="s">
        <v>298</v>
      </c>
      <c r="I420" s="11">
        <v>8177318.0</v>
      </c>
      <c r="J420" s="11">
        <v>2.66806719E8</v>
      </c>
      <c r="K420" s="13">
        <v>46304.0</v>
      </c>
      <c r="L420" s="14">
        <v>46316.0</v>
      </c>
      <c r="M420" s="12"/>
      <c r="N420" s="9">
        <v>4.0</v>
      </c>
      <c r="O420" s="11">
        <v>7.0</v>
      </c>
      <c r="P420" s="9" t="s">
        <v>44</v>
      </c>
      <c r="Q420" s="12"/>
      <c r="R420" s="9" t="s">
        <v>52</v>
      </c>
      <c r="S420" s="9" t="s">
        <v>47</v>
      </c>
      <c r="T420" s="9" t="s">
        <v>44</v>
      </c>
      <c r="U420" s="9" t="s">
        <v>44</v>
      </c>
      <c r="V420" s="11">
        <v>38.46</v>
      </c>
      <c r="W420" s="11">
        <v>2.0</v>
      </c>
      <c r="X420" s="9" t="s">
        <v>48</v>
      </c>
      <c r="Y420" s="9" t="s">
        <v>623</v>
      </c>
      <c r="Z420" s="12"/>
      <c r="AA420" s="9">
        <v>1306162.0</v>
      </c>
      <c r="AB420" s="12"/>
      <c r="AC420" s="9" t="s">
        <v>50</v>
      </c>
    </row>
    <row r="421">
      <c r="A421" s="9" t="s">
        <v>33</v>
      </c>
      <c r="B421" s="11">
        <v>6.0</v>
      </c>
      <c r="C421" s="9" t="s">
        <v>43</v>
      </c>
      <c r="D421" s="9" t="s">
        <v>55</v>
      </c>
      <c r="E421" s="9" t="s">
        <v>56</v>
      </c>
      <c r="F421" s="9" t="s">
        <v>45</v>
      </c>
      <c r="G421" s="9" t="s">
        <v>46</v>
      </c>
      <c r="H421" s="9" t="s">
        <v>178</v>
      </c>
      <c r="I421" s="11">
        <v>8177110.0</v>
      </c>
      <c r="J421" s="11">
        <v>2.66806721E8</v>
      </c>
      <c r="K421" s="13">
        <v>46304.0</v>
      </c>
      <c r="L421" s="14">
        <v>46317.0</v>
      </c>
      <c r="M421" s="12"/>
      <c r="N421" s="9">
        <v>103.0</v>
      </c>
      <c r="O421" s="11">
        <v>8.0</v>
      </c>
      <c r="P421" s="9" t="s">
        <v>44</v>
      </c>
      <c r="Q421" s="12"/>
      <c r="R421" s="12"/>
      <c r="S421" s="9" t="s">
        <v>47</v>
      </c>
      <c r="T421" s="9" t="s">
        <v>44</v>
      </c>
      <c r="U421" s="9" t="s">
        <v>44</v>
      </c>
      <c r="V421" s="11">
        <v>38.46</v>
      </c>
      <c r="W421" s="11">
        <v>1.0</v>
      </c>
      <c r="X421" s="9" t="s">
        <v>48</v>
      </c>
      <c r="Y421" s="9" t="s">
        <v>624</v>
      </c>
      <c r="Z421" s="12"/>
      <c r="AA421" s="9">
        <v>1306138.0</v>
      </c>
      <c r="AB421" s="12"/>
      <c r="AC421" s="9" t="s">
        <v>50</v>
      </c>
    </row>
    <row r="422">
      <c r="A422" s="9" t="s">
        <v>33</v>
      </c>
      <c r="B422" s="11">
        <v>6.0</v>
      </c>
      <c r="C422" s="9" t="s">
        <v>43</v>
      </c>
      <c r="D422" s="9" t="s">
        <v>55</v>
      </c>
      <c r="E422" s="9" t="s">
        <v>56</v>
      </c>
      <c r="F422" s="9" t="s">
        <v>45</v>
      </c>
      <c r="G422" s="9" t="s">
        <v>46</v>
      </c>
      <c r="H422" s="9" t="s">
        <v>61</v>
      </c>
      <c r="I422" s="11">
        <v>8177240.0</v>
      </c>
      <c r="J422" s="11">
        <v>2.66806723E8</v>
      </c>
      <c r="K422" s="13">
        <v>46304.0</v>
      </c>
      <c r="L422" s="14">
        <v>46317.0</v>
      </c>
      <c r="M422" s="12"/>
      <c r="N422" s="9">
        <v>101.0</v>
      </c>
      <c r="O422" s="11">
        <v>8.0</v>
      </c>
      <c r="P422" s="9" t="s">
        <v>44</v>
      </c>
      <c r="Q422" s="12"/>
      <c r="R422" s="12"/>
      <c r="S422" s="9" t="s">
        <v>47</v>
      </c>
      <c r="T422" s="9" t="s">
        <v>44</v>
      </c>
      <c r="U422" s="9" t="s">
        <v>44</v>
      </c>
      <c r="V422" s="11">
        <v>38.46</v>
      </c>
      <c r="W422" s="11">
        <v>1.0</v>
      </c>
      <c r="X422" s="9" t="s">
        <v>48</v>
      </c>
      <c r="Y422" s="9" t="s">
        <v>62</v>
      </c>
      <c r="Z422" s="12"/>
      <c r="AA422" s="9">
        <v>1305929.0</v>
      </c>
      <c r="AB422" s="12"/>
      <c r="AC422" s="9" t="s">
        <v>50</v>
      </c>
    </row>
    <row r="423">
      <c r="A423" s="9" t="s">
        <v>33</v>
      </c>
      <c r="B423" s="11">
        <v>6.0</v>
      </c>
      <c r="C423" s="9" t="s">
        <v>43</v>
      </c>
      <c r="D423" s="9" t="s">
        <v>55</v>
      </c>
      <c r="E423" s="9" t="s">
        <v>56</v>
      </c>
      <c r="F423" s="9" t="s">
        <v>45</v>
      </c>
      <c r="G423" s="9" t="s">
        <v>46</v>
      </c>
      <c r="H423" s="9" t="s">
        <v>63</v>
      </c>
      <c r="I423" s="11">
        <v>8177343.0</v>
      </c>
      <c r="J423" s="11">
        <v>2.66806725E8</v>
      </c>
      <c r="K423" s="13">
        <v>46304.0</v>
      </c>
      <c r="L423" s="14">
        <v>46316.0</v>
      </c>
      <c r="M423" s="12"/>
      <c r="N423" s="9">
        <v>1.0</v>
      </c>
      <c r="O423" s="11">
        <v>7.0</v>
      </c>
      <c r="P423" s="9" t="s">
        <v>44</v>
      </c>
      <c r="Q423" s="12"/>
      <c r="R423" s="9" t="s">
        <v>52</v>
      </c>
      <c r="S423" s="9" t="s">
        <v>47</v>
      </c>
      <c r="T423" s="9" t="s">
        <v>44</v>
      </c>
      <c r="U423" s="9" t="s">
        <v>44</v>
      </c>
      <c r="V423" s="11">
        <v>38.46</v>
      </c>
      <c r="W423" s="11">
        <v>2.0</v>
      </c>
      <c r="X423" s="9" t="s">
        <v>48</v>
      </c>
      <c r="Y423" s="9" t="s">
        <v>625</v>
      </c>
      <c r="Z423" s="12"/>
      <c r="AA423" s="9">
        <v>1305969.0</v>
      </c>
      <c r="AB423" s="12"/>
      <c r="AC423" s="9" t="s">
        <v>50</v>
      </c>
    </row>
    <row r="424">
      <c r="A424" s="9" t="s">
        <v>33</v>
      </c>
      <c r="B424" s="11">
        <v>6.0</v>
      </c>
      <c r="C424" s="9" t="s">
        <v>43</v>
      </c>
      <c r="D424" s="9" t="s">
        <v>55</v>
      </c>
      <c r="E424" s="9" t="s">
        <v>56</v>
      </c>
      <c r="F424" s="9" t="s">
        <v>45</v>
      </c>
      <c r="G424" s="9" t="s">
        <v>46</v>
      </c>
      <c r="H424" s="9" t="s">
        <v>61</v>
      </c>
      <c r="I424" s="11">
        <v>8177127.0</v>
      </c>
      <c r="J424" s="11">
        <v>2.66806726E8</v>
      </c>
      <c r="K424" s="13">
        <v>46304.0</v>
      </c>
      <c r="L424" s="14">
        <v>46318.0</v>
      </c>
      <c r="M424" s="12"/>
      <c r="N424" s="9">
        <v>107.0</v>
      </c>
      <c r="O424" s="11">
        <v>9.0</v>
      </c>
      <c r="P424" s="9" t="s">
        <v>44</v>
      </c>
      <c r="Q424" s="12"/>
      <c r="R424" s="9" t="s">
        <v>52</v>
      </c>
      <c r="S424" s="9" t="s">
        <v>47</v>
      </c>
      <c r="T424" s="9" t="s">
        <v>44</v>
      </c>
      <c r="U424" s="9" t="s">
        <v>44</v>
      </c>
      <c r="V424" s="11">
        <v>38.46</v>
      </c>
      <c r="W424" s="11">
        <v>2.0</v>
      </c>
      <c r="X424" s="9" t="s">
        <v>48</v>
      </c>
      <c r="Y424" s="9" t="s">
        <v>626</v>
      </c>
      <c r="Z424" s="12"/>
      <c r="AA424" s="9">
        <v>1306098.0</v>
      </c>
      <c r="AB424" s="12"/>
      <c r="AC424" s="9" t="s">
        <v>50</v>
      </c>
    </row>
    <row r="425">
      <c r="A425" s="9" t="s">
        <v>33</v>
      </c>
      <c r="B425" s="11">
        <v>6.0</v>
      </c>
      <c r="C425" s="9" t="s">
        <v>43</v>
      </c>
      <c r="D425" s="9" t="s">
        <v>55</v>
      </c>
      <c r="E425" s="9" t="s">
        <v>56</v>
      </c>
      <c r="F425" s="9" t="s">
        <v>45</v>
      </c>
      <c r="G425" s="9" t="s">
        <v>46</v>
      </c>
      <c r="H425" s="9" t="s">
        <v>61</v>
      </c>
      <c r="I425" s="11">
        <v>8177213.0</v>
      </c>
      <c r="J425" s="11">
        <v>2.66806727E8</v>
      </c>
      <c r="K425" s="13">
        <v>46304.0</v>
      </c>
      <c r="L425" s="14">
        <v>46318.0</v>
      </c>
      <c r="M425" s="12"/>
      <c r="N425" s="9">
        <v>118.0</v>
      </c>
      <c r="O425" s="11">
        <v>9.0</v>
      </c>
      <c r="P425" s="9" t="s">
        <v>44</v>
      </c>
      <c r="Q425" s="12"/>
      <c r="R425" s="12"/>
      <c r="S425" s="9" t="s">
        <v>47</v>
      </c>
      <c r="T425" s="9" t="s">
        <v>44</v>
      </c>
      <c r="U425" s="9" t="s">
        <v>44</v>
      </c>
      <c r="V425" s="11">
        <v>38.46</v>
      </c>
      <c r="W425" s="11">
        <v>1.0</v>
      </c>
      <c r="X425" s="9" t="s">
        <v>48</v>
      </c>
      <c r="Y425" s="9" t="s">
        <v>627</v>
      </c>
      <c r="Z425" s="12"/>
      <c r="AA425" s="9">
        <v>1306076.0</v>
      </c>
      <c r="AB425" s="12"/>
      <c r="AC425" s="9" t="s">
        <v>50</v>
      </c>
    </row>
    <row r="426">
      <c r="A426" s="9" t="s">
        <v>33</v>
      </c>
      <c r="B426" s="11">
        <v>6.0</v>
      </c>
      <c r="C426" s="9" t="s">
        <v>43</v>
      </c>
      <c r="D426" s="9" t="s">
        <v>55</v>
      </c>
      <c r="E426" s="9" t="s">
        <v>56</v>
      </c>
      <c r="F426" s="9" t="s">
        <v>45</v>
      </c>
      <c r="G426" s="9" t="s">
        <v>46</v>
      </c>
      <c r="H426" s="9" t="s">
        <v>61</v>
      </c>
      <c r="I426" s="11">
        <v>8177150.0</v>
      </c>
      <c r="J426" s="11">
        <v>2.66806729E8</v>
      </c>
      <c r="K426" s="13">
        <v>46304.0</v>
      </c>
      <c r="L426" s="14">
        <v>46322.0</v>
      </c>
      <c r="M426" s="12"/>
      <c r="N426" s="9">
        <v>113.0</v>
      </c>
      <c r="O426" s="11">
        <v>11.0</v>
      </c>
      <c r="P426" s="9" t="s">
        <v>44</v>
      </c>
      <c r="Q426" s="12"/>
      <c r="R426" s="12"/>
      <c r="S426" s="9" t="s">
        <v>47</v>
      </c>
      <c r="T426" s="9" t="s">
        <v>44</v>
      </c>
      <c r="U426" s="9" t="s">
        <v>44</v>
      </c>
      <c r="V426" s="11">
        <v>38.46</v>
      </c>
      <c r="W426" s="11">
        <v>1.0</v>
      </c>
      <c r="X426" s="9" t="s">
        <v>48</v>
      </c>
      <c r="Y426" s="9" t="s">
        <v>628</v>
      </c>
      <c r="Z426" s="12"/>
      <c r="AA426" s="9">
        <v>1306263.0</v>
      </c>
      <c r="AB426" s="12"/>
      <c r="AC426" s="9" t="s">
        <v>50</v>
      </c>
    </row>
    <row r="427">
      <c r="A427" s="9" t="s">
        <v>33</v>
      </c>
      <c r="B427" s="11">
        <v>6.0</v>
      </c>
      <c r="C427" s="9" t="s">
        <v>43</v>
      </c>
      <c r="D427" s="9" t="s">
        <v>55</v>
      </c>
      <c r="E427" s="9" t="s">
        <v>56</v>
      </c>
      <c r="F427" s="9" t="s">
        <v>45</v>
      </c>
      <c r="G427" s="9" t="s">
        <v>46</v>
      </c>
      <c r="H427" s="9" t="s">
        <v>61</v>
      </c>
      <c r="I427" s="11">
        <v>8177241.0</v>
      </c>
      <c r="J427" s="11">
        <v>2.66806731E8</v>
      </c>
      <c r="K427" s="13">
        <v>46304.0</v>
      </c>
      <c r="L427" s="14">
        <v>46323.0</v>
      </c>
      <c r="M427" s="12"/>
      <c r="N427" s="9">
        <v>113.0</v>
      </c>
      <c r="O427" s="11">
        <v>12.0</v>
      </c>
      <c r="P427" s="9" t="s">
        <v>44</v>
      </c>
      <c r="Q427" s="12"/>
      <c r="R427" s="12"/>
      <c r="S427" s="9" t="s">
        <v>47</v>
      </c>
      <c r="T427" s="9" t="s">
        <v>44</v>
      </c>
      <c r="U427" s="9" t="s">
        <v>44</v>
      </c>
      <c r="V427" s="11">
        <v>38.46</v>
      </c>
      <c r="W427" s="11">
        <v>1.0</v>
      </c>
      <c r="X427" s="9" t="s">
        <v>48</v>
      </c>
      <c r="Y427" s="9" t="s">
        <v>629</v>
      </c>
      <c r="Z427" s="12"/>
      <c r="AA427" s="9">
        <v>1305885.0</v>
      </c>
      <c r="AB427" s="12"/>
      <c r="AC427" s="9" t="s">
        <v>50</v>
      </c>
    </row>
    <row r="428">
      <c r="A428" s="9" t="s">
        <v>33</v>
      </c>
      <c r="B428" s="11">
        <v>6.0</v>
      </c>
      <c r="C428" s="9" t="s">
        <v>43</v>
      </c>
      <c r="D428" s="9" t="s">
        <v>55</v>
      </c>
      <c r="E428" s="9" t="s">
        <v>56</v>
      </c>
      <c r="F428" s="9" t="s">
        <v>45</v>
      </c>
      <c r="G428" s="9" t="s">
        <v>46</v>
      </c>
      <c r="H428" s="9" t="s">
        <v>61</v>
      </c>
      <c r="I428" s="11">
        <v>8177242.0</v>
      </c>
      <c r="J428" s="11">
        <v>2.66806732E8</v>
      </c>
      <c r="K428" s="13">
        <v>46304.0</v>
      </c>
      <c r="L428" s="14">
        <v>46317.0</v>
      </c>
      <c r="M428" s="12"/>
      <c r="N428" s="9">
        <v>122.0</v>
      </c>
      <c r="O428" s="11">
        <v>8.0</v>
      </c>
      <c r="P428" s="9" t="s">
        <v>44</v>
      </c>
      <c r="Q428" s="12"/>
      <c r="R428" s="12"/>
      <c r="S428" s="9" t="s">
        <v>47</v>
      </c>
      <c r="T428" s="9" t="s">
        <v>44</v>
      </c>
      <c r="U428" s="9" t="s">
        <v>44</v>
      </c>
      <c r="V428" s="11">
        <v>38.46</v>
      </c>
      <c r="W428" s="11">
        <v>1.0</v>
      </c>
      <c r="X428" s="9" t="s">
        <v>48</v>
      </c>
      <c r="Y428" s="9" t="s">
        <v>630</v>
      </c>
      <c r="Z428" s="12"/>
      <c r="AA428" s="9">
        <v>1305846.0</v>
      </c>
      <c r="AB428" s="12"/>
      <c r="AC428" s="9" t="s">
        <v>50</v>
      </c>
    </row>
    <row r="429">
      <c r="A429" s="9" t="s">
        <v>33</v>
      </c>
      <c r="B429" s="11">
        <v>6.0</v>
      </c>
      <c r="C429" s="9" t="s">
        <v>43</v>
      </c>
      <c r="D429" s="9" t="s">
        <v>55</v>
      </c>
      <c r="E429" s="9" t="s">
        <v>56</v>
      </c>
      <c r="F429" s="9" t="s">
        <v>45</v>
      </c>
      <c r="G429" s="9" t="s">
        <v>46</v>
      </c>
      <c r="H429" s="9" t="s">
        <v>61</v>
      </c>
      <c r="I429" s="11">
        <v>8177243.0</v>
      </c>
      <c r="J429" s="11">
        <v>2.66806734E8</v>
      </c>
      <c r="K429" s="13">
        <v>46304.0</v>
      </c>
      <c r="L429" s="14">
        <v>46317.0</v>
      </c>
      <c r="M429" s="12"/>
      <c r="N429" s="9">
        <v>122.0</v>
      </c>
      <c r="O429" s="11">
        <v>8.0</v>
      </c>
      <c r="P429" s="9" t="s">
        <v>44</v>
      </c>
      <c r="Q429" s="12"/>
      <c r="R429" s="12"/>
      <c r="S429" s="9" t="s">
        <v>47</v>
      </c>
      <c r="T429" s="9" t="s">
        <v>44</v>
      </c>
      <c r="U429" s="9" t="s">
        <v>44</v>
      </c>
      <c r="V429" s="11">
        <v>38.46</v>
      </c>
      <c r="W429" s="11">
        <v>1.0</v>
      </c>
      <c r="X429" s="9" t="s">
        <v>48</v>
      </c>
      <c r="Y429" s="9" t="s">
        <v>631</v>
      </c>
      <c r="Z429" s="12"/>
      <c r="AA429" s="9">
        <v>1305865.0</v>
      </c>
      <c r="AB429" s="12"/>
      <c r="AC429" s="9" t="s">
        <v>50</v>
      </c>
    </row>
    <row r="430">
      <c r="A430" s="9" t="s">
        <v>33</v>
      </c>
      <c r="B430" s="11">
        <v>6.0</v>
      </c>
      <c r="C430" s="9" t="s">
        <v>43</v>
      </c>
      <c r="D430" s="9" t="s">
        <v>55</v>
      </c>
      <c r="E430" s="9" t="s">
        <v>56</v>
      </c>
      <c r="F430" s="9" t="s">
        <v>45</v>
      </c>
      <c r="G430" s="9" t="s">
        <v>46</v>
      </c>
      <c r="H430" s="9" t="s">
        <v>61</v>
      </c>
      <c r="I430" s="11">
        <v>8177214.0</v>
      </c>
      <c r="J430" s="11">
        <v>2.66806736E8</v>
      </c>
      <c r="K430" s="13">
        <v>46304.0</v>
      </c>
      <c r="L430" s="14">
        <v>46322.0</v>
      </c>
      <c r="M430" s="12"/>
      <c r="N430" s="9">
        <v>101.0</v>
      </c>
      <c r="O430" s="11">
        <v>11.0</v>
      </c>
      <c r="P430" s="9" t="s">
        <v>44</v>
      </c>
      <c r="Q430" s="12"/>
      <c r="R430" s="12"/>
      <c r="S430" s="9" t="s">
        <v>47</v>
      </c>
      <c r="T430" s="9" t="s">
        <v>44</v>
      </c>
      <c r="U430" s="9" t="s">
        <v>44</v>
      </c>
      <c r="V430" s="11">
        <v>38.46</v>
      </c>
      <c r="W430" s="11">
        <v>1.0</v>
      </c>
      <c r="X430" s="9" t="s">
        <v>48</v>
      </c>
      <c r="Y430" s="9" t="s">
        <v>632</v>
      </c>
      <c r="Z430" s="12"/>
      <c r="AA430" s="9">
        <v>1306185.0</v>
      </c>
      <c r="AB430" s="12"/>
      <c r="AC430" s="9" t="s">
        <v>50</v>
      </c>
    </row>
    <row r="431">
      <c r="A431" s="9" t="s">
        <v>33</v>
      </c>
      <c r="B431" s="11">
        <v>6.0</v>
      </c>
      <c r="C431" s="9" t="s">
        <v>43</v>
      </c>
      <c r="D431" s="9" t="s">
        <v>55</v>
      </c>
      <c r="E431" s="9" t="s">
        <v>56</v>
      </c>
      <c r="F431" s="9" t="s">
        <v>45</v>
      </c>
      <c r="G431" s="9" t="s">
        <v>46</v>
      </c>
      <c r="H431" s="9" t="s">
        <v>61</v>
      </c>
      <c r="I431" s="11">
        <v>8177128.0</v>
      </c>
      <c r="J431" s="11">
        <v>2.66806737E8</v>
      </c>
      <c r="K431" s="13">
        <v>46304.0</v>
      </c>
      <c r="L431" s="14">
        <v>46322.0</v>
      </c>
      <c r="M431" s="12"/>
      <c r="N431" s="9">
        <v>108.0</v>
      </c>
      <c r="O431" s="11">
        <v>11.0</v>
      </c>
      <c r="P431" s="9" t="s">
        <v>44</v>
      </c>
      <c r="Q431" s="12"/>
      <c r="R431" s="12"/>
      <c r="S431" s="9" t="s">
        <v>47</v>
      </c>
      <c r="T431" s="9" t="s">
        <v>44</v>
      </c>
      <c r="U431" s="9" t="s">
        <v>44</v>
      </c>
      <c r="V431" s="11">
        <v>38.46</v>
      </c>
      <c r="W431" s="11">
        <v>1.0</v>
      </c>
      <c r="X431" s="9" t="s">
        <v>48</v>
      </c>
      <c r="Y431" s="9" t="s">
        <v>633</v>
      </c>
      <c r="Z431" s="12"/>
      <c r="AA431" s="9">
        <v>1306194.0</v>
      </c>
      <c r="AB431" s="12"/>
      <c r="AC431" s="9" t="s">
        <v>50</v>
      </c>
    </row>
    <row r="432">
      <c r="A432" s="9" t="s">
        <v>33</v>
      </c>
      <c r="B432" s="11">
        <v>6.0</v>
      </c>
      <c r="C432" s="9" t="s">
        <v>43</v>
      </c>
      <c r="D432" s="9" t="s">
        <v>55</v>
      </c>
      <c r="E432" s="9" t="s">
        <v>56</v>
      </c>
      <c r="F432" s="9" t="s">
        <v>45</v>
      </c>
      <c r="G432" s="9" t="s">
        <v>46</v>
      </c>
      <c r="H432" s="9" t="s">
        <v>61</v>
      </c>
      <c r="I432" s="11">
        <v>8177319.0</v>
      </c>
      <c r="J432" s="11">
        <v>2.66806738E8</v>
      </c>
      <c r="K432" s="13">
        <v>46304.0</v>
      </c>
      <c r="L432" s="14">
        <v>46317.0</v>
      </c>
      <c r="M432" s="12"/>
      <c r="N432" s="9">
        <v>107.0</v>
      </c>
      <c r="O432" s="11">
        <v>8.0</v>
      </c>
      <c r="P432" s="9" t="s">
        <v>44</v>
      </c>
      <c r="Q432" s="12"/>
      <c r="R432" s="12"/>
      <c r="S432" s="9" t="s">
        <v>47</v>
      </c>
      <c r="T432" s="9" t="s">
        <v>44</v>
      </c>
      <c r="U432" s="9" t="s">
        <v>44</v>
      </c>
      <c r="V432" s="11">
        <v>38.46</v>
      </c>
      <c r="W432" s="11">
        <v>1.0</v>
      </c>
      <c r="X432" s="9" t="s">
        <v>48</v>
      </c>
      <c r="Y432" s="9" t="s">
        <v>634</v>
      </c>
      <c r="Z432" s="12"/>
      <c r="AA432" s="9">
        <v>1306132.0</v>
      </c>
      <c r="AB432" s="12"/>
      <c r="AC432" s="9" t="s">
        <v>50</v>
      </c>
    </row>
    <row r="433">
      <c r="A433" s="9" t="s">
        <v>33</v>
      </c>
      <c r="B433" s="11">
        <v>6.0</v>
      </c>
      <c r="C433" s="9" t="s">
        <v>43</v>
      </c>
      <c r="D433" s="9" t="s">
        <v>55</v>
      </c>
      <c r="E433" s="9" t="s">
        <v>56</v>
      </c>
      <c r="F433" s="9" t="s">
        <v>45</v>
      </c>
      <c r="G433" s="9" t="s">
        <v>46</v>
      </c>
      <c r="H433" s="9" t="s">
        <v>193</v>
      </c>
      <c r="I433" s="11">
        <v>8177183.0</v>
      </c>
      <c r="J433" s="11">
        <v>2.66806739E8</v>
      </c>
      <c r="K433" s="13">
        <v>46304.0</v>
      </c>
      <c r="L433" s="14">
        <v>46316.0</v>
      </c>
      <c r="M433" s="12"/>
      <c r="N433" s="9">
        <v>104.0</v>
      </c>
      <c r="O433" s="11">
        <v>7.0</v>
      </c>
      <c r="P433" s="9" t="s">
        <v>44</v>
      </c>
      <c r="Q433" s="12"/>
      <c r="R433" s="12"/>
      <c r="S433" s="9" t="s">
        <v>47</v>
      </c>
      <c r="T433" s="9" t="s">
        <v>44</v>
      </c>
      <c r="U433" s="9" t="s">
        <v>44</v>
      </c>
      <c r="V433" s="11">
        <v>38.46</v>
      </c>
      <c r="W433" s="11">
        <v>1.0</v>
      </c>
      <c r="X433" s="9" t="s">
        <v>48</v>
      </c>
      <c r="Y433" s="9" t="s">
        <v>635</v>
      </c>
      <c r="Z433" s="12"/>
      <c r="AA433" s="9">
        <v>1306258.0</v>
      </c>
      <c r="AB433" s="12"/>
      <c r="AC433" s="9" t="s">
        <v>50</v>
      </c>
    </row>
    <row r="434">
      <c r="A434" s="9" t="s">
        <v>33</v>
      </c>
      <c r="B434" s="11">
        <v>6.0</v>
      </c>
      <c r="C434" s="9" t="s">
        <v>43</v>
      </c>
      <c r="D434" s="9" t="s">
        <v>55</v>
      </c>
      <c r="E434" s="9" t="s">
        <v>56</v>
      </c>
      <c r="F434" s="9" t="s">
        <v>45</v>
      </c>
      <c r="G434" s="9" t="s">
        <v>46</v>
      </c>
      <c r="H434" s="9" t="s">
        <v>209</v>
      </c>
      <c r="I434" s="11">
        <v>8177184.0</v>
      </c>
      <c r="J434" s="11">
        <v>2.66806741E8</v>
      </c>
      <c r="K434" s="13">
        <v>46304.0</v>
      </c>
      <c r="L434" s="14">
        <v>46317.0</v>
      </c>
      <c r="M434" s="12"/>
      <c r="N434" s="9">
        <v>107.0</v>
      </c>
      <c r="O434" s="11">
        <v>8.0</v>
      </c>
      <c r="P434" s="9" t="s">
        <v>44</v>
      </c>
      <c r="Q434" s="12"/>
      <c r="R434" s="12"/>
      <c r="S434" s="9" t="s">
        <v>47</v>
      </c>
      <c r="T434" s="9" t="s">
        <v>44</v>
      </c>
      <c r="U434" s="9" t="s">
        <v>44</v>
      </c>
      <c r="V434" s="11">
        <v>38.46</v>
      </c>
      <c r="W434" s="11">
        <v>1.0</v>
      </c>
      <c r="X434" s="9" t="s">
        <v>48</v>
      </c>
      <c r="Y434" s="9" t="s">
        <v>636</v>
      </c>
      <c r="Z434" s="12"/>
      <c r="AA434" s="9">
        <v>1306147.0</v>
      </c>
      <c r="AB434" s="12"/>
      <c r="AC434" s="9" t="s">
        <v>50</v>
      </c>
    </row>
    <row r="435">
      <c r="A435" s="9" t="s">
        <v>33</v>
      </c>
      <c r="B435" s="11">
        <v>6.0</v>
      </c>
      <c r="C435" s="9" t="s">
        <v>43</v>
      </c>
      <c r="D435" s="9" t="s">
        <v>55</v>
      </c>
      <c r="E435" s="9" t="s">
        <v>56</v>
      </c>
      <c r="F435" s="9" t="s">
        <v>45</v>
      </c>
      <c r="G435" s="9" t="s">
        <v>46</v>
      </c>
      <c r="H435" s="9" t="s">
        <v>209</v>
      </c>
      <c r="I435" s="11">
        <v>8177244.0</v>
      </c>
      <c r="J435" s="11">
        <v>2.66806743E8</v>
      </c>
      <c r="K435" s="13">
        <v>46304.0</v>
      </c>
      <c r="L435" s="14">
        <v>46317.0</v>
      </c>
      <c r="M435" s="12"/>
      <c r="N435" s="9">
        <v>107.0</v>
      </c>
      <c r="O435" s="11">
        <v>8.0</v>
      </c>
      <c r="P435" s="9" t="s">
        <v>44</v>
      </c>
      <c r="Q435" s="12"/>
      <c r="R435" s="12"/>
      <c r="S435" s="9" t="s">
        <v>47</v>
      </c>
      <c r="T435" s="9" t="s">
        <v>44</v>
      </c>
      <c r="U435" s="9" t="s">
        <v>44</v>
      </c>
      <c r="V435" s="11">
        <v>38.46</v>
      </c>
      <c r="W435" s="11">
        <v>1.0</v>
      </c>
      <c r="X435" s="9" t="s">
        <v>48</v>
      </c>
      <c r="Y435" s="9" t="s">
        <v>637</v>
      </c>
      <c r="Z435" s="12"/>
      <c r="AA435" s="9">
        <v>1306210.0</v>
      </c>
      <c r="AB435" s="12"/>
      <c r="AC435" s="9" t="s">
        <v>50</v>
      </c>
    </row>
    <row r="436">
      <c r="A436" s="9" t="s">
        <v>33</v>
      </c>
      <c r="B436" s="11">
        <v>6.0</v>
      </c>
      <c r="C436" s="9" t="s">
        <v>43</v>
      </c>
      <c r="D436" s="9" t="s">
        <v>55</v>
      </c>
      <c r="E436" s="9" t="s">
        <v>56</v>
      </c>
      <c r="F436" s="9" t="s">
        <v>45</v>
      </c>
      <c r="G436" s="9" t="s">
        <v>46</v>
      </c>
      <c r="H436" s="9" t="s">
        <v>209</v>
      </c>
      <c r="I436" s="11">
        <v>8177285.0</v>
      </c>
      <c r="J436" s="11">
        <v>2.66806745E8</v>
      </c>
      <c r="K436" s="13">
        <v>46304.0</v>
      </c>
      <c r="L436" s="14">
        <v>46317.0</v>
      </c>
      <c r="M436" s="12"/>
      <c r="N436" s="9">
        <v>102.0</v>
      </c>
      <c r="O436" s="11">
        <v>8.0</v>
      </c>
      <c r="P436" s="9" t="s">
        <v>44</v>
      </c>
      <c r="Q436" s="12"/>
      <c r="R436" s="12"/>
      <c r="S436" s="9" t="s">
        <v>47</v>
      </c>
      <c r="T436" s="9" t="s">
        <v>44</v>
      </c>
      <c r="U436" s="9" t="s">
        <v>44</v>
      </c>
      <c r="V436" s="11">
        <v>38.46</v>
      </c>
      <c r="W436" s="11">
        <v>1.0</v>
      </c>
      <c r="X436" s="9" t="s">
        <v>48</v>
      </c>
      <c r="Y436" s="9" t="s">
        <v>638</v>
      </c>
      <c r="Z436" s="12"/>
      <c r="AA436" s="9">
        <v>1305807.0</v>
      </c>
      <c r="AB436" s="12"/>
      <c r="AC436" s="9" t="s">
        <v>50</v>
      </c>
    </row>
    <row r="437">
      <c r="A437" s="9" t="s">
        <v>33</v>
      </c>
      <c r="B437" s="11">
        <v>6.0</v>
      </c>
      <c r="C437" s="9" t="s">
        <v>43</v>
      </c>
      <c r="D437" s="9" t="s">
        <v>55</v>
      </c>
      <c r="E437" s="9" t="s">
        <v>56</v>
      </c>
      <c r="F437" s="9" t="s">
        <v>45</v>
      </c>
      <c r="G437" s="9" t="s">
        <v>46</v>
      </c>
      <c r="H437" s="9" t="s">
        <v>65</v>
      </c>
      <c r="I437" s="11">
        <v>8177344.0</v>
      </c>
      <c r="J437" s="11">
        <v>2.66806746E8</v>
      </c>
      <c r="K437" s="13">
        <v>46304.0</v>
      </c>
      <c r="L437" s="14">
        <v>46323.0</v>
      </c>
      <c r="M437" s="12"/>
      <c r="N437" s="9">
        <v>107.0</v>
      </c>
      <c r="O437" s="11">
        <v>12.0</v>
      </c>
      <c r="P437" s="9" t="s">
        <v>44</v>
      </c>
      <c r="Q437" s="12"/>
      <c r="R437" s="9" t="s">
        <v>52</v>
      </c>
      <c r="S437" s="9" t="s">
        <v>47</v>
      </c>
      <c r="T437" s="9" t="s">
        <v>44</v>
      </c>
      <c r="U437" s="9" t="s">
        <v>44</v>
      </c>
      <c r="V437" s="11">
        <v>38.46</v>
      </c>
      <c r="W437" s="11">
        <v>3.0</v>
      </c>
      <c r="X437" s="9" t="s">
        <v>48</v>
      </c>
      <c r="Y437" s="9" t="s">
        <v>66</v>
      </c>
      <c r="Z437" s="12"/>
      <c r="AA437" s="9">
        <v>1305995.0</v>
      </c>
      <c r="AB437" s="12"/>
      <c r="AC437" s="9" t="s">
        <v>50</v>
      </c>
    </row>
    <row r="438">
      <c r="A438" s="9" t="s">
        <v>33</v>
      </c>
      <c r="B438" s="11">
        <v>6.0</v>
      </c>
      <c r="C438" s="9" t="s">
        <v>43</v>
      </c>
      <c r="D438" s="9" t="s">
        <v>55</v>
      </c>
      <c r="E438" s="9" t="s">
        <v>56</v>
      </c>
      <c r="F438" s="9" t="s">
        <v>45</v>
      </c>
      <c r="G438" s="9" t="s">
        <v>46</v>
      </c>
      <c r="H438" s="9" t="s">
        <v>193</v>
      </c>
      <c r="I438" s="11">
        <v>8177215.0</v>
      </c>
      <c r="J438" s="11">
        <v>2.66806747E8</v>
      </c>
      <c r="K438" s="13">
        <v>46304.0</v>
      </c>
      <c r="L438" s="14">
        <v>46321.0</v>
      </c>
      <c r="M438" s="12"/>
      <c r="N438" s="9">
        <v>119.0</v>
      </c>
      <c r="O438" s="11">
        <v>10.0</v>
      </c>
      <c r="P438" s="9" t="s">
        <v>44</v>
      </c>
      <c r="Q438" s="12"/>
      <c r="R438" s="12"/>
      <c r="S438" s="9" t="s">
        <v>47</v>
      </c>
      <c r="T438" s="9" t="s">
        <v>44</v>
      </c>
      <c r="U438" s="9" t="s">
        <v>44</v>
      </c>
      <c r="V438" s="11">
        <v>38.46</v>
      </c>
      <c r="W438" s="11">
        <v>1.0</v>
      </c>
      <c r="X438" s="9" t="s">
        <v>48</v>
      </c>
      <c r="Y438" s="9" t="s">
        <v>216</v>
      </c>
      <c r="Z438" s="12"/>
      <c r="AA438" s="9">
        <v>1306101.0</v>
      </c>
      <c r="AB438" s="12"/>
      <c r="AC438" s="9" t="s">
        <v>50</v>
      </c>
    </row>
    <row r="439">
      <c r="A439" s="9" t="s">
        <v>33</v>
      </c>
      <c r="B439" s="11">
        <v>6.0</v>
      </c>
      <c r="C439" s="9" t="s">
        <v>43</v>
      </c>
      <c r="D439" s="9" t="s">
        <v>55</v>
      </c>
      <c r="E439" s="9" t="s">
        <v>56</v>
      </c>
      <c r="F439" s="9" t="s">
        <v>45</v>
      </c>
      <c r="G439" s="9" t="s">
        <v>46</v>
      </c>
      <c r="H439" s="9" t="s">
        <v>193</v>
      </c>
      <c r="I439" s="11">
        <v>8177286.0</v>
      </c>
      <c r="J439" s="11">
        <v>2.66806748E8</v>
      </c>
      <c r="K439" s="13">
        <v>46304.0</v>
      </c>
      <c r="L439" s="14">
        <v>46316.0</v>
      </c>
      <c r="M439" s="12"/>
      <c r="N439" s="9">
        <v>105.0</v>
      </c>
      <c r="O439" s="11">
        <v>7.0</v>
      </c>
      <c r="P439" s="9" t="s">
        <v>44</v>
      </c>
      <c r="Q439" s="12"/>
      <c r="R439" s="12"/>
      <c r="S439" s="9" t="s">
        <v>47</v>
      </c>
      <c r="T439" s="9" t="s">
        <v>44</v>
      </c>
      <c r="U439" s="9" t="s">
        <v>44</v>
      </c>
      <c r="V439" s="11">
        <v>38.46</v>
      </c>
      <c r="W439" s="11">
        <v>1.0</v>
      </c>
      <c r="X439" s="9" t="s">
        <v>48</v>
      </c>
      <c r="Y439" s="9" t="s">
        <v>639</v>
      </c>
      <c r="Z439" s="12"/>
      <c r="AA439" s="9">
        <v>1305764.0</v>
      </c>
      <c r="AB439" s="12"/>
      <c r="AC439" s="9" t="s">
        <v>50</v>
      </c>
    </row>
    <row r="440">
      <c r="A440" s="9" t="s">
        <v>33</v>
      </c>
      <c r="B440" s="11">
        <v>6.0</v>
      </c>
      <c r="C440" s="9" t="s">
        <v>43</v>
      </c>
      <c r="D440" s="9" t="s">
        <v>55</v>
      </c>
      <c r="E440" s="9" t="s">
        <v>56</v>
      </c>
      <c r="F440" s="9" t="s">
        <v>45</v>
      </c>
      <c r="G440" s="9" t="s">
        <v>46</v>
      </c>
      <c r="H440" s="9" t="s">
        <v>193</v>
      </c>
      <c r="I440" s="11">
        <v>8177151.0</v>
      </c>
      <c r="J440" s="11">
        <v>2.66806749E8</v>
      </c>
      <c r="K440" s="13">
        <v>46304.0</v>
      </c>
      <c r="L440" s="14">
        <v>46316.0</v>
      </c>
      <c r="M440" s="12"/>
      <c r="N440" s="9">
        <v>105.0</v>
      </c>
      <c r="O440" s="11">
        <v>7.0</v>
      </c>
      <c r="P440" s="9" t="s">
        <v>44</v>
      </c>
      <c r="Q440" s="12"/>
      <c r="R440" s="12"/>
      <c r="S440" s="9" t="s">
        <v>47</v>
      </c>
      <c r="T440" s="9" t="s">
        <v>44</v>
      </c>
      <c r="U440" s="9" t="s">
        <v>44</v>
      </c>
      <c r="V440" s="11">
        <v>38.46</v>
      </c>
      <c r="W440" s="11">
        <v>1.0</v>
      </c>
      <c r="X440" s="9" t="s">
        <v>48</v>
      </c>
      <c r="Y440" s="9" t="s">
        <v>640</v>
      </c>
      <c r="Z440" s="12"/>
      <c r="AA440" s="9">
        <v>1306173.0</v>
      </c>
      <c r="AB440" s="12"/>
      <c r="AC440" s="9" t="s">
        <v>50</v>
      </c>
    </row>
    <row r="441">
      <c r="A441" s="9" t="s">
        <v>33</v>
      </c>
      <c r="B441" s="11">
        <v>6.0</v>
      </c>
      <c r="C441" s="9" t="s">
        <v>43</v>
      </c>
      <c r="D441" s="9" t="s">
        <v>55</v>
      </c>
      <c r="E441" s="9" t="s">
        <v>56</v>
      </c>
      <c r="F441" s="9" t="s">
        <v>45</v>
      </c>
      <c r="G441" s="9" t="s">
        <v>46</v>
      </c>
      <c r="H441" s="9" t="s">
        <v>209</v>
      </c>
      <c r="I441" s="11">
        <v>8177111.0</v>
      </c>
      <c r="J441" s="11">
        <v>2.6680675E8</v>
      </c>
      <c r="K441" s="13">
        <v>46304.0</v>
      </c>
      <c r="L441" s="14">
        <v>46317.0</v>
      </c>
      <c r="M441" s="12"/>
      <c r="N441" s="9">
        <v>109.0</v>
      </c>
      <c r="O441" s="11">
        <v>8.0</v>
      </c>
      <c r="P441" s="9" t="s">
        <v>44</v>
      </c>
      <c r="Q441" s="12"/>
      <c r="R441" s="12"/>
      <c r="S441" s="9" t="s">
        <v>47</v>
      </c>
      <c r="T441" s="9" t="s">
        <v>44</v>
      </c>
      <c r="U441" s="9" t="s">
        <v>44</v>
      </c>
      <c r="V441" s="11">
        <v>38.46</v>
      </c>
      <c r="W441" s="11">
        <v>1.0</v>
      </c>
      <c r="X441" s="9" t="s">
        <v>48</v>
      </c>
      <c r="Y441" s="9" t="s">
        <v>641</v>
      </c>
      <c r="Z441" s="12"/>
      <c r="AA441" s="9">
        <v>1306347.0</v>
      </c>
      <c r="AB441" s="12"/>
      <c r="AC441" s="9" t="s">
        <v>50</v>
      </c>
    </row>
    <row r="442">
      <c r="A442" s="9" t="s">
        <v>33</v>
      </c>
      <c r="B442" s="11">
        <v>6.0</v>
      </c>
      <c r="C442" s="9" t="s">
        <v>43</v>
      </c>
      <c r="D442" s="9" t="s">
        <v>55</v>
      </c>
      <c r="E442" s="9" t="s">
        <v>56</v>
      </c>
      <c r="F442" s="9" t="s">
        <v>45</v>
      </c>
      <c r="G442" s="9" t="s">
        <v>46</v>
      </c>
      <c r="H442" s="9" t="s">
        <v>193</v>
      </c>
      <c r="I442" s="11">
        <v>8177287.0</v>
      </c>
      <c r="J442" s="11">
        <v>2.66806752E8</v>
      </c>
      <c r="K442" s="13">
        <v>46304.0</v>
      </c>
      <c r="L442" s="14">
        <v>46317.0</v>
      </c>
      <c r="M442" s="12"/>
      <c r="N442" s="9">
        <v>117.0</v>
      </c>
      <c r="O442" s="11">
        <v>8.0</v>
      </c>
      <c r="P442" s="9" t="s">
        <v>44</v>
      </c>
      <c r="Q442" s="12"/>
      <c r="R442" s="12"/>
      <c r="S442" s="9" t="s">
        <v>47</v>
      </c>
      <c r="T442" s="9" t="s">
        <v>44</v>
      </c>
      <c r="U442" s="9" t="s">
        <v>44</v>
      </c>
      <c r="V442" s="11">
        <v>38.46</v>
      </c>
      <c r="W442" s="11">
        <v>1.0</v>
      </c>
      <c r="X442" s="9" t="s">
        <v>48</v>
      </c>
      <c r="Y442" s="9" t="s">
        <v>642</v>
      </c>
      <c r="Z442" s="12"/>
      <c r="AA442" s="9">
        <v>1305841.0</v>
      </c>
      <c r="AB442" s="12"/>
      <c r="AC442" s="9" t="s">
        <v>50</v>
      </c>
    </row>
    <row r="443">
      <c r="A443" s="9" t="s">
        <v>33</v>
      </c>
      <c r="B443" s="11">
        <v>6.0</v>
      </c>
      <c r="C443" s="9" t="s">
        <v>43</v>
      </c>
      <c r="D443" s="9" t="s">
        <v>55</v>
      </c>
      <c r="E443" s="9" t="s">
        <v>56</v>
      </c>
      <c r="F443" s="9" t="s">
        <v>45</v>
      </c>
      <c r="G443" s="9" t="s">
        <v>46</v>
      </c>
      <c r="H443" s="9" t="s">
        <v>68</v>
      </c>
      <c r="I443" s="11">
        <v>8177345.0</v>
      </c>
      <c r="J443" s="11">
        <v>2.66806753E8</v>
      </c>
      <c r="K443" s="13">
        <v>46304.0</v>
      </c>
      <c r="L443" s="14">
        <v>46316.0</v>
      </c>
      <c r="M443" s="12"/>
      <c r="N443" s="9">
        <v>21.0</v>
      </c>
      <c r="O443" s="11">
        <v>7.0</v>
      </c>
      <c r="P443" s="9" t="s">
        <v>44</v>
      </c>
      <c r="Q443" s="12"/>
      <c r="R443" s="12"/>
      <c r="S443" s="9" t="s">
        <v>47</v>
      </c>
      <c r="T443" s="9" t="s">
        <v>44</v>
      </c>
      <c r="U443" s="9" t="s">
        <v>44</v>
      </c>
      <c r="V443" s="11">
        <v>69.54</v>
      </c>
      <c r="W443" s="11">
        <v>1.0</v>
      </c>
      <c r="X443" s="9" t="s">
        <v>48</v>
      </c>
      <c r="Y443" s="9" t="s">
        <v>643</v>
      </c>
      <c r="Z443" s="12"/>
      <c r="AA443" s="9">
        <v>1306230.0</v>
      </c>
      <c r="AB443" s="12"/>
      <c r="AC443" s="9" t="s">
        <v>50</v>
      </c>
    </row>
    <row r="444">
      <c r="A444" s="9" t="s">
        <v>33</v>
      </c>
      <c r="B444" s="11">
        <v>6.0</v>
      </c>
      <c r="C444" s="9" t="s">
        <v>43</v>
      </c>
      <c r="D444" s="9" t="s">
        <v>55</v>
      </c>
      <c r="E444" s="9" t="s">
        <v>56</v>
      </c>
      <c r="F444" s="9" t="s">
        <v>45</v>
      </c>
      <c r="G444" s="9" t="s">
        <v>46</v>
      </c>
      <c r="H444" s="9" t="s">
        <v>68</v>
      </c>
      <c r="I444" s="11">
        <v>8177320.0</v>
      </c>
      <c r="J444" s="11">
        <v>2.66806754E8</v>
      </c>
      <c r="K444" s="13">
        <v>46304.0</v>
      </c>
      <c r="L444" s="14">
        <v>46316.0</v>
      </c>
      <c r="M444" s="12"/>
      <c r="N444" s="9">
        <v>26.0</v>
      </c>
      <c r="O444" s="11">
        <v>7.0</v>
      </c>
      <c r="P444" s="9" t="s">
        <v>44</v>
      </c>
      <c r="Q444" s="12"/>
      <c r="R444" s="12"/>
      <c r="S444" s="9" t="s">
        <v>47</v>
      </c>
      <c r="T444" s="9" t="s">
        <v>44</v>
      </c>
      <c r="U444" s="9" t="s">
        <v>44</v>
      </c>
      <c r="V444" s="11">
        <v>69.63</v>
      </c>
      <c r="W444" s="11">
        <v>1.0</v>
      </c>
      <c r="X444" s="9" t="s">
        <v>48</v>
      </c>
      <c r="Y444" s="9" t="s">
        <v>644</v>
      </c>
      <c r="Z444" s="12"/>
      <c r="AA444" s="9">
        <v>1306116.0</v>
      </c>
      <c r="AB444" s="12"/>
      <c r="AC444" s="9" t="s">
        <v>50</v>
      </c>
    </row>
    <row r="445">
      <c r="A445" s="9" t="s">
        <v>33</v>
      </c>
      <c r="B445" s="11">
        <v>6.0</v>
      </c>
      <c r="C445" s="9" t="s">
        <v>43</v>
      </c>
      <c r="D445" s="9" t="s">
        <v>55</v>
      </c>
      <c r="E445" s="9" t="s">
        <v>56</v>
      </c>
      <c r="F445" s="9" t="s">
        <v>45</v>
      </c>
      <c r="G445" s="9" t="s">
        <v>46</v>
      </c>
      <c r="H445" s="9" t="s">
        <v>68</v>
      </c>
      <c r="I445" s="11">
        <v>8177185.0</v>
      </c>
      <c r="J445" s="11">
        <v>2.66806755E8</v>
      </c>
      <c r="K445" s="13">
        <v>46304.0</v>
      </c>
      <c r="L445" s="14">
        <v>46316.0</v>
      </c>
      <c r="M445" s="12"/>
      <c r="N445" s="9">
        <v>10.0</v>
      </c>
      <c r="O445" s="11">
        <v>7.0</v>
      </c>
      <c r="P445" s="9" t="s">
        <v>44</v>
      </c>
      <c r="Q445" s="12"/>
      <c r="R445" s="12"/>
      <c r="S445" s="9" t="s">
        <v>47</v>
      </c>
      <c r="T445" s="9" t="s">
        <v>44</v>
      </c>
      <c r="U445" s="9" t="s">
        <v>44</v>
      </c>
      <c r="V445" s="11">
        <v>67.85</v>
      </c>
      <c r="W445" s="11">
        <v>1.0</v>
      </c>
      <c r="X445" s="9" t="s">
        <v>48</v>
      </c>
      <c r="Y445" s="9" t="s">
        <v>645</v>
      </c>
      <c r="Z445" s="12"/>
      <c r="AA445" s="9">
        <v>1306140.0</v>
      </c>
      <c r="AB445" s="12"/>
      <c r="AC445" s="9" t="s">
        <v>50</v>
      </c>
    </row>
    <row r="446">
      <c r="A446" s="9" t="s">
        <v>33</v>
      </c>
      <c r="B446" s="11">
        <v>6.0</v>
      </c>
      <c r="C446" s="9" t="s">
        <v>43</v>
      </c>
      <c r="D446" s="9" t="s">
        <v>55</v>
      </c>
      <c r="E446" s="9" t="s">
        <v>56</v>
      </c>
      <c r="F446" s="9" t="s">
        <v>45</v>
      </c>
      <c r="G446" s="9" t="s">
        <v>46</v>
      </c>
      <c r="H446" s="9" t="s">
        <v>68</v>
      </c>
      <c r="I446" s="11">
        <v>8177112.0</v>
      </c>
      <c r="J446" s="11">
        <v>2.66806757E8</v>
      </c>
      <c r="K446" s="13">
        <v>46304.0</v>
      </c>
      <c r="L446" s="14">
        <v>46316.0</v>
      </c>
      <c r="M446" s="12"/>
      <c r="N446" s="9">
        <v>8.0</v>
      </c>
      <c r="O446" s="11">
        <v>7.0</v>
      </c>
      <c r="P446" s="9" t="s">
        <v>44</v>
      </c>
      <c r="Q446" s="12"/>
      <c r="R446" s="12"/>
      <c r="S446" s="9" t="s">
        <v>47</v>
      </c>
      <c r="T446" s="9" t="s">
        <v>44</v>
      </c>
      <c r="U446" s="9" t="s">
        <v>44</v>
      </c>
      <c r="V446" s="11">
        <v>67.78</v>
      </c>
      <c r="W446" s="11">
        <v>1.0</v>
      </c>
      <c r="X446" s="9" t="s">
        <v>48</v>
      </c>
      <c r="Y446" s="9" t="s">
        <v>646</v>
      </c>
      <c r="Z446" s="12"/>
      <c r="AA446" s="9">
        <v>1306305.0</v>
      </c>
      <c r="AB446" s="12"/>
      <c r="AC446" s="9" t="s">
        <v>50</v>
      </c>
    </row>
    <row r="447">
      <c r="A447" s="9" t="s">
        <v>33</v>
      </c>
      <c r="B447" s="11">
        <v>6.0</v>
      </c>
      <c r="C447" s="9" t="s">
        <v>43</v>
      </c>
      <c r="D447" s="9" t="s">
        <v>55</v>
      </c>
      <c r="E447" s="9" t="s">
        <v>56</v>
      </c>
      <c r="F447" s="9" t="s">
        <v>45</v>
      </c>
      <c r="G447" s="9" t="s">
        <v>46</v>
      </c>
      <c r="H447" s="9" t="s">
        <v>68</v>
      </c>
      <c r="I447" s="11">
        <v>8177152.0</v>
      </c>
      <c r="J447" s="11">
        <v>2.66806758E8</v>
      </c>
      <c r="K447" s="13">
        <v>46304.0</v>
      </c>
      <c r="L447" s="14">
        <v>46321.0</v>
      </c>
      <c r="M447" s="12"/>
      <c r="N447" s="9">
        <v>114.0</v>
      </c>
      <c r="O447" s="11">
        <v>10.0</v>
      </c>
      <c r="P447" s="9" t="s">
        <v>44</v>
      </c>
      <c r="Q447" s="12"/>
      <c r="R447" s="12"/>
      <c r="S447" s="9" t="s">
        <v>47</v>
      </c>
      <c r="T447" s="9" t="s">
        <v>44</v>
      </c>
      <c r="U447" s="9" t="s">
        <v>44</v>
      </c>
      <c r="V447" s="11">
        <v>65.96</v>
      </c>
      <c r="W447" s="11">
        <v>1.0</v>
      </c>
      <c r="X447" s="9" t="s">
        <v>48</v>
      </c>
      <c r="Y447" s="9" t="s">
        <v>647</v>
      </c>
      <c r="Z447" s="12"/>
      <c r="AA447" s="9">
        <v>1306235.0</v>
      </c>
      <c r="AB447" s="12"/>
      <c r="AC447" s="9" t="s">
        <v>50</v>
      </c>
    </row>
    <row r="448">
      <c r="A448" s="9" t="s">
        <v>33</v>
      </c>
      <c r="B448" s="11">
        <v>6.0</v>
      </c>
      <c r="C448" s="9" t="s">
        <v>43</v>
      </c>
      <c r="D448" s="9" t="s">
        <v>55</v>
      </c>
      <c r="E448" s="9" t="s">
        <v>56</v>
      </c>
      <c r="F448" s="9" t="s">
        <v>45</v>
      </c>
      <c r="G448" s="9" t="s">
        <v>46</v>
      </c>
      <c r="H448" s="9" t="s">
        <v>240</v>
      </c>
      <c r="I448" s="11">
        <v>8177288.0</v>
      </c>
      <c r="J448" s="11">
        <v>2.66806759E8</v>
      </c>
      <c r="K448" s="13">
        <v>46304.0</v>
      </c>
      <c r="L448" s="14">
        <v>46318.0</v>
      </c>
      <c r="M448" s="12"/>
      <c r="N448" s="9">
        <v>108.0</v>
      </c>
      <c r="O448" s="11">
        <v>9.0</v>
      </c>
      <c r="P448" s="9" t="s">
        <v>44</v>
      </c>
      <c r="Q448" s="12"/>
      <c r="R448" s="12"/>
      <c r="S448" s="9" t="s">
        <v>47</v>
      </c>
      <c r="T448" s="9" t="s">
        <v>44</v>
      </c>
      <c r="U448" s="9" t="s">
        <v>44</v>
      </c>
      <c r="V448" s="11">
        <v>58.93</v>
      </c>
      <c r="W448" s="11">
        <v>1.0</v>
      </c>
      <c r="X448" s="9" t="s">
        <v>48</v>
      </c>
      <c r="Y448" s="9" t="s">
        <v>648</v>
      </c>
      <c r="Z448" s="12"/>
      <c r="AA448" s="9">
        <v>1305750.0</v>
      </c>
      <c r="AB448" s="12"/>
      <c r="AC448" s="9" t="s">
        <v>50</v>
      </c>
    </row>
    <row r="449">
      <c r="A449" s="9" t="s">
        <v>33</v>
      </c>
      <c r="B449" s="11">
        <v>6.0</v>
      </c>
      <c r="C449" s="9" t="s">
        <v>43</v>
      </c>
      <c r="D449" s="9" t="s">
        <v>55</v>
      </c>
      <c r="E449" s="9" t="s">
        <v>56</v>
      </c>
      <c r="F449" s="9" t="s">
        <v>45</v>
      </c>
      <c r="G449" s="9" t="s">
        <v>46</v>
      </c>
      <c r="H449" s="9" t="s">
        <v>247</v>
      </c>
      <c r="I449" s="11">
        <v>8177153.0</v>
      </c>
      <c r="J449" s="11">
        <v>2.6680676E8</v>
      </c>
      <c r="K449" s="13">
        <v>46304.0</v>
      </c>
      <c r="L449" s="14">
        <v>46317.0</v>
      </c>
      <c r="M449" s="12"/>
      <c r="N449" s="9">
        <v>102.0</v>
      </c>
      <c r="O449" s="11">
        <v>8.0</v>
      </c>
      <c r="P449" s="9" t="s">
        <v>44</v>
      </c>
      <c r="Q449" s="12"/>
      <c r="R449" s="12"/>
      <c r="S449" s="9" t="s">
        <v>47</v>
      </c>
      <c r="T449" s="9" t="s">
        <v>44</v>
      </c>
      <c r="U449" s="9" t="s">
        <v>44</v>
      </c>
      <c r="V449" s="11">
        <v>58.93</v>
      </c>
      <c r="W449" s="11">
        <v>1.0</v>
      </c>
      <c r="X449" s="9" t="s">
        <v>48</v>
      </c>
      <c r="Y449" s="9" t="s">
        <v>649</v>
      </c>
      <c r="Z449" s="12"/>
      <c r="AA449" s="9">
        <v>1306303.0</v>
      </c>
      <c r="AB449" s="12"/>
      <c r="AC449" s="9" t="s">
        <v>50</v>
      </c>
    </row>
    <row r="450">
      <c r="A450" s="9" t="s">
        <v>33</v>
      </c>
      <c r="B450" s="11">
        <v>6.0</v>
      </c>
      <c r="C450" s="9" t="s">
        <v>43</v>
      </c>
      <c r="D450" s="9" t="s">
        <v>55</v>
      </c>
      <c r="E450" s="9" t="s">
        <v>56</v>
      </c>
      <c r="F450" s="9" t="s">
        <v>45</v>
      </c>
      <c r="G450" s="9" t="s">
        <v>46</v>
      </c>
      <c r="H450" s="9" t="s">
        <v>253</v>
      </c>
      <c r="I450" s="11">
        <v>8177346.0</v>
      </c>
      <c r="J450" s="11">
        <v>2.66806761E8</v>
      </c>
      <c r="K450" s="13">
        <v>46304.0</v>
      </c>
      <c r="L450" s="14">
        <v>46316.0</v>
      </c>
      <c r="M450" s="12"/>
      <c r="N450" s="9">
        <v>1.0</v>
      </c>
      <c r="O450" s="11">
        <v>7.0</v>
      </c>
      <c r="P450" s="9" t="s">
        <v>44</v>
      </c>
      <c r="Q450" s="12"/>
      <c r="R450" s="12"/>
      <c r="S450" s="9" t="s">
        <v>47</v>
      </c>
      <c r="T450" s="9" t="s">
        <v>44</v>
      </c>
      <c r="U450" s="9" t="s">
        <v>44</v>
      </c>
      <c r="V450" s="11">
        <v>51.93</v>
      </c>
      <c r="W450" s="11">
        <v>8.0</v>
      </c>
      <c r="X450" s="9" t="s">
        <v>48</v>
      </c>
      <c r="Y450" s="9" t="s">
        <v>650</v>
      </c>
      <c r="Z450" s="12"/>
      <c r="AA450" s="9">
        <v>1305966.0</v>
      </c>
      <c r="AB450" s="12"/>
      <c r="AC450" s="9" t="s">
        <v>50</v>
      </c>
    </row>
    <row r="451">
      <c r="A451" s="9" t="s">
        <v>33</v>
      </c>
      <c r="B451" s="11">
        <v>6.0</v>
      </c>
      <c r="C451" s="9" t="s">
        <v>43</v>
      </c>
      <c r="D451" s="9" t="s">
        <v>55</v>
      </c>
      <c r="E451" s="9" t="s">
        <v>56</v>
      </c>
      <c r="F451" s="9" t="s">
        <v>45</v>
      </c>
      <c r="G451" s="9" t="s">
        <v>46</v>
      </c>
      <c r="H451" s="9" t="s">
        <v>259</v>
      </c>
      <c r="I451" s="11">
        <v>8177216.0</v>
      </c>
      <c r="J451" s="11">
        <v>2.66806762E8</v>
      </c>
      <c r="K451" s="13">
        <v>46304.0</v>
      </c>
      <c r="L451" s="14">
        <v>46316.0</v>
      </c>
      <c r="M451" s="12"/>
      <c r="N451" s="9">
        <v>55.0</v>
      </c>
      <c r="O451" s="11">
        <v>7.0</v>
      </c>
      <c r="P451" s="9" t="s">
        <v>44</v>
      </c>
      <c r="Q451" s="12"/>
      <c r="R451" s="12"/>
      <c r="S451" s="9" t="s">
        <v>47</v>
      </c>
      <c r="T451" s="9" t="s">
        <v>44</v>
      </c>
      <c r="U451" s="9" t="s">
        <v>44</v>
      </c>
      <c r="V451" s="11">
        <v>44.77</v>
      </c>
      <c r="W451" s="11">
        <v>1.0</v>
      </c>
      <c r="X451" s="9" t="s">
        <v>48</v>
      </c>
      <c r="Y451" s="9" t="s">
        <v>651</v>
      </c>
      <c r="Z451" s="12"/>
      <c r="AA451" s="9">
        <v>1306049.0</v>
      </c>
      <c r="AB451" s="12"/>
      <c r="AC451" s="9" t="s">
        <v>50</v>
      </c>
    </row>
    <row r="452">
      <c r="A452" s="9" t="s">
        <v>33</v>
      </c>
      <c r="B452" s="11">
        <v>6.0</v>
      </c>
      <c r="C452" s="9" t="s">
        <v>43</v>
      </c>
      <c r="D452" s="9" t="s">
        <v>55</v>
      </c>
      <c r="E452" s="9" t="s">
        <v>56</v>
      </c>
      <c r="F452" s="9" t="s">
        <v>45</v>
      </c>
      <c r="G452" s="9" t="s">
        <v>46</v>
      </c>
      <c r="H452" s="9" t="s">
        <v>261</v>
      </c>
      <c r="I452" s="11">
        <v>8177245.0</v>
      </c>
      <c r="J452" s="11">
        <v>2.66806763E8</v>
      </c>
      <c r="K452" s="13">
        <v>46304.0</v>
      </c>
      <c r="L452" s="14">
        <v>46317.0</v>
      </c>
      <c r="M452" s="12"/>
      <c r="N452" s="9">
        <v>102.0</v>
      </c>
      <c r="O452" s="11">
        <v>8.0</v>
      </c>
      <c r="P452" s="9" t="s">
        <v>44</v>
      </c>
      <c r="Q452" s="12"/>
      <c r="R452" s="12"/>
      <c r="S452" s="9" t="s">
        <v>47</v>
      </c>
      <c r="T452" s="9" t="s">
        <v>44</v>
      </c>
      <c r="U452" s="9" t="s">
        <v>44</v>
      </c>
      <c r="V452" s="11">
        <v>50.14</v>
      </c>
      <c r="W452" s="11">
        <v>1.0</v>
      </c>
      <c r="X452" s="9" t="s">
        <v>48</v>
      </c>
      <c r="Y452" s="9" t="s">
        <v>652</v>
      </c>
      <c r="Z452" s="12"/>
      <c r="AA452" s="9">
        <v>1305985.0</v>
      </c>
      <c r="AB452" s="12"/>
      <c r="AC452" s="9" t="s">
        <v>50</v>
      </c>
    </row>
    <row r="453">
      <c r="A453" s="9" t="s">
        <v>33</v>
      </c>
      <c r="B453" s="11">
        <v>6.0</v>
      </c>
      <c r="C453" s="9" t="s">
        <v>43</v>
      </c>
      <c r="D453" s="9" t="s">
        <v>55</v>
      </c>
      <c r="E453" s="9" t="s">
        <v>56</v>
      </c>
      <c r="F453" s="9" t="s">
        <v>45</v>
      </c>
      <c r="G453" s="9" t="s">
        <v>46</v>
      </c>
      <c r="H453" s="9" t="s">
        <v>261</v>
      </c>
      <c r="I453" s="11">
        <v>8177321.0</v>
      </c>
      <c r="J453" s="11">
        <v>2.66806764E8</v>
      </c>
      <c r="K453" s="13">
        <v>46304.0</v>
      </c>
      <c r="L453" s="14">
        <v>46321.0</v>
      </c>
      <c r="M453" s="12"/>
      <c r="N453" s="9">
        <v>104.0</v>
      </c>
      <c r="O453" s="11">
        <v>10.0</v>
      </c>
      <c r="P453" s="9" t="s">
        <v>44</v>
      </c>
      <c r="Q453" s="12"/>
      <c r="R453" s="12"/>
      <c r="S453" s="9" t="s">
        <v>47</v>
      </c>
      <c r="T453" s="9" t="s">
        <v>44</v>
      </c>
      <c r="U453" s="9" t="s">
        <v>44</v>
      </c>
      <c r="V453" s="11">
        <v>44.77</v>
      </c>
      <c r="W453" s="11">
        <v>2.0</v>
      </c>
      <c r="X453" s="9" t="s">
        <v>48</v>
      </c>
      <c r="Y453" s="9" t="s">
        <v>653</v>
      </c>
      <c r="Z453" s="12"/>
      <c r="AA453" s="9" t="s">
        <v>654</v>
      </c>
      <c r="AB453" s="12"/>
      <c r="AC453" s="9" t="s">
        <v>50</v>
      </c>
    </row>
    <row r="454">
      <c r="A454" s="9" t="s">
        <v>33</v>
      </c>
      <c r="B454" s="11">
        <v>6.0</v>
      </c>
      <c r="C454" s="9" t="s">
        <v>43</v>
      </c>
      <c r="D454" s="9" t="s">
        <v>55</v>
      </c>
      <c r="E454" s="9" t="s">
        <v>56</v>
      </c>
      <c r="F454" s="9" t="s">
        <v>45</v>
      </c>
      <c r="G454" s="9" t="s">
        <v>46</v>
      </c>
      <c r="H454" s="9" t="s">
        <v>264</v>
      </c>
      <c r="I454" s="11">
        <v>8177289.0</v>
      </c>
      <c r="J454" s="11">
        <v>2.66806765E8</v>
      </c>
      <c r="K454" s="13">
        <v>46304.0</v>
      </c>
      <c r="L454" s="14">
        <v>46322.0</v>
      </c>
      <c r="M454" s="12"/>
      <c r="N454" s="9">
        <v>1020.0</v>
      </c>
      <c r="O454" s="11">
        <v>11.0</v>
      </c>
      <c r="P454" s="9" t="s">
        <v>44</v>
      </c>
      <c r="Q454" s="12"/>
      <c r="R454" s="12"/>
      <c r="S454" s="9" t="s">
        <v>47</v>
      </c>
      <c r="T454" s="9" t="s">
        <v>44</v>
      </c>
      <c r="U454" s="9" t="s">
        <v>44</v>
      </c>
      <c r="V454" s="11">
        <v>50.14</v>
      </c>
      <c r="W454" s="11">
        <v>1.0</v>
      </c>
      <c r="X454" s="9" t="s">
        <v>48</v>
      </c>
      <c r="Y454" s="9" t="s">
        <v>655</v>
      </c>
      <c r="Z454" s="12"/>
      <c r="AA454" s="9">
        <v>1305782.0</v>
      </c>
      <c r="AB454" s="12"/>
      <c r="AC454" s="9" t="s">
        <v>50</v>
      </c>
    </row>
    <row r="455">
      <c r="A455" s="9" t="s">
        <v>33</v>
      </c>
      <c r="B455" s="11">
        <v>6.0</v>
      </c>
      <c r="C455" s="9" t="s">
        <v>43</v>
      </c>
      <c r="D455" s="9" t="s">
        <v>55</v>
      </c>
      <c r="E455" s="9" t="s">
        <v>56</v>
      </c>
      <c r="F455" s="9" t="s">
        <v>45</v>
      </c>
      <c r="G455" s="9" t="s">
        <v>46</v>
      </c>
      <c r="H455" s="9" t="s">
        <v>70</v>
      </c>
      <c r="I455" s="11">
        <v>8177217.0</v>
      </c>
      <c r="J455" s="11">
        <v>2.66806767E8</v>
      </c>
      <c r="K455" s="13">
        <v>46304.0</v>
      </c>
      <c r="L455" s="14">
        <v>46316.0</v>
      </c>
      <c r="M455" s="12"/>
      <c r="N455" s="9">
        <v>7.0</v>
      </c>
      <c r="O455" s="11">
        <v>7.0</v>
      </c>
      <c r="P455" s="9" t="s">
        <v>44</v>
      </c>
      <c r="Q455" s="12"/>
      <c r="R455" s="12"/>
      <c r="S455" s="9" t="s">
        <v>47</v>
      </c>
      <c r="T455" s="9" t="s">
        <v>44</v>
      </c>
      <c r="U455" s="9" t="s">
        <v>44</v>
      </c>
      <c r="V455" s="11">
        <v>51.62</v>
      </c>
      <c r="W455" s="11">
        <v>1.0</v>
      </c>
      <c r="X455" s="9" t="s">
        <v>48</v>
      </c>
      <c r="Y455" s="9" t="s">
        <v>656</v>
      </c>
      <c r="Z455" s="12"/>
      <c r="AA455" s="9">
        <v>1306017.0</v>
      </c>
      <c r="AB455" s="12"/>
      <c r="AC455" s="9" t="s">
        <v>50</v>
      </c>
    </row>
    <row r="456">
      <c r="A456" s="9" t="s">
        <v>33</v>
      </c>
      <c r="B456" s="11">
        <v>6.0</v>
      </c>
      <c r="C456" s="9" t="s">
        <v>43</v>
      </c>
      <c r="D456" s="9" t="s">
        <v>55</v>
      </c>
      <c r="E456" s="9" t="s">
        <v>56</v>
      </c>
      <c r="F456" s="9" t="s">
        <v>45</v>
      </c>
      <c r="G456" s="9" t="s">
        <v>46</v>
      </c>
      <c r="H456" s="9" t="s">
        <v>72</v>
      </c>
      <c r="I456" s="11">
        <v>8177347.0</v>
      </c>
      <c r="J456" s="11">
        <v>2.66806768E8</v>
      </c>
      <c r="K456" s="13">
        <v>46304.0</v>
      </c>
      <c r="L456" s="14">
        <v>46318.0</v>
      </c>
      <c r="M456" s="12"/>
      <c r="N456" s="9">
        <v>127.0</v>
      </c>
      <c r="O456" s="11">
        <v>9.0</v>
      </c>
      <c r="P456" s="9" t="s">
        <v>44</v>
      </c>
      <c r="Q456" s="12"/>
      <c r="R456" s="12"/>
      <c r="S456" s="9" t="s">
        <v>47</v>
      </c>
      <c r="T456" s="9" t="s">
        <v>44</v>
      </c>
      <c r="U456" s="9" t="s">
        <v>44</v>
      </c>
      <c r="V456" s="11">
        <v>51.62</v>
      </c>
      <c r="W456" s="11">
        <v>3.0</v>
      </c>
      <c r="X456" s="9" t="s">
        <v>48</v>
      </c>
      <c r="Y456" s="9" t="s">
        <v>73</v>
      </c>
      <c r="Z456" s="12"/>
      <c r="AA456" s="9">
        <v>1305999.0</v>
      </c>
      <c r="AB456" s="12"/>
      <c r="AC456" s="9" t="s">
        <v>50</v>
      </c>
    </row>
    <row r="457">
      <c r="A457" s="9" t="s">
        <v>33</v>
      </c>
      <c r="B457" s="11">
        <v>6.0</v>
      </c>
      <c r="C457" s="9" t="s">
        <v>43</v>
      </c>
      <c r="D457" s="9" t="s">
        <v>55</v>
      </c>
      <c r="E457" s="9" t="s">
        <v>56</v>
      </c>
      <c r="F457" s="9" t="s">
        <v>45</v>
      </c>
      <c r="G457" s="9" t="s">
        <v>46</v>
      </c>
      <c r="H457" s="9" t="s">
        <v>72</v>
      </c>
      <c r="I457" s="11">
        <v>8177218.0</v>
      </c>
      <c r="J457" s="11">
        <v>2.66806769E8</v>
      </c>
      <c r="K457" s="13">
        <v>46304.0</v>
      </c>
      <c r="L457" s="14">
        <v>46318.0</v>
      </c>
      <c r="M457" s="12"/>
      <c r="N457" s="9">
        <v>127.0</v>
      </c>
      <c r="O457" s="11">
        <v>9.0</v>
      </c>
      <c r="P457" s="9" t="s">
        <v>44</v>
      </c>
      <c r="Q457" s="12"/>
      <c r="R457" s="12"/>
      <c r="S457" s="9" t="s">
        <v>47</v>
      </c>
      <c r="T457" s="9" t="s">
        <v>44</v>
      </c>
      <c r="U457" s="9" t="s">
        <v>44</v>
      </c>
      <c r="V457" s="11">
        <v>51.62</v>
      </c>
      <c r="W457" s="11">
        <v>2.0</v>
      </c>
      <c r="X457" s="9" t="s">
        <v>48</v>
      </c>
      <c r="Y457" s="9" t="s">
        <v>657</v>
      </c>
      <c r="Z457" s="12"/>
      <c r="AA457" s="9">
        <v>1306065.0</v>
      </c>
      <c r="AB457" s="12"/>
      <c r="AC457" s="9" t="s">
        <v>50</v>
      </c>
    </row>
    <row r="458">
      <c r="A458" s="9" t="s">
        <v>33</v>
      </c>
      <c r="B458" s="11">
        <v>6.0</v>
      </c>
      <c r="C458" s="9" t="s">
        <v>43</v>
      </c>
      <c r="D458" s="9" t="s">
        <v>55</v>
      </c>
      <c r="E458" s="9" t="s">
        <v>56</v>
      </c>
      <c r="F458" s="9" t="s">
        <v>45</v>
      </c>
      <c r="G458" s="9" t="s">
        <v>46</v>
      </c>
      <c r="H458" s="9" t="s">
        <v>278</v>
      </c>
      <c r="I458" s="11">
        <v>8177186.0</v>
      </c>
      <c r="J458" s="11">
        <v>2.6680677E8</v>
      </c>
      <c r="K458" s="13">
        <v>46304.0</v>
      </c>
      <c r="L458" s="14">
        <v>46318.0</v>
      </c>
      <c r="M458" s="12"/>
      <c r="N458" s="12"/>
      <c r="O458" s="11">
        <v>9.0</v>
      </c>
      <c r="P458" s="9" t="s">
        <v>44</v>
      </c>
      <c r="Q458" s="12"/>
      <c r="R458" s="12"/>
      <c r="S458" s="9" t="s">
        <v>47</v>
      </c>
      <c r="T458" s="9" t="s">
        <v>44</v>
      </c>
      <c r="U458" s="9" t="s">
        <v>44</v>
      </c>
      <c r="V458" s="11">
        <v>44.59</v>
      </c>
      <c r="W458" s="11">
        <v>1.0</v>
      </c>
      <c r="X458" s="9" t="s">
        <v>48</v>
      </c>
      <c r="Y458" s="9" t="s">
        <v>658</v>
      </c>
      <c r="Z458" s="12"/>
      <c r="AA458" s="9">
        <v>1306088.0</v>
      </c>
      <c r="AB458" s="12"/>
      <c r="AC458" s="9" t="s">
        <v>50</v>
      </c>
    </row>
    <row r="459">
      <c r="A459" s="9" t="s">
        <v>33</v>
      </c>
      <c r="B459" s="11">
        <v>6.0</v>
      </c>
      <c r="C459" s="9" t="s">
        <v>43</v>
      </c>
      <c r="D459" s="9" t="s">
        <v>55</v>
      </c>
      <c r="E459" s="9" t="s">
        <v>56</v>
      </c>
      <c r="F459" s="9" t="s">
        <v>45</v>
      </c>
      <c r="G459" s="9" t="s">
        <v>46</v>
      </c>
      <c r="H459" s="9" t="s">
        <v>281</v>
      </c>
      <c r="I459" s="11">
        <v>8177187.0</v>
      </c>
      <c r="J459" s="11">
        <v>2.66806771E8</v>
      </c>
      <c r="K459" s="13">
        <v>46304.0</v>
      </c>
      <c r="L459" s="14">
        <v>46316.0</v>
      </c>
      <c r="M459" s="12"/>
      <c r="N459" s="9">
        <v>1.0</v>
      </c>
      <c r="O459" s="11">
        <v>7.0</v>
      </c>
      <c r="P459" s="9" t="s">
        <v>44</v>
      </c>
      <c r="Q459" s="12"/>
      <c r="R459" s="12"/>
      <c r="S459" s="9" t="s">
        <v>47</v>
      </c>
      <c r="T459" s="9" t="s">
        <v>44</v>
      </c>
      <c r="U459" s="9" t="s">
        <v>44</v>
      </c>
      <c r="V459" s="11">
        <v>44.59</v>
      </c>
      <c r="W459" s="11">
        <v>1.0</v>
      </c>
      <c r="X459" s="9" t="s">
        <v>48</v>
      </c>
      <c r="Y459" s="9" t="s">
        <v>659</v>
      </c>
      <c r="Z459" s="12"/>
      <c r="AA459" s="9">
        <v>1306038.0</v>
      </c>
      <c r="AB459" s="12"/>
      <c r="AC459" s="9" t="s">
        <v>50</v>
      </c>
    </row>
    <row r="460">
      <c r="A460" s="9" t="s">
        <v>33</v>
      </c>
      <c r="B460" s="11">
        <v>6.0</v>
      </c>
      <c r="C460" s="9" t="s">
        <v>43</v>
      </c>
      <c r="D460" s="9" t="s">
        <v>55</v>
      </c>
      <c r="E460" s="9" t="s">
        <v>56</v>
      </c>
      <c r="F460" s="9" t="s">
        <v>45</v>
      </c>
      <c r="G460" s="9" t="s">
        <v>46</v>
      </c>
      <c r="H460" s="9" t="s">
        <v>281</v>
      </c>
      <c r="I460" s="11">
        <v>8177246.0</v>
      </c>
      <c r="J460" s="11">
        <v>2.66806772E8</v>
      </c>
      <c r="K460" s="13">
        <v>46304.0</v>
      </c>
      <c r="L460" s="14">
        <v>46323.0</v>
      </c>
      <c r="M460" s="12"/>
      <c r="N460" s="9">
        <v>101.0</v>
      </c>
      <c r="O460" s="11">
        <v>12.0</v>
      </c>
      <c r="P460" s="9" t="s">
        <v>44</v>
      </c>
      <c r="Q460" s="12"/>
      <c r="R460" s="12"/>
      <c r="S460" s="9" t="s">
        <v>47</v>
      </c>
      <c r="T460" s="9" t="s">
        <v>44</v>
      </c>
      <c r="U460" s="9" t="s">
        <v>44</v>
      </c>
      <c r="V460" s="11">
        <v>49.43</v>
      </c>
      <c r="W460" s="11">
        <v>1.0</v>
      </c>
      <c r="X460" s="9" t="s">
        <v>48</v>
      </c>
      <c r="Y460" s="9" t="s">
        <v>660</v>
      </c>
      <c r="Z460" s="12"/>
      <c r="AA460" s="9">
        <v>1305783.0</v>
      </c>
      <c r="AB460" s="12"/>
      <c r="AC460" s="9" t="s">
        <v>50</v>
      </c>
    </row>
    <row r="461">
      <c r="A461" s="9" t="s">
        <v>33</v>
      </c>
      <c r="B461" s="11">
        <v>6.0</v>
      </c>
      <c r="C461" s="9" t="s">
        <v>43</v>
      </c>
      <c r="D461" s="9" t="s">
        <v>55</v>
      </c>
      <c r="E461" s="9" t="s">
        <v>56</v>
      </c>
      <c r="F461" s="9" t="s">
        <v>45</v>
      </c>
      <c r="G461" s="9" t="s">
        <v>46</v>
      </c>
      <c r="H461" s="9" t="s">
        <v>281</v>
      </c>
      <c r="I461" s="11">
        <v>8177290.0</v>
      </c>
      <c r="J461" s="11">
        <v>2.66806773E8</v>
      </c>
      <c r="K461" s="13">
        <v>46304.0</v>
      </c>
      <c r="L461" s="14">
        <v>46323.0</v>
      </c>
      <c r="M461" s="12"/>
      <c r="N461" s="9">
        <v>101.0</v>
      </c>
      <c r="O461" s="11">
        <v>12.0</v>
      </c>
      <c r="P461" s="9" t="s">
        <v>44</v>
      </c>
      <c r="Q461" s="12"/>
      <c r="R461" s="12"/>
      <c r="S461" s="9" t="s">
        <v>47</v>
      </c>
      <c r="T461" s="9" t="s">
        <v>44</v>
      </c>
      <c r="U461" s="9" t="s">
        <v>44</v>
      </c>
      <c r="V461" s="11">
        <v>49.43</v>
      </c>
      <c r="W461" s="11">
        <v>1.0</v>
      </c>
      <c r="X461" s="9" t="s">
        <v>48</v>
      </c>
      <c r="Y461" s="9" t="s">
        <v>661</v>
      </c>
      <c r="Z461" s="12"/>
      <c r="AA461" s="9">
        <v>1305797.0</v>
      </c>
      <c r="AB461" s="12"/>
      <c r="AC461" s="9" t="s">
        <v>50</v>
      </c>
    </row>
    <row r="462">
      <c r="A462" s="9" t="s">
        <v>33</v>
      </c>
      <c r="B462" s="11">
        <v>6.0</v>
      </c>
      <c r="C462" s="9" t="s">
        <v>43</v>
      </c>
      <c r="D462" s="9" t="s">
        <v>55</v>
      </c>
      <c r="E462" s="9" t="s">
        <v>56</v>
      </c>
      <c r="F462" s="9" t="s">
        <v>45</v>
      </c>
      <c r="G462" s="9" t="s">
        <v>46</v>
      </c>
      <c r="H462" s="9" t="s">
        <v>275</v>
      </c>
      <c r="I462" s="11">
        <v>8177188.0</v>
      </c>
      <c r="J462" s="11">
        <v>2.66806775E8</v>
      </c>
      <c r="K462" s="13">
        <v>46304.0</v>
      </c>
      <c r="L462" s="14">
        <v>46322.0</v>
      </c>
      <c r="M462" s="12"/>
      <c r="N462" s="9">
        <v>107.0</v>
      </c>
      <c r="O462" s="11">
        <v>11.0</v>
      </c>
      <c r="P462" s="9" t="s">
        <v>44</v>
      </c>
      <c r="Q462" s="12"/>
      <c r="R462" s="12"/>
      <c r="S462" s="9" t="s">
        <v>47</v>
      </c>
      <c r="T462" s="9" t="s">
        <v>44</v>
      </c>
      <c r="U462" s="9" t="s">
        <v>44</v>
      </c>
      <c r="V462" s="11">
        <v>49.43</v>
      </c>
      <c r="W462" s="11">
        <v>2.0</v>
      </c>
      <c r="X462" s="9" t="s">
        <v>48</v>
      </c>
      <c r="Y462" s="9" t="s">
        <v>662</v>
      </c>
      <c r="Z462" s="12"/>
      <c r="AA462" s="9">
        <v>1306050.0</v>
      </c>
      <c r="AB462" s="12"/>
      <c r="AC462" s="9" t="s">
        <v>50</v>
      </c>
    </row>
    <row r="463">
      <c r="A463" s="9" t="s">
        <v>33</v>
      </c>
      <c r="B463" s="11">
        <v>6.0</v>
      </c>
      <c r="C463" s="9" t="s">
        <v>43</v>
      </c>
      <c r="D463" s="9" t="s">
        <v>55</v>
      </c>
      <c r="E463" s="9" t="s">
        <v>56</v>
      </c>
      <c r="F463" s="9" t="s">
        <v>45</v>
      </c>
      <c r="G463" s="9" t="s">
        <v>46</v>
      </c>
      <c r="H463" s="9" t="s">
        <v>72</v>
      </c>
      <c r="I463" s="11">
        <v>8177113.0</v>
      </c>
      <c r="J463" s="11">
        <v>2.66806776E8</v>
      </c>
      <c r="K463" s="13">
        <v>46304.0</v>
      </c>
      <c r="L463" s="14">
        <v>46321.0</v>
      </c>
      <c r="M463" s="12"/>
      <c r="N463" s="9">
        <v>107.0</v>
      </c>
      <c r="O463" s="11">
        <v>10.0</v>
      </c>
      <c r="P463" s="9" t="s">
        <v>44</v>
      </c>
      <c r="Q463" s="12"/>
      <c r="R463" s="12"/>
      <c r="S463" s="9" t="s">
        <v>47</v>
      </c>
      <c r="T463" s="9" t="s">
        <v>44</v>
      </c>
      <c r="U463" s="9" t="s">
        <v>44</v>
      </c>
      <c r="V463" s="11">
        <v>56.46</v>
      </c>
      <c r="W463" s="11">
        <v>1.0</v>
      </c>
      <c r="X463" s="9" t="s">
        <v>48</v>
      </c>
      <c r="Y463" s="9" t="s">
        <v>663</v>
      </c>
      <c r="Z463" s="12"/>
      <c r="AA463" s="9">
        <v>1306272.0</v>
      </c>
      <c r="AB463" s="12"/>
      <c r="AC463" s="9" t="s">
        <v>50</v>
      </c>
    </row>
    <row r="464">
      <c r="A464" s="9" t="s">
        <v>33</v>
      </c>
      <c r="B464" s="11">
        <v>6.0</v>
      </c>
      <c r="C464" s="9" t="s">
        <v>43</v>
      </c>
      <c r="D464" s="9" t="s">
        <v>55</v>
      </c>
      <c r="E464" s="9" t="s">
        <v>56</v>
      </c>
      <c r="F464" s="9" t="s">
        <v>45</v>
      </c>
      <c r="G464" s="9" t="s">
        <v>46</v>
      </c>
      <c r="H464" s="9" t="s">
        <v>74</v>
      </c>
      <c r="I464" s="11">
        <v>8177129.0</v>
      </c>
      <c r="J464" s="11">
        <v>2.66806777E8</v>
      </c>
      <c r="K464" s="13">
        <v>46304.0</v>
      </c>
      <c r="L464" s="14">
        <v>46317.0</v>
      </c>
      <c r="M464" s="12"/>
      <c r="N464" s="9">
        <v>98.0</v>
      </c>
      <c r="O464" s="11">
        <v>8.0</v>
      </c>
      <c r="P464" s="9" t="s">
        <v>44</v>
      </c>
      <c r="Q464" s="12"/>
      <c r="R464" s="12"/>
      <c r="S464" s="9" t="s">
        <v>47</v>
      </c>
      <c r="T464" s="9" t="s">
        <v>44</v>
      </c>
      <c r="U464" s="9" t="s">
        <v>44</v>
      </c>
      <c r="V464" s="11">
        <v>44.59</v>
      </c>
      <c r="W464" s="11">
        <v>1.0</v>
      </c>
      <c r="X464" s="9" t="s">
        <v>48</v>
      </c>
      <c r="Y464" s="9" t="s">
        <v>237</v>
      </c>
      <c r="Z464" s="12"/>
      <c r="AA464" s="9">
        <v>1306091.0</v>
      </c>
      <c r="AB464" s="12"/>
      <c r="AC464" s="9" t="s">
        <v>50</v>
      </c>
    </row>
    <row r="465">
      <c r="A465" s="9" t="s">
        <v>33</v>
      </c>
      <c r="B465" s="11">
        <v>6.0</v>
      </c>
      <c r="C465" s="9" t="s">
        <v>43</v>
      </c>
      <c r="D465" s="9" t="s">
        <v>55</v>
      </c>
      <c r="E465" s="9" t="s">
        <v>56</v>
      </c>
      <c r="F465" s="9" t="s">
        <v>45</v>
      </c>
      <c r="G465" s="9" t="s">
        <v>46</v>
      </c>
      <c r="H465" s="9" t="s">
        <v>74</v>
      </c>
      <c r="I465" s="11">
        <v>8177247.0</v>
      </c>
      <c r="J465" s="11">
        <v>2.66806778E8</v>
      </c>
      <c r="K465" s="13">
        <v>46304.0</v>
      </c>
      <c r="L465" s="14">
        <v>46317.0</v>
      </c>
      <c r="M465" s="12"/>
      <c r="N465" s="9">
        <v>1.0</v>
      </c>
      <c r="O465" s="11">
        <v>8.0</v>
      </c>
      <c r="P465" s="9" t="s">
        <v>44</v>
      </c>
      <c r="Q465" s="12"/>
      <c r="R465" s="12"/>
      <c r="S465" s="9" t="s">
        <v>47</v>
      </c>
      <c r="T465" s="9" t="s">
        <v>44</v>
      </c>
      <c r="U465" s="9" t="s">
        <v>44</v>
      </c>
      <c r="V465" s="11">
        <v>44.59</v>
      </c>
      <c r="W465" s="11">
        <v>1.0</v>
      </c>
      <c r="X465" s="9" t="s">
        <v>48</v>
      </c>
      <c r="Y465" s="9" t="s">
        <v>664</v>
      </c>
      <c r="Z465" s="12"/>
      <c r="AA465" s="9">
        <v>1305919.0</v>
      </c>
      <c r="AB465" s="12"/>
      <c r="AC465" s="9" t="s">
        <v>50</v>
      </c>
    </row>
    <row r="466">
      <c r="A466" s="9" t="s">
        <v>33</v>
      </c>
      <c r="B466" s="11">
        <v>6.0</v>
      </c>
      <c r="C466" s="9" t="s">
        <v>43</v>
      </c>
      <c r="D466" s="9" t="s">
        <v>55</v>
      </c>
      <c r="E466" s="9" t="s">
        <v>56</v>
      </c>
      <c r="F466" s="9" t="s">
        <v>45</v>
      </c>
      <c r="G466" s="9" t="s">
        <v>46</v>
      </c>
      <c r="H466" s="9" t="s">
        <v>74</v>
      </c>
      <c r="I466" s="11">
        <v>8177154.0</v>
      </c>
      <c r="J466" s="11">
        <v>2.66806779E8</v>
      </c>
      <c r="K466" s="13">
        <v>46304.0</v>
      </c>
      <c r="L466" s="14">
        <v>46322.0</v>
      </c>
      <c r="M466" s="12"/>
      <c r="N466" s="9">
        <v>111.0</v>
      </c>
      <c r="O466" s="11">
        <v>11.0</v>
      </c>
      <c r="P466" s="9" t="s">
        <v>44</v>
      </c>
      <c r="Q466" s="12"/>
      <c r="R466" s="12"/>
      <c r="S466" s="9" t="s">
        <v>47</v>
      </c>
      <c r="T466" s="9" t="s">
        <v>44</v>
      </c>
      <c r="U466" s="9" t="s">
        <v>44</v>
      </c>
      <c r="V466" s="11">
        <v>49.43</v>
      </c>
      <c r="W466" s="11">
        <v>1.0</v>
      </c>
      <c r="X466" s="9" t="s">
        <v>48</v>
      </c>
      <c r="Y466" s="9" t="s">
        <v>665</v>
      </c>
      <c r="Z466" s="12"/>
      <c r="AA466" s="9">
        <v>1306304.0</v>
      </c>
      <c r="AB466" s="12"/>
      <c r="AC466" s="9" t="s">
        <v>50</v>
      </c>
    </row>
    <row r="467">
      <c r="A467" s="9" t="s">
        <v>33</v>
      </c>
      <c r="B467" s="11">
        <v>6.0</v>
      </c>
      <c r="C467" s="9" t="s">
        <v>43</v>
      </c>
      <c r="D467" s="9" t="s">
        <v>55</v>
      </c>
      <c r="E467" s="9" t="s">
        <v>56</v>
      </c>
      <c r="F467" s="9" t="s">
        <v>45</v>
      </c>
      <c r="G467" s="9" t="s">
        <v>46</v>
      </c>
      <c r="H467" s="9" t="s">
        <v>74</v>
      </c>
      <c r="I467" s="11">
        <v>8177130.0</v>
      </c>
      <c r="J467" s="11">
        <v>2.6680678E8</v>
      </c>
      <c r="K467" s="13">
        <v>46304.0</v>
      </c>
      <c r="L467" s="14">
        <v>46322.0</v>
      </c>
      <c r="M467" s="12"/>
      <c r="N467" s="9">
        <v>109.0</v>
      </c>
      <c r="O467" s="11">
        <v>11.0</v>
      </c>
      <c r="P467" s="9" t="s">
        <v>44</v>
      </c>
      <c r="Q467" s="12"/>
      <c r="R467" s="12"/>
      <c r="S467" s="9" t="s">
        <v>47</v>
      </c>
      <c r="T467" s="9" t="s">
        <v>44</v>
      </c>
      <c r="U467" s="9" t="s">
        <v>44</v>
      </c>
      <c r="V467" s="11">
        <v>49.43</v>
      </c>
      <c r="W467" s="11">
        <v>1.0</v>
      </c>
      <c r="X467" s="9" t="s">
        <v>48</v>
      </c>
      <c r="Y467" s="9" t="s">
        <v>666</v>
      </c>
      <c r="Z467" s="12"/>
      <c r="AA467" s="9">
        <v>1306165.0</v>
      </c>
      <c r="AB467" s="12"/>
      <c r="AC467" s="9" t="s">
        <v>50</v>
      </c>
    </row>
    <row r="468">
      <c r="A468" s="9" t="s">
        <v>33</v>
      </c>
      <c r="B468" s="11">
        <v>6.0</v>
      </c>
      <c r="C468" s="9" t="s">
        <v>43</v>
      </c>
      <c r="D468" s="9" t="s">
        <v>55</v>
      </c>
      <c r="E468" s="9" t="s">
        <v>56</v>
      </c>
      <c r="F468" s="9" t="s">
        <v>45</v>
      </c>
      <c r="G468" s="9" t="s">
        <v>46</v>
      </c>
      <c r="H468" s="9" t="s">
        <v>74</v>
      </c>
      <c r="I468" s="11">
        <v>8177155.0</v>
      </c>
      <c r="J468" s="11">
        <v>2.66806781E8</v>
      </c>
      <c r="K468" s="13">
        <v>46304.0</v>
      </c>
      <c r="L468" s="14">
        <v>46323.0</v>
      </c>
      <c r="M468" s="12"/>
      <c r="N468" s="9">
        <v>110.0</v>
      </c>
      <c r="O468" s="11">
        <v>12.0</v>
      </c>
      <c r="P468" s="9" t="s">
        <v>44</v>
      </c>
      <c r="Q468" s="12"/>
      <c r="R468" s="9" t="s">
        <v>90</v>
      </c>
      <c r="S468" s="9" t="s">
        <v>47</v>
      </c>
      <c r="T468" s="9" t="s">
        <v>44</v>
      </c>
      <c r="U468" s="9" t="s">
        <v>44</v>
      </c>
      <c r="V468" s="11">
        <v>49.43</v>
      </c>
      <c r="W468" s="11">
        <v>1.0</v>
      </c>
      <c r="X468" s="9" t="s">
        <v>48</v>
      </c>
      <c r="Y468" s="9" t="s">
        <v>667</v>
      </c>
      <c r="Z468" s="12"/>
      <c r="AA468" s="9">
        <v>1306267.0</v>
      </c>
      <c r="AB468" s="12"/>
      <c r="AC468" s="9" t="s">
        <v>50</v>
      </c>
    </row>
    <row r="469">
      <c r="A469" s="9" t="s">
        <v>33</v>
      </c>
      <c r="B469" s="11">
        <v>6.0</v>
      </c>
      <c r="C469" s="9" t="s">
        <v>43</v>
      </c>
      <c r="D469" s="9" t="s">
        <v>55</v>
      </c>
      <c r="E469" s="9" t="s">
        <v>56</v>
      </c>
      <c r="F469" s="9" t="s">
        <v>45</v>
      </c>
      <c r="G469" s="9" t="s">
        <v>46</v>
      </c>
      <c r="H469" s="9" t="s">
        <v>298</v>
      </c>
      <c r="I469" s="11">
        <v>8177322.0</v>
      </c>
      <c r="J469" s="11">
        <v>2.66806782E8</v>
      </c>
      <c r="K469" s="13">
        <v>46304.0</v>
      </c>
      <c r="L469" s="14">
        <v>46321.0</v>
      </c>
      <c r="M469" s="12"/>
      <c r="N469" s="9">
        <v>103.0</v>
      </c>
      <c r="O469" s="11">
        <v>10.0</v>
      </c>
      <c r="P469" s="9" t="s">
        <v>44</v>
      </c>
      <c r="Q469" s="12"/>
      <c r="R469" s="12"/>
      <c r="S469" s="9" t="s">
        <v>47</v>
      </c>
      <c r="T469" s="9" t="s">
        <v>44</v>
      </c>
      <c r="U469" s="9" t="s">
        <v>44</v>
      </c>
      <c r="V469" s="11">
        <v>49.43</v>
      </c>
      <c r="W469" s="11">
        <v>1.0</v>
      </c>
      <c r="X469" s="9" t="s">
        <v>48</v>
      </c>
      <c r="Y469" s="9" t="s">
        <v>668</v>
      </c>
      <c r="Z469" s="12"/>
      <c r="AA469" s="9">
        <v>1306042.0</v>
      </c>
      <c r="AB469" s="12"/>
      <c r="AC469" s="9" t="s">
        <v>50</v>
      </c>
    </row>
    <row r="470">
      <c r="A470" s="9" t="s">
        <v>33</v>
      </c>
      <c r="B470" s="11">
        <v>6.0</v>
      </c>
      <c r="C470" s="9" t="s">
        <v>43</v>
      </c>
      <c r="D470" s="9" t="s">
        <v>55</v>
      </c>
      <c r="E470" s="9" t="s">
        <v>56</v>
      </c>
      <c r="F470" s="9" t="s">
        <v>45</v>
      </c>
      <c r="G470" s="9" t="s">
        <v>46</v>
      </c>
      <c r="H470" s="9" t="s">
        <v>76</v>
      </c>
      <c r="I470" s="11">
        <v>8177219.0</v>
      </c>
      <c r="J470" s="11">
        <v>2.66806783E8</v>
      </c>
      <c r="K470" s="13">
        <v>46304.0</v>
      </c>
      <c r="L470" s="14">
        <v>46317.0</v>
      </c>
      <c r="M470" s="12"/>
      <c r="N470" s="9">
        <v>108.0</v>
      </c>
      <c r="O470" s="11">
        <v>8.0</v>
      </c>
      <c r="P470" s="9" t="s">
        <v>44</v>
      </c>
      <c r="Q470" s="12"/>
      <c r="R470" s="12"/>
      <c r="S470" s="9" t="s">
        <v>47</v>
      </c>
      <c r="T470" s="9" t="s">
        <v>44</v>
      </c>
      <c r="U470" s="9" t="s">
        <v>44</v>
      </c>
      <c r="V470" s="11">
        <v>49.43</v>
      </c>
      <c r="W470" s="11">
        <v>1.0</v>
      </c>
      <c r="X470" s="9" t="s">
        <v>48</v>
      </c>
      <c r="Y470" s="9" t="s">
        <v>300</v>
      </c>
      <c r="Z470" s="12"/>
      <c r="AA470" s="9">
        <v>1306058.0</v>
      </c>
      <c r="AB470" s="12"/>
      <c r="AC470" s="9" t="s">
        <v>50</v>
      </c>
    </row>
    <row r="471">
      <c r="A471" s="9" t="s">
        <v>33</v>
      </c>
      <c r="B471" s="11">
        <v>6.0</v>
      </c>
      <c r="C471" s="9" t="s">
        <v>43</v>
      </c>
      <c r="D471" s="9" t="s">
        <v>55</v>
      </c>
      <c r="E471" s="9" t="s">
        <v>56</v>
      </c>
      <c r="F471" s="9" t="s">
        <v>45</v>
      </c>
      <c r="G471" s="9" t="s">
        <v>46</v>
      </c>
      <c r="H471" s="9" t="s">
        <v>76</v>
      </c>
      <c r="I471" s="11">
        <v>8177220.0</v>
      </c>
      <c r="J471" s="11">
        <v>2.66806784E8</v>
      </c>
      <c r="K471" s="13">
        <v>46304.0</v>
      </c>
      <c r="L471" s="14">
        <v>46321.0</v>
      </c>
      <c r="M471" s="12"/>
      <c r="N471" s="9">
        <v>110.0</v>
      </c>
      <c r="O471" s="11">
        <v>10.0</v>
      </c>
      <c r="P471" s="9" t="s">
        <v>44</v>
      </c>
      <c r="Q471" s="12"/>
      <c r="R471" s="12"/>
      <c r="S471" s="9" t="s">
        <v>47</v>
      </c>
      <c r="T471" s="9" t="s">
        <v>44</v>
      </c>
      <c r="U471" s="9" t="s">
        <v>44</v>
      </c>
      <c r="V471" s="11">
        <v>49.43</v>
      </c>
      <c r="W471" s="11">
        <v>1.0</v>
      </c>
      <c r="X471" s="9" t="s">
        <v>48</v>
      </c>
      <c r="Y471" s="9" t="s">
        <v>669</v>
      </c>
      <c r="Z471" s="12"/>
      <c r="AA471" s="9">
        <v>1306022.0</v>
      </c>
      <c r="AB471" s="12"/>
      <c r="AC471" s="9" t="s">
        <v>50</v>
      </c>
    </row>
    <row r="472">
      <c r="A472" s="9" t="s">
        <v>33</v>
      </c>
      <c r="B472" s="11">
        <v>6.0</v>
      </c>
      <c r="C472" s="9" t="s">
        <v>43</v>
      </c>
      <c r="D472" s="9" t="s">
        <v>55</v>
      </c>
      <c r="E472" s="9" t="s">
        <v>56</v>
      </c>
      <c r="F472" s="9" t="s">
        <v>45</v>
      </c>
      <c r="G472" s="9" t="s">
        <v>46</v>
      </c>
      <c r="H472" s="9" t="s">
        <v>298</v>
      </c>
      <c r="I472" s="11">
        <v>8177221.0</v>
      </c>
      <c r="J472" s="11">
        <v>2.66806785E8</v>
      </c>
      <c r="K472" s="13">
        <v>46304.0</v>
      </c>
      <c r="L472" s="14">
        <v>46318.0</v>
      </c>
      <c r="M472" s="12"/>
      <c r="N472" s="9">
        <v>102.0</v>
      </c>
      <c r="O472" s="11">
        <v>9.0</v>
      </c>
      <c r="P472" s="9" t="s">
        <v>44</v>
      </c>
      <c r="Q472" s="12"/>
      <c r="R472" s="12"/>
      <c r="S472" s="9" t="s">
        <v>47</v>
      </c>
      <c r="T472" s="9" t="s">
        <v>44</v>
      </c>
      <c r="U472" s="9" t="s">
        <v>44</v>
      </c>
      <c r="V472" s="11">
        <v>62.8</v>
      </c>
      <c r="W472" s="11">
        <v>10.0</v>
      </c>
      <c r="X472" s="9" t="s">
        <v>48</v>
      </c>
      <c r="Y472" s="9" t="s">
        <v>670</v>
      </c>
      <c r="Z472" s="12"/>
      <c r="AA472" s="9">
        <v>1306052.0</v>
      </c>
      <c r="AB472" s="12"/>
      <c r="AC472" s="9" t="s">
        <v>50</v>
      </c>
    </row>
    <row r="473">
      <c r="A473" s="9" t="s">
        <v>33</v>
      </c>
      <c r="B473" s="11">
        <v>6.0</v>
      </c>
      <c r="C473" s="9" t="s">
        <v>43</v>
      </c>
      <c r="D473" s="9" t="s">
        <v>55</v>
      </c>
      <c r="E473" s="9" t="s">
        <v>56</v>
      </c>
      <c r="F473" s="9" t="s">
        <v>45</v>
      </c>
      <c r="G473" s="9" t="s">
        <v>46</v>
      </c>
      <c r="H473" s="9" t="s">
        <v>308</v>
      </c>
      <c r="I473" s="11">
        <v>8177291.0</v>
      </c>
      <c r="J473" s="11">
        <v>2.66806786E8</v>
      </c>
      <c r="K473" s="13">
        <v>46304.0</v>
      </c>
      <c r="L473" s="14">
        <v>46316.0</v>
      </c>
      <c r="M473" s="12"/>
      <c r="N473" s="9">
        <v>2.0</v>
      </c>
      <c r="O473" s="11">
        <v>7.0</v>
      </c>
      <c r="P473" s="9" t="s">
        <v>44</v>
      </c>
      <c r="Q473" s="12"/>
      <c r="R473" s="12"/>
      <c r="S473" s="9" t="s">
        <v>47</v>
      </c>
      <c r="T473" s="9" t="s">
        <v>44</v>
      </c>
      <c r="U473" s="9" t="s">
        <v>44</v>
      </c>
      <c r="V473" s="11">
        <v>44.59</v>
      </c>
      <c r="W473" s="11">
        <v>1.0</v>
      </c>
      <c r="X473" s="9" t="s">
        <v>48</v>
      </c>
      <c r="Y473" s="9" t="s">
        <v>71</v>
      </c>
      <c r="Z473" s="12"/>
      <c r="AA473" s="9">
        <v>1305801.0</v>
      </c>
      <c r="AB473" s="12"/>
      <c r="AC473" s="9" t="s">
        <v>50</v>
      </c>
    </row>
    <row r="474">
      <c r="A474" s="9" t="s">
        <v>33</v>
      </c>
      <c r="B474" s="11">
        <v>6.0</v>
      </c>
      <c r="C474" s="9" t="s">
        <v>43</v>
      </c>
      <c r="D474" s="9" t="s">
        <v>55</v>
      </c>
      <c r="E474" s="9" t="s">
        <v>56</v>
      </c>
      <c r="F474" s="9" t="s">
        <v>45</v>
      </c>
      <c r="G474" s="9" t="s">
        <v>46</v>
      </c>
      <c r="H474" s="9" t="s">
        <v>311</v>
      </c>
      <c r="I474" s="11">
        <v>8177114.0</v>
      </c>
      <c r="J474" s="11">
        <v>2.66806787E8</v>
      </c>
      <c r="K474" s="13">
        <v>46304.0</v>
      </c>
      <c r="L474" s="14">
        <v>46322.0</v>
      </c>
      <c r="M474" s="12"/>
      <c r="N474" s="9">
        <v>106.0</v>
      </c>
      <c r="O474" s="11">
        <v>11.0</v>
      </c>
      <c r="P474" s="9" t="s">
        <v>44</v>
      </c>
      <c r="Q474" s="12"/>
      <c r="R474" s="12"/>
      <c r="S474" s="9" t="s">
        <v>47</v>
      </c>
      <c r="T474" s="9" t="s">
        <v>44</v>
      </c>
      <c r="U474" s="9" t="s">
        <v>44</v>
      </c>
      <c r="V474" s="11">
        <v>49.43</v>
      </c>
      <c r="W474" s="11">
        <v>1.0</v>
      </c>
      <c r="X474" s="9" t="s">
        <v>48</v>
      </c>
      <c r="Y474" s="9" t="s">
        <v>671</v>
      </c>
      <c r="Z474" s="12"/>
      <c r="AA474" s="9">
        <v>1306242.0</v>
      </c>
      <c r="AB474" s="12"/>
      <c r="AC474" s="9" t="s">
        <v>50</v>
      </c>
    </row>
    <row r="475">
      <c r="A475" s="9" t="s">
        <v>33</v>
      </c>
      <c r="B475" s="11">
        <v>6.0</v>
      </c>
      <c r="C475" s="9" t="s">
        <v>43</v>
      </c>
      <c r="D475" s="9" t="s">
        <v>55</v>
      </c>
      <c r="E475" s="9" t="s">
        <v>56</v>
      </c>
      <c r="F475" s="9" t="s">
        <v>45</v>
      </c>
      <c r="G475" s="9" t="s">
        <v>46</v>
      </c>
      <c r="H475" s="9" t="s">
        <v>311</v>
      </c>
      <c r="I475" s="11">
        <v>8177156.0</v>
      </c>
      <c r="J475" s="11">
        <v>2.66806788E8</v>
      </c>
      <c r="K475" s="13">
        <v>46304.0</v>
      </c>
      <c r="L475" s="14">
        <v>46316.0</v>
      </c>
      <c r="M475" s="12"/>
      <c r="N475" s="9">
        <v>5.0</v>
      </c>
      <c r="O475" s="11">
        <v>7.0</v>
      </c>
      <c r="P475" s="9" t="s">
        <v>44</v>
      </c>
      <c r="Q475" s="12"/>
      <c r="R475" s="12"/>
      <c r="S475" s="9" t="s">
        <v>47</v>
      </c>
      <c r="T475" s="9" t="s">
        <v>44</v>
      </c>
      <c r="U475" s="9" t="s">
        <v>44</v>
      </c>
      <c r="V475" s="11">
        <v>44.59</v>
      </c>
      <c r="W475" s="11">
        <v>1.0</v>
      </c>
      <c r="X475" s="9" t="s">
        <v>48</v>
      </c>
      <c r="Y475" s="9" t="s">
        <v>672</v>
      </c>
      <c r="Z475" s="12"/>
      <c r="AA475" s="9">
        <v>1306240.0</v>
      </c>
      <c r="AB475" s="12"/>
      <c r="AC475" s="9" t="s">
        <v>50</v>
      </c>
    </row>
    <row r="476">
      <c r="A476" s="9" t="s">
        <v>33</v>
      </c>
      <c r="B476" s="11">
        <v>6.0</v>
      </c>
      <c r="C476" s="9" t="s">
        <v>43</v>
      </c>
      <c r="D476" s="9" t="s">
        <v>55</v>
      </c>
      <c r="E476" s="9" t="s">
        <v>56</v>
      </c>
      <c r="F476" s="9" t="s">
        <v>45</v>
      </c>
      <c r="G476" s="9" t="s">
        <v>46</v>
      </c>
      <c r="H476" s="9" t="s">
        <v>318</v>
      </c>
      <c r="I476" s="11">
        <v>8177248.0</v>
      </c>
      <c r="J476" s="11">
        <v>2.66806789E8</v>
      </c>
      <c r="K476" s="13">
        <v>46304.0</v>
      </c>
      <c r="L476" s="14">
        <v>46316.0</v>
      </c>
      <c r="M476" s="12"/>
      <c r="N476" s="9">
        <v>1.0</v>
      </c>
      <c r="O476" s="11">
        <v>7.0</v>
      </c>
      <c r="P476" s="9" t="s">
        <v>44</v>
      </c>
      <c r="Q476" s="12"/>
      <c r="R476" s="9" t="s">
        <v>90</v>
      </c>
      <c r="S476" s="9" t="s">
        <v>47</v>
      </c>
      <c r="T476" s="9" t="s">
        <v>44</v>
      </c>
      <c r="U476" s="9" t="s">
        <v>44</v>
      </c>
      <c r="V476" s="11">
        <v>44.59</v>
      </c>
      <c r="W476" s="11">
        <v>1.0</v>
      </c>
      <c r="X476" s="9" t="s">
        <v>48</v>
      </c>
      <c r="Y476" s="9" t="s">
        <v>673</v>
      </c>
      <c r="Z476" s="12"/>
      <c r="AA476" s="9">
        <v>1305845.0</v>
      </c>
      <c r="AB476" s="12"/>
      <c r="AC476" s="9" t="s">
        <v>50</v>
      </c>
    </row>
    <row r="477">
      <c r="A477" s="9" t="s">
        <v>33</v>
      </c>
      <c r="B477" s="11">
        <v>6.0</v>
      </c>
      <c r="C477" s="9" t="s">
        <v>43</v>
      </c>
      <c r="D477" s="9" t="s">
        <v>55</v>
      </c>
      <c r="E477" s="9" t="s">
        <v>56</v>
      </c>
      <c r="F477" s="9" t="s">
        <v>45</v>
      </c>
      <c r="G477" s="9" t="s">
        <v>46</v>
      </c>
      <c r="H477" s="9" t="s">
        <v>318</v>
      </c>
      <c r="I477" s="11">
        <v>8177157.0</v>
      </c>
      <c r="J477" s="11">
        <v>2.6680679E8</v>
      </c>
      <c r="K477" s="13">
        <v>46304.0</v>
      </c>
      <c r="L477" s="14">
        <v>46323.0</v>
      </c>
      <c r="M477" s="12"/>
      <c r="N477" s="9">
        <v>104.0</v>
      </c>
      <c r="O477" s="11">
        <v>12.0</v>
      </c>
      <c r="P477" s="9" t="s">
        <v>44</v>
      </c>
      <c r="Q477" s="12"/>
      <c r="R477" s="12"/>
      <c r="S477" s="9" t="s">
        <v>47</v>
      </c>
      <c r="T477" s="9" t="s">
        <v>44</v>
      </c>
      <c r="U477" s="9" t="s">
        <v>44</v>
      </c>
      <c r="V477" s="11">
        <v>49.43</v>
      </c>
      <c r="W477" s="11">
        <v>1.0</v>
      </c>
      <c r="X477" s="9" t="s">
        <v>48</v>
      </c>
      <c r="Y477" s="9" t="s">
        <v>674</v>
      </c>
      <c r="Z477" s="12"/>
      <c r="AA477" s="9">
        <v>1306232.0</v>
      </c>
      <c r="AB477" s="12"/>
      <c r="AC477" s="9" t="s">
        <v>50</v>
      </c>
    </row>
    <row r="478">
      <c r="A478" s="9" t="s">
        <v>33</v>
      </c>
      <c r="B478" s="11">
        <v>6.0</v>
      </c>
      <c r="C478" s="9" t="s">
        <v>43</v>
      </c>
      <c r="D478" s="9" t="s">
        <v>55</v>
      </c>
      <c r="E478" s="9" t="s">
        <v>56</v>
      </c>
      <c r="F478" s="9" t="s">
        <v>45</v>
      </c>
      <c r="G478" s="9" t="s">
        <v>46</v>
      </c>
      <c r="H478" s="9" t="s">
        <v>78</v>
      </c>
      <c r="I478" s="11">
        <v>8177131.0</v>
      </c>
      <c r="J478" s="11">
        <v>2.66806791E8</v>
      </c>
      <c r="K478" s="13">
        <v>46304.0</v>
      </c>
      <c r="L478" s="14">
        <v>46317.0</v>
      </c>
      <c r="M478" s="12"/>
      <c r="N478" s="9">
        <v>2.0</v>
      </c>
      <c r="O478" s="11">
        <v>8.0</v>
      </c>
      <c r="P478" s="9" t="s">
        <v>44</v>
      </c>
      <c r="Q478" s="12"/>
      <c r="R478" s="12"/>
      <c r="S478" s="9" t="s">
        <v>47</v>
      </c>
      <c r="T478" s="9" t="s">
        <v>44</v>
      </c>
      <c r="U478" s="9" t="s">
        <v>44</v>
      </c>
      <c r="V478" s="11">
        <v>44.59</v>
      </c>
      <c r="W478" s="11">
        <v>2.0</v>
      </c>
      <c r="X478" s="9" t="s">
        <v>48</v>
      </c>
      <c r="Y478" s="9" t="s">
        <v>675</v>
      </c>
      <c r="Z478" s="12"/>
      <c r="AA478" s="9">
        <v>1306105.0</v>
      </c>
      <c r="AB478" s="12"/>
      <c r="AC478" s="9" t="s">
        <v>50</v>
      </c>
    </row>
    <row r="479">
      <c r="A479" s="9" t="s">
        <v>33</v>
      </c>
      <c r="B479" s="11">
        <v>6.0</v>
      </c>
      <c r="C479" s="9" t="s">
        <v>43</v>
      </c>
      <c r="D479" s="9" t="s">
        <v>55</v>
      </c>
      <c r="E479" s="9" t="s">
        <v>56</v>
      </c>
      <c r="F479" s="9" t="s">
        <v>45</v>
      </c>
      <c r="G479" s="9" t="s">
        <v>46</v>
      </c>
      <c r="H479" s="9" t="s">
        <v>278</v>
      </c>
      <c r="I479" s="11">
        <v>8177158.0</v>
      </c>
      <c r="J479" s="11">
        <v>2.66806792E8</v>
      </c>
      <c r="K479" s="13">
        <v>46304.0</v>
      </c>
      <c r="L479" s="14">
        <v>46321.0</v>
      </c>
      <c r="M479" s="12"/>
      <c r="N479" s="9">
        <v>106.0</v>
      </c>
      <c r="O479" s="11">
        <v>10.0</v>
      </c>
      <c r="P479" s="9" t="s">
        <v>44</v>
      </c>
      <c r="Q479" s="12"/>
      <c r="R479" s="12"/>
      <c r="S479" s="9" t="s">
        <v>47</v>
      </c>
      <c r="T479" s="9" t="s">
        <v>44</v>
      </c>
      <c r="U479" s="9" t="s">
        <v>44</v>
      </c>
      <c r="V479" s="11">
        <v>49.43</v>
      </c>
      <c r="W479" s="11">
        <v>1.0</v>
      </c>
      <c r="X479" s="9" t="s">
        <v>48</v>
      </c>
      <c r="Y479" s="9" t="s">
        <v>676</v>
      </c>
      <c r="Z479" s="12"/>
      <c r="AA479" s="9">
        <v>1306273.0</v>
      </c>
      <c r="AB479" s="12"/>
      <c r="AC479" s="9" t="s">
        <v>50</v>
      </c>
    </row>
    <row r="480">
      <c r="A480" s="9" t="s">
        <v>33</v>
      </c>
      <c r="B480" s="11">
        <v>6.0</v>
      </c>
      <c r="C480" s="9" t="s">
        <v>43</v>
      </c>
      <c r="D480" s="9" t="s">
        <v>55</v>
      </c>
      <c r="E480" s="9" t="s">
        <v>56</v>
      </c>
      <c r="F480" s="9" t="s">
        <v>45</v>
      </c>
      <c r="G480" s="9" t="s">
        <v>46</v>
      </c>
      <c r="H480" s="9" t="s">
        <v>324</v>
      </c>
      <c r="I480" s="11">
        <v>8177323.0</v>
      </c>
      <c r="J480" s="11">
        <v>2.66806793E8</v>
      </c>
      <c r="K480" s="13">
        <v>46304.0</v>
      </c>
      <c r="L480" s="14">
        <v>46314.0</v>
      </c>
      <c r="M480" s="12"/>
      <c r="N480" s="9">
        <v>10.0</v>
      </c>
      <c r="O480" s="11">
        <v>5.0</v>
      </c>
      <c r="P480" s="9" t="s">
        <v>44</v>
      </c>
      <c r="Q480" s="12"/>
      <c r="R480" s="9" t="s">
        <v>90</v>
      </c>
      <c r="S480" s="9" t="s">
        <v>47</v>
      </c>
      <c r="T480" s="9" t="s">
        <v>44</v>
      </c>
      <c r="U480" s="9" t="s">
        <v>44</v>
      </c>
      <c r="V480" s="11">
        <v>43.17</v>
      </c>
      <c r="W480" s="11">
        <v>4.0</v>
      </c>
      <c r="X480" s="9" t="s">
        <v>48</v>
      </c>
      <c r="Y480" s="9" t="s">
        <v>677</v>
      </c>
      <c r="Z480" s="12"/>
      <c r="AA480" s="9">
        <v>1306037.0</v>
      </c>
      <c r="AB480" s="12"/>
      <c r="AC480" s="9" t="s">
        <v>50</v>
      </c>
    </row>
    <row r="481">
      <c r="A481" s="9" t="s">
        <v>33</v>
      </c>
      <c r="B481" s="11">
        <v>6.0</v>
      </c>
      <c r="C481" s="9" t="s">
        <v>43</v>
      </c>
      <c r="D481" s="9" t="s">
        <v>55</v>
      </c>
      <c r="E481" s="9" t="s">
        <v>56</v>
      </c>
      <c r="F481" s="9" t="s">
        <v>45</v>
      </c>
      <c r="G481" s="9" t="s">
        <v>46</v>
      </c>
      <c r="H481" s="9" t="s">
        <v>324</v>
      </c>
      <c r="I481" s="11">
        <v>8177348.0</v>
      </c>
      <c r="J481" s="11">
        <v>2.66806794E8</v>
      </c>
      <c r="K481" s="13">
        <v>46304.0</v>
      </c>
      <c r="L481" s="14">
        <v>46314.0</v>
      </c>
      <c r="M481" s="12"/>
      <c r="N481" s="9">
        <v>19.0</v>
      </c>
      <c r="O481" s="11">
        <v>5.0</v>
      </c>
      <c r="P481" s="9" t="s">
        <v>44</v>
      </c>
      <c r="Q481" s="12"/>
      <c r="R481" s="9" t="s">
        <v>90</v>
      </c>
      <c r="S481" s="9" t="s">
        <v>47</v>
      </c>
      <c r="T481" s="9" t="s">
        <v>44</v>
      </c>
      <c r="U481" s="9" t="s">
        <v>44</v>
      </c>
      <c r="V481" s="11">
        <v>33.82</v>
      </c>
      <c r="W481" s="11">
        <v>2.0</v>
      </c>
      <c r="X481" s="9" t="s">
        <v>48</v>
      </c>
      <c r="Y481" s="9" t="s">
        <v>678</v>
      </c>
      <c r="Z481" s="12"/>
      <c r="AA481" s="9">
        <v>1305960.0</v>
      </c>
      <c r="AB481" s="12"/>
      <c r="AC481" s="9" t="s">
        <v>50</v>
      </c>
    </row>
    <row r="482">
      <c r="A482" s="9" t="s">
        <v>33</v>
      </c>
      <c r="B482" s="11">
        <v>6.0</v>
      </c>
      <c r="C482" s="9" t="s">
        <v>43</v>
      </c>
      <c r="D482" s="9" t="s">
        <v>55</v>
      </c>
      <c r="E482" s="9" t="s">
        <v>56</v>
      </c>
      <c r="F482" s="9" t="s">
        <v>45</v>
      </c>
      <c r="G482" s="9" t="s">
        <v>46</v>
      </c>
      <c r="H482" s="9" t="s">
        <v>324</v>
      </c>
      <c r="I482" s="11">
        <v>8177292.0</v>
      </c>
      <c r="J482" s="11">
        <v>2.66806795E8</v>
      </c>
      <c r="K482" s="13">
        <v>46304.0</v>
      </c>
      <c r="L482" s="14">
        <v>46314.0</v>
      </c>
      <c r="M482" s="12"/>
      <c r="N482" s="9">
        <v>11.0</v>
      </c>
      <c r="O482" s="11">
        <v>5.0</v>
      </c>
      <c r="P482" s="9" t="s">
        <v>44</v>
      </c>
      <c r="Q482" s="12"/>
      <c r="R482" s="9" t="s">
        <v>90</v>
      </c>
      <c r="S482" s="9" t="s">
        <v>47</v>
      </c>
      <c r="T482" s="9" t="s">
        <v>44</v>
      </c>
      <c r="U482" s="9" t="s">
        <v>44</v>
      </c>
      <c r="V482" s="11">
        <v>33.82</v>
      </c>
      <c r="W482" s="11">
        <v>1.0</v>
      </c>
      <c r="X482" s="9" t="s">
        <v>48</v>
      </c>
      <c r="Y482" s="9" t="s">
        <v>679</v>
      </c>
      <c r="Z482" s="12"/>
      <c r="AA482" s="9">
        <v>1305787.0</v>
      </c>
      <c r="AB482" s="12"/>
      <c r="AC482" s="9" t="s">
        <v>50</v>
      </c>
    </row>
    <row r="483">
      <c r="A483" s="9" t="s">
        <v>33</v>
      </c>
      <c r="B483" s="11">
        <v>6.0</v>
      </c>
      <c r="C483" s="9" t="s">
        <v>43</v>
      </c>
      <c r="D483" s="9" t="s">
        <v>55</v>
      </c>
      <c r="E483" s="9" t="s">
        <v>56</v>
      </c>
      <c r="F483" s="9" t="s">
        <v>45</v>
      </c>
      <c r="G483" s="9" t="s">
        <v>46</v>
      </c>
      <c r="H483" s="9" t="s">
        <v>324</v>
      </c>
      <c r="I483" s="11">
        <v>8177349.0</v>
      </c>
      <c r="J483" s="11">
        <v>2.66806796E8</v>
      </c>
      <c r="K483" s="13">
        <v>46304.0</v>
      </c>
      <c r="L483" s="14">
        <v>46314.0</v>
      </c>
      <c r="M483" s="12"/>
      <c r="N483" s="9">
        <v>29.0</v>
      </c>
      <c r="O483" s="11">
        <v>5.0</v>
      </c>
      <c r="P483" s="9" t="s">
        <v>44</v>
      </c>
      <c r="Q483" s="12"/>
      <c r="R483" s="9" t="s">
        <v>90</v>
      </c>
      <c r="S483" s="9" t="s">
        <v>47</v>
      </c>
      <c r="T483" s="9" t="s">
        <v>44</v>
      </c>
      <c r="U483" s="9" t="s">
        <v>44</v>
      </c>
      <c r="V483" s="11">
        <v>33.82</v>
      </c>
      <c r="W483" s="11">
        <v>3.0</v>
      </c>
      <c r="X483" s="9" t="s">
        <v>48</v>
      </c>
      <c r="Y483" s="9" t="s">
        <v>680</v>
      </c>
      <c r="Z483" s="12"/>
      <c r="AA483" s="9">
        <v>1305961.0</v>
      </c>
      <c r="AB483" s="12"/>
      <c r="AC483" s="9" t="s">
        <v>50</v>
      </c>
    </row>
    <row r="484">
      <c r="A484" s="9" t="s">
        <v>33</v>
      </c>
      <c r="B484" s="11">
        <v>6.0</v>
      </c>
      <c r="C484" s="9" t="s">
        <v>43</v>
      </c>
      <c r="D484" s="9" t="s">
        <v>55</v>
      </c>
      <c r="E484" s="9" t="s">
        <v>56</v>
      </c>
      <c r="F484" s="9" t="s">
        <v>45</v>
      </c>
      <c r="G484" s="9" t="s">
        <v>46</v>
      </c>
      <c r="H484" s="9" t="s">
        <v>324</v>
      </c>
      <c r="I484" s="11">
        <v>8177159.0</v>
      </c>
      <c r="J484" s="11">
        <v>2.66806797E8</v>
      </c>
      <c r="K484" s="13">
        <v>46304.0</v>
      </c>
      <c r="L484" s="14">
        <v>46314.0</v>
      </c>
      <c r="M484" s="12"/>
      <c r="N484" s="9">
        <v>101.0</v>
      </c>
      <c r="O484" s="11">
        <v>5.0</v>
      </c>
      <c r="P484" s="9" t="s">
        <v>44</v>
      </c>
      <c r="Q484" s="12"/>
      <c r="R484" s="9" t="s">
        <v>90</v>
      </c>
      <c r="S484" s="9" t="s">
        <v>47</v>
      </c>
      <c r="T484" s="9" t="s">
        <v>44</v>
      </c>
      <c r="U484" s="9" t="s">
        <v>44</v>
      </c>
      <c r="V484" s="11">
        <v>37.78</v>
      </c>
      <c r="W484" s="11">
        <v>1.0</v>
      </c>
      <c r="X484" s="9" t="s">
        <v>48</v>
      </c>
      <c r="Y484" s="9" t="s">
        <v>681</v>
      </c>
      <c r="Z484" s="12"/>
      <c r="AA484" s="9">
        <v>1306226.0</v>
      </c>
      <c r="AB484" s="12"/>
      <c r="AC484" s="9" t="s">
        <v>50</v>
      </c>
    </row>
    <row r="485">
      <c r="A485" s="9" t="s">
        <v>33</v>
      </c>
      <c r="B485" s="11">
        <v>6.0</v>
      </c>
      <c r="C485" s="9" t="s">
        <v>43</v>
      </c>
      <c r="D485" s="9" t="s">
        <v>55</v>
      </c>
      <c r="E485" s="9" t="s">
        <v>56</v>
      </c>
      <c r="F485" s="9" t="s">
        <v>45</v>
      </c>
      <c r="G485" s="9" t="s">
        <v>46</v>
      </c>
      <c r="H485" s="9" t="s">
        <v>324</v>
      </c>
      <c r="I485" s="11">
        <v>8177324.0</v>
      </c>
      <c r="J485" s="11">
        <v>2.66806798E8</v>
      </c>
      <c r="K485" s="13">
        <v>46304.0</v>
      </c>
      <c r="L485" s="14">
        <v>46314.0</v>
      </c>
      <c r="M485" s="12"/>
      <c r="N485" s="9">
        <v>106.0</v>
      </c>
      <c r="O485" s="11">
        <v>5.0</v>
      </c>
      <c r="P485" s="9" t="s">
        <v>44</v>
      </c>
      <c r="Q485" s="12"/>
      <c r="R485" s="9" t="s">
        <v>90</v>
      </c>
      <c r="S485" s="9" t="s">
        <v>47</v>
      </c>
      <c r="T485" s="9" t="s">
        <v>44</v>
      </c>
      <c r="U485" s="9" t="s">
        <v>44</v>
      </c>
      <c r="V485" s="11">
        <v>43.94</v>
      </c>
      <c r="W485" s="11">
        <v>9.0</v>
      </c>
      <c r="X485" s="9" t="s">
        <v>48</v>
      </c>
      <c r="Y485" s="9" t="s">
        <v>682</v>
      </c>
      <c r="Z485" s="12"/>
      <c r="AA485" s="9" t="s">
        <v>683</v>
      </c>
      <c r="AB485" s="12"/>
      <c r="AC485" s="9" t="s">
        <v>50</v>
      </c>
    </row>
    <row r="486">
      <c r="A486" s="9" t="s">
        <v>33</v>
      </c>
      <c r="B486" s="11">
        <v>6.0</v>
      </c>
      <c r="C486" s="9" t="s">
        <v>43</v>
      </c>
      <c r="D486" s="9" t="s">
        <v>55</v>
      </c>
      <c r="E486" s="9" t="s">
        <v>56</v>
      </c>
      <c r="F486" s="9" t="s">
        <v>45</v>
      </c>
      <c r="G486" s="9" t="s">
        <v>46</v>
      </c>
      <c r="H486" s="9" t="s">
        <v>80</v>
      </c>
      <c r="I486" s="11">
        <v>8177350.0</v>
      </c>
      <c r="J486" s="11">
        <v>2.66806799E8</v>
      </c>
      <c r="K486" s="13">
        <v>46304.0</v>
      </c>
      <c r="L486" s="14">
        <v>46314.0</v>
      </c>
      <c r="M486" s="12"/>
      <c r="N486" s="9">
        <v>2.0</v>
      </c>
      <c r="O486" s="11">
        <v>5.0</v>
      </c>
      <c r="P486" s="9" t="s">
        <v>44</v>
      </c>
      <c r="Q486" s="12"/>
      <c r="R486" s="12"/>
      <c r="S486" s="9" t="s">
        <v>47</v>
      </c>
      <c r="T486" s="9" t="s">
        <v>44</v>
      </c>
      <c r="U486" s="9" t="s">
        <v>44</v>
      </c>
      <c r="V486" s="11">
        <v>36.71</v>
      </c>
      <c r="W486" s="11">
        <v>5.0</v>
      </c>
      <c r="X486" s="9" t="s">
        <v>48</v>
      </c>
      <c r="Y486" s="9" t="s">
        <v>684</v>
      </c>
      <c r="Z486" s="12"/>
      <c r="AA486" s="9">
        <v>1305976.0</v>
      </c>
      <c r="AB486" s="12"/>
      <c r="AC486" s="9" t="s">
        <v>50</v>
      </c>
    </row>
    <row r="487">
      <c r="A487" s="9" t="s">
        <v>33</v>
      </c>
      <c r="B487" s="11">
        <v>6.0</v>
      </c>
      <c r="C487" s="9" t="s">
        <v>43</v>
      </c>
      <c r="D487" s="9" t="s">
        <v>55</v>
      </c>
      <c r="E487" s="9" t="s">
        <v>56</v>
      </c>
      <c r="F487" s="9" t="s">
        <v>45</v>
      </c>
      <c r="G487" s="9" t="s">
        <v>46</v>
      </c>
      <c r="H487" s="9" t="s">
        <v>80</v>
      </c>
      <c r="I487" s="11">
        <v>8177222.0</v>
      </c>
      <c r="J487" s="11">
        <v>2.66806801E8</v>
      </c>
      <c r="K487" s="13">
        <v>46304.0</v>
      </c>
      <c r="L487" s="14">
        <v>46314.0</v>
      </c>
      <c r="M487" s="12"/>
      <c r="N487" s="9">
        <v>66.0</v>
      </c>
      <c r="O487" s="11">
        <v>5.0</v>
      </c>
      <c r="P487" s="9" t="s">
        <v>44</v>
      </c>
      <c r="Q487" s="12"/>
      <c r="R487" s="12"/>
      <c r="S487" s="9" t="s">
        <v>47</v>
      </c>
      <c r="T487" s="9" t="s">
        <v>44</v>
      </c>
      <c r="U487" s="9" t="s">
        <v>44</v>
      </c>
      <c r="V487" s="11">
        <v>31.77</v>
      </c>
      <c r="W487" s="11">
        <v>1.0</v>
      </c>
      <c r="X487" s="9" t="s">
        <v>48</v>
      </c>
      <c r="Y487" s="9" t="s">
        <v>685</v>
      </c>
      <c r="Z487" s="12"/>
      <c r="AA487" s="9">
        <v>1306036.0</v>
      </c>
      <c r="AB487" s="12"/>
      <c r="AC487" s="9" t="s">
        <v>50</v>
      </c>
    </row>
    <row r="488">
      <c r="A488" s="9" t="s">
        <v>33</v>
      </c>
      <c r="B488" s="11">
        <v>6.0</v>
      </c>
      <c r="C488" s="9" t="s">
        <v>43</v>
      </c>
      <c r="D488" s="9" t="s">
        <v>55</v>
      </c>
      <c r="E488" s="9" t="s">
        <v>56</v>
      </c>
      <c r="F488" s="9" t="s">
        <v>45</v>
      </c>
      <c r="G488" s="9" t="s">
        <v>46</v>
      </c>
      <c r="H488" s="9" t="s">
        <v>80</v>
      </c>
      <c r="I488" s="11">
        <v>8177189.0</v>
      </c>
      <c r="J488" s="11">
        <v>2.66806802E8</v>
      </c>
      <c r="K488" s="13">
        <v>46304.0</v>
      </c>
      <c r="L488" s="14">
        <v>46317.0</v>
      </c>
      <c r="M488" s="12"/>
      <c r="N488" s="9">
        <v>211.0</v>
      </c>
      <c r="O488" s="11">
        <v>8.0</v>
      </c>
      <c r="P488" s="9" t="s">
        <v>44</v>
      </c>
      <c r="Q488" s="12"/>
      <c r="R488" s="12"/>
      <c r="S488" s="9" t="s">
        <v>47</v>
      </c>
      <c r="T488" s="9" t="s">
        <v>44</v>
      </c>
      <c r="U488" s="9" t="s">
        <v>44</v>
      </c>
      <c r="V488" s="11">
        <v>33.82</v>
      </c>
      <c r="W488" s="11">
        <v>1.0</v>
      </c>
      <c r="X488" s="9" t="s">
        <v>48</v>
      </c>
      <c r="Y488" s="9" t="s">
        <v>686</v>
      </c>
      <c r="Z488" s="12"/>
      <c r="AA488" s="9">
        <v>1306027.0</v>
      </c>
      <c r="AB488" s="12"/>
      <c r="AC488" s="9" t="s">
        <v>50</v>
      </c>
    </row>
    <row r="489">
      <c r="A489" s="9" t="s">
        <v>33</v>
      </c>
      <c r="B489" s="11">
        <v>6.0</v>
      </c>
      <c r="C489" s="9" t="s">
        <v>43</v>
      </c>
      <c r="D489" s="9" t="s">
        <v>55</v>
      </c>
      <c r="E489" s="9" t="s">
        <v>56</v>
      </c>
      <c r="F489" s="9" t="s">
        <v>45</v>
      </c>
      <c r="G489" s="9" t="s">
        <v>46</v>
      </c>
      <c r="H489" s="9" t="s">
        <v>80</v>
      </c>
      <c r="I489" s="11">
        <v>8177249.0</v>
      </c>
      <c r="J489" s="11">
        <v>2.66806803E8</v>
      </c>
      <c r="K489" s="13">
        <v>46304.0</v>
      </c>
      <c r="L489" s="14">
        <v>46318.0</v>
      </c>
      <c r="M489" s="12"/>
      <c r="N489" s="9">
        <v>208.0</v>
      </c>
      <c r="O489" s="11">
        <v>9.0</v>
      </c>
      <c r="P489" s="9" t="s">
        <v>44</v>
      </c>
      <c r="Q489" s="12"/>
      <c r="R489" s="12"/>
      <c r="S489" s="9" t="s">
        <v>47</v>
      </c>
      <c r="T489" s="9" t="s">
        <v>44</v>
      </c>
      <c r="U489" s="9" t="s">
        <v>44</v>
      </c>
      <c r="V489" s="11">
        <v>37.78</v>
      </c>
      <c r="W489" s="11">
        <v>1.0</v>
      </c>
      <c r="X489" s="9" t="s">
        <v>48</v>
      </c>
      <c r="Y489" s="9" t="s">
        <v>687</v>
      </c>
      <c r="Z489" s="12"/>
      <c r="AA489" s="9">
        <v>1305924.0</v>
      </c>
      <c r="AB489" s="12"/>
      <c r="AC489" s="9" t="s">
        <v>50</v>
      </c>
    </row>
    <row r="490">
      <c r="A490" s="9" t="s">
        <v>33</v>
      </c>
      <c r="B490" s="11">
        <v>6.0</v>
      </c>
      <c r="C490" s="9" t="s">
        <v>43</v>
      </c>
      <c r="D490" s="9" t="s">
        <v>55</v>
      </c>
      <c r="E490" s="9" t="s">
        <v>56</v>
      </c>
      <c r="F490" s="9" t="s">
        <v>45</v>
      </c>
      <c r="G490" s="9" t="s">
        <v>46</v>
      </c>
      <c r="H490" s="9" t="s">
        <v>335</v>
      </c>
      <c r="I490" s="11">
        <v>8177293.0</v>
      </c>
      <c r="J490" s="11">
        <v>2.66806804E8</v>
      </c>
      <c r="K490" s="13">
        <v>46304.0</v>
      </c>
      <c r="L490" s="14">
        <v>46322.0</v>
      </c>
      <c r="M490" s="12"/>
      <c r="N490" s="9">
        <v>2.0</v>
      </c>
      <c r="O490" s="11">
        <v>11.0</v>
      </c>
      <c r="P490" s="9" t="s">
        <v>44</v>
      </c>
      <c r="Q490" s="12"/>
      <c r="R490" s="12"/>
      <c r="S490" s="9" t="s">
        <v>47</v>
      </c>
      <c r="T490" s="9" t="s">
        <v>44</v>
      </c>
      <c r="U490" s="9" t="s">
        <v>44</v>
      </c>
      <c r="V490" s="11">
        <v>31.77</v>
      </c>
      <c r="W490" s="11">
        <v>1.0</v>
      </c>
      <c r="X490" s="9" t="s">
        <v>48</v>
      </c>
      <c r="Y490" s="9" t="s">
        <v>688</v>
      </c>
      <c r="Z490" s="12"/>
      <c r="AA490" s="9">
        <v>1305950.0</v>
      </c>
      <c r="AB490" s="12"/>
      <c r="AC490" s="9" t="s">
        <v>50</v>
      </c>
    </row>
    <row r="491">
      <c r="A491" s="9" t="s">
        <v>33</v>
      </c>
      <c r="B491" s="11">
        <v>6.0</v>
      </c>
      <c r="C491" s="9" t="s">
        <v>43</v>
      </c>
      <c r="D491" s="9" t="s">
        <v>55</v>
      </c>
      <c r="E491" s="9" t="s">
        <v>56</v>
      </c>
      <c r="F491" s="9" t="s">
        <v>45</v>
      </c>
      <c r="G491" s="9" t="s">
        <v>46</v>
      </c>
      <c r="H491" s="9" t="s">
        <v>335</v>
      </c>
      <c r="I491" s="11">
        <v>8177223.0</v>
      </c>
      <c r="J491" s="11">
        <v>2.66806805E8</v>
      </c>
      <c r="K491" s="13">
        <v>46304.0</v>
      </c>
      <c r="L491" s="14">
        <v>46324.0</v>
      </c>
      <c r="M491" s="12"/>
      <c r="N491" s="9">
        <v>107.0</v>
      </c>
      <c r="O491" s="11">
        <v>13.0</v>
      </c>
      <c r="P491" s="9" t="s">
        <v>44</v>
      </c>
      <c r="Q491" s="12"/>
      <c r="R491" s="9" t="s">
        <v>90</v>
      </c>
      <c r="S491" s="9" t="s">
        <v>47</v>
      </c>
      <c r="T491" s="9" t="s">
        <v>44</v>
      </c>
      <c r="U491" s="9" t="s">
        <v>44</v>
      </c>
      <c r="V491" s="11">
        <v>37.78</v>
      </c>
      <c r="W491" s="11">
        <v>1.0</v>
      </c>
      <c r="X491" s="9" t="s">
        <v>48</v>
      </c>
      <c r="Y491" s="9" t="s">
        <v>689</v>
      </c>
      <c r="Z491" s="12"/>
      <c r="AA491" s="9">
        <v>1306025.0</v>
      </c>
      <c r="AB491" s="12"/>
      <c r="AC491" s="9" t="s">
        <v>50</v>
      </c>
    </row>
    <row r="492">
      <c r="A492" s="9" t="s">
        <v>33</v>
      </c>
      <c r="B492" s="11">
        <v>6.0</v>
      </c>
      <c r="C492" s="9" t="s">
        <v>43</v>
      </c>
      <c r="D492" s="9" t="s">
        <v>55</v>
      </c>
      <c r="E492" s="9" t="s">
        <v>56</v>
      </c>
      <c r="F492" s="9" t="s">
        <v>45</v>
      </c>
      <c r="G492" s="9" t="s">
        <v>46</v>
      </c>
      <c r="H492" s="9" t="s">
        <v>335</v>
      </c>
      <c r="I492" s="11">
        <v>8177250.0</v>
      </c>
      <c r="J492" s="11">
        <v>2.66806806E8</v>
      </c>
      <c r="K492" s="13">
        <v>46304.0</v>
      </c>
      <c r="L492" s="14">
        <v>46324.0</v>
      </c>
      <c r="M492" s="12"/>
      <c r="N492" s="9">
        <v>107.0</v>
      </c>
      <c r="O492" s="11">
        <v>13.0</v>
      </c>
      <c r="P492" s="9" t="s">
        <v>44</v>
      </c>
      <c r="Q492" s="12"/>
      <c r="R492" s="9" t="s">
        <v>90</v>
      </c>
      <c r="S492" s="9" t="s">
        <v>47</v>
      </c>
      <c r="T492" s="9" t="s">
        <v>44</v>
      </c>
      <c r="U492" s="9" t="s">
        <v>44</v>
      </c>
      <c r="V492" s="11">
        <v>37.78</v>
      </c>
      <c r="W492" s="11">
        <v>1.0</v>
      </c>
      <c r="X492" s="9" t="s">
        <v>48</v>
      </c>
      <c r="Y492" s="9" t="s">
        <v>690</v>
      </c>
      <c r="Z492" s="12"/>
      <c r="AA492" s="9">
        <v>1305809.0</v>
      </c>
      <c r="AB492" s="12"/>
      <c r="AC492" s="9" t="s">
        <v>50</v>
      </c>
    </row>
    <row r="493">
      <c r="A493" s="9" t="s">
        <v>33</v>
      </c>
      <c r="B493" s="11">
        <v>6.0</v>
      </c>
      <c r="C493" s="9" t="s">
        <v>43</v>
      </c>
      <c r="D493" s="9" t="s">
        <v>55</v>
      </c>
      <c r="E493" s="9" t="s">
        <v>56</v>
      </c>
      <c r="F493" s="9" t="s">
        <v>45</v>
      </c>
      <c r="G493" s="9" t="s">
        <v>46</v>
      </c>
      <c r="H493" s="9" t="s">
        <v>335</v>
      </c>
      <c r="I493" s="11">
        <v>8177190.0</v>
      </c>
      <c r="J493" s="11">
        <v>2.66806807E8</v>
      </c>
      <c r="K493" s="13">
        <v>46304.0</v>
      </c>
      <c r="L493" s="14">
        <v>46324.0</v>
      </c>
      <c r="M493" s="12"/>
      <c r="N493" s="9">
        <v>107.0</v>
      </c>
      <c r="O493" s="11">
        <v>13.0</v>
      </c>
      <c r="P493" s="9" t="s">
        <v>44</v>
      </c>
      <c r="Q493" s="12"/>
      <c r="R493" s="9" t="s">
        <v>90</v>
      </c>
      <c r="S493" s="9" t="s">
        <v>47</v>
      </c>
      <c r="T493" s="9" t="s">
        <v>44</v>
      </c>
      <c r="U493" s="9" t="s">
        <v>44</v>
      </c>
      <c r="V493" s="11">
        <v>37.78</v>
      </c>
      <c r="W493" s="11">
        <v>1.0</v>
      </c>
      <c r="X493" s="9" t="s">
        <v>48</v>
      </c>
      <c r="Y493" s="9" t="s">
        <v>691</v>
      </c>
      <c r="Z493" s="12"/>
      <c r="AA493" s="9">
        <v>1306030.0</v>
      </c>
      <c r="AB493" s="12"/>
      <c r="AC493" s="9" t="s">
        <v>50</v>
      </c>
    </row>
    <row r="494">
      <c r="A494" s="9" t="s">
        <v>33</v>
      </c>
      <c r="B494" s="11">
        <v>6.0</v>
      </c>
      <c r="C494" s="9" t="s">
        <v>43</v>
      </c>
      <c r="D494" s="9" t="s">
        <v>55</v>
      </c>
      <c r="E494" s="9" t="s">
        <v>56</v>
      </c>
      <c r="F494" s="9" t="s">
        <v>45</v>
      </c>
      <c r="G494" s="9" t="s">
        <v>46</v>
      </c>
      <c r="H494" s="9" t="s">
        <v>191</v>
      </c>
      <c r="I494" s="11">
        <v>8177160.0</v>
      </c>
      <c r="J494" s="11">
        <v>2.66806808E8</v>
      </c>
      <c r="K494" s="13">
        <v>46304.0</v>
      </c>
      <c r="L494" s="14">
        <v>46316.0</v>
      </c>
      <c r="M494" s="12"/>
      <c r="N494" s="9">
        <v>452.0</v>
      </c>
      <c r="O494" s="11">
        <v>7.0</v>
      </c>
      <c r="P494" s="9" t="s">
        <v>44</v>
      </c>
      <c r="Q494" s="12"/>
      <c r="R494" s="12"/>
      <c r="S494" s="9" t="s">
        <v>47</v>
      </c>
      <c r="T494" s="9" t="s">
        <v>44</v>
      </c>
      <c r="U494" s="9" t="s">
        <v>44</v>
      </c>
      <c r="V494" s="11">
        <v>45.49</v>
      </c>
      <c r="W494" s="11">
        <v>1.0</v>
      </c>
      <c r="X494" s="9" t="s">
        <v>48</v>
      </c>
      <c r="Y494" s="9" t="s">
        <v>692</v>
      </c>
      <c r="Z494" s="12"/>
      <c r="AA494" s="9">
        <v>1306269.0</v>
      </c>
      <c r="AB494" s="12"/>
      <c r="AC494" s="9" t="s">
        <v>50</v>
      </c>
    </row>
    <row r="495">
      <c r="A495" s="9" t="s">
        <v>33</v>
      </c>
      <c r="B495" s="11">
        <v>6.0</v>
      </c>
      <c r="C495" s="9" t="s">
        <v>43</v>
      </c>
      <c r="D495" s="9" t="s">
        <v>55</v>
      </c>
      <c r="E495" s="9" t="s">
        <v>56</v>
      </c>
      <c r="F495" s="9" t="s">
        <v>45</v>
      </c>
      <c r="G495" s="9" t="s">
        <v>46</v>
      </c>
      <c r="H495" s="9" t="s">
        <v>693</v>
      </c>
      <c r="I495" s="11">
        <v>8177132.0</v>
      </c>
      <c r="J495" s="11">
        <v>2.66806811E8</v>
      </c>
      <c r="K495" s="13">
        <v>46304.0</v>
      </c>
      <c r="L495" s="14">
        <v>46323.0</v>
      </c>
      <c r="M495" s="12"/>
      <c r="N495" s="9">
        <v>102.0</v>
      </c>
      <c r="O495" s="11">
        <v>12.0</v>
      </c>
      <c r="P495" s="9" t="s">
        <v>44</v>
      </c>
      <c r="Q495" s="12"/>
      <c r="R495" s="9" t="s">
        <v>52</v>
      </c>
      <c r="S495" s="9" t="s">
        <v>47</v>
      </c>
      <c r="T495" s="9" t="s">
        <v>44</v>
      </c>
      <c r="U495" s="9" t="s">
        <v>44</v>
      </c>
      <c r="V495" s="11">
        <v>37.78</v>
      </c>
      <c r="W495" s="11">
        <v>1.0</v>
      </c>
      <c r="X495" s="9" t="s">
        <v>48</v>
      </c>
      <c r="Y495" s="9" t="s">
        <v>694</v>
      </c>
      <c r="Z495" s="12"/>
      <c r="AA495" s="9">
        <v>1306124.0</v>
      </c>
      <c r="AB495" s="12"/>
      <c r="AC495" s="9" t="s">
        <v>50</v>
      </c>
    </row>
    <row r="496">
      <c r="A496" s="9" t="s">
        <v>33</v>
      </c>
      <c r="B496" s="11">
        <v>6.0</v>
      </c>
      <c r="C496" s="9" t="s">
        <v>43</v>
      </c>
      <c r="D496" s="9" t="s">
        <v>55</v>
      </c>
      <c r="E496" s="9" t="s">
        <v>56</v>
      </c>
      <c r="F496" s="9" t="s">
        <v>45</v>
      </c>
      <c r="G496" s="9" t="s">
        <v>46</v>
      </c>
      <c r="H496" s="9" t="s">
        <v>80</v>
      </c>
      <c r="I496" s="11">
        <v>8177251.0</v>
      </c>
      <c r="J496" s="11">
        <v>2.66806812E8</v>
      </c>
      <c r="K496" s="13">
        <v>46304.0</v>
      </c>
      <c r="L496" s="14">
        <v>46323.0</v>
      </c>
      <c r="M496" s="12"/>
      <c r="N496" s="9">
        <v>215.0</v>
      </c>
      <c r="O496" s="11">
        <v>12.0</v>
      </c>
      <c r="P496" s="9" t="s">
        <v>44</v>
      </c>
      <c r="Q496" s="12"/>
      <c r="R496" s="12"/>
      <c r="S496" s="9" t="s">
        <v>47</v>
      </c>
      <c r="T496" s="9" t="s">
        <v>44</v>
      </c>
      <c r="U496" s="9" t="s">
        <v>44</v>
      </c>
      <c r="V496" s="11">
        <v>37.78</v>
      </c>
      <c r="W496" s="11">
        <v>1.0</v>
      </c>
      <c r="X496" s="9" t="s">
        <v>48</v>
      </c>
      <c r="Y496" s="9" t="s">
        <v>695</v>
      </c>
      <c r="Z496" s="12"/>
      <c r="AA496" s="9">
        <v>1305871.0</v>
      </c>
      <c r="AB496" s="12"/>
      <c r="AC496" s="9" t="s">
        <v>50</v>
      </c>
    </row>
    <row r="497">
      <c r="A497" s="9" t="s">
        <v>33</v>
      </c>
      <c r="B497" s="11">
        <v>6.0</v>
      </c>
      <c r="C497" s="9" t="s">
        <v>43</v>
      </c>
      <c r="D497" s="9" t="s">
        <v>55</v>
      </c>
      <c r="E497" s="9" t="s">
        <v>56</v>
      </c>
      <c r="F497" s="9" t="s">
        <v>45</v>
      </c>
      <c r="G497" s="9" t="s">
        <v>46</v>
      </c>
      <c r="H497" s="9" t="s">
        <v>359</v>
      </c>
      <c r="I497" s="11">
        <v>8177192.0</v>
      </c>
      <c r="J497" s="11">
        <v>2.66806813E8</v>
      </c>
      <c r="K497" s="13">
        <v>46304.0</v>
      </c>
      <c r="L497" s="14">
        <v>46316.0</v>
      </c>
      <c r="M497" s="12"/>
      <c r="N497" s="9">
        <v>2706.0</v>
      </c>
      <c r="O497" s="11">
        <v>7.0</v>
      </c>
      <c r="P497" s="9" t="s">
        <v>44</v>
      </c>
      <c r="Q497" s="12"/>
      <c r="R497" s="12"/>
      <c r="S497" s="9" t="s">
        <v>47</v>
      </c>
      <c r="T497" s="9" t="s">
        <v>44</v>
      </c>
      <c r="U497" s="9" t="s">
        <v>44</v>
      </c>
      <c r="V497" s="11">
        <v>45.49</v>
      </c>
      <c r="W497" s="11">
        <v>1.0</v>
      </c>
      <c r="X497" s="9" t="s">
        <v>48</v>
      </c>
      <c r="Y497" s="9" t="s">
        <v>696</v>
      </c>
      <c r="Z497" s="12"/>
      <c r="AA497" s="9">
        <v>1306139.0</v>
      </c>
      <c r="AB497" s="12"/>
      <c r="AC497" s="9" t="s">
        <v>50</v>
      </c>
    </row>
    <row r="498">
      <c r="A498" s="9" t="s">
        <v>33</v>
      </c>
      <c r="B498" s="11">
        <v>6.0</v>
      </c>
      <c r="C498" s="9" t="s">
        <v>43</v>
      </c>
      <c r="D498" s="9" t="s">
        <v>55</v>
      </c>
      <c r="E498" s="9" t="s">
        <v>56</v>
      </c>
      <c r="F498" s="9" t="s">
        <v>45</v>
      </c>
      <c r="G498" s="9" t="s">
        <v>46</v>
      </c>
      <c r="H498" s="9" t="s">
        <v>87</v>
      </c>
      <c r="I498" s="11">
        <v>8177224.0</v>
      </c>
      <c r="J498" s="11">
        <v>2.66806814E8</v>
      </c>
      <c r="K498" s="13">
        <v>46304.0</v>
      </c>
      <c r="L498" s="14">
        <v>46316.0</v>
      </c>
      <c r="M498" s="12"/>
      <c r="N498" s="9">
        <v>12.0</v>
      </c>
      <c r="O498" s="11">
        <v>7.0</v>
      </c>
      <c r="P498" s="9" t="s">
        <v>44</v>
      </c>
      <c r="Q498" s="12"/>
      <c r="R498" s="9" t="s">
        <v>90</v>
      </c>
      <c r="S498" s="9" t="s">
        <v>47</v>
      </c>
      <c r="T498" s="9" t="s">
        <v>44</v>
      </c>
      <c r="U498" s="9" t="s">
        <v>44</v>
      </c>
      <c r="V498" s="11">
        <v>56.59</v>
      </c>
      <c r="W498" s="11">
        <v>1.0</v>
      </c>
      <c r="X498" s="9" t="s">
        <v>48</v>
      </c>
      <c r="Y498" s="9" t="s">
        <v>697</v>
      </c>
      <c r="Z498" s="12"/>
      <c r="AA498" s="9">
        <v>1304667.0</v>
      </c>
      <c r="AB498" s="12"/>
      <c r="AC498" s="9" t="s">
        <v>50</v>
      </c>
    </row>
    <row r="499">
      <c r="A499" s="9" t="s">
        <v>33</v>
      </c>
      <c r="B499" s="11">
        <v>6.0</v>
      </c>
      <c r="C499" s="9" t="s">
        <v>43</v>
      </c>
      <c r="D499" s="9" t="s">
        <v>55</v>
      </c>
      <c r="E499" s="9" t="s">
        <v>56</v>
      </c>
      <c r="F499" s="9" t="s">
        <v>45</v>
      </c>
      <c r="G499" s="9" t="s">
        <v>46</v>
      </c>
      <c r="H499" s="9" t="s">
        <v>87</v>
      </c>
      <c r="I499" s="11">
        <v>8177252.0</v>
      </c>
      <c r="J499" s="11">
        <v>2.66806815E8</v>
      </c>
      <c r="K499" s="13">
        <v>46304.0</v>
      </c>
      <c r="L499" s="14">
        <v>46316.0</v>
      </c>
      <c r="M499" s="12"/>
      <c r="N499" s="9">
        <v>21.0</v>
      </c>
      <c r="O499" s="11">
        <v>7.0</v>
      </c>
      <c r="P499" s="9" t="s">
        <v>44</v>
      </c>
      <c r="Q499" s="12"/>
      <c r="R499" s="9" t="s">
        <v>90</v>
      </c>
      <c r="S499" s="9" t="s">
        <v>47</v>
      </c>
      <c r="T499" s="9" t="s">
        <v>44</v>
      </c>
      <c r="U499" s="9" t="s">
        <v>44</v>
      </c>
      <c r="V499" s="11">
        <v>56.59</v>
      </c>
      <c r="W499" s="11">
        <v>1.0</v>
      </c>
      <c r="X499" s="9" t="s">
        <v>48</v>
      </c>
      <c r="Y499" s="9" t="s">
        <v>698</v>
      </c>
      <c r="Z499" s="12"/>
      <c r="AA499" s="9">
        <v>1306035.0</v>
      </c>
      <c r="AB499" s="12"/>
      <c r="AC499" s="9" t="s">
        <v>50</v>
      </c>
    </row>
    <row r="500">
      <c r="A500" s="9" t="s">
        <v>33</v>
      </c>
      <c r="B500" s="11">
        <v>6.0</v>
      </c>
      <c r="C500" s="9" t="s">
        <v>43</v>
      </c>
      <c r="D500" s="9" t="s">
        <v>55</v>
      </c>
      <c r="E500" s="9" t="s">
        <v>56</v>
      </c>
      <c r="F500" s="9" t="s">
        <v>45</v>
      </c>
      <c r="G500" s="9" t="s">
        <v>46</v>
      </c>
      <c r="H500" s="9" t="s">
        <v>87</v>
      </c>
      <c r="I500" s="11">
        <v>8177225.0</v>
      </c>
      <c r="J500" s="11">
        <v>2.66806816E8</v>
      </c>
      <c r="K500" s="13">
        <v>46304.0</v>
      </c>
      <c r="L500" s="14">
        <v>46316.0</v>
      </c>
      <c r="M500" s="12"/>
      <c r="N500" s="9">
        <v>3.0</v>
      </c>
      <c r="O500" s="11">
        <v>7.0</v>
      </c>
      <c r="P500" s="9" t="s">
        <v>44</v>
      </c>
      <c r="Q500" s="12"/>
      <c r="R500" s="9" t="s">
        <v>90</v>
      </c>
      <c r="S500" s="9" t="s">
        <v>47</v>
      </c>
      <c r="T500" s="9" t="s">
        <v>44</v>
      </c>
      <c r="U500" s="9" t="s">
        <v>44</v>
      </c>
      <c r="V500" s="11">
        <v>56.59</v>
      </c>
      <c r="W500" s="11">
        <v>1.0</v>
      </c>
      <c r="X500" s="9" t="s">
        <v>48</v>
      </c>
      <c r="Y500" s="9" t="s">
        <v>699</v>
      </c>
      <c r="Z500" s="12"/>
      <c r="AA500" s="9">
        <v>1304658.0</v>
      </c>
      <c r="AB500" s="12"/>
      <c r="AC500" s="9" t="s">
        <v>50</v>
      </c>
    </row>
    <row r="501">
      <c r="A501" s="9" t="s">
        <v>33</v>
      </c>
      <c r="B501" s="11">
        <v>6.0</v>
      </c>
      <c r="C501" s="9" t="s">
        <v>43</v>
      </c>
      <c r="D501" s="9" t="s">
        <v>55</v>
      </c>
      <c r="E501" s="9" t="s">
        <v>56</v>
      </c>
      <c r="F501" s="9" t="s">
        <v>45</v>
      </c>
      <c r="G501" s="9" t="s">
        <v>46</v>
      </c>
      <c r="H501" s="9" t="s">
        <v>359</v>
      </c>
      <c r="I501" s="11">
        <v>8177161.0</v>
      </c>
      <c r="J501" s="11">
        <v>2.66806817E8</v>
      </c>
      <c r="K501" s="13">
        <v>46304.0</v>
      </c>
      <c r="L501" s="14">
        <v>46316.0</v>
      </c>
      <c r="M501" s="12"/>
      <c r="N501" s="9">
        <v>700.0</v>
      </c>
      <c r="O501" s="11">
        <v>7.0</v>
      </c>
      <c r="P501" s="9" t="s">
        <v>44</v>
      </c>
      <c r="Q501" s="12"/>
      <c r="R501" s="12"/>
      <c r="S501" s="9" t="s">
        <v>47</v>
      </c>
      <c r="T501" s="9" t="s">
        <v>44</v>
      </c>
      <c r="U501" s="9" t="s">
        <v>44</v>
      </c>
      <c r="V501" s="11">
        <v>45.49</v>
      </c>
      <c r="W501" s="11">
        <v>1.0</v>
      </c>
      <c r="X501" s="9" t="s">
        <v>48</v>
      </c>
      <c r="Y501" s="9" t="s">
        <v>360</v>
      </c>
      <c r="Z501" s="12"/>
      <c r="AA501" s="9">
        <v>1306291.0</v>
      </c>
      <c r="AB501" s="12"/>
      <c r="AC501" s="9" t="s">
        <v>50</v>
      </c>
    </row>
    <row r="502">
      <c r="A502" s="9" t="s">
        <v>33</v>
      </c>
      <c r="B502" s="11">
        <v>6.0</v>
      </c>
      <c r="C502" s="9" t="s">
        <v>43</v>
      </c>
      <c r="D502" s="9" t="s">
        <v>55</v>
      </c>
      <c r="E502" s="9" t="s">
        <v>56</v>
      </c>
      <c r="F502" s="9" t="s">
        <v>45</v>
      </c>
      <c r="G502" s="9" t="s">
        <v>46</v>
      </c>
      <c r="H502" s="9" t="s">
        <v>359</v>
      </c>
      <c r="I502" s="11">
        <v>8177162.0</v>
      </c>
      <c r="J502" s="11">
        <v>2.66806818E8</v>
      </c>
      <c r="K502" s="13">
        <v>46304.0</v>
      </c>
      <c r="L502" s="14">
        <v>46316.0</v>
      </c>
      <c r="M502" s="12"/>
      <c r="N502" s="9">
        <v>531.0</v>
      </c>
      <c r="O502" s="11">
        <v>7.0</v>
      </c>
      <c r="P502" s="9" t="s">
        <v>44</v>
      </c>
      <c r="Q502" s="12"/>
      <c r="R502" s="12"/>
      <c r="S502" s="9" t="s">
        <v>47</v>
      </c>
      <c r="T502" s="9" t="s">
        <v>44</v>
      </c>
      <c r="U502" s="9" t="s">
        <v>44</v>
      </c>
      <c r="V502" s="11">
        <v>45.49</v>
      </c>
      <c r="W502" s="11">
        <v>1.0</v>
      </c>
      <c r="X502" s="9" t="s">
        <v>48</v>
      </c>
      <c r="Y502" s="9" t="s">
        <v>700</v>
      </c>
      <c r="Z502" s="12"/>
      <c r="AA502" s="9">
        <v>1306300.0</v>
      </c>
      <c r="AB502" s="12"/>
      <c r="AC502" s="9" t="s">
        <v>50</v>
      </c>
    </row>
    <row r="503">
      <c r="A503" s="9" t="s">
        <v>33</v>
      </c>
      <c r="B503" s="11">
        <v>6.0</v>
      </c>
      <c r="C503" s="9" t="s">
        <v>43</v>
      </c>
      <c r="D503" s="9" t="s">
        <v>55</v>
      </c>
      <c r="E503" s="9" t="s">
        <v>56</v>
      </c>
      <c r="F503" s="9" t="s">
        <v>45</v>
      </c>
      <c r="G503" s="9" t="s">
        <v>46</v>
      </c>
      <c r="H503" s="9" t="s">
        <v>87</v>
      </c>
      <c r="I503" s="11">
        <v>8177115.0</v>
      </c>
      <c r="J503" s="11">
        <v>2.66806819E8</v>
      </c>
      <c r="K503" s="13">
        <v>46304.0</v>
      </c>
      <c r="L503" s="14">
        <v>46321.0</v>
      </c>
      <c r="M503" s="12"/>
      <c r="N503" s="9">
        <v>112.0</v>
      </c>
      <c r="O503" s="11">
        <v>10.0</v>
      </c>
      <c r="P503" s="9" t="s">
        <v>44</v>
      </c>
      <c r="Q503" s="12"/>
      <c r="R503" s="9" t="s">
        <v>90</v>
      </c>
      <c r="S503" s="9" t="s">
        <v>47</v>
      </c>
      <c r="T503" s="9" t="s">
        <v>44</v>
      </c>
      <c r="U503" s="9" t="s">
        <v>44</v>
      </c>
      <c r="V503" s="11">
        <v>63.12</v>
      </c>
      <c r="W503" s="11">
        <v>1.0</v>
      </c>
      <c r="X503" s="9" t="s">
        <v>48</v>
      </c>
      <c r="Y503" s="9" t="s">
        <v>701</v>
      </c>
      <c r="Z503" s="12"/>
      <c r="AA503" s="9">
        <v>1306310.0</v>
      </c>
      <c r="AB503" s="12"/>
      <c r="AC503" s="9" t="s">
        <v>50</v>
      </c>
    </row>
    <row r="504">
      <c r="A504" s="9" t="s">
        <v>33</v>
      </c>
      <c r="B504" s="11">
        <v>6.0</v>
      </c>
      <c r="C504" s="9" t="s">
        <v>43</v>
      </c>
      <c r="D504" s="9" t="s">
        <v>55</v>
      </c>
      <c r="E504" s="9" t="s">
        <v>56</v>
      </c>
      <c r="F504" s="9" t="s">
        <v>45</v>
      </c>
      <c r="G504" s="9" t="s">
        <v>46</v>
      </c>
      <c r="H504" s="9" t="s">
        <v>370</v>
      </c>
      <c r="I504" s="11">
        <v>8177294.0</v>
      </c>
      <c r="J504" s="11">
        <v>2.6680682E8</v>
      </c>
      <c r="K504" s="13">
        <v>46304.0</v>
      </c>
      <c r="L504" s="14">
        <v>46324.0</v>
      </c>
      <c r="M504" s="12"/>
      <c r="N504" s="9">
        <v>3.0</v>
      </c>
      <c r="O504" s="11">
        <v>13.0</v>
      </c>
      <c r="P504" s="9" t="s">
        <v>44</v>
      </c>
      <c r="Q504" s="12"/>
      <c r="R504" s="9" t="s">
        <v>90</v>
      </c>
      <c r="S504" s="9" t="s">
        <v>47</v>
      </c>
      <c r="T504" s="9" t="s">
        <v>44</v>
      </c>
      <c r="U504" s="9" t="s">
        <v>44</v>
      </c>
      <c r="V504" s="11">
        <v>63.12</v>
      </c>
      <c r="W504" s="11">
        <v>1.0</v>
      </c>
      <c r="X504" s="9" t="s">
        <v>48</v>
      </c>
      <c r="Y504" s="9" t="s">
        <v>702</v>
      </c>
      <c r="Z504" s="12"/>
      <c r="AA504" s="9">
        <v>1305878.0</v>
      </c>
      <c r="AB504" s="12"/>
      <c r="AC504" s="9" t="s">
        <v>50</v>
      </c>
    </row>
    <row r="505">
      <c r="A505" s="9" t="s">
        <v>33</v>
      </c>
      <c r="B505" s="11">
        <v>6.0</v>
      </c>
      <c r="C505" s="9" t="s">
        <v>43</v>
      </c>
      <c r="D505" s="9" t="s">
        <v>55</v>
      </c>
      <c r="E505" s="9" t="s">
        <v>56</v>
      </c>
      <c r="F505" s="9" t="s">
        <v>45</v>
      </c>
      <c r="G505" s="9" t="s">
        <v>46</v>
      </c>
      <c r="H505" s="9" t="s">
        <v>370</v>
      </c>
      <c r="I505" s="11">
        <v>8177193.0</v>
      </c>
      <c r="J505" s="11">
        <v>2.66806821E8</v>
      </c>
      <c r="K505" s="13">
        <v>46304.0</v>
      </c>
      <c r="L505" s="14">
        <v>46324.0</v>
      </c>
      <c r="M505" s="12"/>
      <c r="N505" s="9">
        <v>4.0</v>
      </c>
      <c r="O505" s="11">
        <v>13.0</v>
      </c>
      <c r="P505" s="9" t="s">
        <v>44</v>
      </c>
      <c r="Q505" s="12"/>
      <c r="R505" s="9" t="s">
        <v>90</v>
      </c>
      <c r="S505" s="9" t="s">
        <v>47</v>
      </c>
      <c r="T505" s="9" t="s">
        <v>44</v>
      </c>
      <c r="U505" s="9" t="s">
        <v>44</v>
      </c>
      <c r="V505" s="11">
        <v>63.12</v>
      </c>
      <c r="W505" s="11">
        <v>5.0</v>
      </c>
      <c r="X505" s="9" t="s">
        <v>48</v>
      </c>
      <c r="Y505" s="9" t="s">
        <v>703</v>
      </c>
      <c r="Z505" s="12"/>
      <c r="AA505" s="9">
        <v>1306055.0</v>
      </c>
      <c r="AB505" s="12"/>
      <c r="AC505" s="9" t="s">
        <v>50</v>
      </c>
    </row>
    <row r="506">
      <c r="A506" s="9" t="s">
        <v>33</v>
      </c>
      <c r="B506" s="11">
        <v>6.0</v>
      </c>
      <c r="C506" s="9" t="s">
        <v>43</v>
      </c>
      <c r="D506" s="9" t="s">
        <v>55</v>
      </c>
      <c r="E506" s="9" t="s">
        <v>56</v>
      </c>
      <c r="F506" s="9" t="s">
        <v>45</v>
      </c>
      <c r="G506" s="9" t="s">
        <v>46</v>
      </c>
      <c r="H506" s="9" t="s">
        <v>704</v>
      </c>
      <c r="I506" s="11">
        <v>8177194.0</v>
      </c>
      <c r="J506" s="11">
        <v>2.66806822E8</v>
      </c>
      <c r="K506" s="13">
        <v>46304.0</v>
      </c>
      <c r="L506" s="14">
        <v>46318.0</v>
      </c>
      <c r="M506" s="12"/>
      <c r="N506" s="9">
        <v>103.0</v>
      </c>
      <c r="O506" s="11">
        <v>9.0</v>
      </c>
      <c r="P506" s="9" t="s">
        <v>44</v>
      </c>
      <c r="Q506" s="12"/>
      <c r="R506" s="9" t="s">
        <v>90</v>
      </c>
      <c r="S506" s="9" t="s">
        <v>47</v>
      </c>
      <c r="T506" s="9" t="s">
        <v>44</v>
      </c>
      <c r="U506" s="9" t="s">
        <v>44</v>
      </c>
      <c r="V506" s="11">
        <v>63.12</v>
      </c>
      <c r="W506" s="11">
        <v>1.0</v>
      </c>
      <c r="X506" s="9" t="s">
        <v>48</v>
      </c>
      <c r="Y506" s="9" t="s">
        <v>705</v>
      </c>
      <c r="Z506" s="12"/>
      <c r="AA506" s="9">
        <v>1306189.0</v>
      </c>
      <c r="AB506" s="12"/>
      <c r="AC506" s="9" t="s">
        <v>50</v>
      </c>
    </row>
    <row r="507">
      <c r="A507" s="9" t="s">
        <v>33</v>
      </c>
      <c r="B507" s="11">
        <v>6.0</v>
      </c>
      <c r="C507" s="9" t="s">
        <v>43</v>
      </c>
      <c r="D507" s="9" t="s">
        <v>55</v>
      </c>
      <c r="E507" s="9" t="s">
        <v>56</v>
      </c>
      <c r="F507" s="9" t="s">
        <v>45</v>
      </c>
      <c r="G507" s="9" t="s">
        <v>46</v>
      </c>
      <c r="H507" s="9" t="s">
        <v>704</v>
      </c>
      <c r="I507" s="11">
        <v>8177253.0</v>
      </c>
      <c r="J507" s="11">
        <v>2.66806823E8</v>
      </c>
      <c r="K507" s="13">
        <v>46304.0</v>
      </c>
      <c r="L507" s="14">
        <v>46321.0</v>
      </c>
      <c r="M507" s="12"/>
      <c r="N507" s="9">
        <v>102.0</v>
      </c>
      <c r="O507" s="11">
        <v>10.0</v>
      </c>
      <c r="P507" s="9" t="s">
        <v>44</v>
      </c>
      <c r="Q507" s="12"/>
      <c r="R507" s="9" t="s">
        <v>90</v>
      </c>
      <c r="S507" s="9" t="s">
        <v>47</v>
      </c>
      <c r="T507" s="9" t="s">
        <v>44</v>
      </c>
      <c r="U507" s="9" t="s">
        <v>44</v>
      </c>
      <c r="V507" s="11">
        <v>63.12</v>
      </c>
      <c r="W507" s="11">
        <v>1.0</v>
      </c>
      <c r="X507" s="9" t="s">
        <v>48</v>
      </c>
      <c r="Y507" s="9" t="s">
        <v>706</v>
      </c>
      <c r="Z507" s="12"/>
      <c r="AA507" s="9">
        <v>1305894.0</v>
      </c>
      <c r="AB507" s="12"/>
      <c r="AC507" s="9" t="s">
        <v>50</v>
      </c>
    </row>
    <row r="508">
      <c r="A508" s="9" t="s">
        <v>33</v>
      </c>
      <c r="B508" s="11">
        <v>6.0</v>
      </c>
      <c r="C508" s="9" t="s">
        <v>43</v>
      </c>
      <c r="D508" s="9" t="s">
        <v>55</v>
      </c>
      <c r="E508" s="9" t="s">
        <v>56</v>
      </c>
      <c r="F508" s="9" t="s">
        <v>45</v>
      </c>
      <c r="G508" s="9" t="s">
        <v>46</v>
      </c>
      <c r="H508" s="9" t="s">
        <v>704</v>
      </c>
      <c r="I508" s="11">
        <v>8177133.0</v>
      </c>
      <c r="J508" s="11">
        <v>2.66806824E8</v>
      </c>
      <c r="K508" s="13">
        <v>46304.0</v>
      </c>
      <c r="L508" s="14">
        <v>46321.0</v>
      </c>
      <c r="M508" s="12"/>
      <c r="N508" s="9">
        <v>102.0</v>
      </c>
      <c r="O508" s="11">
        <v>10.0</v>
      </c>
      <c r="P508" s="9" t="s">
        <v>44</v>
      </c>
      <c r="Q508" s="12"/>
      <c r="R508" s="9" t="s">
        <v>90</v>
      </c>
      <c r="S508" s="9" t="s">
        <v>47</v>
      </c>
      <c r="T508" s="9" t="s">
        <v>44</v>
      </c>
      <c r="U508" s="9" t="s">
        <v>44</v>
      </c>
      <c r="V508" s="11">
        <v>63.12</v>
      </c>
      <c r="W508" s="11">
        <v>1.0</v>
      </c>
      <c r="X508" s="9" t="s">
        <v>48</v>
      </c>
      <c r="Y508" s="9" t="s">
        <v>707</v>
      </c>
      <c r="Z508" s="12"/>
      <c r="AA508" s="9">
        <v>1306200.0</v>
      </c>
      <c r="AB508" s="12"/>
      <c r="AC508" s="9" t="s">
        <v>50</v>
      </c>
    </row>
    <row r="509">
      <c r="A509" s="9" t="s">
        <v>33</v>
      </c>
      <c r="B509" s="11">
        <v>6.0</v>
      </c>
      <c r="C509" s="9" t="s">
        <v>43</v>
      </c>
      <c r="D509" s="9" t="s">
        <v>55</v>
      </c>
      <c r="E509" s="9" t="s">
        <v>56</v>
      </c>
      <c r="F509" s="9" t="s">
        <v>45</v>
      </c>
      <c r="G509" s="9" t="s">
        <v>46</v>
      </c>
      <c r="H509" s="9" t="s">
        <v>99</v>
      </c>
      <c r="I509" s="11">
        <v>8177295.0</v>
      </c>
      <c r="J509" s="11">
        <v>2.66806825E8</v>
      </c>
      <c r="K509" s="13">
        <v>46304.0</v>
      </c>
      <c r="L509" s="14">
        <v>46318.0</v>
      </c>
      <c r="M509" s="12"/>
      <c r="N509" s="9">
        <v>106.0</v>
      </c>
      <c r="O509" s="11">
        <v>9.0</v>
      </c>
      <c r="P509" s="9" t="s">
        <v>44</v>
      </c>
      <c r="Q509" s="12"/>
      <c r="R509" s="9" t="s">
        <v>90</v>
      </c>
      <c r="S509" s="9" t="s">
        <v>47</v>
      </c>
      <c r="T509" s="9" t="s">
        <v>44</v>
      </c>
      <c r="U509" s="9" t="s">
        <v>44</v>
      </c>
      <c r="V509" s="11">
        <v>57.25</v>
      </c>
      <c r="W509" s="11">
        <v>1.0</v>
      </c>
      <c r="X509" s="9" t="s">
        <v>48</v>
      </c>
      <c r="Y509" s="9" t="s">
        <v>708</v>
      </c>
      <c r="Z509" s="12"/>
      <c r="AA509" s="9">
        <v>1305831.0</v>
      </c>
      <c r="AB509" s="12"/>
      <c r="AC509" s="9" t="s">
        <v>50</v>
      </c>
    </row>
    <row r="510">
      <c r="A510" s="9" t="s">
        <v>33</v>
      </c>
      <c r="B510" s="11">
        <v>6.0</v>
      </c>
      <c r="C510" s="9" t="s">
        <v>43</v>
      </c>
      <c r="D510" s="9" t="s">
        <v>55</v>
      </c>
      <c r="E510" s="9" t="s">
        <v>56</v>
      </c>
      <c r="F510" s="9" t="s">
        <v>45</v>
      </c>
      <c r="G510" s="9" t="s">
        <v>46</v>
      </c>
      <c r="H510" s="9" t="s">
        <v>99</v>
      </c>
      <c r="I510" s="11">
        <v>8177163.0</v>
      </c>
      <c r="J510" s="11">
        <v>2.66806827E8</v>
      </c>
      <c r="K510" s="13">
        <v>46304.0</v>
      </c>
      <c r="L510" s="14">
        <v>46316.0</v>
      </c>
      <c r="M510" s="12"/>
      <c r="N510" s="9">
        <v>101.0</v>
      </c>
      <c r="O510" s="11">
        <v>7.0</v>
      </c>
      <c r="P510" s="9" t="s">
        <v>44</v>
      </c>
      <c r="Q510" s="12"/>
      <c r="R510" s="9" t="s">
        <v>90</v>
      </c>
      <c r="S510" s="9" t="s">
        <v>47</v>
      </c>
      <c r="T510" s="9" t="s">
        <v>44</v>
      </c>
      <c r="U510" s="9" t="s">
        <v>44</v>
      </c>
      <c r="V510" s="11">
        <v>57.25</v>
      </c>
      <c r="W510" s="11">
        <v>1.0</v>
      </c>
      <c r="X510" s="9" t="s">
        <v>48</v>
      </c>
      <c r="Y510" s="9" t="s">
        <v>709</v>
      </c>
      <c r="Z510" s="12"/>
      <c r="AA510" s="9">
        <v>1306251.0</v>
      </c>
      <c r="AB510" s="12"/>
      <c r="AC510" s="9" t="s">
        <v>50</v>
      </c>
    </row>
    <row r="511">
      <c r="A511" s="9" t="s">
        <v>33</v>
      </c>
      <c r="B511" s="11">
        <v>6.0</v>
      </c>
      <c r="C511" s="9" t="s">
        <v>43</v>
      </c>
      <c r="D511" s="9" t="s">
        <v>55</v>
      </c>
      <c r="E511" s="9" t="s">
        <v>56</v>
      </c>
      <c r="F511" s="9" t="s">
        <v>45</v>
      </c>
      <c r="G511" s="9" t="s">
        <v>46</v>
      </c>
      <c r="H511" s="9" t="s">
        <v>375</v>
      </c>
      <c r="I511" s="11">
        <v>8177325.0</v>
      </c>
      <c r="J511" s="11">
        <v>2.66806828E8</v>
      </c>
      <c r="K511" s="13">
        <v>46304.0</v>
      </c>
      <c r="L511" s="14">
        <v>46324.0</v>
      </c>
      <c r="M511" s="12"/>
      <c r="N511" s="9">
        <v>107.0</v>
      </c>
      <c r="O511" s="11">
        <v>13.0</v>
      </c>
      <c r="P511" s="9" t="s">
        <v>44</v>
      </c>
      <c r="Q511" s="12"/>
      <c r="R511" s="9" t="s">
        <v>90</v>
      </c>
      <c r="S511" s="9" t="s">
        <v>47</v>
      </c>
      <c r="T511" s="9" t="s">
        <v>44</v>
      </c>
      <c r="U511" s="9" t="s">
        <v>44</v>
      </c>
      <c r="V511" s="11">
        <v>71.9</v>
      </c>
      <c r="W511" s="11">
        <v>2.0</v>
      </c>
      <c r="X511" s="9" t="s">
        <v>48</v>
      </c>
      <c r="Y511" s="9" t="s">
        <v>710</v>
      </c>
      <c r="Z511" s="12"/>
      <c r="AA511" s="9">
        <v>1306122.0</v>
      </c>
      <c r="AB511" s="12"/>
      <c r="AC511" s="9" t="s">
        <v>50</v>
      </c>
    </row>
    <row r="512">
      <c r="A512" s="9" t="s">
        <v>33</v>
      </c>
      <c r="B512" s="11">
        <v>6.0</v>
      </c>
      <c r="C512" s="9" t="s">
        <v>43</v>
      </c>
      <c r="D512" s="9" t="s">
        <v>55</v>
      </c>
      <c r="E512" s="9" t="s">
        <v>56</v>
      </c>
      <c r="F512" s="9" t="s">
        <v>45</v>
      </c>
      <c r="G512" s="9" t="s">
        <v>46</v>
      </c>
      <c r="H512" s="9" t="s">
        <v>711</v>
      </c>
      <c r="I512" s="11">
        <v>8177195.0</v>
      </c>
      <c r="J512" s="11">
        <v>2.66806829E8</v>
      </c>
      <c r="K512" s="13">
        <v>46304.0</v>
      </c>
      <c r="L512" s="14">
        <v>46316.0</v>
      </c>
      <c r="M512" s="12"/>
      <c r="N512" s="9">
        <v>4.0</v>
      </c>
      <c r="O512" s="11">
        <v>7.0</v>
      </c>
      <c r="P512" s="9" t="s">
        <v>44</v>
      </c>
      <c r="Q512" s="12"/>
      <c r="R512" s="9" t="s">
        <v>90</v>
      </c>
      <c r="S512" s="9" t="s">
        <v>47</v>
      </c>
      <c r="T512" s="9" t="s">
        <v>44</v>
      </c>
      <c r="U512" s="9" t="s">
        <v>44</v>
      </c>
      <c r="V512" s="11">
        <v>64.23</v>
      </c>
      <c r="W512" s="11">
        <v>1.0</v>
      </c>
      <c r="X512" s="9" t="s">
        <v>48</v>
      </c>
      <c r="Y512" s="9" t="s">
        <v>712</v>
      </c>
      <c r="Z512" s="12"/>
      <c r="AA512" s="9">
        <v>1306131.0</v>
      </c>
      <c r="AB512" s="12"/>
      <c r="AC512" s="9" t="s">
        <v>50</v>
      </c>
    </row>
    <row r="513">
      <c r="A513" s="9" t="s">
        <v>33</v>
      </c>
      <c r="B513" s="11">
        <v>6.0</v>
      </c>
      <c r="C513" s="9" t="s">
        <v>43</v>
      </c>
      <c r="D513" s="9" t="s">
        <v>55</v>
      </c>
      <c r="E513" s="9" t="s">
        <v>56</v>
      </c>
      <c r="F513" s="9" t="s">
        <v>45</v>
      </c>
      <c r="G513" s="9" t="s">
        <v>46</v>
      </c>
      <c r="H513" s="9" t="s">
        <v>375</v>
      </c>
      <c r="I513" s="11">
        <v>8177254.0</v>
      </c>
      <c r="J513" s="11">
        <v>2.6680683E8</v>
      </c>
      <c r="K513" s="13">
        <v>46304.0</v>
      </c>
      <c r="L513" s="14">
        <v>46316.0</v>
      </c>
      <c r="M513" s="12"/>
      <c r="N513" s="9">
        <v>2.0</v>
      </c>
      <c r="O513" s="11">
        <v>7.0</v>
      </c>
      <c r="P513" s="9" t="s">
        <v>44</v>
      </c>
      <c r="Q513" s="12"/>
      <c r="R513" s="9" t="s">
        <v>90</v>
      </c>
      <c r="S513" s="9" t="s">
        <v>47</v>
      </c>
      <c r="T513" s="9" t="s">
        <v>44</v>
      </c>
      <c r="U513" s="9" t="s">
        <v>44</v>
      </c>
      <c r="V513" s="11">
        <v>56.59</v>
      </c>
      <c r="W513" s="11">
        <v>1.0</v>
      </c>
      <c r="X513" s="9" t="s">
        <v>48</v>
      </c>
      <c r="Y513" s="9" t="s">
        <v>713</v>
      </c>
      <c r="Z513" s="12"/>
      <c r="AA513" s="9">
        <v>1305875.0</v>
      </c>
      <c r="AB513" s="12"/>
      <c r="AC513" s="9" t="s">
        <v>50</v>
      </c>
    </row>
    <row r="514">
      <c r="A514" s="9" t="s">
        <v>33</v>
      </c>
      <c r="B514" s="11">
        <v>6.0</v>
      </c>
      <c r="C514" s="9" t="s">
        <v>43</v>
      </c>
      <c r="D514" s="9" t="s">
        <v>55</v>
      </c>
      <c r="E514" s="9" t="s">
        <v>56</v>
      </c>
      <c r="F514" s="9" t="s">
        <v>45</v>
      </c>
      <c r="G514" s="9" t="s">
        <v>46</v>
      </c>
      <c r="H514" s="9" t="s">
        <v>377</v>
      </c>
      <c r="I514" s="11">
        <v>8177255.0</v>
      </c>
      <c r="J514" s="11">
        <v>2.66806831E8</v>
      </c>
      <c r="K514" s="13">
        <v>46304.0</v>
      </c>
      <c r="L514" s="14">
        <v>46324.0</v>
      </c>
      <c r="M514" s="12"/>
      <c r="N514" s="9">
        <v>4.0</v>
      </c>
      <c r="O514" s="11">
        <v>13.0</v>
      </c>
      <c r="P514" s="9" t="s">
        <v>44</v>
      </c>
      <c r="Q514" s="12"/>
      <c r="R514" s="9" t="s">
        <v>90</v>
      </c>
      <c r="S514" s="9" t="s">
        <v>47</v>
      </c>
      <c r="T514" s="9" t="s">
        <v>44</v>
      </c>
      <c r="U514" s="9" t="s">
        <v>44</v>
      </c>
      <c r="V514" s="11">
        <v>71.9</v>
      </c>
      <c r="W514" s="11">
        <v>1.0</v>
      </c>
      <c r="X514" s="9" t="s">
        <v>48</v>
      </c>
      <c r="Y514" s="9" t="s">
        <v>714</v>
      </c>
      <c r="Z514" s="12"/>
      <c r="AA514" s="9">
        <v>1305826.0</v>
      </c>
      <c r="AB514" s="12"/>
      <c r="AC514" s="9" t="s">
        <v>50</v>
      </c>
    </row>
    <row r="515">
      <c r="A515" s="9" t="s">
        <v>33</v>
      </c>
      <c r="B515" s="11">
        <v>6.0</v>
      </c>
      <c r="C515" s="9" t="s">
        <v>43</v>
      </c>
      <c r="D515" s="9" t="s">
        <v>55</v>
      </c>
      <c r="E515" s="9" t="s">
        <v>56</v>
      </c>
      <c r="F515" s="9" t="s">
        <v>45</v>
      </c>
      <c r="G515" s="9" t="s">
        <v>46</v>
      </c>
      <c r="H515" s="9" t="s">
        <v>381</v>
      </c>
      <c r="I515" s="11">
        <v>8177164.0</v>
      </c>
      <c r="J515" s="11">
        <v>2.66806832E8</v>
      </c>
      <c r="K515" s="13">
        <v>46304.0</v>
      </c>
      <c r="L515" s="14">
        <v>46316.0</v>
      </c>
      <c r="M515" s="12"/>
      <c r="N515" s="9">
        <v>5.0</v>
      </c>
      <c r="O515" s="11">
        <v>7.0</v>
      </c>
      <c r="P515" s="9" t="s">
        <v>44</v>
      </c>
      <c r="Q515" s="12"/>
      <c r="R515" s="9" t="s">
        <v>90</v>
      </c>
      <c r="S515" s="9" t="s">
        <v>47</v>
      </c>
      <c r="T515" s="9" t="s">
        <v>44</v>
      </c>
      <c r="U515" s="9" t="s">
        <v>44</v>
      </c>
      <c r="V515" s="11">
        <v>64.23</v>
      </c>
      <c r="W515" s="11">
        <v>1.0</v>
      </c>
      <c r="X515" s="9" t="s">
        <v>48</v>
      </c>
      <c r="Y515" s="9" t="s">
        <v>715</v>
      </c>
      <c r="Z515" s="12"/>
      <c r="AA515" s="9">
        <v>1306199.0</v>
      </c>
      <c r="AB515" s="12"/>
      <c r="AC515" s="9" t="s">
        <v>50</v>
      </c>
    </row>
    <row r="516">
      <c r="A516" s="9" t="s">
        <v>33</v>
      </c>
      <c r="B516" s="11">
        <v>6.0</v>
      </c>
      <c r="C516" s="9" t="s">
        <v>43</v>
      </c>
      <c r="D516" s="9" t="s">
        <v>55</v>
      </c>
      <c r="E516" s="9" t="s">
        <v>56</v>
      </c>
      <c r="F516" s="9" t="s">
        <v>45</v>
      </c>
      <c r="G516" s="9" t="s">
        <v>46</v>
      </c>
      <c r="H516" s="9" t="s">
        <v>107</v>
      </c>
      <c r="I516" s="11">
        <v>8177226.0</v>
      </c>
      <c r="J516" s="11">
        <v>2.66806833E8</v>
      </c>
      <c r="K516" s="13">
        <v>46304.0</v>
      </c>
      <c r="L516" s="14">
        <v>46315.0</v>
      </c>
      <c r="M516" s="12"/>
      <c r="N516" s="9">
        <v>9.0</v>
      </c>
      <c r="O516" s="11">
        <v>6.0</v>
      </c>
      <c r="P516" s="9" t="s">
        <v>44</v>
      </c>
      <c r="Q516" s="12"/>
      <c r="R516" s="9" t="s">
        <v>90</v>
      </c>
      <c r="S516" s="9" t="s">
        <v>47</v>
      </c>
      <c r="T516" s="9" t="s">
        <v>44</v>
      </c>
      <c r="U516" s="9" t="s">
        <v>44</v>
      </c>
      <c r="V516" s="11">
        <v>56.53</v>
      </c>
      <c r="W516" s="11">
        <v>1.0</v>
      </c>
      <c r="X516" s="9" t="s">
        <v>48</v>
      </c>
      <c r="Y516" s="9" t="s">
        <v>392</v>
      </c>
      <c r="Z516" s="12"/>
      <c r="AA516" s="9">
        <v>1304657.0</v>
      </c>
      <c r="AB516" s="12"/>
      <c r="AC516" s="9" t="s">
        <v>50</v>
      </c>
    </row>
    <row r="517">
      <c r="A517" s="9" t="s">
        <v>33</v>
      </c>
      <c r="B517" s="11">
        <v>6.0</v>
      </c>
      <c r="C517" s="9" t="s">
        <v>43</v>
      </c>
      <c r="D517" s="9" t="s">
        <v>55</v>
      </c>
      <c r="E517" s="9" t="s">
        <v>56</v>
      </c>
      <c r="F517" s="9" t="s">
        <v>45</v>
      </c>
      <c r="G517" s="9" t="s">
        <v>46</v>
      </c>
      <c r="H517" s="9" t="s">
        <v>107</v>
      </c>
      <c r="I517" s="11">
        <v>8177116.0</v>
      </c>
      <c r="J517" s="11">
        <v>2.66806834E8</v>
      </c>
      <c r="K517" s="13">
        <v>46304.0</v>
      </c>
      <c r="L517" s="14">
        <v>46315.0</v>
      </c>
      <c r="M517" s="12"/>
      <c r="N517" s="9">
        <v>700.0</v>
      </c>
      <c r="O517" s="11">
        <v>6.0</v>
      </c>
      <c r="P517" s="9" t="s">
        <v>44</v>
      </c>
      <c r="Q517" s="12"/>
      <c r="R517" s="9" t="s">
        <v>90</v>
      </c>
      <c r="S517" s="9" t="s">
        <v>47</v>
      </c>
      <c r="T517" s="9" t="s">
        <v>44</v>
      </c>
      <c r="U517" s="9" t="s">
        <v>44</v>
      </c>
      <c r="V517" s="11">
        <v>64.23</v>
      </c>
      <c r="W517" s="11">
        <v>1.0</v>
      </c>
      <c r="X517" s="9" t="s">
        <v>48</v>
      </c>
      <c r="Y517" s="9" t="s">
        <v>71</v>
      </c>
      <c r="Z517" s="12"/>
      <c r="AA517" s="9">
        <v>1306236.0</v>
      </c>
      <c r="AB517" s="12"/>
      <c r="AC517" s="9" t="s">
        <v>50</v>
      </c>
    </row>
    <row r="518">
      <c r="A518" s="9" t="s">
        <v>33</v>
      </c>
      <c r="B518" s="11">
        <v>6.0</v>
      </c>
      <c r="C518" s="9" t="s">
        <v>43</v>
      </c>
      <c r="D518" s="9" t="s">
        <v>55</v>
      </c>
      <c r="E518" s="9" t="s">
        <v>56</v>
      </c>
      <c r="F518" s="9" t="s">
        <v>45</v>
      </c>
      <c r="G518" s="9" t="s">
        <v>46</v>
      </c>
      <c r="H518" s="9" t="s">
        <v>398</v>
      </c>
      <c r="I518" s="11">
        <v>8177256.0</v>
      </c>
      <c r="J518" s="11">
        <v>2.66806835E8</v>
      </c>
      <c r="K518" s="13">
        <v>46304.0</v>
      </c>
      <c r="L518" s="14">
        <v>46322.0</v>
      </c>
      <c r="M518" s="12"/>
      <c r="N518" s="9">
        <v>101.0</v>
      </c>
      <c r="O518" s="11">
        <v>11.0</v>
      </c>
      <c r="P518" s="9" t="s">
        <v>44</v>
      </c>
      <c r="Q518" s="12"/>
      <c r="R518" s="12"/>
      <c r="S518" s="9" t="s">
        <v>47</v>
      </c>
      <c r="T518" s="9" t="s">
        <v>44</v>
      </c>
      <c r="U518" s="9" t="s">
        <v>44</v>
      </c>
      <c r="V518" s="11">
        <v>71.9</v>
      </c>
      <c r="W518" s="11">
        <v>1.0</v>
      </c>
      <c r="X518" s="9" t="s">
        <v>48</v>
      </c>
      <c r="Y518" s="9" t="s">
        <v>716</v>
      </c>
      <c r="Z518" s="12"/>
      <c r="AA518" s="9">
        <v>1305990.0</v>
      </c>
      <c r="AB518" s="12"/>
      <c r="AC518" s="9" t="s">
        <v>50</v>
      </c>
    </row>
    <row r="519">
      <c r="A519" s="9" t="s">
        <v>33</v>
      </c>
      <c r="B519" s="11">
        <v>6.0</v>
      </c>
      <c r="C519" s="9" t="s">
        <v>43</v>
      </c>
      <c r="D519" s="9" t="s">
        <v>55</v>
      </c>
      <c r="E519" s="9" t="s">
        <v>56</v>
      </c>
      <c r="F519" s="9" t="s">
        <v>45</v>
      </c>
      <c r="G519" s="9" t="s">
        <v>46</v>
      </c>
      <c r="H519" s="9" t="s">
        <v>107</v>
      </c>
      <c r="I519" s="11">
        <v>8177196.0</v>
      </c>
      <c r="J519" s="11">
        <v>2.66806836E8</v>
      </c>
      <c r="K519" s="13">
        <v>46304.0</v>
      </c>
      <c r="L519" s="14">
        <v>46321.0</v>
      </c>
      <c r="M519" s="12"/>
      <c r="N519" s="9">
        <v>101.0</v>
      </c>
      <c r="O519" s="11">
        <v>10.0</v>
      </c>
      <c r="P519" s="9" t="s">
        <v>44</v>
      </c>
      <c r="Q519" s="12"/>
      <c r="R519" s="9" t="s">
        <v>90</v>
      </c>
      <c r="S519" s="9" t="s">
        <v>47</v>
      </c>
      <c r="T519" s="9" t="s">
        <v>44</v>
      </c>
      <c r="U519" s="9" t="s">
        <v>44</v>
      </c>
      <c r="V519" s="11">
        <v>71.9</v>
      </c>
      <c r="W519" s="11">
        <v>4.0</v>
      </c>
      <c r="X519" s="9" t="s">
        <v>48</v>
      </c>
      <c r="Y519" s="9" t="s">
        <v>717</v>
      </c>
      <c r="Z519" s="12"/>
      <c r="AA519" s="9">
        <v>1306028.0</v>
      </c>
      <c r="AB519" s="12"/>
      <c r="AC519" s="9" t="s">
        <v>50</v>
      </c>
    </row>
    <row r="520">
      <c r="A520" s="9" t="s">
        <v>33</v>
      </c>
      <c r="B520" s="11">
        <v>6.0</v>
      </c>
      <c r="C520" s="9" t="s">
        <v>43</v>
      </c>
      <c r="D520" s="9" t="s">
        <v>55</v>
      </c>
      <c r="E520" s="9" t="s">
        <v>56</v>
      </c>
      <c r="F520" s="9" t="s">
        <v>45</v>
      </c>
      <c r="G520" s="9" t="s">
        <v>46</v>
      </c>
      <c r="H520" s="9" t="s">
        <v>113</v>
      </c>
      <c r="I520" s="11">
        <v>8177227.0</v>
      </c>
      <c r="J520" s="11">
        <v>2.66806837E8</v>
      </c>
      <c r="K520" s="13">
        <v>46304.0</v>
      </c>
      <c r="L520" s="14">
        <v>46315.0</v>
      </c>
      <c r="M520" s="12"/>
      <c r="N520" s="9">
        <v>3.0</v>
      </c>
      <c r="O520" s="11">
        <v>6.0</v>
      </c>
      <c r="P520" s="9" t="s">
        <v>44</v>
      </c>
      <c r="Q520" s="12"/>
      <c r="R520" s="12"/>
      <c r="S520" s="9" t="s">
        <v>47</v>
      </c>
      <c r="T520" s="9" t="s">
        <v>44</v>
      </c>
      <c r="U520" s="9" t="s">
        <v>44</v>
      </c>
      <c r="V520" s="11">
        <v>51.54</v>
      </c>
      <c r="W520" s="11">
        <v>1.0</v>
      </c>
      <c r="X520" s="9" t="s">
        <v>48</v>
      </c>
      <c r="Y520" s="9" t="s">
        <v>718</v>
      </c>
      <c r="Z520" s="12"/>
      <c r="AA520" s="9">
        <v>1304666.0</v>
      </c>
      <c r="AB520" s="12"/>
      <c r="AC520" s="9" t="s">
        <v>50</v>
      </c>
    </row>
    <row r="521">
      <c r="A521" s="9" t="s">
        <v>33</v>
      </c>
      <c r="B521" s="11">
        <v>6.0</v>
      </c>
      <c r="C521" s="9" t="s">
        <v>43</v>
      </c>
      <c r="D521" s="9" t="s">
        <v>55</v>
      </c>
      <c r="E521" s="9" t="s">
        <v>56</v>
      </c>
      <c r="F521" s="9" t="s">
        <v>45</v>
      </c>
      <c r="G521" s="9" t="s">
        <v>46</v>
      </c>
      <c r="H521" s="9" t="s">
        <v>113</v>
      </c>
      <c r="I521" s="11">
        <v>8177197.0</v>
      </c>
      <c r="J521" s="11">
        <v>2.66806838E8</v>
      </c>
      <c r="K521" s="13">
        <v>46304.0</v>
      </c>
      <c r="L521" s="14">
        <v>46315.0</v>
      </c>
      <c r="M521" s="12"/>
      <c r="N521" s="9">
        <v>3.0</v>
      </c>
      <c r="O521" s="11">
        <v>6.0</v>
      </c>
      <c r="P521" s="9" t="s">
        <v>44</v>
      </c>
      <c r="Q521" s="12"/>
      <c r="R521" s="9" t="s">
        <v>90</v>
      </c>
      <c r="S521" s="9" t="s">
        <v>47</v>
      </c>
      <c r="T521" s="9" t="s">
        <v>44</v>
      </c>
      <c r="U521" s="9" t="s">
        <v>44</v>
      </c>
      <c r="V521" s="11">
        <v>64.23</v>
      </c>
      <c r="W521" s="11">
        <v>1.0</v>
      </c>
      <c r="X521" s="9" t="s">
        <v>48</v>
      </c>
      <c r="Y521" s="9" t="s">
        <v>719</v>
      </c>
      <c r="Z521" s="12"/>
      <c r="AA521" s="9">
        <v>1306126.0</v>
      </c>
      <c r="AB521" s="12"/>
      <c r="AC521" s="9" t="s">
        <v>50</v>
      </c>
    </row>
    <row r="522">
      <c r="A522" s="9" t="s">
        <v>33</v>
      </c>
      <c r="B522" s="11">
        <v>6.0</v>
      </c>
      <c r="C522" s="9" t="s">
        <v>43</v>
      </c>
      <c r="D522" s="9" t="s">
        <v>55</v>
      </c>
      <c r="E522" s="9" t="s">
        <v>56</v>
      </c>
      <c r="F522" s="9" t="s">
        <v>45</v>
      </c>
      <c r="G522" s="9" t="s">
        <v>46</v>
      </c>
      <c r="H522" s="9" t="s">
        <v>113</v>
      </c>
      <c r="I522" s="11">
        <v>8177257.0</v>
      </c>
      <c r="J522" s="11">
        <v>2.66806839E8</v>
      </c>
      <c r="K522" s="13">
        <v>46304.0</v>
      </c>
      <c r="L522" s="14">
        <v>46315.0</v>
      </c>
      <c r="M522" s="12"/>
      <c r="N522" s="9">
        <v>3.0</v>
      </c>
      <c r="O522" s="11">
        <v>6.0</v>
      </c>
      <c r="P522" s="9" t="s">
        <v>44</v>
      </c>
      <c r="Q522" s="12"/>
      <c r="R522" s="9" t="s">
        <v>90</v>
      </c>
      <c r="S522" s="9" t="s">
        <v>47</v>
      </c>
      <c r="T522" s="9" t="s">
        <v>44</v>
      </c>
      <c r="U522" s="9" t="s">
        <v>44</v>
      </c>
      <c r="V522" s="11">
        <v>64.23</v>
      </c>
      <c r="W522" s="11">
        <v>1.0</v>
      </c>
      <c r="X522" s="9" t="s">
        <v>48</v>
      </c>
      <c r="Y522" s="9" t="s">
        <v>720</v>
      </c>
      <c r="Z522" s="12"/>
      <c r="AA522" s="9">
        <v>1306046.0</v>
      </c>
      <c r="AB522" s="12"/>
      <c r="AC522" s="9" t="s">
        <v>50</v>
      </c>
    </row>
    <row r="523">
      <c r="A523" s="9" t="s">
        <v>33</v>
      </c>
      <c r="B523" s="11">
        <v>6.0</v>
      </c>
      <c r="C523" s="9" t="s">
        <v>43</v>
      </c>
      <c r="D523" s="9" t="s">
        <v>55</v>
      </c>
      <c r="E523" s="9" t="s">
        <v>56</v>
      </c>
      <c r="F523" s="9" t="s">
        <v>45</v>
      </c>
      <c r="G523" s="9" t="s">
        <v>46</v>
      </c>
      <c r="H523" s="9" t="s">
        <v>406</v>
      </c>
      <c r="I523" s="11">
        <v>8177296.0</v>
      </c>
      <c r="J523" s="11">
        <v>2.6680684E8</v>
      </c>
      <c r="K523" s="13">
        <v>46304.0</v>
      </c>
      <c r="L523" s="13">
        <v>46335.0</v>
      </c>
      <c r="M523" s="12"/>
      <c r="N523" s="9">
        <v>103.0</v>
      </c>
      <c r="O523" s="11">
        <v>18.0</v>
      </c>
      <c r="P523" s="9" t="s">
        <v>44</v>
      </c>
      <c r="Q523" s="12"/>
      <c r="R523" s="9" t="s">
        <v>52</v>
      </c>
      <c r="S523" s="9" t="s">
        <v>47</v>
      </c>
      <c r="T523" s="9" t="s">
        <v>44</v>
      </c>
      <c r="U523" s="9" t="s">
        <v>44</v>
      </c>
      <c r="V523" s="11">
        <v>71.9</v>
      </c>
      <c r="W523" s="11">
        <v>2.0</v>
      </c>
      <c r="X523" s="9" t="s">
        <v>48</v>
      </c>
      <c r="Y523" s="9" t="s">
        <v>721</v>
      </c>
      <c r="Z523" s="12"/>
      <c r="AA523" s="9">
        <v>1306224.0</v>
      </c>
      <c r="AB523" s="12"/>
      <c r="AC523" s="9" t="s">
        <v>50</v>
      </c>
    </row>
    <row r="524">
      <c r="A524" s="9" t="s">
        <v>33</v>
      </c>
      <c r="B524" s="11">
        <v>6.0</v>
      </c>
      <c r="C524" s="9" t="s">
        <v>43</v>
      </c>
      <c r="D524" s="9" t="s">
        <v>55</v>
      </c>
      <c r="E524" s="9" t="s">
        <v>56</v>
      </c>
      <c r="F524" s="9" t="s">
        <v>45</v>
      </c>
      <c r="G524" s="9" t="s">
        <v>46</v>
      </c>
      <c r="H524" s="9" t="s">
        <v>406</v>
      </c>
      <c r="I524" s="11">
        <v>8177198.0</v>
      </c>
      <c r="J524" s="11">
        <v>2.66806841E8</v>
      </c>
      <c r="K524" s="13">
        <v>46304.0</v>
      </c>
      <c r="L524" s="13">
        <v>46335.0</v>
      </c>
      <c r="M524" s="12"/>
      <c r="N524" s="9">
        <v>108.0</v>
      </c>
      <c r="O524" s="11">
        <v>18.0</v>
      </c>
      <c r="P524" s="9" t="s">
        <v>44</v>
      </c>
      <c r="Q524" s="12"/>
      <c r="R524" s="12"/>
      <c r="S524" s="9" t="s">
        <v>47</v>
      </c>
      <c r="T524" s="9" t="s">
        <v>44</v>
      </c>
      <c r="U524" s="9" t="s">
        <v>44</v>
      </c>
      <c r="V524" s="11">
        <v>71.9</v>
      </c>
      <c r="W524" s="11">
        <v>1.0</v>
      </c>
      <c r="X524" s="9" t="s">
        <v>48</v>
      </c>
      <c r="Y524" s="9" t="s">
        <v>722</v>
      </c>
      <c r="Z524" s="12"/>
      <c r="AA524" s="9">
        <v>1306266.0</v>
      </c>
      <c r="AB524" s="12"/>
      <c r="AC524" s="9" t="s">
        <v>50</v>
      </c>
    </row>
    <row r="525">
      <c r="A525" s="9" t="s">
        <v>33</v>
      </c>
      <c r="B525" s="11">
        <v>6.0</v>
      </c>
      <c r="C525" s="9" t="s">
        <v>43</v>
      </c>
      <c r="D525" s="9" t="s">
        <v>55</v>
      </c>
      <c r="E525" s="9" t="s">
        <v>56</v>
      </c>
      <c r="F525" s="9" t="s">
        <v>45</v>
      </c>
      <c r="G525" s="9" t="s">
        <v>46</v>
      </c>
      <c r="H525" s="9" t="s">
        <v>115</v>
      </c>
      <c r="I525" s="11">
        <v>8177165.0</v>
      </c>
      <c r="J525" s="11">
        <v>2.66806842E8</v>
      </c>
      <c r="K525" s="13">
        <v>46304.0</v>
      </c>
      <c r="L525" s="14">
        <v>46324.0</v>
      </c>
      <c r="M525" s="12"/>
      <c r="N525" s="9">
        <v>105.0</v>
      </c>
      <c r="O525" s="11">
        <v>13.0</v>
      </c>
      <c r="P525" s="9" t="s">
        <v>44</v>
      </c>
      <c r="Q525" s="12"/>
      <c r="R525" s="9" t="s">
        <v>90</v>
      </c>
      <c r="S525" s="9" t="s">
        <v>47</v>
      </c>
      <c r="T525" s="9" t="s">
        <v>44</v>
      </c>
      <c r="U525" s="9" t="s">
        <v>44</v>
      </c>
      <c r="V525" s="11">
        <v>71.9</v>
      </c>
      <c r="W525" s="11">
        <v>1.0</v>
      </c>
      <c r="X525" s="9" t="s">
        <v>48</v>
      </c>
      <c r="Y525" s="9" t="s">
        <v>723</v>
      </c>
      <c r="Z525" s="12"/>
      <c r="AA525" s="9">
        <v>1306184.0</v>
      </c>
      <c r="AB525" s="12"/>
      <c r="AC525" s="9" t="s">
        <v>50</v>
      </c>
    </row>
    <row r="526">
      <c r="A526" s="9" t="s">
        <v>33</v>
      </c>
      <c r="B526" s="11">
        <v>6.0</v>
      </c>
      <c r="C526" s="9" t="s">
        <v>43</v>
      </c>
      <c r="D526" s="9" t="s">
        <v>55</v>
      </c>
      <c r="E526" s="9" t="s">
        <v>56</v>
      </c>
      <c r="F526" s="9" t="s">
        <v>45</v>
      </c>
      <c r="G526" s="9" t="s">
        <v>46</v>
      </c>
      <c r="H526" s="9" t="s">
        <v>115</v>
      </c>
      <c r="I526" s="11">
        <v>8177134.0</v>
      </c>
      <c r="J526" s="11">
        <v>2.66806843E8</v>
      </c>
      <c r="K526" s="13">
        <v>46304.0</v>
      </c>
      <c r="L526" s="14">
        <v>46323.0</v>
      </c>
      <c r="M526" s="12"/>
      <c r="N526" s="9">
        <v>105.0</v>
      </c>
      <c r="O526" s="11">
        <v>12.0</v>
      </c>
      <c r="P526" s="9" t="s">
        <v>44</v>
      </c>
      <c r="Q526" s="12"/>
      <c r="R526" s="9" t="s">
        <v>90</v>
      </c>
      <c r="S526" s="9" t="s">
        <v>47</v>
      </c>
      <c r="T526" s="9" t="s">
        <v>44</v>
      </c>
      <c r="U526" s="9" t="s">
        <v>44</v>
      </c>
      <c r="V526" s="11">
        <v>71.9</v>
      </c>
      <c r="W526" s="11">
        <v>1.0</v>
      </c>
      <c r="X526" s="9" t="s">
        <v>48</v>
      </c>
      <c r="Y526" s="9" t="s">
        <v>724</v>
      </c>
      <c r="Z526" s="12"/>
      <c r="AA526" s="9">
        <v>1306190.0</v>
      </c>
      <c r="AB526" s="12"/>
      <c r="AC526" s="9" t="s">
        <v>50</v>
      </c>
    </row>
    <row r="527">
      <c r="A527" s="9" t="s">
        <v>33</v>
      </c>
      <c r="B527" s="11">
        <v>6.0</v>
      </c>
      <c r="C527" s="9" t="s">
        <v>43</v>
      </c>
      <c r="D527" s="9" t="s">
        <v>55</v>
      </c>
      <c r="E527" s="9" t="s">
        <v>56</v>
      </c>
      <c r="F527" s="9" t="s">
        <v>45</v>
      </c>
      <c r="G527" s="9" t="s">
        <v>46</v>
      </c>
      <c r="H527" s="9" t="s">
        <v>115</v>
      </c>
      <c r="I527" s="11">
        <v>8177199.0</v>
      </c>
      <c r="J527" s="11">
        <v>2.66806844E8</v>
      </c>
      <c r="K527" s="13">
        <v>46304.0</v>
      </c>
      <c r="L527" s="14">
        <v>46323.0</v>
      </c>
      <c r="M527" s="12"/>
      <c r="N527" s="9">
        <v>105.0</v>
      </c>
      <c r="O527" s="11">
        <v>12.0</v>
      </c>
      <c r="P527" s="9" t="s">
        <v>44</v>
      </c>
      <c r="Q527" s="12"/>
      <c r="R527" s="9" t="s">
        <v>90</v>
      </c>
      <c r="S527" s="9" t="s">
        <v>47</v>
      </c>
      <c r="T527" s="9" t="s">
        <v>44</v>
      </c>
      <c r="U527" s="9" t="s">
        <v>44</v>
      </c>
      <c r="V527" s="11">
        <v>71.9</v>
      </c>
      <c r="W527" s="11">
        <v>1.0</v>
      </c>
      <c r="X527" s="9" t="s">
        <v>48</v>
      </c>
      <c r="Y527" s="9" t="s">
        <v>725</v>
      </c>
      <c r="Z527" s="12"/>
      <c r="AA527" s="9">
        <v>1306241.0</v>
      </c>
      <c r="AB527" s="12"/>
      <c r="AC527" s="9" t="s">
        <v>50</v>
      </c>
    </row>
    <row r="528">
      <c r="A528" s="9" t="s">
        <v>33</v>
      </c>
      <c r="B528" s="11">
        <v>6.0</v>
      </c>
      <c r="C528" s="9" t="s">
        <v>43</v>
      </c>
      <c r="D528" s="9" t="s">
        <v>55</v>
      </c>
      <c r="E528" s="9" t="s">
        <v>56</v>
      </c>
      <c r="F528" s="9" t="s">
        <v>45</v>
      </c>
      <c r="G528" s="9" t="s">
        <v>46</v>
      </c>
      <c r="H528" s="9" t="s">
        <v>359</v>
      </c>
      <c r="I528" s="11">
        <v>8177258.0</v>
      </c>
      <c r="J528" s="11">
        <v>2.66806845E8</v>
      </c>
      <c r="K528" s="13">
        <v>46304.0</v>
      </c>
      <c r="L528" s="14">
        <v>46317.0</v>
      </c>
      <c r="M528" s="12"/>
      <c r="N528" s="9">
        <v>642.0</v>
      </c>
      <c r="O528" s="11">
        <v>8.0</v>
      </c>
      <c r="P528" s="9" t="s">
        <v>44</v>
      </c>
      <c r="Q528" s="12"/>
      <c r="R528" s="12"/>
      <c r="S528" s="9" t="s">
        <v>47</v>
      </c>
      <c r="T528" s="9" t="s">
        <v>44</v>
      </c>
      <c r="U528" s="9" t="s">
        <v>44</v>
      </c>
      <c r="V528" s="11">
        <v>45.49</v>
      </c>
      <c r="W528" s="11">
        <v>1.0</v>
      </c>
      <c r="X528" s="9" t="s">
        <v>48</v>
      </c>
      <c r="Y528" s="9" t="s">
        <v>726</v>
      </c>
      <c r="Z528" s="12"/>
      <c r="AA528" s="9">
        <v>1305768.0</v>
      </c>
      <c r="AB528" s="12"/>
      <c r="AC528" s="9" t="s">
        <v>50</v>
      </c>
    </row>
    <row r="529">
      <c r="A529" s="9" t="s">
        <v>33</v>
      </c>
      <c r="B529" s="11">
        <v>6.0</v>
      </c>
      <c r="C529" s="9" t="s">
        <v>43</v>
      </c>
      <c r="D529" s="9" t="s">
        <v>55</v>
      </c>
      <c r="E529" s="9" t="s">
        <v>56</v>
      </c>
      <c r="F529" s="9" t="s">
        <v>45</v>
      </c>
      <c r="G529" s="9" t="s">
        <v>46</v>
      </c>
      <c r="H529" s="9" t="s">
        <v>359</v>
      </c>
      <c r="I529" s="11">
        <v>8177135.0</v>
      </c>
      <c r="J529" s="11">
        <v>2.66806846E8</v>
      </c>
      <c r="K529" s="13">
        <v>46304.0</v>
      </c>
      <c r="L529" s="14">
        <v>46317.0</v>
      </c>
      <c r="M529" s="12"/>
      <c r="N529" s="9">
        <v>642.0</v>
      </c>
      <c r="O529" s="11">
        <v>8.0</v>
      </c>
      <c r="P529" s="9" t="s">
        <v>44</v>
      </c>
      <c r="Q529" s="12"/>
      <c r="R529" s="9" t="s">
        <v>52</v>
      </c>
      <c r="S529" s="9" t="s">
        <v>47</v>
      </c>
      <c r="T529" s="9" t="s">
        <v>44</v>
      </c>
      <c r="U529" s="9" t="s">
        <v>44</v>
      </c>
      <c r="V529" s="11">
        <v>45.49</v>
      </c>
      <c r="W529" s="11">
        <v>2.0</v>
      </c>
      <c r="X529" s="9" t="s">
        <v>48</v>
      </c>
      <c r="Y529" s="9" t="s">
        <v>727</v>
      </c>
      <c r="Z529" s="12"/>
      <c r="AA529" s="9">
        <v>1306092.0</v>
      </c>
      <c r="AB529" s="12"/>
      <c r="AC529" s="9" t="s">
        <v>50</v>
      </c>
    </row>
    <row r="530">
      <c r="A530" s="9" t="s">
        <v>33</v>
      </c>
      <c r="B530" s="11">
        <v>6.0</v>
      </c>
      <c r="C530" s="9" t="s">
        <v>43</v>
      </c>
      <c r="D530" s="9" t="s">
        <v>55</v>
      </c>
      <c r="E530" s="9" t="s">
        <v>56</v>
      </c>
      <c r="F530" s="9" t="s">
        <v>45</v>
      </c>
      <c r="G530" s="9" t="s">
        <v>46</v>
      </c>
      <c r="H530" s="9" t="s">
        <v>115</v>
      </c>
      <c r="I530" s="11">
        <v>8177200.0</v>
      </c>
      <c r="J530" s="11">
        <v>2.66806847E8</v>
      </c>
      <c r="K530" s="13">
        <v>46304.0</v>
      </c>
      <c r="L530" s="14">
        <v>46324.0</v>
      </c>
      <c r="M530" s="12"/>
      <c r="N530" s="9">
        <v>108.0</v>
      </c>
      <c r="O530" s="11">
        <v>13.0</v>
      </c>
      <c r="P530" s="9" t="s">
        <v>44</v>
      </c>
      <c r="Q530" s="12"/>
      <c r="R530" s="9" t="s">
        <v>90</v>
      </c>
      <c r="S530" s="9" t="s">
        <v>47</v>
      </c>
      <c r="T530" s="9" t="s">
        <v>44</v>
      </c>
      <c r="U530" s="9" t="s">
        <v>44</v>
      </c>
      <c r="V530" s="11">
        <v>71.9</v>
      </c>
      <c r="W530" s="11">
        <v>1.0</v>
      </c>
      <c r="X530" s="9" t="s">
        <v>48</v>
      </c>
      <c r="Y530" s="9" t="s">
        <v>728</v>
      </c>
      <c r="Z530" s="12"/>
      <c r="AA530" s="9">
        <v>1306247.0</v>
      </c>
      <c r="AB530" s="12"/>
      <c r="AC530" s="9" t="s">
        <v>50</v>
      </c>
    </row>
    <row r="531">
      <c r="A531" s="9" t="s">
        <v>33</v>
      </c>
      <c r="B531" s="11">
        <v>6.0</v>
      </c>
      <c r="C531" s="9" t="s">
        <v>43</v>
      </c>
      <c r="D531" s="9" t="s">
        <v>55</v>
      </c>
      <c r="E531" s="9" t="s">
        <v>56</v>
      </c>
      <c r="F531" s="9" t="s">
        <v>45</v>
      </c>
      <c r="G531" s="9" t="s">
        <v>46</v>
      </c>
      <c r="H531" s="9" t="s">
        <v>414</v>
      </c>
      <c r="I531" s="11">
        <v>8177259.0</v>
      </c>
      <c r="J531" s="11">
        <v>2.66806848E8</v>
      </c>
      <c r="K531" s="13">
        <v>46304.0</v>
      </c>
      <c r="L531" s="14">
        <v>46325.0</v>
      </c>
      <c r="M531" s="12"/>
      <c r="N531" s="9" t="s">
        <v>729</v>
      </c>
      <c r="O531" s="11">
        <v>14.0</v>
      </c>
      <c r="P531" s="9" t="s">
        <v>44</v>
      </c>
      <c r="Q531" s="12"/>
      <c r="R531" s="9" t="s">
        <v>90</v>
      </c>
      <c r="S531" s="9" t="s">
        <v>47</v>
      </c>
      <c r="T531" s="9" t="s">
        <v>44</v>
      </c>
      <c r="U531" s="9" t="s">
        <v>44</v>
      </c>
      <c r="V531" s="11">
        <v>71.9</v>
      </c>
      <c r="W531" s="11">
        <v>1.0</v>
      </c>
      <c r="X531" s="9" t="s">
        <v>48</v>
      </c>
      <c r="Y531" s="9" t="s">
        <v>730</v>
      </c>
      <c r="Z531" s="12"/>
      <c r="AA531" s="9">
        <v>1305925.0</v>
      </c>
      <c r="AB531" s="12"/>
      <c r="AC531" s="9" t="s">
        <v>50</v>
      </c>
    </row>
    <row r="532">
      <c r="A532" s="9" t="s">
        <v>33</v>
      </c>
      <c r="B532" s="11">
        <v>6.0</v>
      </c>
      <c r="C532" s="9" t="s">
        <v>43</v>
      </c>
      <c r="D532" s="9" t="s">
        <v>55</v>
      </c>
      <c r="E532" s="9" t="s">
        <v>56</v>
      </c>
      <c r="F532" s="9" t="s">
        <v>45</v>
      </c>
      <c r="G532" s="9" t="s">
        <v>46</v>
      </c>
      <c r="H532" s="9" t="s">
        <v>414</v>
      </c>
      <c r="I532" s="11">
        <v>8177297.0</v>
      </c>
      <c r="J532" s="11">
        <v>2.66806849E8</v>
      </c>
      <c r="K532" s="13">
        <v>46304.0</v>
      </c>
      <c r="L532" s="14">
        <v>46324.0</v>
      </c>
      <c r="M532" s="12"/>
      <c r="N532" s="9" t="s">
        <v>415</v>
      </c>
      <c r="O532" s="11">
        <v>13.0</v>
      </c>
      <c r="P532" s="9" t="s">
        <v>44</v>
      </c>
      <c r="Q532" s="12"/>
      <c r="R532" s="9" t="s">
        <v>90</v>
      </c>
      <c r="S532" s="9" t="s">
        <v>47</v>
      </c>
      <c r="T532" s="9" t="s">
        <v>44</v>
      </c>
      <c r="U532" s="9" t="s">
        <v>44</v>
      </c>
      <c r="V532" s="11">
        <v>71.9</v>
      </c>
      <c r="W532" s="11">
        <v>1.0</v>
      </c>
      <c r="X532" s="9" t="s">
        <v>48</v>
      </c>
      <c r="Y532" s="9" t="s">
        <v>731</v>
      </c>
      <c r="Z532" s="12"/>
      <c r="AA532" s="9">
        <v>1305873.0</v>
      </c>
      <c r="AB532" s="12"/>
      <c r="AC532" s="9" t="s">
        <v>50</v>
      </c>
    </row>
    <row r="533">
      <c r="A533" s="9" t="s">
        <v>33</v>
      </c>
      <c r="B533" s="11">
        <v>6.0</v>
      </c>
      <c r="C533" s="9" t="s">
        <v>43</v>
      </c>
      <c r="D533" s="9" t="s">
        <v>55</v>
      </c>
      <c r="E533" s="9" t="s">
        <v>56</v>
      </c>
      <c r="F533" s="9" t="s">
        <v>45</v>
      </c>
      <c r="G533" s="9" t="s">
        <v>46</v>
      </c>
      <c r="H533" s="9" t="s">
        <v>420</v>
      </c>
      <c r="I533" s="11">
        <v>8177166.0</v>
      </c>
      <c r="J533" s="11">
        <v>2.66806851E8</v>
      </c>
      <c r="K533" s="13">
        <v>46304.0</v>
      </c>
      <c r="L533" s="14">
        <v>46336.0</v>
      </c>
      <c r="M533" s="12"/>
      <c r="N533" s="9">
        <v>105.0</v>
      </c>
      <c r="O533" s="11">
        <v>20.0</v>
      </c>
      <c r="P533" s="9" t="s">
        <v>44</v>
      </c>
      <c r="Q533" s="12"/>
      <c r="R533" s="9" t="s">
        <v>90</v>
      </c>
      <c r="S533" s="9" t="s">
        <v>47</v>
      </c>
      <c r="T533" s="9" t="s">
        <v>44</v>
      </c>
      <c r="U533" s="9" t="s">
        <v>44</v>
      </c>
      <c r="V533" s="11">
        <v>71.9</v>
      </c>
      <c r="W533" s="11">
        <v>1.0</v>
      </c>
      <c r="X533" s="9" t="s">
        <v>48</v>
      </c>
      <c r="Y533" s="9" t="s">
        <v>732</v>
      </c>
      <c r="Z533" s="12"/>
      <c r="AA533" s="9">
        <v>1306153.0</v>
      </c>
      <c r="AB533" s="12"/>
      <c r="AC533" s="9" t="s">
        <v>50</v>
      </c>
    </row>
    <row r="534">
      <c r="A534" s="9" t="s">
        <v>33</v>
      </c>
      <c r="B534" s="11">
        <v>6.0</v>
      </c>
      <c r="C534" s="9" t="s">
        <v>43</v>
      </c>
      <c r="D534" s="9" t="s">
        <v>55</v>
      </c>
      <c r="E534" s="9" t="s">
        <v>56</v>
      </c>
      <c r="F534" s="9" t="s">
        <v>45</v>
      </c>
      <c r="G534" s="9" t="s">
        <v>46</v>
      </c>
      <c r="H534" s="9" t="s">
        <v>422</v>
      </c>
      <c r="I534" s="11">
        <v>8177201.0</v>
      </c>
      <c r="J534" s="11">
        <v>2.66806852E8</v>
      </c>
      <c r="K534" s="13">
        <v>46304.0</v>
      </c>
      <c r="L534" s="13">
        <v>46330.0</v>
      </c>
      <c r="M534" s="12"/>
      <c r="N534" s="9">
        <v>400.0</v>
      </c>
      <c r="O534" s="11">
        <v>15.0</v>
      </c>
      <c r="P534" s="9" t="s">
        <v>44</v>
      </c>
      <c r="Q534" s="12"/>
      <c r="R534" s="12"/>
      <c r="S534" s="9" t="s">
        <v>47</v>
      </c>
      <c r="T534" s="9" t="s">
        <v>44</v>
      </c>
      <c r="U534" s="9" t="s">
        <v>44</v>
      </c>
      <c r="V534" s="11">
        <v>71.9</v>
      </c>
      <c r="W534" s="11">
        <v>1.0</v>
      </c>
      <c r="X534" s="9" t="s">
        <v>48</v>
      </c>
      <c r="Y534" s="9" t="s">
        <v>733</v>
      </c>
      <c r="Z534" s="12"/>
      <c r="AA534" s="9">
        <v>1306044.0</v>
      </c>
      <c r="AB534" s="12"/>
      <c r="AC534" s="9" t="s">
        <v>50</v>
      </c>
    </row>
    <row r="535">
      <c r="A535" s="9" t="s">
        <v>33</v>
      </c>
      <c r="B535" s="11">
        <v>6.0</v>
      </c>
      <c r="C535" s="9" t="s">
        <v>43</v>
      </c>
      <c r="D535" s="9" t="s">
        <v>55</v>
      </c>
      <c r="E535" s="9" t="s">
        <v>56</v>
      </c>
      <c r="F535" s="9" t="s">
        <v>45</v>
      </c>
      <c r="G535" s="9" t="s">
        <v>46</v>
      </c>
      <c r="H535" s="9" t="s">
        <v>359</v>
      </c>
      <c r="I535" s="11">
        <v>8177260.0</v>
      </c>
      <c r="J535" s="11">
        <v>2.66806854E8</v>
      </c>
      <c r="K535" s="13">
        <v>46304.0</v>
      </c>
      <c r="L535" s="14">
        <v>46317.0</v>
      </c>
      <c r="M535" s="12"/>
      <c r="N535" s="9">
        <v>652.0</v>
      </c>
      <c r="O535" s="11">
        <v>8.0</v>
      </c>
      <c r="P535" s="9" t="s">
        <v>44</v>
      </c>
      <c r="Q535" s="12"/>
      <c r="R535" s="12"/>
      <c r="S535" s="9" t="s">
        <v>47</v>
      </c>
      <c r="T535" s="9" t="s">
        <v>44</v>
      </c>
      <c r="U535" s="9" t="s">
        <v>44</v>
      </c>
      <c r="V535" s="11">
        <v>45.49</v>
      </c>
      <c r="W535" s="11">
        <v>1.0</v>
      </c>
      <c r="X535" s="9" t="s">
        <v>48</v>
      </c>
      <c r="Y535" s="9" t="s">
        <v>734</v>
      </c>
      <c r="Z535" s="12"/>
      <c r="AA535" s="9">
        <v>1305895.0</v>
      </c>
      <c r="AB535" s="12"/>
      <c r="AC535" s="9" t="s">
        <v>50</v>
      </c>
    </row>
    <row r="536">
      <c r="A536" s="9" t="s">
        <v>33</v>
      </c>
      <c r="B536" s="11">
        <v>6.0</v>
      </c>
      <c r="C536" s="9" t="s">
        <v>43</v>
      </c>
      <c r="D536" s="9" t="s">
        <v>55</v>
      </c>
      <c r="E536" s="9" t="s">
        <v>56</v>
      </c>
      <c r="F536" s="9" t="s">
        <v>45</v>
      </c>
      <c r="G536" s="9" t="s">
        <v>46</v>
      </c>
      <c r="H536" s="9" t="s">
        <v>426</v>
      </c>
      <c r="I536" s="11">
        <v>8177326.0</v>
      </c>
      <c r="J536" s="11">
        <v>2.66806856E8</v>
      </c>
      <c r="K536" s="13">
        <v>46304.0</v>
      </c>
      <c r="L536" s="13">
        <v>46330.0</v>
      </c>
      <c r="M536" s="12"/>
      <c r="N536" s="9">
        <v>300.0</v>
      </c>
      <c r="O536" s="11">
        <v>16.0</v>
      </c>
      <c r="P536" s="9" t="s">
        <v>44</v>
      </c>
      <c r="Q536" s="12"/>
      <c r="R536" s="9" t="s">
        <v>90</v>
      </c>
      <c r="S536" s="9" t="s">
        <v>47</v>
      </c>
      <c r="T536" s="9" t="s">
        <v>44</v>
      </c>
      <c r="U536" s="9" t="s">
        <v>44</v>
      </c>
      <c r="V536" s="11">
        <v>71.87</v>
      </c>
      <c r="W536" s="11">
        <v>1.0</v>
      </c>
      <c r="X536" s="9" t="s">
        <v>48</v>
      </c>
      <c r="Y536" s="9" t="s">
        <v>735</v>
      </c>
      <c r="Z536" s="12"/>
      <c r="AA536" s="9">
        <v>1306149.0</v>
      </c>
      <c r="AB536" s="12"/>
      <c r="AC536" s="9" t="s">
        <v>50</v>
      </c>
    </row>
    <row r="537">
      <c r="A537" s="9" t="s">
        <v>33</v>
      </c>
      <c r="B537" s="11">
        <v>6.0</v>
      </c>
      <c r="C537" s="9" t="s">
        <v>43</v>
      </c>
      <c r="D537" s="9" t="s">
        <v>55</v>
      </c>
      <c r="E537" s="9" t="s">
        <v>56</v>
      </c>
      <c r="F537" s="9" t="s">
        <v>45</v>
      </c>
      <c r="G537" s="9" t="s">
        <v>46</v>
      </c>
      <c r="H537" s="9" t="s">
        <v>434</v>
      </c>
      <c r="I537" s="11">
        <v>8177298.0</v>
      </c>
      <c r="J537" s="11">
        <v>2.66806858E8</v>
      </c>
      <c r="K537" s="13">
        <v>46304.0</v>
      </c>
      <c r="L537" s="13">
        <v>46331.0</v>
      </c>
      <c r="M537" s="12"/>
      <c r="N537" s="9">
        <v>600.0</v>
      </c>
      <c r="O537" s="11">
        <v>17.0</v>
      </c>
      <c r="P537" s="9" t="s">
        <v>44</v>
      </c>
      <c r="Q537" s="12"/>
      <c r="R537" s="12"/>
      <c r="S537" s="9" t="s">
        <v>47</v>
      </c>
      <c r="T537" s="9" t="s">
        <v>44</v>
      </c>
      <c r="U537" s="9" t="s">
        <v>44</v>
      </c>
      <c r="V537" s="11">
        <v>71.87</v>
      </c>
      <c r="W537" s="11">
        <v>1.0</v>
      </c>
      <c r="X537" s="9" t="s">
        <v>48</v>
      </c>
      <c r="Y537" s="9" t="s">
        <v>736</v>
      </c>
      <c r="Z537" s="12"/>
      <c r="AA537" s="9">
        <v>1305690.0</v>
      </c>
      <c r="AB537" s="12"/>
      <c r="AC537" s="9" t="s">
        <v>50</v>
      </c>
    </row>
    <row r="538">
      <c r="A538" s="9" t="s">
        <v>33</v>
      </c>
      <c r="B538" s="11">
        <v>6.0</v>
      </c>
      <c r="C538" s="9" t="s">
        <v>43</v>
      </c>
      <c r="D538" s="9" t="s">
        <v>55</v>
      </c>
      <c r="E538" s="9" t="s">
        <v>56</v>
      </c>
      <c r="F538" s="9" t="s">
        <v>45</v>
      </c>
      <c r="G538" s="9" t="s">
        <v>46</v>
      </c>
      <c r="H538" s="9" t="s">
        <v>119</v>
      </c>
      <c r="I538" s="11">
        <v>8177167.0</v>
      </c>
      <c r="J538" s="11">
        <v>2.6680686E8</v>
      </c>
      <c r="K538" s="13">
        <v>46304.0</v>
      </c>
      <c r="L538" s="14">
        <v>46336.0</v>
      </c>
      <c r="M538" s="12"/>
      <c r="N538" s="9">
        <v>400.0</v>
      </c>
      <c r="O538" s="11">
        <v>20.0</v>
      </c>
      <c r="P538" s="9" t="s">
        <v>44</v>
      </c>
      <c r="Q538" s="12"/>
      <c r="R538" s="9" t="s">
        <v>90</v>
      </c>
      <c r="S538" s="9" t="s">
        <v>47</v>
      </c>
      <c r="T538" s="9" t="s">
        <v>44</v>
      </c>
      <c r="U538" s="9" t="s">
        <v>44</v>
      </c>
      <c r="V538" s="11">
        <v>169.36</v>
      </c>
      <c r="W538" s="11">
        <v>1.0</v>
      </c>
      <c r="X538" s="9" t="s">
        <v>48</v>
      </c>
      <c r="Y538" s="9" t="s">
        <v>737</v>
      </c>
      <c r="Z538" s="12"/>
      <c r="AA538" s="9">
        <v>1306249.0</v>
      </c>
      <c r="AB538" s="12"/>
      <c r="AC538" s="9" t="s">
        <v>50</v>
      </c>
    </row>
    <row r="539">
      <c r="A539" s="9" t="s">
        <v>33</v>
      </c>
      <c r="B539" s="11">
        <v>6.0</v>
      </c>
      <c r="C539" s="9" t="s">
        <v>43</v>
      </c>
      <c r="D539" s="9" t="s">
        <v>55</v>
      </c>
      <c r="E539" s="9" t="s">
        <v>56</v>
      </c>
      <c r="F539" s="9" t="s">
        <v>45</v>
      </c>
      <c r="G539" s="9" t="s">
        <v>46</v>
      </c>
      <c r="H539" s="9" t="s">
        <v>117</v>
      </c>
      <c r="I539" s="11">
        <v>8177261.0</v>
      </c>
      <c r="J539" s="11">
        <v>2.66806862E8</v>
      </c>
      <c r="K539" s="13">
        <v>46304.0</v>
      </c>
      <c r="L539" s="13">
        <v>46332.0</v>
      </c>
      <c r="M539" s="12"/>
      <c r="N539" s="9">
        <v>510.0</v>
      </c>
      <c r="O539" s="11">
        <v>18.0</v>
      </c>
      <c r="P539" s="9" t="s">
        <v>44</v>
      </c>
      <c r="Q539" s="12"/>
      <c r="R539" s="9" t="s">
        <v>90</v>
      </c>
      <c r="S539" s="9" t="s">
        <v>47</v>
      </c>
      <c r="T539" s="9" t="s">
        <v>44</v>
      </c>
      <c r="U539" s="9" t="s">
        <v>44</v>
      </c>
      <c r="V539" s="11">
        <v>71.87</v>
      </c>
      <c r="W539" s="11">
        <v>1.0</v>
      </c>
      <c r="X539" s="9" t="s">
        <v>48</v>
      </c>
      <c r="Y539" s="9" t="s">
        <v>738</v>
      </c>
      <c r="Z539" s="12"/>
      <c r="AA539" s="9">
        <v>1305993.0</v>
      </c>
      <c r="AB539" s="12"/>
      <c r="AC539" s="9" t="s">
        <v>50</v>
      </c>
    </row>
    <row r="540">
      <c r="A540" s="9" t="s">
        <v>33</v>
      </c>
      <c r="B540" s="11">
        <v>6.0</v>
      </c>
      <c r="C540" s="9" t="s">
        <v>43</v>
      </c>
      <c r="D540" s="9" t="s">
        <v>55</v>
      </c>
      <c r="E540" s="9" t="s">
        <v>56</v>
      </c>
      <c r="F540" s="9" t="s">
        <v>45</v>
      </c>
      <c r="G540" s="9" t="s">
        <v>46</v>
      </c>
      <c r="H540" s="9" t="s">
        <v>117</v>
      </c>
      <c r="I540" s="11">
        <v>8177228.0</v>
      </c>
      <c r="J540" s="11">
        <v>2.66806864E8</v>
      </c>
      <c r="K540" s="13">
        <v>46304.0</v>
      </c>
      <c r="L540" s="14">
        <v>46322.0</v>
      </c>
      <c r="M540" s="12"/>
      <c r="N540" s="9">
        <v>800.0</v>
      </c>
      <c r="O540" s="11">
        <v>11.0</v>
      </c>
      <c r="P540" s="9" t="s">
        <v>44</v>
      </c>
      <c r="Q540" s="12"/>
      <c r="R540" s="9" t="s">
        <v>90</v>
      </c>
      <c r="S540" s="9" t="s">
        <v>47</v>
      </c>
      <c r="T540" s="9" t="s">
        <v>44</v>
      </c>
      <c r="U540" s="9" t="s">
        <v>44</v>
      </c>
      <c r="V540" s="11">
        <v>71.87</v>
      </c>
      <c r="W540" s="11">
        <v>1.0</v>
      </c>
      <c r="X540" s="9" t="s">
        <v>48</v>
      </c>
      <c r="Y540" s="9" t="s">
        <v>739</v>
      </c>
      <c r="Z540" s="12"/>
      <c r="AA540" s="9">
        <v>1306004.0</v>
      </c>
      <c r="AB540" s="12"/>
      <c r="AC540" s="9" t="s">
        <v>50</v>
      </c>
    </row>
    <row r="541">
      <c r="A541" s="9" t="s">
        <v>33</v>
      </c>
      <c r="B541" s="11">
        <v>6.0</v>
      </c>
      <c r="C541" s="9" t="s">
        <v>43</v>
      </c>
      <c r="D541" s="9" t="s">
        <v>55</v>
      </c>
      <c r="E541" s="9" t="s">
        <v>56</v>
      </c>
      <c r="F541" s="9" t="s">
        <v>45</v>
      </c>
      <c r="G541" s="9" t="s">
        <v>46</v>
      </c>
      <c r="H541" s="9" t="s">
        <v>117</v>
      </c>
      <c r="I541" s="11">
        <v>8177117.0</v>
      </c>
      <c r="J541" s="11">
        <v>2.66806866E8</v>
      </c>
      <c r="K541" s="13">
        <v>46304.0</v>
      </c>
      <c r="L541" s="13">
        <v>46329.0</v>
      </c>
      <c r="M541" s="12"/>
      <c r="N541" s="9">
        <v>800.0</v>
      </c>
      <c r="O541" s="11">
        <v>15.0</v>
      </c>
      <c r="P541" s="9" t="s">
        <v>44</v>
      </c>
      <c r="Q541" s="12"/>
      <c r="R541" s="9" t="s">
        <v>90</v>
      </c>
      <c r="S541" s="9" t="s">
        <v>47</v>
      </c>
      <c r="T541" s="9" t="s">
        <v>44</v>
      </c>
      <c r="U541" s="9" t="s">
        <v>44</v>
      </c>
      <c r="V541" s="11">
        <v>71.87</v>
      </c>
      <c r="W541" s="11">
        <v>1.0</v>
      </c>
      <c r="X541" s="9" t="s">
        <v>48</v>
      </c>
      <c r="Y541" s="9" t="s">
        <v>740</v>
      </c>
      <c r="Z541" s="12"/>
      <c r="AA541" s="9">
        <v>1306246.0</v>
      </c>
      <c r="AB541" s="12"/>
      <c r="AC541" s="9" t="s">
        <v>50</v>
      </c>
    </row>
    <row r="542">
      <c r="A542" s="9" t="s">
        <v>33</v>
      </c>
      <c r="B542" s="11">
        <v>6.0</v>
      </c>
      <c r="C542" s="9" t="s">
        <v>43</v>
      </c>
      <c r="D542" s="9" t="s">
        <v>55</v>
      </c>
      <c r="E542" s="9" t="s">
        <v>56</v>
      </c>
      <c r="F542" s="9" t="s">
        <v>45</v>
      </c>
      <c r="G542" s="9" t="s">
        <v>46</v>
      </c>
      <c r="H542" s="9" t="s">
        <v>117</v>
      </c>
      <c r="I542" s="11">
        <v>8177136.0</v>
      </c>
      <c r="J542" s="11">
        <v>2.66806868E8</v>
      </c>
      <c r="K542" s="13">
        <v>46304.0</v>
      </c>
      <c r="L542" s="13">
        <v>46331.0</v>
      </c>
      <c r="M542" s="12"/>
      <c r="N542" s="9">
        <v>800.0</v>
      </c>
      <c r="O542" s="11">
        <v>17.0</v>
      </c>
      <c r="P542" s="9" t="s">
        <v>44</v>
      </c>
      <c r="Q542" s="12"/>
      <c r="R542" s="9" t="s">
        <v>90</v>
      </c>
      <c r="S542" s="9" t="s">
        <v>47</v>
      </c>
      <c r="T542" s="9" t="s">
        <v>44</v>
      </c>
      <c r="U542" s="9" t="s">
        <v>44</v>
      </c>
      <c r="V542" s="11">
        <v>71.87</v>
      </c>
      <c r="W542" s="11">
        <v>1.0</v>
      </c>
      <c r="X542" s="9" t="s">
        <v>48</v>
      </c>
      <c r="Y542" s="9" t="s">
        <v>741</v>
      </c>
      <c r="Z542" s="12"/>
      <c r="AA542" s="9">
        <v>1306090.0</v>
      </c>
      <c r="AB542" s="12"/>
      <c r="AC542" s="9" t="s">
        <v>50</v>
      </c>
    </row>
    <row r="543">
      <c r="A543" s="9" t="s">
        <v>33</v>
      </c>
      <c r="B543" s="11">
        <v>6.0</v>
      </c>
      <c r="C543" s="9" t="s">
        <v>43</v>
      </c>
      <c r="D543" s="9" t="s">
        <v>55</v>
      </c>
      <c r="E543" s="9" t="s">
        <v>56</v>
      </c>
      <c r="F543" s="9" t="s">
        <v>45</v>
      </c>
      <c r="G543" s="9" t="s">
        <v>46</v>
      </c>
      <c r="H543" s="9" t="s">
        <v>117</v>
      </c>
      <c r="I543" s="11">
        <v>8177352.0</v>
      </c>
      <c r="J543" s="11">
        <v>2.66806869E8</v>
      </c>
      <c r="K543" s="13">
        <v>46304.0</v>
      </c>
      <c r="L543" s="13">
        <v>46331.0</v>
      </c>
      <c r="M543" s="12"/>
      <c r="N543" s="9">
        <v>800.0</v>
      </c>
      <c r="O543" s="11">
        <v>17.0</v>
      </c>
      <c r="P543" s="9" t="s">
        <v>44</v>
      </c>
      <c r="Q543" s="12"/>
      <c r="R543" s="9" t="s">
        <v>90</v>
      </c>
      <c r="S543" s="9" t="s">
        <v>47</v>
      </c>
      <c r="T543" s="9" t="s">
        <v>44</v>
      </c>
      <c r="U543" s="9" t="s">
        <v>44</v>
      </c>
      <c r="V543" s="11">
        <v>71.87</v>
      </c>
      <c r="W543" s="11">
        <v>3.0</v>
      </c>
      <c r="X543" s="9" t="s">
        <v>48</v>
      </c>
      <c r="Y543" s="9" t="s">
        <v>742</v>
      </c>
      <c r="Z543" s="12"/>
      <c r="AA543" s="9">
        <v>1305983.0</v>
      </c>
      <c r="AB543" s="12"/>
      <c r="AC543" s="9" t="s">
        <v>50</v>
      </c>
    </row>
    <row r="544">
      <c r="A544" s="9" t="s">
        <v>33</v>
      </c>
      <c r="B544" s="11">
        <v>6.0</v>
      </c>
      <c r="C544" s="9" t="s">
        <v>43</v>
      </c>
      <c r="D544" s="9" t="s">
        <v>55</v>
      </c>
      <c r="E544" s="9" t="s">
        <v>56</v>
      </c>
      <c r="F544" s="9" t="s">
        <v>45</v>
      </c>
      <c r="G544" s="9" t="s">
        <v>46</v>
      </c>
      <c r="H544" s="9" t="s">
        <v>117</v>
      </c>
      <c r="I544" s="11">
        <v>8177353.0</v>
      </c>
      <c r="J544" s="11">
        <v>2.66806871E8</v>
      </c>
      <c r="K544" s="13">
        <v>46304.0</v>
      </c>
      <c r="L544" s="13">
        <v>46331.0</v>
      </c>
      <c r="M544" s="12"/>
      <c r="N544" s="9">
        <v>600.0</v>
      </c>
      <c r="O544" s="11">
        <v>17.0</v>
      </c>
      <c r="P544" s="9" t="s">
        <v>44</v>
      </c>
      <c r="Q544" s="12"/>
      <c r="R544" s="9" t="s">
        <v>90</v>
      </c>
      <c r="S544" s="9" t="s">
        <v>47</v>
      </c>
      <c r="T544" s="9" t="s">
        <v>44</v>
      </c>
      <c r="U544" s="9" t="s">
        <v>44</v>
      </c>
      <c r="V544" s="11">
        <v>71.87</v>
      </c>
      <c r="W544" s="11">
        <v>1.0</v>
      </c>
      <c r="X544" s="9" t="s">
        <v>48</v>
      </c>
      <c r="Y544" s="9" t="s">
        <v>743</v>
      </c>
      <c r="Z544" s="12"/>
      <c r="AA544" s="9">
        <v>1305989.0</v>
      </c>
      <c r="AB544" s="12"/>
      <c r="AC544" s="9" t="s">
        <v>50</v>
      </c>
    </row>
    <row r="545">
      <c r="A545" s="9" t="s">
        <v>33</v>
      </c>
      <c r="B545" s="11">
        <v>6.0</v>
      </c>
      <c r="C545" s="9" t="s">
        <v>43</v>
      </c>
      <c r="D545" s="9" t="s">
        <v>55</v>
      </c>
      <c r="E545" s="9" t="s">
        <v>56</v>
      </c>
      <c r="F545" s="9" t="s">
        <v>45</v>
      </c>
      <c r="G545" s="9" t="s">
        <v>46</v>
      </c>
      <c r="H545" s="9" t="s">
        <v>441</v>
      </c>
      <c r="I545" s="11">
        <v>8177168.0</v>
      </c>
      <c r="J545" s="11">
        <v>2.66806873E8</v>
      </c>
      <c r="K545" s="13">
        <v>46304.0</v>
      </c>
      <c r="L545" s="13">
        <v>46359.0</v>
      </c>
      <c r="M545" s="12"/>
      <c r="N545" s="9">
        <v>103.0</v>
      </c>
      <c r="O545" s="11">
        <v>36.0</v>
      </c>
      <c r="P545" s="9" t="s">
        <v>44</v>
      </c>
      <c r="Q545" s="12"/>
      <c r="R545" s="12"/>
      <c r="S545" s="9" t="s">
        <v>47</v>
      </c>
      <c r="T545" s="9" t="s">
        <v>44</v>
      </c>
      <c r="U545" s="9" t="s">
        <v>44</v>
      </c>
      <c r="V545" s="11">
        <v>118.27</v>
      </c>
      <c r="W545" s="11">
        <v>1.0</v>
      </c>
      <c r="X545" s="9" t="s">
        <v>48</v>
      </c>
      <c r="Y545" s="9" t="s">
        <v>744</v>
      </c>
      <c r="Z545" s="12"/>
      <c r="AA545" s="9">
        <v>1306167.0</v>
      </c>
      <c r="AB545" s="12"/>
      <c r="AC545" s="9" t="s">
        <v>50</v>
      </c>
    </row>
    <row r="546">
      <c r="A546" s="9" t="s">
        <v>33</v>
      </c>
      <c r="B546" s="11">
        <v>6.0</v>
      </c>
      <c r="C546" s="9" t="s">
        <v>43</v>
      </c>
      <c r="D546" s="9" t="s">
        <v>55</v>
      </c>
      <c r="E546" s="9" t="s">
        <v>56</v>
      </c>
      <c r="F546" s="9" t="s">
        <v>45</v>
      </c>
      <c r="G546" s="9" t="s">
        <v>46</v>
      </c>
      <c r="H546" s="9" t="s">
        <v>441</v>
      </c>
      <c r="I546" s="11">
        <v>8177262.0</v>
      </c>
      <c r="J546" s="11">
        <v>2.66806875E8</v>
      </c>
      <c r="K546" s="13">
        <v>46304.0</v>
      </c>
      <c r="L546" s="13">
        <v>46360.0</v>
      </c>
      <c r="M546" s="12"/>
      <c r="N546" s="9">
        <v>103.0</v>
      </c>
      <c r="O546" s="11">
        <v>37.0</v>
      </c>
      <c r="P546" s="9" t="s">
        <v>44</v>
      </c>
      <c r="Q546" s="12"/>
      <c r="R546" s="12"/>
      <c r="S546" s="9" t="s">
        <v>47</v>
      </c>
      <c r="T546" s="9" t="s">
        <v>44</v>
      </c>
      <c r="U546" s="9" t="s">
        <v>44</v>
      </c>
      <c r="V546" s="11">
        <v>264.02</v>
      </c>
      <c r="W546" s="11">
        <v>1.0</v>
      </c>
      <c r="X546" s="9" t="s">
        <v>48</v>
      </c>
      <c r="Y546" s="9" t="s">
        <v>745</v>
      </c>
      <c r="Z546" s="12"/>
      <c r="AA546" s="9">
        <v>1305955.0</v>
      </c>
      <c r="AB546" s="12"/>
      <c r="AC546" s="9" t="s">
        <v>50</v>
      </c>
    </row>
    <row r="547">
      <c r="A547" s="9" t="s">
        <v>33</v>
      </c>
      <c r="B547" s="11">
        <v>6.0</v>
      </c>
      <c r="C547" s="9" t="s">
        <v>43</v>
      </c>
      <c r="D547" s="9" t="s">
        <v>55</v>
      </c>
      <c r="E547" s="9" t="s">
        <v>56</v>
      </c>
      <c r="F547" s="9" t="s">
        <v>45</v>
      </c>
      <c r="G547" s="9" t="s">
        <v>46</v>
      </c>
      <c r="H547" s="9" t="s">
        <v>441</v>
      </c>
      <c r="I547" s="11">
        <v>8177229.0</v>
      </c>
      <c r="J547" s="11">
        <v>2.66806877E8</v>
      </c>
      <c r="K547" s="13">
        <v>46304.0</v>
      </c>
      <c r="L547" s="13">
        <v>46363.0</v>
      </c>
      <c r="M547" s="12"/>
      <c r="N547" s="9">
        <v>103.0</v>
      </c>
      <c r="O547" s="11">
        <v>38.0</v>
      </c>
      <c r="P547" s="9" t="s">
        <v>44</v>
      </c>
      <c r="Q547" s="12"/>
      <c r="R547" s="12"/>
      <c r="S547" s="9" t="s">
        <v>47</v>
      </c>
      <c r="T547" s="9" t="s">
        <v>44</v>
      </c>
      <c r="U547" s="9" t="s">
        <v>44</v>
      </c>
      <c r="V547" s="11">
        <v>264.02</v>
      </c>
      <c r="W547" s="11">
        <v>1.0</v>
      </c>
      <c r="X547" s="9" t="s">
        <v>48</v>
      </c>
      <c r="Y547" s="9" t="s">
        <v>746</v>
      </c>
      <c r="Z547" s="12"/>
      <c r="AA547" s="9">
        <v>1305970.0</v>
      </c>
      <c r="AB547" s="12"/>
      <c r="AC547" s="9" t="s">
        <v>50</v>
      </c>
    </row>
    <row r="548">
      <c r="A548" s="9" t="s">
        <v>33</v>
      </c>
      <c r="B548" s="11">
        <v>6.0</v>
      </c>
      <c r="C548" s="9" t="s">
        <v>43</v>
      </c>
      <c r="D548" s="9" t="s">
        <v>55</v>
      </c>
      <c r="E548" s="9" t="s">
        <v>56</v>
      </c>
      <c r="F548" s="9" t="s">
        <v>45</v>
      </c>
      <c r="G548" s="9" t="s">
        <v>46</v>
      </c>
      <c r="H548" s="9" t="s">
        <v>128</v>
      </c>
      <c r="I548" s="11">
        <v>8177299.0</v>
      </c>
      <c r="J548" s="11">
        <v>2.66806879E8</v>
      </c>
      <c r="K548" s="13">
        <v>46304.0</v>
      </c>
      <c r="L548" s="14">
        <v>46353.0</v>
      </c>
      <c r="M548" s="12"/>
      <c r="N548" s="9">
        <v>1.0</v>
      </c>
      <c r="O548" s="11">
        <v>32.0</v>
      </c>
      <c r="P548" s="9" t="s">
        <v>44</v>
      </c>
      <c r="Q548" s="12"/>
      <c r="R548" s="12"/>
      <c r="S548" s="9" t="s">
        <v>47</v>
      </c>
      <c r="T548" s="9" t="s">
        <v>44</v>
      </c>
      <c r="U548" s="9" t="s">
        <v>44</v>
      </c>
      <c r="V548" s="11">
        <v>118.27</v>
      </c>
      <c r="W548" s="11">
        <v>1.0</v>
      </c>
      <c r="X548" s="9" t="s">
        <v>48</v>
      </c>
      <c r="Y548" s="9" t="s">
        <v>747</v>
      </c>
      <c r="Z548" s="12"/>
      <c r="AA548" s="9">
        <v>1305812.0</v>
      </c>
      <c r="AB548" s="12"/>
      <c r="AC548" s="9" t="s">
        <v>50</v>
      </c>
    </row>
    <row r="549">
      <c r="A549" s="9" t="s">
        <v>33</v>
      </c>
      <c r="B549" s="11">
        <v>6.0</v>
      </c>
      <c r="C549" s="9" t="s">
        <v>43</v>
      </c>
      <c r="D549" s="9" t="s">
        <v>55</v>
      </c>
      <c r="E549" s="9" t="s">
        <v>56</v>
      </c>
      <c r="F549" s="9" t="s">
        <v>45</v>
      </c>
      <c r="G549" s="9" t="s">
        <v>46</v>
      </c>
      <c r="H549" s="9" t="s">
        <v>128</v>
      </c>
      <c r="I549" s="11">
        <v>8177300.0</v>
      </c>
      <c r="J549" s="11">
        <v>2.66806881E8</v>
      </c>
      <c r="K549" s="13">
        <v>46304.0</v>
      </c>
      <c r="L549" s="14">
        <v>46353.0</v>
      </c>
      <c r="M549" s="12"/>
      <c r="N549" s="9">
        <v>1.0</v>
      </c>
      <c r="O549" s="11">
        <v>32.0</v>
      </c>
      <c r="P549" s="9" t="s">
        <v>44</v>
      </c>
      <c r="Q549" s="12"/>
      <c r="R549" s="12"/>
      <c r="S549" s="9" t="s">
        <v>47</v>
      </c>
      <c r="T549" s="9" t="s">
        <v>44</v>
      </c>
      <c r="U549" s="9" t="s">
        <v>44</v>
      </c>
      <c r="V549" s="11">
        <v>118.27</v>
      </c>
      <c r="W549" s="11">
        <v>1.0</v>
      </c>
      <c r="X549" s="9" t="s">
        <v>48</v>
      </c>
      <c r="Y549" s="9" t="s">
        <v>748</v>
      </c>
      <c r="Z549" s="12"/>
      <c r="AA549" s="9">
        <v>1305814.0</v>
      </c>
      <c r="AB549" s="12"/>
      <c r="AC549" s="9" t="s">
        <v>50</v>
      </c>
    </row>
    <row r="550">
      <c r="A550" s="9" t="s">
        <v>33</v>
      </c>
      <c r="B550" s="11">
        <v>6.0</v>
      </c>
      <c r="C550" s="9" t="s">
        <v>43</v>
      </c>
      <c r="D550" s="9" t="s">
        <v>55</v>
      </c>
      <c r="E550" s="9" t="s">
        <v>56</v>
      </c>
      <c r="F550" s="9" t="s">
        <v>45</v>
      </c>
      <c r="G550" s="9" t="s">
        <v>46</v>
      </c>
      <c r="H550" s="9" t="s">
        <v>128</v>
      </c>
      <c r="I550" s="11">
        <v>8177301.0</v>
      </c>
      <c r="J550" s="11">
        <v>2.66806883E8</v>
      </c>
      <c r="K550" s="13">
        <v>46304.0</v>
      </c>
      <c r="L550" s="14">
        <v>46353.0</v>
      </c>
      <c r="M550" s="12"/>
      <c r="N550" s="9">
        <v>1.0</v>
      </c>
      <c r="O550" s="11">
        <v>32.0</v>
      </c>
      <c r="P550" s="9" t="s">
        <v>44</v>
      </c>
      <c r="Q550" s="12"/>
      <c r="R550" s="12"/>
      <c r="S550" s="9" t="s">
        <v>47</v>
      </c>
      <c r="T550" s="9" t="s">
        <v>44</v>
      </c>
      <c r="U550" s="9" t="s">
        <v>44</v>
      </c>
      <c r="V550" s="11">
        <v>118.27</v>
      </c>
      <c r="W550" s="11">
        <v>1.0</v>
      </c>
      <c r="X550" s="9" t="s">
        <v>48</v>
      </c>
      <c r="Y550" s="9" t="s">
        <v>747</v>
      </c>
      <c r="Z550" s="12"/>
      <c r="AA550" s="9">
        <v>1305813.0</v>
      </c>
      <c r="AB550" s="12"/>
      <c r="AC550" s="9" t="s">
        <v>50</v>
      </c>
    </row>
    <row r="551">
      <c r="A551" s="9" t="s">
        <v>33</v>
      </c>
      <c r="B551" s="11">
        <v>6.0</v>
      </c>
      <c r="C551" s="9" t="s">
        <v>43</v>
      </c>
      <c r="D551" s="9" t="s">
        <v>55</v>
      </c>
      <c r="E551" s="9" t="s">
        <v>56</v>
      </c>
      <c r="F551" s="9" t="s">
        <v>45</v>
      </c>
      <c r="G551" s="9" t="s">
        <v>46</v>
      </c>
      <c r="H551" s="9" t="s">
        <v>444</v>
      </c>
      <c r="I551" s="11">
        <v>8177263.0</v>
      </c>
      <c r="J551" s="11">
        <v>2.66806885E8</v>
      </c>
      <c r="K551" s="13">
        <v>46304.0</v>
      </c>
      <c r="L551" s="14">
        <v>46316.0</v>
      </c>
      <c r="M551" s="12"/>
      <c r="N551" s="9">
        <v>3.0</v>
      </c>
      <c r="O551" s="11">
        <v>7.0</v>
      </c>
      <c r="P551" s="9" t="s">
        <v>44</v>
      </c>
      <c r="Q551" s="12"/>
      <c r="R551" s="12"/>
      <c r="S551" s="9" t="s">
        <v>47</v>
      </c>
      <c r="T551" s="9" t="s">
        <v>44</v>
      </c>
      <c r="U551" s="9" t="s">
        <v>44</v>
      </c>
      <c r="V551" s="11">
        <v>51.54</v>
      </c>
      <c r="W551" s="11">
        <v>1.0</v>
      </c>
      <c r="X551" s="9" t="s">
        <v>48</v>
      </c>
      <c r="Y551" s="9" t="s">
        <v>749</v>
      </c>
      <c r="Z551" s="12"/>
      <c r="AA551" s="9">
        <v>1306064.0</v>
      </c>
      <c r="AB551" s="12"/>
      <c r="AC551" s="9" t="s">
        <v>50</v>
      </c>
    </row>
    <row r="552">
      <c r="A552" s="9" t="s">
        <v>33</v>
      </c>
      <c r="B552" s="11">
        <v>6.0</v>
      </c>
      <c r="C552" s="9" t="s">
        <v>43</v>
      </c>
      <c r="D552" s="9" t="s">
        <v>55</v>
      </c>
      <c r="E552" s="9" t="s">
        <v>56</v>
      </c>
      <c r="F552" s="9" t="s">
        <v>45</v>
      </c>
      <c r="G552" s="9" t="s">
        <v>46</v>
      </c>
      <c r="H552" s="9" t="s">
        <v>222</v>
      </c>
      <c r="I552" s="11">
        <v>8177264.0</v>
      </c>
      <c r="J552" s="11">
        <v>2.66806887E8</v>
      </c>
      <c r="K552" s="13">
        <v>46304.0</v>
      </c>
      <c r="L552" s="14">
        <v>46316.0</v>
      </c>
      <c r="M552" s="12"/>
      <c r="N552" s="9">
        <v>2701.0</v>
      </c>
      <c r="O552" s="11">
        <v>7.0</v>
      </c>
      <c r="P552" s="9" t="s">
        <v>44</v>
      </c>
      <c r="Q552" s="12"/>
      <c r="R552" s="12"/>
      <c r="S552" s="9" t="s">
        <v>47</v>
      </c>
      <c r="T552" s="9" t="s">
        <v>44</v>
      </c>
      <c r="U552" s="9" t="s">
        <v>44</v>
      </c>
      <c r="V552" s="11">
        <v>45.49</v>
      </c>
      <c r="W552" s="11">
        <v>1.0</v>
      </c>
      <c r="X552" s="9" t="s">
        <v>48</v>
      </c>
      <c r="Y552" s="9" t="s">
        <v>750</v>
      </c>
      <c r="Z552" s="12"/>
      <c r="AA552" s="9">
        <v>1306168.0</v>
      </c>
      <c r="AB552" s="12"/>
      <c r="AC552" s="9" t="s">
        <v>50</v>
      </c>
    </row>
    <row r="553">
      <c r="A553" s="9" t="s">
        <v>33</v>
      </c>
      <c r="B553" s="11">
        <v>6.0</v>
      </c>
      <c r="C553" s="9" t="s">
        <v>43</v>
      </c>
      <c r="D553" s="9" t="s">
        <v>55</v>
      </c>
      <c r="E553" s="9" t="s">
        <v>56</v>
      </c>
      <c r="F553" s="9" t="s">
        <v>45</v>
      </c>
      <c r="G553" s="9" t="s">
        <v>46</v>
      </c>
      <c r="H553" s="9" t="s">
        <v>444</v>
      </c>
      <c r="I553" s="11">
        <v>8177327.0</v>
      </c>
      <c r="J553" s="11">
        <v>2.66806889E8</v>
      </c>
      <c r="K553" s="13">
        <v>46304.0</v>
      </c>
      <c r="L553" s="14">
        <v>46316.0</v>
      </c>
      <c r="M553" s="12"/>
      <c r="N553" s="9">
        <v>3.0</v>
      </c>
      <c r="O553" s="11">
        <v>7.0</v>
      </c>
      <c r="P553" s="9" t="s">
        <v>44</v>
      </c>
      <c r="Q553" s="12"/>
      <c r="R553" s="9" t="s">
        <v>52</v>
      </c>
      <c r="S553" s="9" t="s">
        <v>47</v>
      </c>
      <c r="T553" s="9" t="s">
        <v>44</v>
      </c>
      <c r="U553" s="9" t="s">
        <v>44</v>
      </c>
      <c r="V553" s="11">
        <v>51.54</v>
      </c>
      <c r="W553" s="11">
        <v>1.0</v>
      </c>
      <c r="X553" s="9" t="s">
        <v>48</v>
      </c>
      <c r="Y553" s="9" t="s">
        <v>447</v>
      </c>
      <c r="Z553" s="12"/>
      <c r="AA553" s="9">
        <v>1306005.0</v>
      </c>
      <c r="AB553" s="12"/>
      <c r="AC553" s="9" t="s">
        <v>50</v>
      </c>
    </row>
    <row r="554">
      <c r="A554" s="9" t="s">
        <v>33</v>
      </c>
      <c r="B554" s="11">
        <v>6.0</v>
      </c>
      <c r="C554" s="9" t="s">
        <v>43</v>
      </c>
      <c r="D554" s="9" t="s">
        <v>55</v>
      </c>
      <c r="E554" s="9" t="s">
        <v>56</v>
      </c>
      <c r="F554" s="9" t="s">
        <v>45</v>
      </c>
      <c r="G554" s="9" t="s">
        <v>46</v>
      </c>
      <c r="H554" s="9" t="s">
        <v>444</v>
      </c>
      <c r="I554" s="11">
        <v>8177230.0</v>
      </c>
      <c r="J554" s="11">
        <v>2.66806891E8</v>
      </c>
      <c r="K554" s="13">
        <v>46304.0</v>
      </c>
      <c r="L554" s="14">
        <v>46316.0</v>
      </c>
      <c r="M554" s="12"/>
      <c r="N554" s="9">
        <v>21.0</v>
      </c>
      <c r="O554" s="11">
        <v>7.0</v>
      </c>
      <c r="P554" s="9" t="s">
        <v>44</v>
      </c>
      <c r="Q554" s="12"/>
      <c r="R554" s="12"/>
      <c r="S554" s="9" t="s">
        <v>47</v>
      </c>
      <c r="T554" s="9" t="s">
        <v>44</v>
      </c>
      <c r="U554" s="9" t="s">
        <v>44</v>
      </c>
      <c r="V554" s="11">
        <v>51.54</v>
      </c>
      <c r="W554" s="11">
        <v>1.0</v>
      </c>
      <c r="X554" s="9" t="s">
        <v>48</v>
      </c>
      <c r="Y554" s="9" t="s">
        <v>449</v>
      </c>
      <c r="Z554" s="12"/>
      <c r="AA554" s="9">
        <v>1306150.0</v>
      </c>
      <c r="AB554" s="12"/>
      <c r="AC554" s="9" t="s">
        <v>50</v>
      </c>
    </row>
    <row r="555">
      <c r="A555" s="9" t="s">
        <v>33</v>
      </c>
      <c r="B555" s="11">
        <v>6.0</v>
      </c>
      <c r="C555" s="9" t="s">
        <v>43</v>
      </c>
      <c r="D555" s="9" t="s">
        <v>55</v>
      </c>
      <c r="E555" s="9" t="s">
        <v>56</v>
      </c>
      <c r="F555" s="9" t="s">
        <v>45</v>
      </c>
      <c r="G555" s="9" t="s">
        <v>46</v>
      </c>
      <c r="H555" s="9" t="s">
        <v>444</v>
      </c>
      <c r="I555" s="11">
        <v>8177202.0</v>
      </c>
      <c r="J555" s="11">
        <v>2.66806893E8</v>
      </c>
      <c r="K555" s="13">
        <v>46304.0</v>
      </c>
      <c r="L555" s="14">
        <v>46316.0</v>
      </c>
      <c r="M555" s="12"/>
      <c r="N555" s="9">
        <v>21.0</v>
      </c>
      <c r="O555" s="11">
        <v>7.0</v>
      </c>
      <c r="P555" s="9" t="s">
        <v>44</v>
      </c>
      <c r="Q555" s="12"/>
      <c r="R555" s="12"/>
      <c r="S555" s="9" t="s">
        <v>47</v>
      </c>
      <c r="T555" s="9" t="s">
        <v>44</v>
      </c>
      <c r="U555" s="9" t="s">
        <v>44</v>
      </c>
      <c r="V555" s="11">
        <v>51.54</v>
      </c>
      <c r="W555" s="11">
        <v>1.0</v>
      </c>
      <c r="X555" s="9" t="s">
        <v>48</v>
      </c>
      <c r="Y555" s="9" t="s">
        <v>751</v>
      </c>
      <c r="Z555" s="12"/>
      <c r="AA555" s="9">
        <v>1306220.0</v>
      </c>
      <c r="AB555" s="12"/>
      <c r="AC555" s="9" t="s">
        <v>50</v>
      </c>
    </row>
    <row r="556">
      <c r="A556" s="9" t="s">
        <v>33</v>
      </c>
      <c r="B556" s="11">
        <v>6.0</v>
      </c>
      <c r="C556" s="9" t="s">
        <v>43</v>
      </c>
      <c r="D556" s="9" t="s">
        <v>55</v>
      </c>
      <c r="E556" s="9" t="s">
        <v>56</v>
      </c>
      <c r="F556" s="9" t="s">
        <v>45</v>
      </c>
      <c r="G556" s="9" t="s">
        <v>46</v>
      </c>
      <c r="H556" s="9" t="s">
        <v>450</v>
      </c>
      <c r="I556" s="11">
        <v>8177354.0</v>
      </c>
      <c r="J556" s="11">
        <v>2.66806895E8</v>
      </c>
      <c r="K556" s="13">
        <v>46304.0</v>
      </c>
      <c r="L556" s="14">
        <v>46316.0</v>
      </c>
      <c r="M556" s="12"/>
      <c r="N556" s="9">
        <v>23.0</v>
      </c>
      <c r="O556" s="11">
        <v>7.0</v>
      </c>
      <c r="P556" s="9" t="s">
        <v>44</v>
      </c>
      <c r="Q556" s="12"/>
      <c r="R556" s="9" t="s">
        <v>52</v>
      </c>
      <c r="S556" s="9" t="s">
        <v>47</v>
      </c>
      <c r="T556" s="9" t="s">
        <v>44</v>
      </c>
      <c r="U556" s="9" t="s">
        <v>44</v>
      </c>
      <c r="V556" s="11">
        <v>152.41</v>
      </c>
      <c r="W556" s="11">
        <v>9.0</v>
      </c>
      <c r="X556" s="9" t="s">
        <v>48</v>
      </c>
      <c r="Y556" s="9" t="s">
        <v>752</v>
      </c>
      <c r="Z556" s="12"/>
      <c r="AA556" s="9">
        <v>1306285.0</v>
      </c>
      <c r="AB556" s="12"/>
      <c r="AC556" s="9" t="s">
        <v>50</v>
      </c>
    </row>
    <row r="557">
      <c r="A557" s="9" t="s">
        <v>33</v>
      </c>
      <c r="B557" s="11">
        <v>6.0</v>
      </c>
      <c r="C557" s="9" t="s">
        <v>43</v>
      </c>
      <c r="D557" s="9" t="s">
        <v>55</v>
      </c>
      <c r="E557" s="9" t="s">
        <v>56</v>
      </c>
      <c r="F557" s="9" t="s">
        <v>45</v>
      </c>
      <c r="G557" s="9" t="s">
        <v>46</v>
      </c>
      <c r="H557" s="9" t="s">
        <v>450</v>
      </c>
      <c r="I557" s="11">
        <v>8177328.0</v>
      </c>
      <c r="J557" s="11">
        <v>2.66806897E8</v>
      </c>
      <c r="K557" s="13">
        <v>46304.0</v>
      </c>
      <c r="L557" s="14">
        <v>46323.0</v>
      </c>
      <c r="M557" s="12"/>
      <c r="N557" s="9">
        <v>27.0</v>
      </c>
      <c r="O557" s="11">
        <v>12.0</v>
      </c>
      <c r="P557" s="9" t="s">
        <v>44</v>
      </c>
      <c r="Q557" s="12"/>
      <c r="R557" s="9" t="s">
        <v>52</v>
      </c>
      <c r="S557" s="9" t="s">
        <v>47</v>
      </c>
      <c r="T557" s="9" t="s">
        <v>44</v>
      </c>
      <c r="U557" s="9" t="s">
        <v>44</v>
      </c>
      <c r="V557" s="11">
        <v>153.74</v>
      </c>
      <c r="W557" s="11">
        <v>7.0</v>
      </c>
      <c r="X557" s="9" t="s">
        <v>48</v>
      </c>
      <c r="Y557" s="9" t="s">
        <v>753</v>
      </c>
      <c r="Z557" s="12"/>
      <c r="AA557" s="9">
        <v>1306118.0</v>
      </c>
      <c r="AB557" s="12"/>
      <c r="AC557" s="9" t="s">
        <v>50</v>
      </c>
    </row>
    <row r="558">
      <c r="A558" s="9" t="s">
        <v>33</v>
      </c>
      <c r="B558" s="11">
        <v>6.0</v>
      </c>
      <c r="C558" s="9" t="s">
        <v>43</v>
      </c>
      <c r="D558" s="9" t="s">
        <v>55</v>
      </c>
      <c r="E558" s="9" t="s">
        <v>56</v>
      </c>
      <c r="F558" s="9" t="s">
        <v>45</v>
      </c>
      <c r="G558" s="9" t="s">
        <v>46</v>
      </c>
      <c r="H558" s="9" t="s">
        <v>450</v>
      </c>
      <c r="I558" s="11">
        <v>8177329.0</v>
      </c>
      <c r="J558" s="11">
        <v>2.66806898E8</v>
      </c>
      <c r="K558" s="13">
        <v>46304.0</v>
      </c>
      <c r="L558" s="14">
        <v>46321.0</v>
      </c>
      <c r="M558" s="12"/>
      <c r="N558" s="9">
        <v>26.0</v>
      </c>
      <c r="O558" s="11">
        <v>10.0</v>
      </c>
      <c r="P558" s="9" t="s">
        <v>44</v>
      </c>
      <c r="Q558" s="12"/>
      <c r="R558" s="9" t="s">
        <v>52</v>
      </c>
      <c r="S558" s="9" t="s">
        <v>47</v>
      </c>
      <c r="T558" s="9" t="s">
        <v>44</v>
      </c>
      <c r="U558" s="9" t="s">
        <v>44</v>
      </c>
      <c r="V558" s="11">
        <v>173.58</v>
      </c>
      <c r="W558" s="11">
        <v>8.0</v>
      </c>
      <c r="X558" s="9" t="s">
        <v>48</v>
      </c>
      <c r="Y558" s="9" t="s">
        <v>451</v>
      </c>
      <c r="Z558" s="12"/>
      <c r="AA558" s="9">
        <v>1306120.0</v>
      </c>
      <c r="AB558" s="12"/>
      <c r="AC558" s="9" t="s">
        <v>50</v>
      </c>
    </row>
    <row r="559">
      <c r="A559" s="9" t="s">
        <v>33</v>
      </c>
      <c r="B559" s="11">
        <v>6.0</v>
      </c>
      <c r="C559" s="9" t="s">
        <v>43</v>
      </c>
      <c r="D559" s="9" t="s">
        <v>55</v>
      </c>
      <c r="E559" s="9" t="s">
        <v>56</v>
      </c>
      <c r="F559" s="9" t="s">
        <v>45</v>
      </c>
      <c r="G559" s="9" t="s">
        <v>46</v>
      </c>
      <c r="H559" s="9" t="s">
        <v>450</v>
      </c>
      <c r="I559" s="11">
        <v>8177330.0</v>
      </c>
      <c r="J559" s="11">
        <v>2.668069E8</v>
      </c>
      <c r="K559" s="13">
        <v>46304.0</v>
      </c>
      <c r="L559" s="14">
        <v>46321.0</v>
      </c>
      <c r="M559" s="12"/>
      <c r="N559" s="9">
        <v>26.0</v>
      </c>
      <c r="O559" s="11">
        <v>10.0</v>
      </c>
      <c r="P559" s="9" t="s">
        <v>44</v>
      </c>
      <c r="Q559" s="12"/>
      <c r="R559" s="9" t="s">
        <v>52</v>
      </c>
      <c r="S559" s="9" t="s">
        <v>47</v>
      </c>
      <c r="T559" s="9" t="s">
        <v>44</v>
      </c>
      <c r="U559" s="9" t="s">
        <v>44</v>
      </c>
      <c r="V559" s="11">
        <v>63.12</v>
      </c>
      <c r="W559" s="11">
        <v>1.0</v>
      </c>
      <c r="X559" s="9" t="s">
        <v>48</v>
      </c>
      <c r="Y559" s="9" t="s">
        <v>754</v>
      </c>
      <c r="Z559" s="12"/>
      <c r="AA559" s="9">
        <v>1306130.0</v>
      </c>
      <c r="AB559" s="12"/>
      <c r="AC559" s="9" t="s">
        <v>50</v>
      </c>
    </row>
    <row r="560">
      <c r="A560" s="9" t="s">
        <v>33</v>
      </c>
      <c r="B560" s="11">
        <v>6.0</v>
      </c>
      <c r="C560" s="9" t="s">
        <v>43</v>
      </c>
      <c r="D560" s="9" t="s">
        <v>55</v>
      </c>
      <c r="E560" s="9" t="s">
        <v>56</v>
      </c>
      <c r="F560" s="9" t="s">
        <v>45</v>
      </c>
      <c r="G560" s="9" t="s">
        <v>46</v>
      </c>
      <c r="H560" s="9" t="s">
        <v>444</v>
      </c>
      <c r="I560" s="11">
        <v>8177118.0</v>
      </c>
      <c r="J560" s="11">
        <v>2.66806901E8</v>
      </c>
      <c r="K560" s="13">
        <v>46304.0</v>
      </c>
      <c r="L560" s="14">
        <v>46318.0</v>
      </c>
      <c r="M560" s="12"/>
      <c r="N560" s="9">
        <v>18.0</v>
      </c>
      <c r="O560" s="11">
        <v>9.0</v>
      </c>
      <c r="P560" s="9" t="s">
        <v>44</v>
      </c>
      <c r="Q560" s="12"/>
      <c r="R560" s="12"/>
      <c r="S560" s="9" t="s">
        <v>47</v>
      </c>
      <c r="T560" s="9" t="s">
        <v>44</v>
      </c>
      <c r="U560" s="9" t="s">
        <v>44</v>
      </c>
      <c r="V560" s="11">
        <v>63.12</v>
      </c>
      <c r="W560" s="11">
        <v>1.0</v>
      </c>
      <c r="X560" s="9" t="s">
        <v>48</v>
      </c>
      <c r="Y560" s="9" t="s">
        <v>255</v>
      </c>
      <c r="Z560" s="12"/>
      <c r="AA560" s="9">
        <v>1306175.0</v>
      </c>
      <c r="AB560" s="12"/>
      <c r="AC560" s="9" t="s">
        <v>50</v>
      </c>
    </row>
    <row r="561">
      <c r="A561" s="9" t="s">
        <v>33</v>
      </c>
      <c r="B561" s="11">
        <v>6.0</v>
      </c>
      <c r="C561" s="9" t="s">
        <v>43</v>
      </c>
      <c r="D561" s="9" t="s">
        <v>55</v>
      </c>
      <c r="E561" s="9" t="s">
        <v>56</v>
      </c>
      <c r="F561" s="9" t="s">
        <v>45</v>
      </c>
      <c r="G561" s="9" t="s">
        <v>46</v>
      </c>
      <c r="H561" s="9" t="s">
        <v>454</v>
      </c>
      <c r="I561" s="11">
        <v>8177137.0</v>
      </c>
      <c r="J561" s="11">
        <v>2.66806903E8</v>
      </c>
      <c r="K561" s="13">
        <v>46304.0</v>
      </c>
      <c r="L561" s="14">
        <v>46321.0</v>
      </c>
      <c r="M561" s="12"/>
      <c r="N561" s="9">
        <v>31.0</v>
      </c>
      <c r="O561" s="11">
        <v>10.0</v>
      </c>
      <c r="P561" s="9" t="s">
        <v>44</v>
      </c>
      <c r="Q561" s="12"/>
      <c r="R561" s="9" t="s">
        <v>52</v>
      </c>
      <c r="S561" s="9" t="s">
        <v>47</v>
      </c>
      <c r="T561" s="9" t="s">
        <v>44</v>
      </c>
      <c r="U561" s="9" t="s">
        <v>44</v>
      </c>
      <c r="V561" s="11">
        <v>63.12</v>
      </c>
      <c r="W561" s="11">
        <v>1.0</v>
      </c>
      <c r="X561" s="9" t="s">
        <v>48</v>
      </c>
      <c r="Y561" s="9" t="s">
        <v>755</v>
      </c>
      <c r="Z561" s="12"/>
      <c r="AA561" s="9">
        <v>1306112.0</v>
      </c>
      <c r="AB561" s="12"/>
      <c r="AC561" s="9" t="s">
        <v>50</v>
      </c>
    </row>
    <row r="562">
      <c r="A562" s="9" t="s">
        <v>33</v>
      </c>
      <c r="B562" s="11">
        <v>6.0</v>
      </c>
      <c r="C562" s="9" t="s">
        <v>43</v>
      </c>
      <c r="D562" s="9" t="s">
        <v>55</v>
      </c>
      <c r="E562" s="9" t="s">
        <v>56</v>
      </c>
      <c r="F562" s="9" t="s">
        <v>45</v>
      </c>
      <c r="G562" s="9" t="s">
        <v>46</v>
      </c>
      <c r="H562" s="9" t="s">
        <v>454</v>
      </c>
      <c r="I562" s="11">
        <v>8177265.0</v>
      </c>
      <c r="J562" s="11">
        <v>2.66806906E8</v>
      </c>
      <c r="K562" s="13">
        <v>46304.0</v>
      </c>
      <c r="L562" s="14">
        <v>46322.0</v>
      </c>
      <c r="M562" s="12"/>
      <c r="N562" s="9">
        <v>300.0</v>
      </c>
      <c r="O562" s="11">
        <v>11.0</v>
      </c>
      <c r="P562" s="9" t="s">
        <v>44</v>
      </c>
      <c r="Q562" s="12"/>
      <c r="R562" s="12"/>
      <c r="S562" s="9" t="s">
        <v>47</v>
      </c>
      <c r="T562" s="9" t="s">
        <v>44</v>
      </c>
      <c r="U562" s="9" t="s">
        <v>44</v>
      </c>
      <c r="V562" s="11">
        <v>63.12</v>
      </c>
      <c r="W562" s="11">
        <v>1.0</v>
      </c>
      <c r="X562" s="9" t="s">
        <v>48</v>
      </c>
      <c r="Y562" s="9" t="s">
        <v>756</v>
      </c>
      <c r="Z562" s="12"/>
      <c r="AA562" s="9">
        <v>1305998.0</v>
      </c>
      <c r="AB562" s="12"/>
      <c r="AC562" s="9" t="s">
        <v>50</v>
      </c>
    </row>
    <row r="563">
      <c r="A563" s="9" t="s">
        <v>33</v>
      </c>
      <c r="B563" s="11">
        <v>6.0</v>
      </c>
      <c r="C563" s="9" t="s">
        <v>43</v>
      </c>
      <c r="D563" s="9" t="s">
        <v>55</v>
      </c>
      <c r="E563" s="9" t="s">
        <v>56</v>
      </c>
      <c r="F563" s="9" t="s">
        <v>45</v>
      </c>
      <c r="G563" s="9" t="s">
        <v>46</v>
      </c>
      <c r="H563" s="9" t="s">
        <v>454</v>
      </c>
      <c r="I563" s="11">
        <v>8177355.0</v>
      </c>
      <c r="J563" s="11">
        <v>2.66806908E8</v>
      </c>
      <c r="K563" s="13">
        <v>46304.0</v>
      </c>
      <c r="L563" s="14">
        <v>46322.0</v>
      </c>
      <c r="M563" s="12"/>
      <c r="N563" s="9">
        <v>300.0</v>
      </c>
      <c r="O563" s="11">
        <v>11.0</v>
      </c>
      <c r="P563" s="9" t="s">
        <v>44</v>
      </c>
      <c r="Q563" s="12"/>
      <c r="R563" s="9" t="s">
        <v>52</v>
      </c>
      <c r="S563" s="9" t="s">
        <v>47</v>
      </c>
      <c r="T563" s="9" t="s">
        <v>44</v>
      </c>
      <c r="U563" s="9" t="s">
        <v>44</v>
      </c>
      <c r="V563" s="11">
        <v>63.12</v>
      </c>
      <c r="W563" s="11">
        <v>1.0</v>
      </c>
      <c r="X563" s="9" t="s">
        <v>48</v>
      </c>
      <c r="Y563" s="9" t="s">
        <v>757</v>
      </c>
      <c r="Z563" s="12"/>
      <c r="AA563" s="9">
        <v>1306259.0</v>
      </c>
      <c r="AB563" s="12"/>
      <c r="AC563" s="9" t="s">
        <v>50</v>
      </c>
    </row>
    <row r="564">
      <c r="A564" s="9" t="s">
        <v>33</v>
      </c>
      <c r="B564" s="11">
        <v>6.0</v>
      </c>
      <c r="C564" s="9" t="s">
        <v>43</v>
      </c>
      <c r="D564" s="9" t="s">
        <v>55</v>
      </c>
      <c r="E564" s="9" t="s">
        <v>56</v>
      </c>
      <c r="F564" s="9" t="s">
        <v>45</v>
      </c>
      <c r="G564" s="9" t="s">
        <v>46</v>
      </c>
      <c r="H564" s="9" t="s">
        <v>456</v>
      </c>
      <c r="I564" s="11">
        <v>8177203.0</v>
      </c>
      <c r="J564" s="11">
        <v>2.66806909E8</v>
      </c>
      <c r="K564" s="13">
        <v>46304.0</v>
      </c>
      <c r="L564" s="14">
        <v>46316.0</v>
      </c>
      <c r="M564" s="12"/>
      <c r="N564" s="9">
        <v>5.0</v>
      </c>
      <c r="O564" s="11">
        <v>7.0</v>
      </c>
      <c r="P564" s="9" t="s">
        <v>44</v>
      </c>
      <c r="Q564" s="12"/>
      <c r="R564" s="9" t="s">
        <v>52</v>
      </c>
      <c r="S564" s="9" t="s">
        <v>47</v>
      </c>
      <c r="T564" s="9" t="s">
        <v>44</v>
      </c>
      <c r="U564" s="9" t="s">
        <v>44</v>
      </c>
      <c r="V564" s="11">
        <v>56.59</v>
      </c>
      <c r="W564" s="11">
        <v>4.0</v>
      </c>
      <c r="X564" s="9" t="s">
        <v>48</v>
      </c>
      <c r="Y564" s="9" t="s">
        <v>758</v>
      </c>
      <c r="Z564" s="12"/>
      <c r="AA564" s="9">
        <v>1305996.0</v>
      </c>
      <c r="AB564" s="12"/>
      <c r="AC564" s="9" t="s">
        <v>50</v>
      </c>
    </row>
    <row r="565">
      <c r="A565" s="9" t="s">
        <v>33</v>
      </c>
      <c r="B565" s="11">
        <v>6.0</v>
      </c>
      <c r="C565" s="9" t="s">
        <v>43</v>
      </c>
      <c r="D565" s="9" t="s">
        <v>55</v>
      </c>
      <c r="E565" s="9" t="s">
        <v>56</v>
      </c>
      <c r="F565" s="9" t="s">
        <v>45</v>
      </c>
      <c r="G565" s="9" t="s">
        <v>46</v>
      </c>
      <c r="H565" s="9" t="s">
        <v>456</v>
      </c>
      <c r="I565" s="11">
        <v>8177266.0</v>
      </c>
      <c r="J565" s="11">
        <v>2.66806911E8</v>
      </c>
      <c r="K565" s="13">
        <v>46304.0</v>
      </c>
      <c r="L565" s="14">
        <v>46316.0</v>
      </c>
      <c r="M565" s="12"/>
      <c r="N565" s="9">
        <v>8.0</v>
      </c>
      <c r="O565" s="11">
        <v>7.0</v>
      </c>
      <c r="P565" s="9" t="s">
        <v>44</v>
      </c>
      <c r="Q565" s="12"/>
      <c r="R565" s="12"/>
      <c r="S565" s="9" t="s">
        <v>47</v>
      </c>
      <c r="T565" s="9" t="s">
        <v>44</v>
      </c>
      <c r="U565" s="9" t="s">
        <v>44</v>
      </c>
      <c r="V565" s="11">
        <v>56.59</v>
      </c>
      <c r="W565" s="11">
        <v>1.0</v>
      </c>
      <c r="X565" s="9" t="s">
        <v>48</v>
      </c>
      <c r="Y565" s="9" t="s">
        <v>459</v>
      </c>
      <c r="Z565" s="12"/>
      <c r="AA565" s="9">
        <v>1305842.0</v>
      </c>
      <c r="AB565" s="12"/>
      <c r="AC565" s="9" t="s">
        <v>50</v>
      </c>
    </row>
    <row r="566">
      <c r="A566" s="9" t="s">
        <v>33</v>
      </c>
      <c r="B566" s="11">
        <v>6.0</v>
      </c>
      <c r="C566" s="9" t="s">
        <v>43</v>
      </c>
      <c r="D566" s="9" t="s">
        <v>55</v>
      </c>
      <c r="E566" s="9" t="s">
        <v>56</v>
      </c>
      <c r="F566" s="9" t="s">
        <v>45</v>
      </c>
      <c r="G566" s="9" t="s">
        <v>46</v>
      </c>
      <c r="H566" s="9" t="s">
        <v>456</v>
      </c>
      <c r="I566" s="11">
        <v>8177231.0</v>
      </c>
      <c r="J566" s="11">
        <v>2.66806913E8</v>
      </c>
      <c r="K566" s="13">
        <v>46304.0</v>
      </c>
      <c r="L566" s="14">
        <v>46316.0</v>
      </c>
      <c r="M566" s="12"/>
      <c r="N566" s="9">
        <v>14.0</v>
      </c>
      <c r="O566" s="11">
        <v>7.0</v>
      </c>
      <c r="P566" s="9" t="s">
        <v>44</v>
      </c>
      <c r="Q566" s="12"/>
      <c r="R566" s="12"/>
      <c r="S566" s="9" t="s">
        <v>47</v>
      </c>
      <c r="T566" s="9" t="s">
        <v>44</v>
      </c>
      <c r="U566" s="9" t="s">
        <v>44</v>
      </c>
      <c r="V566" s="11">
        <v>56.59</v>
      </c>
      <c r="W566" s="11">
        <v>1.0</v>
      </c>
      <c r="X566" s="9" t="s">
        <v>48</v>
      </c>
      <c r="Y566" s="9" t="s">
        <v>759</v>
      </c>
      <c r="Z566" s="12"/>
      <c r="AA566" s="9">
        <v>1305968.0</v>
      </c>
      <c r="AB566" s="12"/>
      <c r="AC566" s="9" t="s">
        <v>50</v>
      </c>
    </row>
    <row r="567">
      <c r="A567" s="9" t="s">
        <v>33</v>
      </c>
      <c r="B567" s="11">
        <v>6.0</v>
      </c>
      <c r="C567" s="9" t="s">
        <v>43</v>
      </c>
      <c r="D567" s="9" t="s">
        <v>55</v>
      </c>
      <c r="E567" s="9" t="s">
        <v>56</v>
      </c>
      <c r="F567" s="9" t="s">
        <v>45</v>
      </c>
      <c r="G567" s="9" t="s">
        <v>46</v>
      </c>
      <c r="H567" s="9" t="s">
        <v>463</v>
      </c>
      <c r="I567" s="11">
        <v>8177331.0</v>
      </c>
      <c r="J567" s="11">
        <v>2.66806915E8</v>
      </c>
      <c r="K567" s="13">
        <v>46304.0</v>
      </c>
      <c r="L567" s="14">
        <v>46321.0</v>
      </c>
      <c r="M567" s="12"/>
      <c r="N567" s="9">
        <v>102.0</v>
      </c>
      <c r="O567" s="11">
        <v>10.0</v>
      </c>
      <c r="P567" s="9" t="s">
        <v>44</v>
      </c>
      <c r="Q567" s="12"/>
      <c r="R567" s="12"/>
      <c r="S567" s="9" t="s">
        <v>47</v>
      </c>
      <c r="T567" s="9" t="s">
        <v>44</v>
      </c>
      <c r="U567" s="9" t="s">
        <v>44</v>
      </c>
      <c r="V567" s="11">
        <v>63.12</v>
      </c>
      <c r="W567" s="11">
        <v>1.0</v>
      </c>
      <c r="X567" s="9" t="s">
        <v>48</v>
      </c>
      <c r="Y567" s="9" t="s">
        <v>760</v>
      </c>
      <c r="Z567" s="12"/>
      <c r="AA567" s="9">
        <v>1306201.0</v>
      </c>
      <c r="AB567" s="12"/>
      <c r="AC567" s="9" t="s">
        <v>50</v>
      </c>
    </row>
    <row r="568">
      <c r="A568" s="9" t="s">
        <v>33</v>
      </c>
      <c r="B568" s="11">
        <v>6.0</v>
      </c>
      <c r="C568" s="9" t="s">
        <v>43</v>
      </c>
      <c r="D568" s="9" t="s">
        <v>55</v>
      </c>
      <c r="E568" s="9" t="s">
        <v>56</v>
      </c>
      <c r="F568" s="9" t="s">
        <v>45</v>
      </c>
      <c r="G568" s="9" t="s">
        <v>46</v>
      </c>
      <c r="H568" s="9" t="s">
        <v>454</v>
      </c>
      <c r="I568" s="11">
        <v>8177169.0</v>
      </c>
      <c r="J568" s="11">
        <v>2.66806917E8</v>
      </c>
      <c r="K568" s="13">
        <v>46304.0</v>
      </c>
      <c r="L568" s="14">
        <v>46318.0</v>
      </c>
      <c r="M568" s="12"/>
      <c r="N568" s="9">
        <v>320.0</v>
      </c>
      <c r="O568" s="11">
        <v>9.0</v>
      </c>
      <c r="P568" s="9" t="s">
        <v>44</v>
      </c>
      <c r="Q568" s="12"/>
      <c r="R568" s="12"/>
      <c r="S568" s="9" t="s">
        <v>47</v>
      </c>
      <c r="T568" s="9" t="s">
        <v>44</v>
      </c>
      <c r="U568" s="9" t="s">
        <v>44</v>
      </c>
      <c r="V568" s="11">
        <v>56.59</v>
      </c>
      <c r="W568" s="11">
        <v>1.0</v>
      </c>
      <c r="X568" s="9" t="s">
        <v>48</v>
      </c>
      <c r="Y568" s="9" t="s">
        <v>761</v>
      </c>
      <c r="Z568" s="12"/>
      <c r="AA568" s="9">
        <v>1306213.0</v>
      </c>
      <c r="AB568" s="12"/>
      <c r="AC568" s="9" t="s">
        <v>50</v>
      </c>
    </row>
    <row r="569">
      <c r="A569" s="9" t="s">
        <v>33</v>
      </c>
      <c r="B569" s="11">
        <v>6.0</v>
      </c>
      <c r="C569" s="9" t="s">
        <v>43</v>
      </c>
      <c r="D569" s="9" t="s">
        <v>55</v>
      </c>
      <c r="E569" s="9" t="s">
        <v>56</v>
      </c>
      <c r="F569" s="9" t="s">
        <v>45</v>
      </c>
      <c r="G569" s="9" t="s">
        <v>46</v>
      </c>
      <c r="H569" s="9" t="s">
        <v>454</v>
      </c>
      <c r="I569" s="11">
        <v>8177356.0</v>
      </c>
      <c r="J569" s="11">
        <v>2.66806919E8</v>
      </c>
      <c r="K569" s="13">
        <v>46304.0</v>
      </c>
      <c r="L569" s="14">
        <v>46318.0</v>
      </c>
      <c r="M569" s="12"/>
      <c r="N569" s="9">
        <v>330.0</v>
      </c>
      <c r="O569" s="11">
        <v>9.0</v>
      </c>
      <c r="P569" s="9" t="s">
        <v>44</v>
      </c>
      <c r="Q569" s="12"/>
      <c r="R569" s="9" t="s">
        <v>52</v>
      </c>
      <c r="S569" s="9" t="s">
        <v>47</v>
      </c>
      <c r="T569" s="9" t="s">
        <v>44</v>
      </c>
      <c r="U569" s="9" t="s">
        <v>44</v>
      </c>
      <c r="V569" s="11">
        <v>63.12</v>
      </c>
      <c r="W569" s="11">
        <v>2.0</v>
      </c>
      <c r="X569" s="9" t="s">
        <v>48</v>
      </c>
      <c r="Y569" s="9" t="s">
        <v>762</v>
      </c>
      <c r="Z569" s="12"/>
      <c r="AA569" s="9">
        <v>1305977.0</v>
      </c>
      <c r="AB569" s="12"/>
      <c r="AC569" s="9" t="s">
        <v>50</v>
      </c>
    </row>
    <row r="570">
      <c r="A570" s="9" t="s">
        <v>33</v>
      </c>
      <c r="B570" s="11">
        <v>6.0</v>
      </c>
      <c r="C570" s="9" t="s">
        <v>43</v>
      </c>
      <c r="D570" s="9" t="s">
        <v>55</v>
      </c>
      <c r="E570" s="9" t="s">
        <v>56</v>
      </c>
      <c r="F570" s="9" t="s">
        <v>45</v>
      </c>
      <c r="G570" s="9" t="s">
        <v>46</v>
      </c>
      <c r="H570" s="9" t="s">
        <v>469</v>
      </c>
      <c r="I570" s="11">
        <v>8177170.0</v>
      </c>
      <c r="J570" s="11">
        <v>2.66806921E8</v>
      </c>
      <c r="K570" s="13">
        <v>46304.0</v>
      </c>
      <c r="L570" s="14">
        <v>46322.0</v>
      </c>
      <c r="M570" s="12"/>
      <c r="N570" s="9">
        <v>102.0</v>
      </c>
      <c r="O570" s="11">
        <v>11.0</v>
      </c>
      <c r="P570" s="9" t="s">
        <v>44</v>
      </c>
      <c r="Q570" s="12"/>
      <c r="R570" s="12"/>
      <c r="S570" s="9" t="s">
        <v>47</v>
      </c>
      <c r="T570" s="9" t="s">
        <v>44</v>
      </c>
      <c r="U570" s="9" t="s">
        <v>44</v>
      </c>
      <c r="V570" s="11">
        <v>63.12</v>
      </c>
      <c r="W570" s="11">
        <v>1.0</v>
      </c>
      <c r="X570" s="9" t="s">
        <v>48</v>
      </c>
      <c r="Y570" s="9" t="s">
        <v>763</v>
      </c>
      <c r="Z570" s="12"/>
      <c r="AA570" s="9">
        <v>1306193.0</v>
      </c>
      <c r="AB570" s="12"/>
      <c r="AC570" s="9" t="s">
        <v>50</v>
      </c>
    </row>
    <row r="571">
      <c r="A571" s="9" t="s">
        <v>33</v>
      </c>
      <c r="B571" s="11">
        <v>6.0</v>
      </c>
      <c r="C571" s="9" t="s">
        <v>43</v>
      </c>
      <c r="D571" s="9" t="s">
        <v>55</v>
      </c>
      <c r="E571" s="9" t="s">
        <v>56</v>
      </c>
      <c r="F571" s="9" t="s">
        <v>45</v>
      </c>
      <c r="G571" s="9" t="s">
        <v>46</v>
      </c>
      <c r="H571" s="9" t="s">
        <v>469</v>
      </c>
      <c r="I571" s="11">
        <v>8177119.0</v>
      </c>
      <c r="J571" s="11">
        <v>2.66806923E8</v>
      </c>
      <c r="K571" s="13">
        <v>46304.0</v>
      </c>
      <c r="L571" s="14">
        <v>46317.0</v>
      </c>
      <c r="M571" s="12"/>
      <c r="N571" s="9">
        <v>5.0</v>
      </c>
      <c r="O571" s="11">
        <v>8.0</v>
      </c>
      <c r="P571" s="9" t="s">
        <v>44</v>
      </c>
      <c r="Q571" s="12"/>
      <c r="R571" s="12"/>
      <c r="S571" s="9" t="s">
        <v>47</v>
      </c>
      <c r="T571" s="9" t="s">
        <v>44</v>
      </c>
      <c r="U571" s="9" t="s">
        <v>44</v>
      </c>
      <c r="V571" s="11">
        <v>64.23</v>
      </c>
      <c r="W571" s="11">
        <v>1.0</v>
      </c>
      <c r="X571" s="9" t="s">
        <v>48</v>
      </c>
      <c r="Y571" s="9" t="s">
        <v>764</v>
      </c>
      <c r="Z571" s="12"/>
      <c r="AA571" s="9">
        <v>1306298.0</v>
      </c>
      <c r="AB571" s="12"/>
      <c r="AC571" s="9" t="s">
        <v>50</v>
      </c>
    </row>
    <row r="572">
      <c r="A572" s="9" t="s">
        <v>33</v>
      </c>
      <c r="B572" s="11">
        <v>6.0</v>
      </c>
      <c r="C572" s="9" t="s">
        <v>43</v>
      </c>
      <c r="D572" s="9" t="s">
        <v>55</v>
      </c>
      <c r="E572" s="9" t="s">
        <v>56</v>
      </c>
      <c r="F572" s="9" t="s">
        <v>45</v>
      </c>
      <c r="G572" s="9" t="s">
        <v>46</v>
      </c>
      <c r="H572" s="9" t="s">
        <v>131</v>
      </c>
      <c r="I572" s="11">
        <v>8177232.0</v>
      </c>
      <c r="J572" s="11">
        <v>2.66806925E8</v>
      </c>
      <c r="K572" s="13">
        <v>46304.0</v>
      </c>
      <c r="L572" s="14">
        <v>46351.0</v>
      </c>
      <c r="M572" s="12"/>
      <c r="N572" s="9">
        <v>1.0</v>
      </c>
      <c r="O572" s="11">
        <v>30.0</v>
      </c>
      <c r="P572" s="9" t="s">
        <v>44</v>
      </c>
      <c r="Q572" s="12"/>
      <c r="R572" s="9" t="s">
        <v>52</v>
      </c>
      <c r="S572" s="9" t="s">
        <v>47</v>
      </c>
      <c r="T572" s="9" t="s">
        <v>44</v>
      </c>
      <c r="U572" s="9" t="s">
        <v>44</v>
      </c>
      <c r="V572" s="11">
        <v>119.2</v>
      </c>
      <c r="W572" s="11">
        <v>3.0</v>
      </c>
      <c r="X572" s="9" t="s">
        <v>48</v>
      </c>
      <c r="Y572" s="9" t="s">
        <v>765</v>
      </c>
      <c r="Z572" s="12"/>
      <c r="AA572" s="9">
        <v>1306032.0</v>
      </c>
      <c r="AB572" s="12"/>
      <c r="AC572" s="9" t="s">
        <v>50</v>
      </c>
    </row>
    <row r="573">
      <c r="A573" s="9" t="s">
        <v>33</v>
      </c>
      <c r="B573" s="11">
        <v>6.0</v>
      </c>
      <c r="C573" s="9" t="s">
        <v>43</v>
      </c>
      <c r="D573" s="9" t="s">
        <v>55</v>
      </c>
      <c r="E573" s="9" t="s">
        <v>56</v>
      </c>
      <c r="F573" s="9" t="s">
        <v>45</v>
      </c>
      <c r="G573" s="9" t="s">
        <v>46</v>
      </c>
      <c r="H573" s="9" t="s">
        <v>475</v>
      </c>
      <c r="I573" s="11">
        <v>8177138.0</v>
      </c>
      <c r="J573" s="11">
        <v>2.66806927E8</v>
      </c>
      <c r="K573" s="13">
        <v>46304.0</v>
      </c>
      <c r="L573" s="14">
        <v>46350.0</v>
      </c>
      <c r="M573" s="12"/>
      <c r="N573" s="9">
        <v>1.0</v>
      </c>
      <c r="O573" s="11">
        <v>29.0</v>
      </c>
      <c r="P573" s="9" t="s">
        <v>44</v>
      </c>
      <c r="Q573" s="12"/>
      <c r="R573" s="9" t="s">
        <v>52</v>
      </c>
      <c r="S573" s="9" t="s">
        <v>47</v>
      </c>
      <c r="T573" s="9" t="s">
        <v>44</v>
      </c>
      <c r="U573" s="9" t="s">
        <v>44</v>
      </c>
      <c r="V573" s="11">
        <v>119.2</v>
      </c>
      <c r="W573" s="11">
        <v>2.0</v>
      </c>
      <c r="X573" s="9" t="s">
        <v>48</v>
      </c>
      <c r="Y573" s="9" t="s">
        <v>766</v>
      </c>
      <c r="Z573" s="12"/>
      <c r="AA573" s="9">
        <v>1306096.0</v>
      </c>
      <c r="AB573" s="12"/>
      <c r="AC573" s="9" t="s">
        <v>50</v>
      </c>
    </row>
    <row r="574">
      <c r="A574" s="9" t="s">
        <v>33</v>
      </c>
      <c r="B574" s="11">
        <v>6.0</v>
      </c>
      <c r="C574" s="9" t="s">
        <v>43</v>
      </c>
      <c r="D574" s="9" t="s">
        <v>55</v>
      </c>
      <c r="E574" s="9" t="s">
        <v>56</v>
      </c>
      <c r="F574" s="9" t="s">
        <v>45</v>
      </c>
      <c r="G574" s="9" t="s">
        <v>46</v>
      </c>
      <c r="H574" s="9" t="s">
        <v>475</v>
      </c>
      <c r="I574" s="11">
        <v>8177204.0</v>
      </c>
      <c r="J574" s="11">
        <v>2.66806929E8</v>
      </c>
      <c r="K574" s="13">
        <v>46304.0</v>
      </c>
      <c r="L574" s="14">
        <v>46337.0</v>
      </c>
      <c r="M574" s="12"/>
      <c r="N574" s="9">
        <v>1.0</v>
      </c>
      <c r="O574" s="11">
        <v>21.0</v>
      </c>
      <c r="P574" s="9" t="s">
        <v>44</v>
      </c>
      <c r="Q574" s="12"/>
      <c r="R574" s="12"/>
      <c r="S574" s="9" t="s">
        <v>47</v>
      </c>
      <c r="T574" s="9" t="s">
        <v>44</v>
      </c>
      <c r="U574" s="9" t="s">
        <v>44</v>
      </c>
      <c r="V574" s="11">
        <v>119.2</v>
      </c>
      <c r="W574" s="11">
        <v>1.0</v>
      </c>
      <c r="X574" s="9" t="s">
        <v>48</v>
      </c>
      <c r="Y574" s="9" t="s">
        <v>767</v>
      </c>
      <c r="Z574" s="12"/>
      <c r="AA574" s="9">
        <v>1306178.0</v>
      </c>
      <c r="AB574" s="12"/>
      <c r="AC574" s="9" t="s">
        <v>50</v>
      </c>
    </row>
    <row r="575">
      <c r="A575" s="9" t="s">
        <v>33</v>
      </c>
      <c r="B575" s="11">
        <v>6.0</v>
      </c>
      <c r="C575" s="9" t="s">
        <v>43</v>
      </c>
      <c r="D575" s="9" t="s">
        <v>55</v>
      </c>
      <c r="E575" s="9" t="s">
        <v>56</v>
      </c>
      <c r="F575" s="9" t="s">
        <v>45</v>
      </c>
      <c r="G575" s="9" t="s">
        <v>46</v>
      </c>
      <c r="H575" s="9" t="s">
        <v>475</v>
      </c>
      <c r="I575" s="11">
        <v>8177267.0</v>
      </c>
      <c r="J575" s="11">
        <v>2.66806931E8</v>
      </c>
      <c r="K575" s="13">
        <v>46304.0</v>
      </c>
      <c r="L575" s="14">
        <v>46337.0</v>
      </c>
      <c r="M575" s="12"/>
      <c r="N575" s="9">
        <v>1.0</v>
      </c>
      <c r="O575" s="11">
        <v>21.0</v>
      </c>
      <c r="P575" s="9" t="s">
        <v>44</v>
      </c>
      <c r="Q575" s="12"/>
      <c r="R575" s="9" t="s">
        <v>52</v>
      </c>
      <c r="S575" s="9" t="s">
        <v>47</v>
      </c>
      <c r="T575" s="9" t="s">
        <v>44</v>
      </c>
      <c r="U575" s="9" t="s">
        <v>44</v>
      </c>
      <c r="V575" s="11">
        <v>119.2</v>
      </c>
      <c r="W575" s="11">
        <v>1.0</v>
      </c>
      <c r="X575" s="9" t="s">
        <v>48</v>
      </c>
      <c r="Y575" s="9" t="s">
        <v>768</v>
      </c>
      <c r="Z575" s="12"/>
      <c r="AA575" s="9">
        <v>1306135.0</v>
      </c>
      <c r="AB575" s="12"/>
      <c r="AC575" s="9" t="s">
        <v>50</v>
      </c>
    </row>
    <row r="576">
      <c r="A576" s="9" t="s">
        <v>33</v>
      </c>
      <c r="B576" s="11">
        <v>6.0</v>
      </c>
      <c r="C576" s="9" t="s">
        <v>43</v>
      </c>
      <c r="D576" s="9" t="s">
        <v>55</v>
      </c>
      <c r="E576" s="9" t="s">
        <v>56</v>
      </c>
      <c r="F576" s="9" t="s">
        <v>45</v>
      </c>
      <c r="G576" s="9" t="s">
        <v>46</v>
      </c>
      <c r="H576" s="9" t="s">
        <v>475</v>
      </c>
      <c r="I576" s="11">
        <v>8177357.0</v>
      </c>
      <c r="J576" s="11">
        <v>2.66806933E8</v>
      </c>
      <c r="K576" s="13">
        <v>46304.0</v>
      </c>
      <c r="L576" s="14">
        <v>46337.0</v>
      </c>
      <c r="M576" s="12"/>
      <c r="N576" s="9">
        <v>1.0</v>
      </c>
      <c r="O576" s="11">
        <v>21.0</v>
      </c>
      <c r="P576" s="9" t="s">
        <v>44</v>
      </c>
      <c r="Q576" s="12"/>
      <c r="R576" s="9" t="s">
        <v>52</v>
      </c>
      <c r="S576" s="9" t="s">
        <v>47</v>
      </c>
      <c r="T576" s="9" t="s">
        <v>44</v>
      </c>
      <c r="U576" s="9" t="s">
        <v>44</v>
      </c>
      <c r="V576" s="11">
        <v>136.28</v>
      </c>
      <c r="W576" s="11">
        <v>7.0</v>
      </c>
      <c r="X576" s="9" t="s">
        <v>48</v>
      </c>
      <c r="Y576" s="9" t="s">
        <v>769</v>
      </c>
      <c r="Z576" s="12"/>
      <c r="AA576" s="9" t="s">
        <v>770</v>
      </c>
      <c r="AB576" s="12"/>
      <c r="AC576" s="9" t="s">
        <v>50</v>
      </c>
    </row>
    <row r="577">
      <c r="A577" s="9" t="s">
        <v>33</v>
      </c>
      <c r="B577" s="11">
        <v>6.0</v>
      </c>
      <c r="C577" s="9" t="s">
        <v>43</v>
      </c>
      <c r="D577" s="9" t="s">
        <v>55</v>
      </c>
      <c r="E577" s="9" t="s">
        <v>56</v>
      </c>
      <c r="F577" s="9" t="s">
        <v>45</v>
      </c>
      <c r="G577" s="9" t="s">
        <v>46</v>
      </c>
      <c r="H577" s="9" t="s">
        <v>475</v>
      </c>
      <c r="I577" s="11">
        <v>8177268.0</v>
      </c>
      <c r="J577" s="11">
        <v>2.66806935E8</v>
      </c>
      <c r="K577" s="13">
        <v>46304.0</v>
      </c>
      <c r="L577" s="14">
        <v>46337.0</v>
      </c>
      <c r="M577" s="12"/>
      <c r="N577" s="9">
        <v>1.0</v>
      </c>
      <c r="O577" s="11">
        <v>21.0</v>
      </c>
      <c r="P577" s="9" t="s">
        <v>44</v>
      </c>
      <c r="Q577" s="12"/>
      <c r="R577" s="12"/>
      <c r="S577" s="9" t="s">
        <v>47</v>
      </c>
      <c r="T577" s="9" t="s">
        <v>44</v>
      </c>
      <c r="U577" s="9" t="s">
        <v>44</v>
      </c>
      <c r="V577" s="11">
        <v>119.2</v>
      </c>
      <c r="W577" s="11">
        <v>1.0</v>
      </c>
      <c r="X577" s="9" t="s">
        <v>48</v>
      </c>
      <c r="Y577" s="9" t="s">
        <v>771</v>
      </c>
      <c r="Z577" s="12"/>
      <c r="AA577" s="9">
        <v>1305921.0</v>
      </c>
      <c r="AB577" s="12"/>
      <c r="AC577" s="9" t="s">
        <v>50</v>
      </c>
    </row>
    <row r="578">
      <c r="A578" s="9" t="s">
        <v>33</v>
      </c>
      <c r="B578" s="11">
        <v>6.0</v>
      </c>
      <c r="C578" s="9" t="s">
        <v>43</v>
      </c>
      <c r="D578" s="9" t="s">
        <v>55</v>
      </c>
      <c r="E578" s="9" t="s">
        <v>56</v>
      </c>
      <c r="F578" s="9" t="s">
        <v>45</v>
      </c>
      <c r="G578" s="9" t="s">
        <v>46</v>
      </c>
      <c r="H578" s="9" t="s">
        <v>482</v>
      </c>
      <c r="I578" s="11">
        <v>8177358.0</v>
      </c>
      <c r="J578" s="11">
        <v>2.66806937E8</v>
      </c>
      <c r="K578" s="13">
        <v>46304.0</v>
      </c>
      <c r="L578" s="13">
        <v>46330.0</v>
      </c>
      <c r="M578" s="12"/>
      <c r="N578" s="9">
        <v>109.0</v>
      </c>
      <c r="O578" s="11">
        <v>16.0</v>
      </c>
      <c r="P578" s="9" t="s">
        <v>44</v>
      </c>
      <c r="Q578" s="12"/>
      <c r="R578" s="12"/>
      <c r="S578" s="9" t="s">
        <v>47</v>
      </c>
      <c r="T578" s="9" t="s">
        <v>44</v>
      </c>
      <c r="U578" s="9" t="s">
        <v>44</v>
      </c>
      <c r="V578" s="11">
        <v>56.59</v>
      </c>
      <c r="W578" s="11">
        <v>1.0</v>
      </c>
      <c r="X578" s="9" t="s">
        <v>48</v>
      </c>
      <c r="Y578" s="9" t="s">
        <v>772</v>
      </c>
      <c r="Z578" s="12"/>
      <c r="AA578" s="9">
        <v>1306029.0</v>
      </c>
      <c r="AB578" s="12"/>
      <c r="AC578" s="9" t="s">
        <v>50</v>
      </c>
    </row>
    <row r="579">
      <c r="A579" s="9" t="s">
        <v>33</v>
      </c>
      <c r="B579" s="11">
        <v>6.0</v>
      </c>
      <c r="C579" s="9" t="s">
        <v>43</v>
      </c>
      <c r="D579" s="9" t="s">
        <v>55</v>
      </c>
      <c r="E579" s="9" t="s">
        <v>56</v>
      </c>
      <c r="F579" s="9" t="s">
        <v>45</v>
      </c>
      <c r="G579" s="9" t="s">
        <v>46</v>
      </c>
      <c r="H579" s="9" t="s">
        <v>482</v>
      </c>
      <c r="I579" s="11">
        <v>8177120.0</v>
      </c>
      <c r="J579" s="11">
        <v>2.66806939E8</v>
      </c>
      <c r="K579" s="13">
        <v>46304.0</v>
      </c>
      <c r="L579" s="13">
        <v>46330.0</v>
      </c>
      <c r="M579" s="12"/>
      <c r="N579" s="9">
        <v>104.0</v>
      </c>
      <c r="O579" s="11">
        <v>16.0</v>
      </c>
      <c r="P579" s="9" t="s">
        <v>44</v>
      </c>
      <c r="Q579" s="12"/>
      <c r="R579" s="12"/>
      <c r="S579" s="9" t="s">
        <v>47</v>
      </c>
      <c r="T579" s="9" t="s">
        <v>44</v>
      </c>
      <c r="U579" s="9" t="s">
        <v>44</v>
      </c>
      <c r="V579" s="11">
        <v>63.12</v>
      </c>
      <c r="W579" s="11">
        <v>1.0</v>
      </c>
      <c r="X579" s="9" t="s">
        <v>48</v>
      </c>
      <c r="Y579" s="9" t="s">
        <v>773</v>
      </c>
      <c r="Z579" s="12"/>
      <c r="AA579" s="9">
        <v>1306177.0</v>
      </c>
      <c r="AB579" s="12"/>
      <c r="AC579" s="9" t="s">
        <v>50</v>
      </c>
    </row>
    <row r="580">
      <c r="A580" s="9" t="s">
        <v>33</v>
      </c>
      <c r="B580" s="11">
        <v>6.0</v>
      </c>
      <c r="C580" s="9" t="s">
        <v>43</v>
      </c>
      <c r="D580" s="9" t="s">
        <v>55</v>
      </c>
      <c r="E580" s="9" t="s">
        <v>56</v>
      </c>
      <c r="F580" s="9" t="s">
        <v>45</v>
      </c>
      <c r="G580" s="9" t="s">
        <v>46</v>
      </c>
      <c r="H580" s="9" t="s">
        <v>486</v>
      </c>
      <c r="I580" s="11">
        <v>8177121.0</v>
      </c>
      <c r="J580" s="11">
        <v>2.66806941E8</v>
      </c>
      <c r="K580" s="13">
        <v>46304.0</v>
      </c>
      <c r="L580" s="14">
        <v>46325.0</v>
      </c>
      <c r="M580" s="12"/>
      <c r="N580" s="9">
        <v>103.0</v>
      </c>
      <c r="O580" s="11">
        <v>14.0</v>
      </c>
      <c r="P580" s="9" t="s">
        <v>44</v>
      </c>
      <c r="Q580" s="12"/>
      <c r="R580" s="12"/>
      <c r="S580" s="9" t="s">
        <v>47</v>
      </c>
      <c r="T580" s="9" t="s">
        <v>44</v>
      </c>
      <c r="U580" s="9" t="s">
        <v>44</v>
      </c>
      <c r="V580" s="11">
        <v>63.12</v>
      </c>
      <c r="W580" s="11">
        <v>1.0</v>
      </c>
      <c r="X580" s="9" t="s">
        <v>48</v>
      </c>
      <c r="Y580" s="9" t="s">
        <v>774</v>
      </c>
      <c r="Z580" s="12"/>
      <c r="AA580" s="9">
        <v>1306209.0</v>
      </c>
      <c r="AB580" s="12"/>
      <c r="AC580" s="9" t="s">
        <v>50</v>
      </c>
    </row>
    <row r="581">
      <c r="A581" s="9" t="s">
        <v>33</v>
      </c>
      <c r="B581" s="11">
        <v>6.0</v>
      </c>
      <c r="C581" s="9" t="s">
        <v>43</v>
      </c>
      <c r="D581" s="9" t="s">
        <v>55</v>
      </c>
      <c r="E581" s="9" t="s">
        <v>56</v>
      </c>
      <c r="F581" s="9" t="s">
        <v>45</v>
      </c>
      <c r="G581" s="9" t="s">
        <v>46</v>
      </c>
      <c r="H581" s="9" t="s">
        <v>488</v>
      </c>
      <c r="I581" s="11">
        <v>8177122.0</v>
      </c>
      <c r="J581" s="11">
        <v>2.66806942E8</v>
      </c>
      <c r="K581" s="13">
        <v>46304.0</v>
      </c>
      <c r="L581" s="14">
        <v>46317.0</v>
      </c>
      <c r="M581" s="12"/>
      <c r="N581" s="9">
        <v>3.0</v>
      </c>
      <c r="O581" s="11">
        <v>8.0</v>
      </c>
      <c r="P581" s="9" t="s">
        <v>44</v>
      </c>
      <c r="Q581" s="12"/>
      <c r="R581" s="12"/>
      <c r="S581" s="9" t="s">
        <v>47</v>
      </c>
      <c r="T581" s="9" t="s">
        <v>44</v>
      </c>
      <c r="U581" s="9" t="s">
        <v>44</v>
      </c>
      <c r="V581" s="11">
        <v>60.94</v>
      </c>
      <c r="W581" s="11">
        <v>1.0</v>
      </c>
      <c r="X581" s="9" t="s">
        <v>48</v>
      </c>
      <c r="Y581" s="9" t="s">
        <v>775</v>
      </c>
      <c r="Z581" s="12"/>
      <c r="AA581" s="9">
        <v>1306188.0</v>
      </c>
      <c r="AB581" s="12"/>
      <c r="AC581" s="9" t="s">
        <v>50</v>
      </c>
    </row>
    <row r="582">
      <c r="A582" s="9" t="s">
        <v>33</v>
      </c>
      <c r="B582" s="11">
        <v>6.0</v>
      </c>
      <c r="C582" s="9" t="s">
        <v>43</v>
      </c>
      <c r="D582" s="9" t="s">
        <v>55</v>
      </c>
      <c r="E582" s="9" t="s">
        <v>56</v>
      </c>
      <c r="F582" s="9" t="s">
        <v>45</v>
      </c>
      <c r="G582" s="9" t="s">
        <v>46</v>
      </c>
      <c r="H582" s="9" t="s">
        <v>488</v>
      </c>
      <c r="I582" s="11">
        <v>8177302.0</v>
      </c>
      <c r="J582" s="11">
        <v>2.66806944E8</v>
      </c>
      <c r="K582" s="13">
        <v>46304.0</v>
      </c>
      <c r="L582" s="14">
        <v>46317.0</v>
      </c>
      <c r="M582" s="12"/>
      <c r="N582" s="9">
        <v>2.0</v>
      </c>
      <c r="O582" s="11">
        <v>8.0</v>
      </c>
      <c r="P582" s="9" t="s">
        <v>44</v>
      </c>
      <c r="Q582" s="12"/>
      <c r="R582" s="12"/>
      <c r="S582" s="9" t="s">
        <v>47</v>
      </c>
      <c r="T582" s="9" t="s">
        <v>44</v>
      </c>
      <c r="U582" s="9" t="s">
        <v>44</v>
      </c>
      <c r="V582" s="11">
        <v>60.94</v>
      </c>
      <c r="W582" s="11">
        <v>1.0</v>
      </c>
      <c r="X582" s="9" t="s">
        <v>48</v>
      </c>
      <c r="Y582" s="9" t="s">
        <v>776</v>
      </c>
      <c r="Z582" s="12"/>
      <c r="AA582" s="9">
        <v>1305798.0</v>
      </c>
      <c r="AB582" s="12"/>
      <c r="AC582" s="9" t="s">
        <v>50</v>
      </c>
    </row>
    <row r="583">
      <c r="A583" s="9" t="s">
        <v>33</v>
      </c>
      <c r="B583" s="11">
        <v>6.0</v>
      </c>
      <c r="C583" s="9" t="s">
        <v>43</v>
      </c>
      <c r="D583" s="9" t="s">
        <v>55</v>
      </c>
      <c r="E583" s="9" t="s">
        <v>56</v>
      </c>
      <c r="F583" s="9" t="s">
        <v>45</v>
      </c>
      <c r="G583" s="9" t="s">
        <v>46</v>
      </c>
      <c r="H583" s="9" t="s">
        <v>434</v>
      </c>
      <c r="I583" s="11">
        <v>8177171.0</v>
      </c>
      <c r="J583" s="11">
        <v>2.66806946E8</v>
      </c>
      <c r="K583" s="13">
        <v>46304.0</v>
      </c>
      <c r="L583" s="14">
        <v>46321.0</v>
      </c>
      <c r="M583" s="12"/>
      <c r="N583" s="9">
        <v>409.0</v>
      </c>
      <c r="O583" s="11">
        <v>10.0</v>
      </c>
      <c r="P583" s="9" t="s">
        <v>44</v>
      </c>
      <c r="Q583" s="12"/>
      <c r="R583" s="12"/>
      <c r="S583" s="9" t="s">
        <v>47</v>
      </c>
      <c r="T583" s="9" t="s">
        <v>44</v>
      </c>
      <c r="U583" s="9" t="s">
        <v>44</v>
      </c>
      <c r="V583" s="11">
        <v>68.09</v>
      </c>
      <c r="W583" s="11">
        <v>1.0</v>
      </c>
      <c r="X583" s="9" t="s">
        <v>48</v>
      </c>
      <c r="Y583" s="9" t="s">
        <v>777</v>
      </c>
      <c r="Z583" s="12"/>
      <c r="AA583" s="9">
        <v>1306187.0</v>
      </c>
      <c r="AB583" s="12"/>
      <c r="AC583" s="9" t="s">
        <v>50</v>
      </c>
    </row>
    <row r="584">
      <c r="A584" s="9" t="s">
        <v>33</v>
      </c>
      <c r="B584" s="11">
        <v>6.0</v>
      </c>
      <c r="C584" s="9" t="s">
        <v>43</v>
      </c>
      <c r="D584" s="9" t="s">
        <v>44</v>
      </c>
      <c r="E584" s="12"/>
      <c r="F584" s="9" t="s">
        <v>45</v>
      </c>
      <c r="G584" s="9" t="s">
        <v>46</v>
      </c>
      <c r="H584" s="9" t="s">
        <v>491</v>
      </c>
      <c r="I584" s="11">
        <v>0.0</v>
      </c>
      <c r="J584" s="11">
        <v>2.66806948E8</v>
      </c>
      <c r="K584" s="13">
        <v>46304.0</v>
      </c>
      <c r="L584" s="13">
        <v>46335.0</v>
      </c>
      <c r="M584" s="12"/>
      <c r="N584" s="9">
        <v>101.0</v>
      </c>
      <c r="O584" s="11">
        <v>19.0</v>
      </c>
      <c r="P584" s="9" t="s">
        <v>44</v>
      </c>
      <c r="Q584" s="12"/>
      <c r="R584" s="12"/>
      <c r="S584" s="9" t="s">
        <v>47</v>
      </c>
      <c r="T584" s="9" t="s">
        <v>44</v>
      </c>
      <c r="U584" s="9" t="s">
        <v>44</v>
      </c>
      <c r="V584" s="11">
        <v>68.09</v>
      </c>
      <c r="W584" s="11">
        <v>1.0</v>
      </c>
      <c r="X584" s="9" t="s">
        <v>48</v>
      </c>
      <c r="Y584" s="9" t="s">
        <v>778</v>
      </c>
      <c r="Z584" s="12"/>
      <c r="AA584" s="9">
        <v>1306129.0</v>
      </c>
      <c r="AB584" s="12"/>
      <c r="AC584" s="9" t="s">
        <v>50</v>
      </c>
    </row>
    <row r="585">
      <c r="A585" s="9" t="s">
        <v>33</v>
      </c>
      <c r="B585" s="11">
        <v>6.0</v>
      </c>
      <c r="C585" s="9" t="s">
        <v>43</v>
      </c>
      <c r="D585" s="9" t="s">
        <v>55</v>
      </c>
      <c r="E585" s="9" t="s">
        <v>56</v>
      </c>
      <c r="F585" s="9" t="s">
        <v>45</v>
      </c>
      <c r="G585" s="9" t="s">
        <v>46</v>
      </c>
      <c r="H585" s="9" t="s">
        <v>779</v>
      </c>
      <c r="I585" s="11">
        <v>8177172.0</v>
      </c>
      <c r="J585" s="11">
        <v>2.6680695E8</v>
      </c>
      <c r="K585" s="13">
        <v>46304.0</v>
      </c>
      <c r="L585" s="14">
        <v>46325.0</v>
      </c>
      <c r="M585" s="12"/>
      <c r="N585" s="9">
        <v>100.0</v>
      </c>
      <c r="O585" s="11">
        <v>14.0</v>
      </c>
      <c r="P585" s="9" t="s">
        <v>44</v>
      </c>
      <c r="Q585" s="12"/>
      <c r="R585" s="12"/>
      <c r="S585" s="9" t="s">
        <v>47</v>
      </c>
      <c r="T585" s="9" t="s">
        <v>44</v>
      </c>
      <c r="U585" s="9" t="s">
        <v>44</v>
      </c>
      <c r="V585" s="11">
        <v>68.09</v>
      </c>
      <c r="W585" s="11">
        <v>1.0</v>
      </c>
      <c r="X585" s="9" t="s">
        <v>48</v>
      </c>
      <c r="Y585" s="9" t="s">
        <v>780</v>
      </c>
      <c r="Z585" s="12"/>
      <c r="AA585" s="9">
        <v>1306326.0</v>
      </c>
      <c r="AB585" s="12"/>
      <c r="AC585" s="9" t="s">
        <v>50</v>
      </c>
    </row>
    <row r="586">
      <c r="A586" s="9" t="s">
        <v>33</v>
      </c>
      <c r="B586" s="11">
        <v>6.0</v>
      </c>
      <c r="C586" s="9" t="s">
        <v>43</v>
      </c>
      <c r="D586" s="9" t="s">
        <v>55</v>
      </c>
      <c r="E586" s="9" t="s">
        <v>56</v>
      </c>
      <c r="F586" s="9" t="s">
        <v>45</v>
      </c>
      <c r="G586" s="9" t="s">
        <v>46</v>
      </c>
      <c r="H586" s="9" t="s">
        <v>495</v>
      </c>
      <c r="I586" s="11">
        <v>8177332.0</v>
      </c>
      <c r="J586" s="11">
        <v>2.66806952E8</v>
      </c>
      <c r="K586" s="13">
        <v>46304.0</v>
      </c>
      <c r="L586" s="14">
        <v>46323.0</v>
      </c>
      <c r="M586" s="12"/>
      <c r="N586" s="9">
        <v>501.0</v>
      </c>
      <c r="O586" s="11">
        <v>12.0</v>
      </c>
      <c r="P586" s="9" t="s">
        <v>44</v>
      </c>
      <c r="Q586" s="12"/>
      <c r="R586" s="9" t="s">
        <v>52</v>
      </c>
      <c r="S586" s="9" t="s">
        <v>47</v>
      </c>
      <c r="T586" s="9" t="s">
        <v>44</v>
      </c>
      <c r="U586" s="9" t="s">
        <v>44</v>
      </c>
      <c r="V586" s="11">
        <v>68.09</v>
      </c>
      <c r="W586" s="11">
        <v>1.0</v>
      </c>
      <c r="X586" s="9" t="s">
        <v>48</v>
      </c>
      <c r="Y586" s="9" t="s">
        <v>781</v>
      </c>
      <c r="Z586" s="12"/>
      <c r="AA586" s="9">
        <v>1306125.0</v>
      </c>
      <c r="AB586" s="12"/>
      <c r="AC586" s="9" t="s">
        <v>50</v>
      </c>
    </row>
    <row r="587">
      <c r="A587" s="9" t="s">
        <v>33</v>
      </c>
      <c r="B587" s="11">
        <v>6.0</v>
      </c>
      <c r="C587" s="9" t="s">
        <v>43</v>
      </c>
      <c r="D587" s="9" t="s">
        <v>55</v>
      </c>
      <c r="E587" s="9" t="s">
        <v>56</v>
      </c>
      <c r="F587" s="9" t="s">
        <v>45</v>
      </c>
      <c r="G587" s="9" t="s">
        <v>46</v>
      </c>
      <c r="H587" s="9" t="s">
        <v>495</v>
      </c>
      <c r="I587" s="11">
        <v>8177303.0</v>
      </c>
      <c r="J587" s="11">
        <v>2.66806954E8</v>
      </c>
      <c r="K587" s="13">
        <v>46304.0</v>
      </c>
      <c r="L587" s="14">
        <v>46323.0</v>
      </c>
      <c r="M587" s="12"/>
      <c r="N587" s="9">
        <v>501.0</v>
      </c>
      <c r="O587" s="11">
        <v>12.0</v>
      </c>
      <c r="P587" s="9" t="s">
        <v>44</v>
      </c>
      <c r="Q587" s="12"/>
      <c r="R587" s="12"/>
      <c r="S587" s="9" t="s">
        <v>47</v>
      </c>
      <c r="T587" s="9" t="s">
        <v>44</v>
      </c>
      <c r="U587" s="9" t="s">
        <v>44</v>
      </c>
      <c r="V587" s="11">
        <v>68.09</v>
      </c>
      <c r="W587" s="11">
        <v>1.0</v>
      </c>
      <c r="X587" s="9" t="s">
        <v>48</v>
      </c>
      <c r="Y587" s="9" t="s">
        <v>782</v>
      </c>
      <c r="Z587" s="12"/>
      <c r="AA587" s="9">
        <v>1305833.0</v>
      </c>
      <c r="AB587" s="12"/>
      <c r="AC587" s="9" t="s">
        <v>50</v>
      </c>
    </row>
    <row r="588">
      <c r="A588" s="9" t="s">
        <v>33</v>
      </c>
      <c r="B588" s="11">
        <v>6.0</v>
      </c>
      <c r="C588" s="9" t="s">
        <v>43</v>
      </c>
      <c r="D588" s="9" t="s">
        <v>55</v>
      </c>
      <c r="E588" s="9" t="s">
        <v>56</v>
      </c>
      <c r="F588" s="9" t="s">
        <v>45</v>
      </c>
      <c r="G588" s="9" t="s">
        <v>46</v>
      </c>
      <c r="H588" s="9" t="s">
        <v>133</v>
      </c>
      <c r="I588" s="11">
        <v>8177173.0</v>
      </c>
      <c r="J588" s="11">
        <v>2.66806956E8</v>
      </c>
      <c r="K588" s="13">
        <v>46304.0</v>
      </c>
      <c r="L588" s="14">
        <v>46316.0</v>
      </c>
      <c r="M588" s="12"/>
      <c r="N588" s="9">
        <v>20.0</v>
      </c>
      <c r="O588" s="11">
        <v>7.0</v>
      </c>
      <c r="P588" s="9" t="s">
        <v>44</v>
      </c>
      <c r="Q588" s="12"/>
      <c r="R588" s="9" t="s">
        <v>90</v>
      </c>
      <c r="S588" s="9" t="s">
        <v>47</v>
      </c>
      <c r="T588" s="9" t="s">
        <v>44</v>
      </c>
      <c r="U588" s="9" t="s">
        <v>44</v>
      </c>
      <c r="V588" s="11">
        <v>47.89</v>
      </c>
      <c r="W588" s="11">
        <v>1.0</v>
      </c>
      <c r="X588" s="9" t="s">
        <v>48</v>
      </c>
      <c r="Y588" s="9" t="s">
        <v>783</v>
      </c>
      <c r="Z588" s="12"/>
      <c r="AA588" s="9">
        <v>1306179.0</v>
      </c>
      <c r="AB588" s="12"/>
      <c r="AC588" s="9" t="s">
        <v>50</v>
      </c>
    </row>
    <row r="589">
      <c r="A589" s="9" t="s">
        <v>33</v>
      </c>
      <c r="B589" s="11">
        <v>6.0</v>
      </c>
      <c r="C589" s="9" t="s">
        <v>43</v>
      </c>
      <c r="D589" s="9" t="s">
        <v>55</v>
      </c>
      <c r="E589" s="9" t="s">
        <v>56</v>
      </c>
      <c r="F589" s="9" t="s">
        <v>45</v>
      </c>
      <c r="G589" s="9" t="s">
        <v>46</v>
      </c>
      <c r="H589" s="9" t="s">
        <v>133</v>
      </c>
      <c r="I589" s="11">
        <v>8177139.0</v>
      </c>
      <c r="J589" s="11">
        <v>2.66806958E8</v>
      </c>
      <c r="K589" s="13">
        <v>46304.0</v>
      </c>
      <c r="L589" s="14">
        <v>46316.0</v>
      </c>
      <c r="M589" s="12"/>
      <c r="N589" s="9">
        <v>25.0</v>
      </c>
      <c r="O589" s="11">
        <v>7.0</v>
      </c>
      <c r="P589" s="9" t="s">
        <v>44</v>
      </c>
      <c r="Q589" s="12"/>
      <c r="R589" s="9" t="s">
        <v>90</v>
      </c>
      <c r="S589" s="9" t="s">
        <v>47</v>
      </c>
      <c r="T589" s="9" t="s">
        <v>44</v>
      </c>
      <c r="U589" s="9" t="s">
        <v>44</v>
      </c>
      <c r="V589" s="11">
        <v>47.89</v>
      </c>
      <c r="W589" s="11">
        <v>1.0</v>
      </c>
      <c r="X589" s="9" t="s">
        <v>48</v>
      </c>
      <c r="Y589" s="9" t="s">
        <v>784</v>
      </c>
      <c r="Z589" s="12"/>
      <c r="AA589" s="9">
        <v>1306142.0</v>
      </c>
      <c r="AB589" s="12"/>
      <c r="AC589" s="9" t="s">
        <v>50</v>
      </c>
    </row>
    <row r="590">
      <c r="A590" s="9" t="s">
        <v>33</v>
      </c>
      <c r="B590" s="11">
        <v>6.0</v>
      </c>
      <c r="C590" s="9" t="s">
        <v>43</v>
      </c>
      <c r="D590" s="9" t="s">
        <v>55</v>
      </c>
      <c r="E590" s="9" t="s">
        <v>56</v>
      </c>
      <c r="F590" s="9" t="s">
        <v>45</v>
      </c>
      <c r="G590" s="9" t="s">
        <v>46</v>
      </c>
      <c r="H590" s="9" t="s">
        <v>133</v>
      </c>
      <c r="I590" s="11">
        <v>8177304.0</v>
      </c>
      <c r="J590" s="11">
        <v>2.6680696E8</v>
      </c>
      <c r="K590" s="13">
        <v>46304.0</v>
      </c>
      <c r="L590" s="14">
        <v>46316.0</v>
      </c>
      <c r="M590" s="12"/>
      <c r="N590" s="9">
        <v>13.0</v>
      </c>
      <c r="O590" s="11">
        <v>7.0</v>
      </c>
      <c r="P590" s="9" t="s">
        <v>44</v>
      </c>
      <c r="Q590" s="12"/>
      <c r="R590" s="9" t="s">
        <v>90</v>
      </c>
      <c r="S590" s="9" t="s">
        <v>47</v>
      </c>
      <c r="T590" s="9" t="s">
        <v>44</v>
      </c>
      <c r="U590" s="9" t="s">
        <v>44</v>
      </c>
      <c r="V590" s="11">
        <v>47.89</v>
      </c>
      <c r="W590" s="11">
        <v>2.0</v>
      </c>
      <c r="X590" s="9" t="s">
        <v>48</v>
      </c>
      <c r="Y590" s="9" t="s">
        <v>785</v>
      </c>
      <c r="Z590" s="12"/>
      <c r="AA590" s="9">
        <v>1306164.0</v>
      </c>
      <c r="AB590" s="12"/>
      <c r="AC590" s="9" t="s">
        <v>50</v>
      </c>
    </row>
    <row r="591">
      <c r="A591" s="9" t="s">
        <v>33</v>
      </c>
      <c r="B591" s="11">
        <v>6.0</v>
      </c>
      <c r="C591" s="9" t="s">
        <v>43</v>
      </c>
      <c r="D591" s="9" t="s">
        <v>55</v>
      </c>
      <c r="E591" s="9" t="s">
        <v>56</v>
      </c>
      <c r="F591" s="9" t="s">
        <v>45</v>
      </c>
      <c r="G591" s="9" t="s">
        <v>46</v>
      </c>
      <c r="H591" s="9" t="s">
        <v>133</v>
      </c>
      <c r="I591" s="11">
        <v>8177269.0</v>
      </c>
      <c r="J591" s="11">
        <v>2.66806963E8</v>
      </c>
      <c r="K591" s="13">
        <v>46304.0</v>
      </c>
      <c r="L591" s="14">
        <v>46316.0</v>
      </c>
      <c r="M591" s="12"/>
      <c r="N591" s="9">
        <v>28.0</v>
      </c>
      <c r="O591" s="11">
        <v>7.0</v>
      </c>
      <c r="P591" s="9" t="s">
        <v>44</v>
      </c>
      <c r="Q591" s="12"/>
      <c r="R591" s="9" t="s">
        <v>90</v>
      </c>
      <c r="S591" s="9" t="s">
        <v>47</v>
      </c>
      <c r="T591" s="9" t="s">
        <v>44</v>
      </c>
      <c r="U591" s="9" t="s">
        <v>44</v>
      </c>
      <c r="V591" s="11">
        <v>47.89</v>
      </c>
      <c r="W591" s="11">
        <v>1.0</v>
      </c>
      <c r="X591" s="9" t="s">
        <v>48</v>
      </c>
      <c r="Y591" s="9" t="s">
        <v>786</v>
      </c>
      <c r="Z591" s="12"/>
      <c r="AA591" s="9">
        <v>1306137.0</v>
      </c>
      <c r="AB591" s="12"/>
      <c r="AC591" s="9" t="s">
        <v>50</v>
      </c>
    </row>
    <row r="592">
      <c r="A592" s="9" t="s">
        <v>33</v>
      </c>
      <c r="B592" s="11">
        <v>6.0</v>
      </c>
      <c r="C592" s="9" t="s">
        <v>43</v>
      </c>
      <c r="D592" s="9" t="s">
        <v>55</v>
      </c>
      <c r="E592" s="9" t="s">
        <v>56</v>
      </c>
      <c r="F592" s="9" t="s">
        <v>45</v>
      </c>
      <c r="G592" s="9" t="s">
        <v>46</v>
      </c>
      <c r="H592" s="9" t="s">
        <v>133</v>
      </c>
      <c r="I592" s="11">
        <v>8177140.0</v>
      </c>
      <c r="J592" s="11">
        <v>2.66806965E8</v>
      </c>
      <c r="K592" s="13">
        <v>46304.0</v>
      </c>
      <c r="L592" s="14">
        <v>46317.0</v>
      </c>
      <c r="M592" s="12"/>
      <c r="N592" s="9">
        <v>105.0</v>
      </c>
      <c r="O592" s="11">
        <v>8.0</v>
      </c>
      <c r="P592" s="9" t="s">
        <v>44</v>
      </c>
      <c r="Q592" s="12"/>
      <c r="R592" s="9" t="s">
        <v>90</v>
      </c>
      <c r="S592" s="9" t="s">
        <v>47</v>
      </c>
      <c r="T592" s="9" t="s">
        <v>44</v>
      </c>
      <c r="U592" s="9" t="s">
        <v>44</v>
      </c>
      <c r="V592" s="11">
        <v>47.89</v>
      </c>
      <c r="W592" s="11">
        <v>2.0</v>
      </c>
      <c r="X592" s="9" t="s">
        <v>48</v>
      </c>
      <c r="Y592" s="9" t="s">
        <v>787</v>
      </c>
      <c r="Z592" s="12"/>
      <c r="AA592" s="9">
        <v>1306093.0</v>
      </c>
      <c r="AB592" s="12"/>
      <c r="AC592" s="9" t="s">
        <v>50</v>
      </c>
    </row>
    <row r="593">
      <c r="A593" s="9" t="s">
        <v>33</v>
      </c>
      <c r="B593" s="11">
        <v>6.0</v>
      </c>
      <c r="C593" s="9" t="s">
        <v>43</v>
      </c>
      <c r="D593" s="9" t="s">
        <v>55</v>
      </c>
      <c r="E593" s="9" t="s">
        <v>56</v>
      </c>
      <c r="F593" s="9" t="s">
        <v>45</v>
      </c>
      <c r="G593" s="9" t="s">
        <v>46</v>
      </c>
      <c r="H593" s="9" t="s">
        <v>133</v>
      </c>
      <c r="I593" s="11">
        <v>8177270.0</v>
      </c>
      <c r="J593" s="11">
        <v>2.66806966E8</v>
      </c>
      <c r="K593" s="13">
        <v>46304.0</v>
      </c>
      <c r="L593" s="14">
        <v>46317.0</v>
      </c>
      <c r="M593" s="12"/>
      <c r="N593" s="9">
        <v>107.0</v>
      </c>
      <c r="O593" s="11">
        <v>8.0</v>
      </c>
      <c r="P593" s="9" t="s">
        <v>44</v>
      </c>
      <c r="Q593" s="12"/>
      <c r="R593" s="9" t="s">
        <v>90</v>
      </c>
      <c r="S593" s="9" t="s">
        <v>47</v>
      </c>
      <c r="T593" s="9" t="s">
        <v>44</v>
      </c>
      <c r="U593" s="9" t="s">
        <v>44</v>
      </c>
      <c r="V593" s="11">
        <v>47.89</v>
      </c>
      <c r="W593" s="11">
        <v>1.0</v>
      </c>
      <c r="X593" s="9" t="s">
        <v>48</v>
      </c>
      <c r="Y593" s="9" t="s">
        <v>788</v>
      </c>
      <c r="Z593" s="12"/>
      <c r="AA593" s="9">
        <v>1305910.0</v>
      </c>
      <c r="AB593" s="12"/>
      <c r="AC593" s="9" t="s">
        <v>50</v>
      </c>
    </row>
    <row r="594">
      <c r="A594" s="9" t="s">
        <v>33</v>
      </c>
      <c r="B594" s="11">
        <v>6.0</v>
      </c>
      <c r="C594" s="9" t="s">
        <v>43</v>
      </c>
      <c r="D594" s="9" t="s">
        <v>55</v>
      </c>
      <c r="E594" s="9" t="s">
        <v>56</v>
      </c>
      <c r="F594" s="9" t="s">
        <v>45</v>
      </c>
      <c r="G594" s="9" t="s">
        <v>46</v>
      </c>
      <c r="H594" s="9" t="s">
        <v>133</v>
      </c>
      <c r="I594" s="11">
        <v>8177141.0</v>
      </c>
      <c r="J594" s="11">
        <v>2.66806967E8</v>
      </c>
      <c r="K594" s="13">
        <v>46304.0</v>
      </c>
      <c r="L594" s="14">
        <v>46317.0</v>
      </c>
      <c r="M594" s="12"/>
      <c r="N594" s="9">
        <v>107.0</v>
      </c>
      <c r="O594" s="11">
        <v>8.0</v>
      </c>
      <c r="P594" s="9" t="s">
        <v>44</v>
      </c>
      <c r="Q594" s="12"/>
      <c r="R594" s="9" t="s">
        <v>90</v>
      </c>
      <c r="S594" s="9" t="s">
        <v>47</v>
      </c>
      <c r="T594" s="9" t="s">
        <v>44</v>
      </c>
      <c r="U594" s="9" t="s">
        <v>44</v>
      </c>
      <c r="V594" s="11">
        <v>47.89</v>
      </c>
      <c r="W594" s="11">
        <v>1.0</v>
      </c>
      <c r="X594" s="9" t="s">
        <v>48</v>
      </c>
      <c r="Y594" s="9" t="s">
        <v>789</v>
      </c>
      <c r="Z594" s="12"/>
      <c r="AA594" s="9">
        <v>1306191.0</v>
      </c>
      <c r="AB594" s="12"/>
      <c r="AC594" s="9" t="s">
        <v>50</v>
      </c>
    </row>
    <row r="595">
      <c r="A595" s="9" t="s">
        <v>33</v>
      </c>
      <c r="B595" s="11">
        <v>6.0</v>
      </c>
      <c r="C595" s="9" t="s">
        <v>43</v>
      </c>
      <c r="D595" s="9" t="s">
        <v>55</v>
      </c>
      <c r="E595" s="9" t="s">
        <v>56</v>
      </c>
      <c r="F595" s="9" t="s">
        <v>45</v>
      </c>
      <c r="G595" s="9" t="s">
        <v>46</v>
      </c>
      <c r="H595" s="9" t="s">
        <v>515</v>
      </c>
      <c r="I595" s="11">
        <v>8177142.0</v>
      </c>
      <c r="J595" s="11">
        <v>2.66806968E8</v>
      </c>
      <c r="K595" s="13">
        <v>46304.0</v>
      </c>
      <c r="L595" s="14">
        <v>46321.0</v>
      </c>
      <c r="M595" s="12"/>
      <c r="N595" s="9">
        <v>107.0</v>
      </c>
      <c r="O595" s="11">
        <v>10.0</v>
      </c>
      <c r="P595" s="9" t="s">
        <v>44</v>
      </c>
      <c r="Q595" s="12"/>
      <c r="R595" s="9" t="s">
        <v>90</v>
      </c>
      <c r="S595" s="9" t="s">
        <v>47</v>
      </c>
      <c r="T595" s="9" t="s">
        <v>44</v>
      </c>
      <c r="U595" s="9" t="s">
        <v>44</v>
      </c>
      <c r="V595" s="11">
        <v>53.7</v>
      </c>
      <c r="W595" s="11">
        <v>1.0</v>
      </c>
      <c r="X595" s="9" t="s">
        <v>48</v>
      </c>
      <c r="Y595" s="9" t="s">
        <v>790</v>
      </c>
      <c r="Z595" s="12"/>
      <c r="AA595" s="9">
        <v>1306282.0</v>
      </c>
      <c r="AB595" s="12"/>
      <c r="AC595" s="9" t="s">
        <v>50</v>
      </c>
    </row>
    <row r="596">
      <c r="A596" s="9" t="s">
        <v>33</v>
      </c>
      <c r="B596" s="11">
        <v>6.0</v>
      </c>
      <c r="C596" s="9" t="s">
        <v>43</v>
      </c>
      <c r="D596" s="9" t="s">
        <v>55</v>
      </c>
      <c r="E596" s="9" t="s">
        <v>56</v>
      </c>
      <c r="F596" s="9" t="s">
        <v>45</v>
      </c>
      <c r="G596" s="9" t="s">
        <v>46</v>
      </c>
      <c r="H596" s="9" t="s">
        <v>522</v>
      </c>
      <c r="I596" s="11">
        <v>8177305.0</v>
      </c>
      <c r="J596" s="11">
        <v>2.6680697E8</v>
      </c>
      <c r="K596" s="13">
        <v>46304.0</v>
      </c>
      <c r="L596" s="14">
        <v>46323.0</v>
      </c>
      <c r="M596" s="12"/>
      <c r="N596" s="9">
        <v>102.0</v>
      </c>
      <c r="O596" s="11">
        <v>12.0</v>
      </c>
      <c r="P596" s="9" t="s">
        <v>44</v>
      </c>
      <c r="Q596" s="12"/>
      <c r="R596" s="9" t="s">
        <v>90</v>
      </c>
      <c r="S596" s="9" t="s">
        <v>47</v>
      </c>
      <c r="T596" s="9" t="s">
        <v>44</v>
      </c>
      <c r="U596" s="9" t="s">
        <v>44</v>
      </c>
      <c r="V596" s="11">
        <v>53.7</v>
      </c>
      <c r="W596" s="11">
        <v>1.0</v>
      </c>
      <c r="X596" s="9" t="s">
        <v>48</v>
      </c>
      <c r="Y596" s="9" t="s">
        <v>791</v>
      </c>
      <c r="Z596" s="12"/>
      <c r="AA596" s="9">
        <v>1305766.0</v>
      </c>
      <c r="AB596" s="12"/>
      <c r="AC596" s="9" t="s">
        <v>50</v>
      </c>
    </row>
    <row r="597">
      <c r="A597" s="9" t="s">
        <v>33</v>
      </c>
      <c r="B597" s="11">
        <v>6.0</v>
      </c>
      <c r="C597" s="9" t="s">
        <v>43</v>
      </c>
      <c r="D597" s="9" t="s">
        <v>55</v>
      </c>
      <c r="E597" s="9" t="s">
        <v>56</v>
      </c>
      <c r="F597" s="9" t="s">
        <v>45</v>
      </c>
      <c r="G597" s="9" t="s">
        <v>46</v>
      </c>
      <c r="H597" s="9" t="s">
        <v>792</v>
      </c>
      <c r="I597" s="11">
        <v>8177306.0</v>
      </c>
      <c r="J597" s="11">
        <v>2.66806971E8</v>
      </c>
      <c r="K597" s="13">
        <v>46304.0</v>
      </c>
      <c r="L597" s="14">
        <v>46318.0</v>
      </c>
      <c r="M597" s="12"/>
      <c r="N597" s="9">
        <v>1011.0</v>
      </c>
      <c r="O597" s="11">
        <v>9.0</v>
      </c>
      <c r="P597" s="9" t="s">
        <v>44</v>
      </c>
      <c r="Q597" s="12"/>
      <c r="R597" s="9" t="s">
        <v>90</v>
      </c>
      <c r="S597" s="9" t="s">
        <v>47</v>
      </c>
      <c r="T597" s="9" t="s">
        <v>44</v>
      </c>
      <c r="U597" s="9" t="s">
        <v>44</v>
      </c>
      <c r="V597" s="11">
        <v>53.7</v>
      </c>
      <c r="W597" s="11">
        <v>1.0</v>
      </c>
      <c r="X597" s="9" t="s">
        <v>48</v>
      </c>
      <c r="Y597" s="9" t="s">
        <v>793</v>
      </c>
      <c r="Z597" s="12"/>
      <c r="AA597" s="9">
        <v>1305694.0</v>
      </c>
      <c r="AB597" s="12"/>
      <c r="AC597" s="9" t="s">
        <v>50</v>
      </c>
    </row>
    <row r="598">
      <c r="A598" s="9" t="s">
        <v>33</v>
      </c>
      <c r="B598" s="11">
        <v>6.0</v>
      </c>
      <c r="C598" s="9" t="s">
        <v>43</v>
      </c>
      <c r="D598" s="9" t="s">
        <v>55</v>
      </c>
      <c r="E598" s="9" t="s">
        <v>56</v>
      </c>
      <c r="F598" s="9" t="s">
        <v>45</v>
      </c>
      <c r="G598" s="9" t="s">
        <v>46</v>
      </c>
      <c r="H598" s="9" t="s">
        <v>520</v>
      </c>
      <c r="I598" s="11">
        <v>8177359.0</v>
      </c>
      <c r="J598" s="11">
        <v>2.66806972E8</v>
      </c>
      <c r="K598" s="13">
        <v>46304.0</v>
      </c>
      <c r="L598" s="14">
        <v>46322.0</v>
      </c>
      <c r="M598" s="12"/>
      <c r="N598" s="9">
        <v>106.0</v>
      </c>
      <c r="O598" s="11">
        <v>11.0</v>
      </c>
      <c r="P598" s="9" t="s">
        <v>44</v>
      </c>
      <c r="Q598" s="12"/>
      <c r="R598" s="12"/>
      <c r="S598" s="9" t="s">
        <v>47</v>
      </c>
      <c r="T598" s="9" t="s">
        <v>44</v>
      </c>
      <c r="U598" s="9" t="s">
        <v>44</v>
      </c>
      <c r="V598" s="11">
        <v>53.7</v>
      </c>
      <c r="W598" s="11">
        <v>1.0</v>
      </c>
      <c r="X598" s="9" t="s">
        <v>48</v>
      </c>
      <c r="Y598" s="9" t="s">
        <v>794</v>
      </c>
      <c r="Z598" s="12"/>
      <c r="AA598" s="9">
        <v>1306016.0</v>
      </c>
      <c r="AB598" s="12"/>
      <c r="AC598" s="9" t="s">
        <v>50</v>
      </c>
    </row>
    <row r="599">
      <c r="A599" s="9" t="s">
        <v>33</v>
      </c>
      <c r="B599" s="11">
        <v>6.0</v>
      </c>
      <c r="C599" s="9" t="s">
        <v>43</v>
      </c>
      <c r="D599" s="9" t="s">
        <v>55</v>
      </c>
      <c r="E599" s="9" t="s">
        <v>56</v>
      </c>
      <c r="F599" s="9" t="s">
        <v>45</v>
      </c>
      <c r="G599" s="9" t="s">
        <v>46</v>
      </c>
      <c r="H599" s="9" t="s">
        <v>520</v>
      </c>
      <c r="I599" s="11">
        <v>8177233.0</v>
      </c>
      <c r="J599" s="11">
        <v>2.66806973E8</v>
      </c>
      <c r="K599" s="13">
        <v>46304.0</v>
      </c>
      <c r="L599" s="14">
        <v>46322.0</v>
      </c>
      <c r="M599" s="12"/>
      <c r="N599" s="9">
        <v>106.0</v>
      </c>
      <c r="O599" s="11">
        <v>11.0</v>
      </c>
      <c r="P599" s="9" t="s">
        <v>44</v>
      </c>
      <c r="Q599" s="12"/>
      <c r="R599" s="9" t="s">
        <v>90</v>
      </c>
      <c r="S599" s="9" t="s">
        <v>47</v>
      </c>
      <c r="T599" s="9" t="s">
        <v>44</v>
      </c>
      <c r="U599" s="9" t="s">
        <v>44</v>
      </c>
      <c r="V599" s="11">
        <v>53.7</v>
      </c>
      <c r="W599" s="11">
        <v>1.0</v>
      </c>
      <c r="X599" s="9" t="s">
        <v>48</v>
      </c>
      <c r="Y599" s="9" t="s">
        <v>795</v>
      </c>
      <c r="Z599" s="12"/>
      <c r="AA599" s="9">
        <v>1306208.0</v>
      </c>
      <c r="AB599" s="12"/>
      <c r="AC599" s="9" t="s">
        <v>50</v>
      </c>
    </row>
    <row r="600">
      <c r="A600" s="9" t="s">
        <v>33</v>
      </c>
      <c r="B600" s="11">
        <v>6.0</v>
      </c>
      <c r="C600" s="9" t="s">
        <v>43</v>
      </c>
      <c r="D600" s="9" t="s">
        <v>55</v>
      </c>
      <c r="E600" s="9" t="s">
        <v>56</v>
      </c>
      <c r="F600" s="9" t="s">
        <v>45</v>
      </c>
      <c r="G600" s="9" t="s">
        <v>46</v>
      </c>
      <c r="H600" s="9" t="s">
        <v>520</v>
      </c>
      <c r="I600" s="11">
        <v>8177205.0</v>
      </c>
      <c r="J600" s="11">
        <v>2.66806974E8</v>
      </c>
      <c r="K600" s="13">
        <v>46304.0</v>
      </c>
      <c r="L600" s="14">
        <v>46324.0</v>
      </c>
      <c r="M600" s="12"/>
      <c r="N600" s="9">
        <v>1105.0</v>
      </c>
      <c r="O600" s="11">
        <v>13.0</v>
      </c>
      <c r="P600" s="9" t="s">
        <v>44</v>
      </c>
      <c r="Q600" s="12"/>
      <c r="R600" s="9" t="s">
        <v>90</v>
      </c>
      <c r="S600" s="9" t="s">
        <v>47</v>
      </c>
      <c r="T600" s="9" t="s">
        <v>44</v>
      </c>
      <c r="U600" s="9" t="s">
        <v>44</v>
      </c>
      <c r="V600" s="11">
        <v>53.7</v>
      </c>
      <c r="W600" s="11">
        <v>1.0</v>
      </c>
      <c r="X600" s="9" t="s">
        <v>48</v>
      </c>
      <c r="Y600" s="9" t="s">
        <v>796</v>
      </c>
      <c r="Z600" s="12"/>
      <c r="AA600" s="9">
        <v>1306154.0</v>
      </c>
      <c r="AB600" s="12"/>
      <c r="AC600" s="9" t="s">
        <v>50</v>
      </c>
    </row>
    <row r="601">
      <c r="A601" s="9" t="s">
        <v>33</v>
      </c>
      <c r="B601" s="11">
        <v>6.0</v>
      </c>
      <c r="C601" s="9" t="s">
        <v>43</v>
      </c>
      <c r="D601" s="9" t="s">
        <v>55</v>
      </c>
      <c r="E601" s="9" t="s">
        <v>56</v>
      </c>
      <c r="F601" s="9" t="s">
        <v>45</v>
      </c>
      <c r="G601" s="9" t="s">
        <v>46</v>
      </c>
      <c r="H601" s="9" t="s">
        <v>522</v>
      </c>
      <c r="I601" s="11">
        <v>8177271.0</v>
      </c>
      <c r="J601" s="11">
        <v>2.66806975E8</v>
      </c>
      <c r="K601" s="13">
        <v>46304.0</v>
      </c>
      <c r="L601" s="14">
        <v>46317.0</v>
      </c>
      <c r="M601" s="12"/>
      <c r="N601" s="9">
        <v>1.0</v>
      </c>
      <c r="O601" s="11">
        <v>8.0</v>
      </c>
      <c r="P601" s="9" t="s">
        <v>44</v>
      </c>
      <c r="Q601" s="12"/>
      <c r="R601" s="9" t="s">
        <v>90</v>
      </c>
      <c r="S601" s="9" t="s">
        <v>47</v>
      </c>
      <c r="T601" s="9" t="s">
        <v>44</v>
      </c>
      <c r="U601" s="9" t="s">
        <v>44</v>
      </c>
      <c r="V601" s="11">
        <v>47.89</v>
      </c>
      <c r="W601" s="11">
        <v>1.0</v>
      </c>
      <c r="X601" s="9" t="s">
        <v>48</v>
      </c>
      <c r="Y601" s="9" t="s">
        <v>797</v>
      </c>
      <c r="Z601" s="12"/>
      <c r="AA601" s="9">
        <v>1306053.0</v>
      </c>
      <c r="AB601" s="12"/>
      <c r="AC601" s="9" t="s">
        <v>50</v>
      </c>
    </row>
    <row r="602">
      <c r="A602" s="9" t="s">
        <v>33</v>
      </c>
      <c r="B602" s="11">
        <v>6.0</v>
      </c>
      <c r="C602" s="9" t="s">
        <v>43</v>
      </c>
      <c r="D602" s="9" t="s">
        <v>55</v>
      </c>
      <c r="E602" s="9" t="s">
        <v>56</v>
      </c>
      <c r="F602" s="9" t="s">
        <v>45</v>
      </c>
      <c r="G602" s="9" t="s">
        <v>46</v>
      </c>
      <c r="H602" s="9" t="s">
        <v>522</v>
      </c>
      <c r="I602" s="11">
        <v>8177272.0</v>
      </c>
      <c r="J602" s="11">
        <v>2.66806976E8</v>
      </c>
      <c r="K602" s="13">
        <v>46304.0</v>
      </c>
      <c r="L602" s="14">
        <v>46323.0</v>
      </c>
      <c r="M602" s="12"/>
      <c r="N602" s="9">
        <v>110.0</v>
      </c>
      <c r="O602" s="11">
        <v>12.0</v>
      </c>
      <c r="P602" s="9" t="s">
        <v>44</v>
      </c>
      <c r="Q602" s="12"/>
      <c r="R602" s="9" t="s">
        <v>90</v>
      </c>
      <c r="S602" s="9" t="s">
        <v>47</v>
      </c>
      <c r="T602" s="9" t="s">
        <v>44</v>
      </c>
      <c r="U602" s="9" t="s">
        <v>44</v>
      </c>
      <c r="V602" s="11">
        <v>53.7</v>
      </c>
      <c r="W602" s="11">
        <v>1.0</v>
      </c>
      <c r="X602" s="9" t="s">
        <v>48</v>
      </c>
      <c r="Y602" s="9" t="s">
        <v>798</v>
      </c>
      <c r="Z602" s="12"/>
      <c r="AA602" s="9">
        <v>1306002.0</v>
      </c>
      <c r="AB602" s="12"/>
      <c r="AC602" s="9" t="s">
        <v>50</v>
      </c>
    </row>
    <row r="603">
      <c r="A603" s="9" t="s">
        <v>33</v>
      </c>
      <c r="B603" s="11">
        <v>6.0</v>
      </c>
      <c r="C603" s="9" t="s">
        <v>43</v>
      </c>
      <c r="D603" s="9" t="s">
        <v>55</v>
      </c>
      <c r="E603" s="9" t="s">
        <v>56</v>
      </c>
      <c r="F603" s="9" t="s">
        <v>45</v>
      </c>
      <c r="G603" s="9" t="s">
        <v>46</v>
      </c>
      <c r="H603" s="9" t="s">
        <v>222</v>
      </c>
      <c r="I603" s="11">
        <v>8177143.0</v>
      </c>
      <c r="J603" s="11">
        <v>2.66806977E8</v>
      </c>
      <c r="K603" s="13">
        <v>46304.0</v>
      </c>
      <c r="L603" s="14">
        <v>46316.0</v>
      </c>
      <c r="M603" s="12"/>
      <c r="N603" s="9">
        <v>2740.0</v>
      </c>
      <c r="O603" s="11">
        <v>7.0</v>
      </c>
      <c r="P603" s="9" t="s">
        <v>44</v>
      </c>
      <c r="Q603" s="12"/>
      <c r="R603" s="9" t="s">
        <v>52</v>
      </c>
      <c r="S603" s="9" t="s">
        <v>47</v>
      </c>
      <c r="T603" s="9" t="s">
        <v>44</v>
      </c>
      <c r="U603" s="9" t="s">
        <v>44</v>
      </c>
      <c r="V603" s="11">
        <v>60.21</v>
      </c>
      <c r="W603" s="11">
        <v>12.0</v>
      </c>
      <c r="X603" s="9" t="s">
        <v>48</v>
      </c>
      <c r="Y603" s="9" t="s">
        <v>527</v>
      </c>
      <c r="Z603" s="12"/>
      <c r="AA603" s="9">
        <v>1304637.0</v>
      </c>
      <c r="AB603" s="12"/>
      <c r="AC603" s="9" t="s">
        <v>50</v>
      </c>
    </row>
    <row r="604">
      <c r="A604" s="9" t="s">
        <v>33</v>
      </c>
      <c r="B604" s="11">
        <v>6.0</v>
      </c>
      <c r="C604" s="9" t="s">
        <v>43</v>
      </c>
      <c r="D604" s="9" t="s">
        <v>55</v>
      </c>
      <c r="E604" s="9" t="s">
        <v>56</v>
      </c>
      <c r="F604" s="9" t="s">
        <v>45</v>
      </c>
      <c r="G604" s="9" t="s">
        <v>46</v>
      </c>
      <c r="H604" s="9" t="s">
        <v>529</v>
      </c>
      <c r="I604" s="11">
        <v>8177144.0</v>
      </c>
      <c r="J604" s="11">
        <v>2.66806978E8</v>
      </c>
      <c r="K604" s="13">
        <v>46304.0</v>
      </c>
      <c r="L604" s="14">
        <v>46317.0</v>
      </c>
      <c r="M604" s="12"/>
      <c r="N604" s="9">
        <v>3.0</v>
      </c>
      <c r="O604" s="11">
        <v>8.0</v>
      </c>
      <c r="P604" s="9" t="s">
        <v>44</v>
      </c>
      <c r="Q604" s="12"/>
      <c r="R604" s="9" t="s">
        <v>52</v>
      </c>
      <c r="S604" s="9" t="s">
        <v>47</v>
      </c>
      <c r="T604" s="9" t="s">
        <v>44</v>
      </c>
      <c r="U604" s="9" t="s">
        <v>44</v>
      </c>
      <c r="V604" s="11">
        <v>55.69</v>
      </c>
      <c r="W604" s="11">
        <v>3.0</v>
      </c>
      <c r="X604" s="9" t="s">
        <v>48</v>
      </c>
      <c r="Y604" s="9" t="s">
        <v>799</v>
      </c>
      <c r="Z604" s="12"/>
      <c r="AA604" s="9">
        <v>1306107.0</v>
      </c>
      <c r="AB604" s="12"/>
      <c r="AC604" s="9" t="s">
        <v>50</v>
      </c>
    </row>
    <row r="605">
      <c r="A605" s="9" t="s">
        <v>33</v>
      </c>
      <c r="B605" s="11">
        <v>6.0</v>
      </c>
      <c r="C605" s="9" t="s">
        <v>43</v>
      </c>
      <c r="D605" s="9" t="s">
        <v>55</v>
      </c>
      <c r="E605" s="9" t="s">
        <v>56</v>
      </c>
      <c r="F605" s="9" t="s">
        <v>45</v>
      </c>
      <c r="G605" s="9" t="s">
        <v>46</v>
      </c>
      <c r="H605" s="9" t="s">
        <v>529</v>
      </c>
      <c r="I605" s="11">
        <v>8177273.0</v>
      </c>
      <c r="J605" s="11">
        <v>2.66806979E8</v>
      </c>
      <c r="K605" s="13">
        <v>46304.0</v>
      </c>
      <c r="L605" s="14">
        <v>46317.0</v>
      </c>
      <c r="M605" s="12"/>
      <c r="N605" s="9">
        <v>3.0</v>
      </c>
      <c r="O605" s="11">
        <v>8.0</v>
      </c>
      <c r="P605" s="9" t="s">
        <v>44</v>
      </c>
      <c r="Q605" s="12"/>
      <c r="R605" s="12"/>
      <c r="S605" s="9" t="s">
        <v>47</v>
      </c>
      <c r="T605" s="9" t="s">
        <v>44</v>
      </c>
      <c r="U605" s="9" t="s">
        <v>44</v>
      </c>
      <c r="V605" s="11">
        <v>47.89</v>
      </c>
      <c r="W605" s="11">
        <v>1.0</v>
      </c>
      <c r="X605" s="9" t="s">
        <v>48</v>
      </c>
      <c r="Y605" s="9" t="s">
        <v>800</v>
      </c>
      <c r="Z605" s="12"/>
      <c r="AA605" s="9">
        <v>1305997.0</v>
      </c>
      <c r="AB605" s="12"/>
      <c r="AC605" s="9" t="s">
        <v>50</v>
      </c>
    </row>
    <row r="606">
      <c r="A606" s="9" t="s">
        <v>33</v>
      </c>
      <c r="B606" s="11">
        <v>6.0</v>
      </c>
      <c r="C606" s="9" t="s">
        <v>43</v>
      </c>
      <c r="D606" s="9" t="s">
        <v>55</v>
      </c>
      <c r="E606" s="9" t="s">
        <v>56</v>
      </c>
      <c r="F606" s="9" t="s">
        <v>45</v>
      </c>
      <c r="G606" s="9" t="s">
        <v>46</v>
      </c>
      <c r="H606" s="9" t="s">
        <v>529</v>
      </c>
      <c r="I606" s="11">
        <v>8177307.0</v>
      </c>
      <c r="J606" s="11">
        <v>2.66806981E8</v>
      </c>
      <c r="K606" s="13">
        <v>46304.0</v>
      </c>
      <c r="L606" s="14">
        <v>46317.0</v>
      </c>
      <c r="M606" s="12"/>
      <c r="N606" s="9">
        <v>1.0</v>
      </c>
      <c r="O606" s="11">
        <v>8.0</v>
      </c>
      <c r="P606" s="9" t="s">
        <v>44</v>
      </c>
      <c r="Q606" s="12"/>
      <c r="R606" s="12"/>
      <c r="S606" s="9" t="s">
        <v>47</v>
      </c>
      <c r="T606" s="9" t="s">
        <v>44</v>
      </c>
      <c r="U606" s="9" t="s">
        <v>44</v>
      </c>
      <c r="V606" s="11">
        <v>47.89</v>
      </c>
      <c r="W606" s="11">
        <v>1.0</v>
      </c>
      <c r="X606" s="9" t="s">
        <v>48</v>
      </c>
      <c r="Y606" s="9" t="s">
        <v>801</v>
      </c>
      <c r="Z606" s="12"/>
      <c r="AA606" s="9">
        <v>1305915.0</v>
      </c>
      <c r="AB606" s="12"/>
      <c r="AC606" s="9" t="s">
        <v>50</v>
      </c>
    </row>
    <row r="607">
      <c r="A607" s="9" t="s">
        <v>33</v>
      </c>
      <c r="B607" s="11">
        <v>6.0</v>
      </c>
      <c r="C607" s="9" t="s">
        <v>43</v>
      </c>
      <c r="D607" s="9" t="s">
        <v>55</v>
      </c>
      <c r="E607" s="9" t="s">
        <v>56</v>
      </c>
      <c r="F607" s="9" t="s">
        <v>45</v>
      </c>
      <c r="G607" s="9" t="s">
        <v>46</v>
      </c>
      <c r="H607" s="9" t="s">
        <v>529</v>
      </c>
      <c r="I607" s="11">
        <v>8177274.0</v>
      </c>
      <c r="J607" s="11">
        <v>2.66806982E8</v>
      </c>
      <c r="K607" s="13">
        <v>46304.0</v>
      </c>
      <c r="L607" s="14">
        <v>46318.0</v>
      </c>
      <c r="M607" s="12"/>
      <c r="N607" s="9">
        <v>104.0</v>
      </c>
      <c r="O607" s="11">
        <v>9.0</v>
      </c>
      <c r="P607" s="9" t="s">
        <v>44</v>
      </c>
      <c r="Q607" s="12"/>
      <c r="R607" s="12"/>
      <c r="S607" s="9" t="s">
        <v>47</v>
      </c>
      <c r="T607" s="9" t="s">
        <v>44</v>
      </c>
      <c r="U607" s="9" t="s">
        <v>44</v>
      </c>
      <c r="V607" s="11">
        <v>53.7</v>
      </c>
      <c r="W607" s="11">
        <v>1.0</v>
      </c>
      <c r="X607" s="9" t="s">
        <v>48</v>
      </c>
      <c r="Y607" s="9" t="s">
        <v>802</v>
      </c>
      <c r="Z607" s="12"/>
      <c r="AA607" s="9">
        <v>1306019.0</v>
      </c>
      <c r="AB607" s="12"/>
      <c r="AC607" s="9" t="s">
        <v>50</v>
      </c>
    </row>
    <row r="608">
      <c r="A608" s="9" t="s">
        <v>33</v>
      </c>
      <c r="B608" s="11">
        <v>6.0</v>
      </c>
      <c r="C608" s="9" t="s">
        <v>43</v>
      </c>
      <c r="D608" s="9" t="s">
        <v>55</v>
      </c>
      <c r="E608" s="9" t="s">
        <v>56</v>
      </c>
      <c r="F608" s="9" t="s">
        <v>45</v>
      </c>
      <c r="G608" s="9" t="s">
        <v>46</v>
      </c>
      <c r="H608" s="9" t="s">
        <v>529</v>
      </c>
      <c r="I608" s="11">
        <v>8177275.0</v>
      </c>
      <c r="J608" s="11">
        <v>2.66806983E8</v>
      </c>
      <c r="K608" s="13">
        <v>46304.0</v>
      </c>
      <c r="L608" s="14">
        <v>46323.0</v>
      </c>
      <c r="M608" s="12"/>
      <c r="N608" s="9">
        <v>101.0</v>
      </c>
      <c r="O608" s="11">
        <v>12.0</v>
      </c>
      <c r="P608" s="9" t="s">
        <v>44</v>
      </c>
      <c r="Q608" s="12"/>
      <c r="R608" s="12"/>
      <c r="S608" s="9" t="s">
        <v>47</v>
      </c>
      <c r="T608" s="9" t="s">
        <v>44</v>
      </c>
      <c r="U608" s="9" t="s">
        <v>44</v>
      </c>
      <c r="V608" s="11">
        <v>53.7</v>
      </c>
      <c r="W608" s="11">
        <v>1.0</v>
      </c>
      <c r="X608" s="9" t="s">
        <v>48</v>
      </c>
      <c r="Y608" s="9" t="s">
        <v>803</v>
      </c>
      <c r="Z608" s="12"/>
      <c r="AA608" s="9">
        <v>1306040.0</v>
      </c>
      <c r="AB608" s="12"/>
      <c r="AC608" s="9" t="s">
        <v>50</v>
      </c>
    </row>
    <row r="609">
      <c r="A609" s="9" t="s">
        <v>33</v>
      </c>
      <c r="B609" s="11">
        <v>6.0</v>
      </c>
      <c r="C609" s="9" t="s">
        <v>43</v>
      </c>
      <c r="D609" s="9" t="s">
        <v>55</v>
      </c>
      <c r="E609" s="9" t="s">
        <v>56</v>
      </c>
      <c r="F609" s="9" t="s">
        <v>45</v>
      </c>
      <c r="G609" s="9" t="s">
        <v>46</v>
      </c>
      <c r="H609" s="9" t="s">
        <v>529</v>
      </c>
      <c r="I609" s="11">
        <v>8177234.0</v>
      </c>
      <c r="J609" s="11">
        <v>2.66806984E8</v>
      </c>
      <c r="K609" s="13">
        <v>46304.0</v>
      </c>
      <c r="L609" s="14">
        <v>46321.0</v>
      </c>
      <c r="M609" s="12"/>
      <c r="N609" s="9">
        <v>101.0</v>
      </c>
      <c r="O609" s="11">
        <v>10.0</v>
      </c>
      <c r="P609" s="9" t="s">
        <v>44</v>
      </c>
      <c r="Q609" s="12"/>
      <c r="R609" s="12"/>
      <c r="S609" s="9" t="s">
        <v>47</v>
      </c>
      <c r="T609" s="9" t="s">
        <v>44</v>
      </c>
      <c r="U609" s="9" t="s">
        <v>44</v>
      </c>
      <c r="V609" s="11">
        <v>53.7</v>
      </c>
      <c r="W609" s="11">
        <v>1.0</v>
      </c>
      <c r="X609" s="9" t="s">
        <v>48</v>
      </c>
      <c r="Y609" s="9" t="s">
        <v>804</v>
      </c>
      <c r="Z609" s="12"/>
      <c r="AA609" s="9">
        <v>1306014.0</v>
      </c>
      <c r="AB609" s="12"/>
      <c r="AC609" s="9" t="s">
        <v>50</v>
      </c>
    </row>
    <row r="610">
      <c r="A610" s="9" t="s">
        <v>33</v>
      </c>
      <c r="B610" s="11">
        <v>6.0</v>
      </c>
      <c r="C610" s="9" t="s">
        <v>43</v>
      </c>
      <c r="D610" s="9" t="s">
        <v>55</v>
      </c>
      <c r="E610" s="9" t="s">
        <v>56</v>
      </c>
      <c r="F610" s="9" t="s">
        <v>45</v>
      </c>
      <c r="G610" s="9" t="s">
        <v>46</v>
      </c>
      <c r="H610" s="9" t="s">
        <v>529</v>
      </c>
      <c r="I610" s="11">
        <v>8177235.0</v>
      </c>
      <c r="J610" s="11">
        <v>2.66806985E8</v>
      </c>
      <c r="K610" s="13">
        <v>46304.0</v>
      </c>
      <c r="L610" s="14">
        <v>46318.0</v>
      </c>
      <c r="M610" s="12"/>
      <c r="N610" s="9">
        <v>107.0</v>
      </c>
      <c r="O610" s="11">
        <v>9.0</v>
      </c>
      <c r="P610" s="9" t="s">
        <v>44</v>
      </c>
      <c r="Q610" s="12"/>
      <c r="R610" s="12"/>
      <c r="S610" s="9" t="s">
        <v>47</v>
      </c>
      <c r="T610" s="9" t="s">
        <v>44</v>
      </c>
      <c r="U610" s="9" t="s">
        <v>44</v>
      </c>
      <c r="V610" s="11">
        <v>53.7</v>
      </c>
      <c r="W610" s="11">
        <v>1.0</v>
      </c>
      <c r="X610" s="9" t="s">
        <v>48</v>
      </c>
      <c r="Y610" s="9" t="s">
        <v>805</v>
      </c>
      <c r="Z610" s="12"/>
      <c r="AA610" s="9">
        <v>1306011.0</v>
      </c>
      <c r="AB610" s="12"/>
      <c r="AC610" s="9" t="s">
        <v>50</v>
      </c>
    </row>
    <row r="611">
      <c r="A611" s="9" t="s">
        <v>33</v>
      </c>
      <c r="B611" s="11">
        <v>6.0</v>
      </c>
      <c r="C611" s="9" t="s">
        <v>43</v>
      </c>
      <c r="D611" s="9" t="s">
        <v>55</v>
      </c>
      <c r="E611" s="9" t="s">
        <v>56</v>
      </c>
      <c r="F611" s="9" t="s">
        <v>45</v>
      </c>
      <c r="G611" s="9" t="s">
        <v>46</v>
      </c>
      <c r="H611" s="9" t="s">
        <v>529</v>
      </c>
      <c r="I611" s="11">
        <v>8177276.0</v>
      </c>
      <c r="J611" s="11">
        <v>2.66806986E8</v>
      </c>
      <c r="K611" s="13">
        <v>46304.0</v>
      </c>
      <c r="L611" s="14">
        <v>46318.0</v>
      </c>
      <c r="M611" s="12"/>
      <c r="N611" s="9">
        <v>103.0</v>
      </c>
      <c r="O611" s="11">
        <v>9.0</v>
      </c>
      <c r="P611" s="9" t="s">
        <v>44</v>
      </c>
      <c r="Q611" s="12"/>
      <c r="R611" s="9" t="s">
        <v>90</v>
      </c>
      <c r="S611" s="9" t="s">
        <v>47</v>
      </c>
      <c r="T611" s="9" t="s">
        <v>44</v>
      </c>
      <c r="U611" s="9" t="s">
        <v>44</v>
      </c>
      <c r="V611" s="11">
        <v>53.7</v>
      </c>
      <c r="W611" s="11">
        <v>1.0</v>
      </c>
      <c r="X611" s="9" t="s">
        <v>48</v>
      </c>
      <c r="Y611" s="9" t="s">
        <v>806</v>
      </c>
      <c r="Z611" s="12"/>
      <c r="AA611" s="9">
        <v>1305848.0</v>
      </c>
      <c r="AB611" s="12"/>
      <c r="AC611" s="9" t="s">
        <v>50</v>
      </c>
    </row>
    <row r="612">
      <c r="A612" s="9" t="s">
        <v>33</v>
      </c>
      <c r="B612" s="11">
        <v>6.0</v>
      </c>
      <c r="C612" s="9" t="s">
        <v>43</v>
      </c>
      <c r="D612" s="9" t="s">
        <v>55</v>
      </c>
      <c r="E612" s="9" t="s">
        <v>56</v>
      </c>
      <c r="F612" s="9" t="s">
        <v>45</v>
      </c>
      <c r="G612" s="9" t="s">
        <v>46</v>
      </c>
      <c r="H612" s="9" t="s">
        <v>529</v>
      </c>
      <c r="I612" s="11">
        <v>8177333.0</v>
      </c>
      <c r="J612" s="11">
        <v>2.66806987E8</v>
      </c>
      <c r="K612" s="13">
        <v>46304.0</v>
      </c>
      <c r="L612" s="14">
        <v>46321.0</v>
      </c>
      <c r="M612" s="12"/>
      <c r="N612" s="9">
        <v>105.0</v>
      </c>
      <c r="O612" s="11">
        <v>10.0</v>
      </c>
      <c r="P612" s="9" t="s">
        <v>44</v>
      </c>
      <c r="Q612" s="12"/>
      <c r="R612" s="9" t="s">
        <v>52</v>
      </c>
      <c r="S612" s="9" t="s">
        <v>47</v>
      </c>
      <c r="T612" s="9" t="s">
        <v>44</v>
      </c>
      <c r="U612" s="9" t="s">
        <v>44</v>
      </c>
      <c r="V612" s="11">
        <v>53.7</v>
      </c>
      <c r="W612" s="11">
        <v>2.0</v>
      </c>
      <c r="X612" s="9" t="s">
        <v>48</v>
      </c>
      <c r="Y612" s="9" t="s">
        <v>807</v>
      </c>
      <c r="Z612" s="12"/>
      <c r="AA612" s="9">
        <v>1306128.0</v>
      </c>
      <c r="AB612" s="12"/>
      <c r="AC612" s="9" t="s">
        <v>50</v>
      </c>
    </row>
    <row r="613">
      <c r="A613" s="9" t="s">
        <v>33</v>
      </c>
      <c r="B613" s="11">
        <v>6.0</v>
      </c>
      <c r="C613" s="9" t="s">
        <v>43</v>
      </c>
      <c r="D613" s="9" t="s">
        <v>55</v>
      </c>
      <c r="E613" s="9" t="s">
        <v>56</v>
      </c>
      <c r="F613" s="9" t="s">
        <v>45</v>
      </c>
      <c r="G613" s="9" t="s">
        <v>46</v>
      </c>
      <c r="H613" s="9" t="s">
        <v>535</v>
      </c>
      <c r="I613" s="11">
        <v>8177360.0</v>
      </c>
      <c r="J613" s="11">
        <v>2.66806988E8</v>
      </c>
      <c r="K613" s="13">
        <v>46304.0</v>
      </c>
      <c r="L613" s="14">
        <v>46322.0</v>
      </c>
      <c r="M613" s="12"/>
      <c r="N613" s="9">
        <v>107.0</v>
      </c>
      <c r="O613" s="11">
        <v>11.0</v>
      </c>
      <c r="P613" s="9" t="s">
        <v>44</v>
      </c>
      <c r="Q613" s="12"/>
      <c r="R613" s="9" t="s">
        <v>52</v>
      </c>
      <c r="S613" s="9" t="s">
        <v>47</v>
      </c>
      <c r="T613" s="9" t="s">
        <v>44</v>
      </c>
      <c r="U613" s="9" t="s">
        <v>44</v>
      </c>
      <c r="V613" s="11">
        <v>53.7</v>
      </c>
      <c r="W613" s="11">
        <v>1.0</v>
      </c>
      <c r="X613" s="9" t="s">
        <v>48</v>
      </c>
      <c r="Y613" s="9" t="s">
        <v>808</v>
      </c>
      <c r="Z613" s="12"/>
      <c r="AA613" s="9">
        <v>1305991.0</v>
      </c>
      <c r="AB613" s="12"/>
      <c r="AC613" s="9" t="s">
        <v>50</v>
      </c>
    </row>
    <row r="614">
      <c r="A614" s="9" t="s">
        <v>33</v>
      </c>
      <c r="B614" s="11">
        <v>6.0</v>
      </c>
      <c r="C614" s="9" t="s">
        <v>43</v>
      </c>
      <c r="D614" s="9" t="s">
        <v>55</v>
      </c>
      <c r="E614" s="9" t="s">
        <v>56</v>
      </c>
      <c r="F614" s="9" t="s">
        <v>45</v>
      </c>
      <c r="G614" s="9" t="s">
        <v>46</v>
      </c>
      <c r="H614" s="9" t="s">
        <v>535</v>
      </c>
      <c r="I614" s="11">
        <v>8177361.0</v>
      </c>
      <c r="J614" s="11">
        <v>2.66806989E8</v>
      </c>
      <c r="K614" s="13">
        <v>46304.0</v>
      </c>
      <c r="L614" s="14">
        <v>46317.0</v>
      </c>
      <c r="M614" s="12"/>
      <c r="N614" s="9">
        <v>1.0</v>
      </c>
      <c r="O614" s="11">
        <v>8.0</v>
      </c>
      <c r="P614" s="9" t="s">
        <v>44</v>
      </c>
      <c r="Q614" s="12"/>
      <c r="R614" s="9" t="s">
        <v>52</v>
      </c>
      <c r="S614" s="9" t="s">
        <v>47</v>
      </c>
      <c r="T614" s="9" t="s">
        <v>44</v>
      </c>
      <c r="U614" s="9" t="s">
        <v>44</v>
      </c>
      <c r="V614" s="11">
        <v>47.89</v>
      </c>
      <c r="W614" s="11">
        <v>3.0</v>
      </c>
      <c r="X614" s="9" t="s">
        <v>48</v>
      </c>
      <c r="Y614" s="9" t="s">
        <v>809</v>
      </c>
      <c r="Z614" s="12"/>
      <c r="AA614" s="9">
        <v>1306290.0</v>
      </c>
      <c r="AB614" s="12"/>
      <c r="AC614" s="9" t="s">
        <v>50</v>
      </c>
    </row>
    <row r="615">
      <c r="A615" s="9" t="s">
        <v>33</v>
      </c>
      <c r="B615" s="11">
        <v>6.0</v>
      </c>
      <c r="C615" s="9" t="s">
        <v>43</v>
      </c>
      <c r="D615" s="9" t="s">
        <v>55</v>
      </c>
      <c r="E615" s="9" t="s">
        <v>56</v>
      </c>
      <c r="F615" s="9" t="s">
        <v>45</v>
      </c>
      <c r="G615" s="9" t="s">
        <v>46</v>
      </c>
      <c r="H615" s="9" t="s">
        <v>535</v>
      </c>
      <c r="I615" s="11">
        <v>8177308.0</v>
      </c>
      <c r="J615" s="11">
        <v>2.66806991E8</v>
      </c>
      <c r="K615" s="13">
        <v>46304.0</v>
      </c>
      <c r="L615" s="14">
        <v>46317.0</v>
      </c>
      <c r="M615" s="12"/>
      <c r="N615" s="9">
        <v>10.0</v>
      </c>
      <c r="O615" s="11">
        <v>8.0</v>
      </c>
      <c r="P615" s="9" t="s">
        <v>44</v>
      </c>
      <c r="Q615" s="12"/>
      <c r="R615" s="9" t="s">
        <v>90</v>
      </c>
      <c r="S615" s="9" t="s">
        <v>47</v>
      </c>
      <c r="T615" s="9" t="s">
        <v>44</v>
      </c>
      <c r="U615" s="9" t="s">
        <v>44</v>
      </c>
      <c r="V615" s="11">
        <v>53.7</v>
      </c>
      <c r="W615" s="11">
        <v>1.0</v>
      </c>
      <c r="X615" s="9" t="s">
        <v>48</v>
      </c>
      <c r="Y615" s="9" t="s">
        <v>810</v>
      </c>
      <c r="Z615" s="12"/>
      <c r="AA615" s="9">
        <v>1305780.0</v>
      </c>
      <c r="AB615" s="12"/>
      <c r="AC615" s="9" t="s">
        <v>50</v>
      </c>
    </row>
    <row r="616">
      <c r="A616" s="9" t="s">
        <v>33</v>
      </c>
      <c r="B616" s="11">
        <v>6.0</v>
      </c>
      <c r="C616" s="9" t="s">
        <v>43</v>
      </c>
      <c r="D616" s="9" t="s">
        <v>55</v>
      </c>
      <c r="E616" s="9" t="s">
        <v>56</v>
      </c>
      <c r="F616" s="9" t="s">
        <v>45</v>
      </c>
      <c r="G616" s="9" t="s">
        <v>46</v>
      </c>
      <c r="H616" s="9" t="s">
        <v>539</v>
      </c>
      <c r="I616" s="11">
        <v>8177145.0</v>
      </c>
      <c r="J616" s="11">
        <v>2.66806992E8</v>
      </c>
      <c r="K616" s="13">
        <v>46304.0</v>
      </c>
      <c r="L616" s="14">
        <v>46317.0</v>
      </c>
      <c r="M616" s="12"/>
      <c r="N616" s="9">
        <v>2.0</v>
      </c>
      <c r="O616" s="11">
        <v>8.0</v>
      </c>
      <c r="P616" s="9" t="s">
        <v>44</v>
      </c>
      <c r="Q616" s="12"/>
      <c r="R616" s="9" t="s">
        <v>90</v>
      </c>
      <c r="S616" s="9" t="s">
        <v>47</v>
      </c>
      <c r="T616" s="9" t="s">
        <v>44</v>
      </c>
      <c r="U616" s="9" t="s">
        <v>44</v>
      </c>
      <c r="V616" s="11">
        <v>47.89</v>
      </c>
      <c r="W616" s="11">
        <v>1.0</v>
      </c>
      <c r="X616" s="9" t="s">
        <v>48</v>
      </c>
      <c r="Y616" s="9" t="s">
        <v>811</v>
      </c>
      <c r="Z616" s="12"/>
      <c r="AA616" s="9">
        <v>1306100.0</v>
      </c>
      <c r="AB616" s="12"/>
      <c r="AC616" s="9" t="s">
        <v>50</v>
      </c>
    </row>
    <row r="617">
      <c r="A617" s="9" t="s">
        <v>33</v>
      </c>
      <c r="B617" s="11">
        <v>6.0</v>
      </c>
      <c r="C617" s="9" t="s">
        <v>43</v>
      </c>
      <c r="D617" s="9" t="s">
        <v>55</v>
      </c>
      <c r="E617" s="9" t="s">
        <v>56</v>
      </c>
      <c r="F617" s="9" t="s">
        <v>45</v>
      </c>
      <c r="G617" s="9" t="s">
        <v>46</v>
      </c>
      <c r="H617" s="9" t="s">
        <v>549</v>
      </c>
      <c r="I617" s="11">
        <v>8177334.0</v>
      </c>
      <c r="J617" s="11">
        <v>2.66806993E8</v>
      </c>
      <c r="K617" s="13">
        <v>46304.0</v>
      </c>
      <c r="L617" s="14">
        <v>46317.0</v>
      </c>
      <c r="M617" s="12"/>
      <c r="N617" s="9">
        <v>3.0</v>
      </c>
      <c r="O617" s="11">
        <v>8.0</v>
      </c>
      <c r="P617" s="9" t="s">
        <v>44</v>
      </c>
      <c r="Q617" s="12"/>
      <c r="R617" s="9" t="s">
        <v>90</v>
      </c>
      <c r="S617" s="9" t="s">
        <v>47</v>
      </c>
      <c r="T617" s="9" t="s">
        <v>44</v>
      </c>
      <c r="U617" s="9" t="s">
        <v>44</v>
      </c>
      <c r="V617" s="11">
        <v>60.93</v>
      </c>
      <c r="W617" s="11">
        <v>1.0</v>
      </c>
      <c r="X617" s="9" t="s">
        <v>48</v>
      </c>
      <c r="Y617" s="9" t="s">
        <v>812</v>
      </c>
      <c r="Z617" s="12"/>
      <c r="AA617" s="9">
        <v>1306216.0</v>
      </c>
      <c r="AB617" s="12"/>
      <c r="AC617" s="9" t="s">
        <v>50</v>
      </c>
    </row>
    <row r="618">
      <c r="A618" s="9" t="s">
        <v>33</v>
      </c>
      <c r="B618" s="11">
        <v>6.0</v>
      </c>
      <c r="C618" s="9" t="s">
        <v>43</v>
      </c>
      <c r="D618" s="9" t="s">
        <v>55</v>
      </c>
      <c r="E618" s="9" t="s">
        <v>56</v>
      </c>
      <c r="F618" s="9" t="s">
        <v>45</v>
      </c>
      <c r="G618" s="9" t="s">
        <v>46</v>
      </c>
      <c r="H618" s="9" t="s">
        <v>813</v>
      </c>
      <c r="I618" s="11">
        <v>8177335.0</v>
      </c>
      <c r="J618" s="11">
        <v>2.66806994E8</v>
      </c>
      <c r="K618" s="13">
        <v>46304.0</v>
      </c>
      <c r="L618" s="14">
        <v>46321.0</v>
      </c>
      <c r="M618" s="12"/>
      <c r="N618" s="9">
        <v>106.0</v>
      </c>
      <c r="O618" s="11">
        <v>10.0</v>
      </c>
      <c r="P618" s="9" t="s">
        <v>44</v>
      </c>
      <c r="Q618" s="12"/>
      <c r="R618" s="9" t="s">
        <v>90</v>
      </c>
      <c r="S618" s="9" t="s">
        <v>47</v>
      </c>
      <c r="T618" s="9" t="s">
        <v>44</v>
      </c>
      <c r="U618" s="9" t="s">
        <v>44</v>
      </c>
      <c r="V618" s="11">
        <v>60.93</v>
      </c>
      <c r="W618" s="11">
        <v>1.0</v>
      </c>
      <c r="X618" s="9" t="s">
        <v>48</v>
      </c>
      <c r="Y618" s="9" t="s">
        <v>814</v>
      </c>
      <c r="Z618" s="12"/>
      <c r="AA618" s="9">
        <v>1306289.0</v>
      </c>
      <c r="AB618" s="12"/>
      <c r="AC618" s="9" t="s">
        <v>50</v>
      </c>
    </row>
    <row r="619">
      <c r="A619" s="9" t="s">
        <v>33</v>
      </c>
      <c r="B619" s="11">
        <v>6.0</v>
      </c>
      <c r="C619" s="9" t="s">
        <v>43</v>
      </c>
      <c r="D619" s="9" t="s">
        <v>55</v>
      </c>
      <c r="E619" s="9" t="s">
        <v>56</v>
      </c>
      <c r="F619" s="9" t="s">
        <v>45</v>
      </c>
      <c r="G619" s="9" t="s">
        <v>46</v>
      </c>
      <c r="H619" s="9" t="s">
        <v>813</v>
      </c>
      <c r="I619" s="11">
        <v>8177174.0</v>
      </c>
      <c r="J619" s="11">
        <v>2.66806995E8</v>
      </c>
      <c r="K619" s="13">
        <v>46304.0</v>
      </c>
      <c r="L619" s="14">
        <v>46321.0</v>
      </c>
      <c r="M619" s="12"/>
      <c r="N619" s="9">
        <v>106.0</v>
      </c>
      <c r="O619" s="11">
        <v>10.0</v>
      </c>
      <c r="P619" s="9" t="s">
        <v>44</v>
      </c>
      <c r="Q619" s="12"/>
      <c r="R619" s="9" t="s">
        <v>90</v>
      </c>
      <c r="S619" s="9" t="s">
        <v>47</v>
      </c>
      <c r="T619" s="9" t="s">
        <v>44</v>
      </c>
      <c r="U619" s="9" t="s">
        <v>44</v>
      </c>
      <c r="V619" s="11">
        <v>60.93</v>
      </c>
      <c r="W619" s="11">
        <v>1.0</v>
      </c>
      <c r="X619" s="9" t="s">
        <v>48</v>
      </c>
      <c r="Y619" s="9" t="s">
        <v>815</v>
      </c>
      <c r="Z619" s="12"/>
      <c r="AA619" s="9">
        <v>1306159.0</v>
      </c>
      <c r="AB619" s="12"/>
      <c r="AC619" s="9" t="s">
        <v>50</v>
      </c>
    </row>
    <row r="620">
      <c r="A620" s="9" t="s">
        <v>33</v>
      </c>
      <c r="B620" s="11">
        <v>6.0</v>
      </c>
      <c r="C620" s="9" t="s">
        <v>43</v>
      </c>
      <c r="D620" s="9" t="s">
        <v>55</v>
      </c>
      <c r="E620" s="9" t="s">
        <v>56</v>
      </c>
      <c r="F620" s="9" t="s">
        <v>45</v>
      </c>
      <c r="G620" s="9" t="s">
        <v>46</v>
      </c>
      <c r="H620" s="9" t="s">
        <v>547</v>
      </c>
      <c r="I620" s="11">
        <v>8177336.0</v>
      </c>
      <c r="J620" s="11">
        <v>2.66806997E8</v>
      </c>
      <c r="K620" s="13">
        <v>46304.0</v>
      </c>
      <c r="L620" s="14">
        <v>46318.0</v>
      </c>
      <c r="M620" s="12"/>
      <c r="N620" s="9">
        <v>101.0</v>
      </c>
      <c r="O620" s="11">
        <v>9.0</v>
      </c>
      <c r="P620" s="9" t="s">
        <v>44</v>
      </c>
      <c r="Q620" s="12"/>
      <c r="R620" s="9" t="s">
        <v>90</v>
      </c>
      <c r="S620" s="9" t="s">
        <v>47</v>
      </c>
      <c r="T620" s="9" t="s">
        <v>44</v>
      </c>
      <c r="U620" s="9" t="s">
        <v>44</v>
      </c>
      <c r="V620" s="11">
        <v>60.93</v>
      </c>
      <c r="W620" s="11">
        <v>1.0</v>
      </c>
      <c r="X620" s="9" t="s">
        <v>48</v>
      </c>
      <c r="Y620" s="9" t="s">
        <v>816</v>
      </c>
      <c r="Z620" s="12"/>
      <c r="AA620" s="9">
        <v>1306026.0</v>
      </c>
      <c r="AB620" s="12"/>
      <c r="AC620" s="9" t="s">
        <v>50</v>
      </c>
    </row>
    <row r="621">
      <c r="A621" s="9" t="s">
        <v>33</v>
      </c>
      <c r="B621" s="11">
        <v>6.0</v>
      </c>
      <c r="C621" s="9" t="s">
        <v>43</v>
      </c>
      <c r="D621" s="9" t="s">
        <v>55</v>
      </c>
      <c r="E621" s="9" t="s">
        <v>56</v>
      </c>
      <c r="F621" s="9" t="s">
        <v>45</v>
      </c>
      <c r="G621" s="9" t="s">
        <v>46</v>
      </c>
      <c r="H621" s="9" t="s">
        <v>547</v>
      </c>
      <c r="I621" s="11">
        <v>8177123.0</v>
      </c>
      <c r="J621" s="11">
        <v>2.66806999E8</v>
      </c>
      <c r="K621" s="13">
        <v>46304.0</v>
      </c>
      <c r="L621" s="14">
        <v>46321.0</v>
      </c>
      <c r="M621" s="12"/>
      <c r="N621" s="9">
        <v>103.0</v>
      </c>
      <c r="O621" s="11">
        <v>10.0</v>
      </c>
      <c r="P621" s="9" t="s">
        <v>44</v>
      </c>
      <c r="Q621" s="12"/>
      <c r="R621" s="9" t="s">
        <v>90</v>
      </c>
      <c r="S621" s="9" t="s">
        <v>47</v>
      </c>
      <c r="T621" s="9" t="s">
        <v>44</v>
      </c>
      <c r="U621" s="9" t="s">
        <v>44</v>
      </c>
      <c r="V621" s="11">
        <v>60.93</v>
      </c>
      <c r="W621" s="11">
        <v>1.0</v>
      </c>
      <c r="X621" s="9" t="s">
        <v>48</v>
      </c>
      <c r="Y621" s="9" t="s">
        <v>817</v>
      </c>
      <c r="Z621" s="12"/>
      <c r="AA621" s="9">
        <v>1306354.0</v>
      </c>
      <c r="AB621" s="12"/>
      <c r="AC621" s="9" t="s">
        <v>50</v>
      </c>
    </row>
    <row r="622">
      <c r="A622" s="9" t="s">
        <v>33</v>
      </c>
      <c r="B622" s="11">
        <v>6.0</v>
      </c>
      <c r="C622" s="9" t="s">
        <v>43</v>
      </c>
      <c r="D622" s="9" t="s">
        <v>55</v>
      </c>
      <c r="E622" s="9" t="s">
        <v>56</v>
      </c>
      <c r="F622" s="9" t="s">
        <v>45</v>
      </c>
      <c r="G622" s="9" t="s">
        <v>46</v>
      </c>
      <c r="H622" s="9" t="s">
        <v>547</v>
      </c>
      <c r="I622" s="11">
        <v>8177362.0</v>
      </c>
      <c r="J622" s="11">
        <v>2.66807001E8</v>
      </c>
      <c r="K622" s="13">
        <v>46304.0</v>
      </c>
      <c r="L622" s="14">
        <v>46322.0</v>
      </c>
      <c r="M622" s="12"/>
      <c r="N622" s="9">
        <v>103.0</v>
      </c>
      <c r="O622" s="11">
        <v>11.0</v>
      </c>
      <c r="P622" s="9" t="s">
        <v>44</v>
      </c>
      <c r="Q622" s="12"/>
      <c r="R622" s="9" t="s">
        <v>90</v>
      </c>
      <c r="S622" s="9" t="s">
        <v>47</v>
      </c>
      <c r="T622" s="9" t="s">
        <v>44</v>
      </c>
      <c r="U622" s="9" t="s">
        <v>44</v>
      </c>
      <c r="V622" s="11">
        <v>60.93</v>
      </c>
      <c r="W622" s="11">
        <v>3.0</v>
      </c>
      <c r="X622" s="9" t="s">
        <v>48</v>
      </c>
      <c r="Y622" s="9" t="s">
        <v>818</v>
      </c>
      <c r="Z622" s="12"/>
      <c r="AA622" s="9">
        <v>1305972.0</v>
      </c>
      <c r="AB622" s="12"/>
      <c r="AC622" s="9" t="s">
        <v>50</v>
      </c>
    </row>
    <row r="623">
      <c r="A623" s="9" t="s">
        <v>33</v>
      </c>
      <c r="B623" s="11">
        <v>6.0</v>
      </c>
      <c r="C623" s="9" t="s">
        <v>43</v>
      </c>
      <c r="D623" s="9" t="s">
        <v>55</v>
      </c>
      <c r="E623" s="9" t="s">
        <v>56</v>
      </c>
      <c r="F623" s="9" t="s">
        <v>45</v>
      </c>
      <c r="G623" s="9" t="s">
        <v>46</v>
      </c>
      <c r="H623" s="9" t="s">
        <v>547</v>
      </c>
      <c r="I623" s="11">
        <v>8177277.0</v>
      </c>
      <c r="J623" s="11">
        <v>2.66807002E8</v>
      </c>
      <c r="K623" s="13">
        <v>46304.0</v>
      </c>
      <c r="L623" s="14">
        <v>46322.0</v>
      </c>
      <c r="M623" s="12"/>
      <c r="N623" s="9">
        <v>105.0</v>
      </c>
      <c r="O623" s="11">
        <v>11.0</v>
      </c>
      <c r="P623" s="9" t="s">
        <v>44</v>
      </c>
      <c r="Q623" s="12"/>
      <c r="R623" s="9" t="s">
        <v>90</v>
      </c>
      <c r="S623" s="9" t="s">
        <v>47</v>
      </c>
      <c r="T623" s="9" t="s">
        <v>44</v>
      </c>
      <c r="U623" s="9" t="s">
        <v>44</v>
      </c>
      <c r="V623" s="11">
        <v>60.93</v>
      </c>
      <c r="W623" s="11">
        <v>1.0</v>
      </c>
      <c r="X623" s="9" t="s">
        <v>48</v>
      </c>
      <c r="Y623" s="9" t="s">
        <v>819</v>
      </c>
      <c r="Z623" s="12"/>
      <c r="AA623" s="9">
        <v>1305897.0</v>
      </c>
      <c r="AB623" s="12"/>
      <c r="AC623" s="9" t="s">
        <v>50</v>
      </c>
    </row>
    <row r="624">
      <c r="A624" s="9" t="s">
        <v>33</v>
      </c>
      <c r="B624" s="11">
        <v>6.0</v>
      </c>
      <c r="C624" s="9" t="s">
        <v>43</v>
      </c>
      <c r="D624" s="9" t="s">
        <v>55</v>
      </c>
      <c r="E624" s="9" t="s">
        <v>56</v>
      </c>
      <c r="F624" s="9" t="s">
        <v>45</v>
      </c>
      <c r="G624" s="9" t="s">
        <v>46</v>
      </c>
      <c r="H624" s="9" t="s">
        <v>547</v>
      </c>
      <c r="I624" s="11">
        <v>8177309.0</v>
      </c>
      <c r="J624" s="11">
        <v>2.66807003E8</v>
      </c>
      <c r="K624" s="13">
        <v>46304.0</v>
      </c>
      <c r="L624" s="14">
        <v>46318.0</v>
      </c>
      <c r="M624" s="12"/>
      <c r="N624" s="9">
        <v>1.0</v>
      </c>
      <c r="O624" s="11">
        <v>9.0</v>
      </c>
      <c r="P624" s="9" t="s">
        <v>44</v>
      </c>
      <c r="Q624" s="12"/>
      <c r="R624" s="9" t="s">
        <v>90</v>
      </c>
      <c r="S624" s="9" t="s">
        <v>47</v>
      </c>
      <c r="T624" s="9" t="s">
        <v>44</v>
      </c>
      <c r="U624" s="9" t="s">
        <v>44</v>
      </c>
      <c r="V624" s="11">
        <v>54.19</v>
      </c>
      <c r="W624" s="11">
        <v>1.0</v>
      </c>
      <c r="X624" s="9" t="s">
        <v>48</v>
      </c>
      <c r="Y624" s="9" t="s">
        <v>820</v>
      </c>
      <c r="Z624" s="12"/>
      <c r="AA624" s="9">
        <v>1305762.0</v>
      </c>
      <c r="AB624" s="12"/>
      <c r="AC624" s="9" t="s">
        <v>50</v>
      </c>
    </row>
    <row r="625">
      <c r="A625" s="9" t="s">
        <v>33</v>
      </c>
      <c r="B625" s="11">
        <v>6.0</v>
      </c>
      <c r="C625" s="9" t="s">
        <v>43</v>
      </c>
      <c r="D625" s="9" t="s">
        <v>55</v>
      </c>
      <c r="E625" s="9" t="s">
        <v>56</v>
      </c>
      <c r="F625" s="9" t="s">
        <v>45</v>
      </c>
      <c r="G625" s="9" t="s">
        <v>46</v>
      </c>
      <c r="H625" s="9" t="s">
        <v>547</v>
      </c>
      <c r="I625" s="11">
        <v>8177175.0</v>
      </c>
      <c r="J625" s="11">
        <v>2.66807004E8</v>
      </c>
      <c r="K625" s="13">
        <v>46304.0</v>
      </c>
      <c r="L625" s="14">
        <v>46318.0</v>
      </c>
      <c r="M625" s="12"/>
      <c r="N625" s="9">
        <v>105.0</v>
      </c>
      <c r="O625" s="11">
        <v>9.0</v>
      </c>
      <c r="P625" s="9" t="s">
        <v>44</v>
      </c>
      <c r="Q625" s="12"/>
      <c r="R625" s="9" t="s">
        <v>90</v>
      </c>
      <c r="S625" s="9" t="s">
        <v>47</v>
      </c>
      <c r="T625" s="9" t="s">
        <v>44</v>
      </c>
      <c r="U625" s="9" t="s">
        <v>44</v>
      </c>
      <c r="V625" s="11">
        <v>60.93</v>
      </c>
      <c r="W625" s="11">
        <v>1.0</v>
      </c>
      <c r="X625" s="9" t="s">
        <v>48</v>
      </c>
      <c r="Y625" s="9" t="s">
        <v>821</v>
      </c>
      <c r="Z625" s="12"/>
      <c r="AA625" s="9">
        <v>1306253.0</v>
      </c>
      <c r="AB625" s="12"/>
      <c r="AC625" s="9" t="s">
        <v>50</v>
      </c>
    </row>
    <row r="626">
      <c r="A626" s="9" t="s">
        <v>33</v>
      </c>
      <c r="B626" s="11">
        <v>6.0</v>
      </c>
      <c r="C626" s="9" t="s">
        <v>43</v>
      </c>
      <c r="D626" s="9" t="s">
        <v>55</v>
      </c>
      <c r="E626" s="9" t="s">
        <v>56</v>
      </c>
      <c r="F626" s="9" t="s">
        <v>45</v>
      </c>
      <c r="G626" s="9" t="s">
        <v>46</v>
      </c>
      <c r="H626" s="9" t="s">
        <v>545</v>
      </c>
      <c r="I626" s="11">
        <v>8177278.0</v>
      </c>
      <c r="J626" s="11">
        <v>2.66807005E8</v>
      </c>
      <c r="K626" s="13">
        <v>46304.0</v>
      </c>
      <c r="L626" s="14">
        <v>46317.0</v>
      </c>
      <c r="M626" s="12"/>
      <c r="N626" s="9">
        <v>103.0</v>
      </c>
      <c r="O626" s="11">
        <v>8.0</v>
      </c>
      <c r="P626" s="9" t="s">
        <v>44</v>
      </c>
      <c r="Q626" s="12"/>
      <c r="R626" s="9" t="s">
        <v>90</v>
      </c>
      <c r="S626" s="9" t="s">
        <v>47</v>
      </c>
      <c r="T626" s="9" t="s">
        <v>44</v>
      </c>
      <c r="U626" s="9" t="s">
        <v>44</v>
      </c>
      <c r="V626" s="11">
        <v>60.93</v>
      </c>
      <c r="W626" s="11">
        <v>2.0</v>
      </c>
      <c r="X626" s="9" t="s">
        <v>48</v>
      </c>
      <c r="Y626" s="9" t="s">
        <v>822</v>
      </c>
      <c r="Z626" s="12"/>
      <c r="AA626" s="9" t="s">
        <v>823</v>
      </c>
      <c r="AB626" s="12"/>
      <c r="AC626" s="9" t="s">
        <v>50</v>
      </c>
    </row>
    <row r="627">
      <c r="A627" s="9" t="s">
        <v>33</v>
      </c>
      <c r="B627" s="11">
        <v>6.0</v>
      </c>
      <c r="C627" s="9" t="s">
        <v>43</v>
      </c>
      <c r="D627" s="9" t="s">
        <v>55</v>
      </c>
      <c r="E627" s="9" t="s">
        <v>56</v>
      </c>
      <c r="F627" s="9" t="s">
        <v>45</v>
      </c>
      <c r="G627" s="9" t="s">
        <v>46</v>
      </c>
      <c r="H627" s="9" t="s">
        <v>559</v>
      </c>
      <c r="I627" s="11">
        <v>8177310.0</v>
      </c>
      <c r="J627" s="11">
        <v>2.66807006E8</v>
      </c>
      <c r="K627" s="13">
        <v>46304.0</v>
      </c>
      <c r="L627" s="14">
        <v>46318.0</v>
      </c>
      <c r="M627" s="12"/>
      <c r="N627" s="9">
        <v>103.0</v>
      </c>
      <c r="O627" s="11">
        <v>9.0</v>
      </c>
      <c r="P627" s="9" t="s">
        <v>44</v>
      </c>
      <c r="Q627" s="12"/>
      <c r="R627" s="9" t="s">
        <v>90</v>
      </c>
      <c r="S627" s="9" t="s">
        <v>47</v>
      </c>
      <c r="T627" s="9" t="s">
        <v>44</v>
      </c>
      <c r="U627" s="9" t="s">
        <v>44</v>
      </c>
      <c r="V627" s="11">
        <v>60.93</v>
      </c>
      <c r="W627" s="11">
        <v>3.0</v>
      </c>
      <c r="X627" s="9" t="s">
        <v>48</v>
      </c>
      <c r="Y627" s="9" t="s">
        <v>824</v>
      </c>
      <c r="Z627" s="12"/>
      <c r="AA627" s="9">
        <v>1305601.0</v>
      </c>
      <c r="AB627" s="12"/>
      <c r="AC627" s="9" t="s">
        <v>50</v>
      </c>
    </row>
    <row r="628">
      <c r="A628" s="9" t="s">
        <v>33</v>
      </c>
      <c r="B628" s="11">
        <v>6.0</v>
      </c>
      <c r="C628" s="9" t="s">
        <v>43</v>
      </c>
      <c r="D628" s="9" t="s">
        <v>55</v>
      </c>
      <c r="E628" s="9" t="s">
        <v>56</v>
      </c>
      <c r="F628" s="9" t="s">
        <v>45</v>
      </c>
      <c r="G628" s="9" t="s">
        <v>46</v>
      </c>
      <c r="H628" s="9" t="s">
        <v>557</v>
      </c>
      <c r="I628" s="11">
        <v>8177279.0</v>
      </c>
      <c r="J628" s="11">
        <v>2.66807007E8</v>
      </c>
      <c r="K628" s="13">
        <v>46304.0</v>
      </c>
      <c r="L628" s="14">
        <v>46318.0</v>
      </c>
      <c r="M628" s="12"/>
      <c r="N628" s="9">
        <v>2.0</v>
      </c>
      <c r="O628" s="11">
        <v>9.0</v>
      </c>
      <c r="P628" s="9" t="s">
        <v>44</v>
      </c>
      <c r="Q628" s="12"/>
      <c r="R628" s="9" t="s">
        <v>90</v>
      </c>
      <c r="S628" s="9" t="s">
        <v>47</v>
      </c>
      <c r="T628" s="9" t="s">
        <v>44</v>
      </c>
      <c r="U628" s="9" t="s">
        <v>44</v>
      </c>
      <c r="V628" s="11">
        <v>60.93</v>
      </c>
      <c r="W628" s="11">
        <v>1.0</v>
      </c>
      <c r="X628" s="9" t="s">
        <v>48</v>
      </c>
      <c r="Y628" s="9" t="s">
        <v>825</v>
      </c>
      <c r="Z628" s="12"/>
      <c r="AA628" s="9">
        <v>1305937.0</v>
      </c>
      <c r="AB628" s="12"/>
      <c r="AC628" s="9" t="s">
        <v>50</v>
      </c>
    </row>
    <row r="629">
      <c r="A629" s="9" t="s">
        <v>33</v>
      </c>
      <c r="B629" s="11">
        <v>6.0</v>
      </c>
      <c r="C629" s="9" t="s">
        <v>43</v>
      </c>
      <c r="D629" s="9" t="s">
        <v>55</v>
      </c>
      <c r="E629" s="9" t="s">
        <v>56</v>
      </c>
      <c r="F629" s="9" t="s">
        <v>45</v>
      </c>
      <c r="G629" s="9" t="s">
        <v>46</v>
      </c>
      <c r="H629" s="9" t="s">
        <v>559</v>
      </c>
      <c r="I629" s="11">
        <v>8177176.0</v>
      </c>
      <c r="J629" s="11">
        <v>2.66807008E8</v>
      </c>
      <c r="K629" s="13">
        <v>46304.0</v>
      </c>
      <c r="L629" s="14">
        <v>46318.0</v>
      </c>
      <c r="M629" s="12"/>
      <c r="N629" s="9">
        <v>103.0</v>
      </c>
      <c r="O629" s="11">
        <v>9.0</v>
      </c>
      <c r="P629" s="9" t="s">
        <v>44</v>
      </c>
      <c r="Q629" s="12"/>
      <c r="R629" s="9" t="s">
        <v>90</v>
      </c>
      <c r="S629" s="9" t="s">
        <v>47</v>
      </c>
      <c r="T629" s="9" t="s">
        <v>44</v>
      </c>
      <c r="U629" s="9" t="s">
        <v>44</v>
      </c>
      <c r="V629" s="11">
        <v>60.93</v>
      </c>
      <c r="W629" s="11">
        <v>1.0</v>
      </c>
      <c r="X629" s="9" t="s">
        <v>48</v>
      </c>
      <c r="Y629" s="9" t="s">
        <v>826</v>
      </c>
      <c r="Z629" s="12"/>
      <c r="AA629" s="9">
        <v>1306170.0</v>
      </c>
      <c r="AB629" s="12"/>
      <c r="AC629" s="9" t="s">
        <v>50</v>
      </c>
    </row>
    <row r="630">
      <c r="A630" s="9" t="s">
        <v>33</v>
      </c>
      <c r="B630" s="11">
        <v>6.0</v>
      </c>
      <c r="C630" s="9" t="s">
        <v>43</v>
      </c>
      <c r="D630" s="9" t="s">
        <v>55</v>
      </c>
      <c r="E630" s="9" t="s">
        <v>56</v>
      </c>
      <c r="F630" s="9" t="s">
        <v>45</v>
      </c>
      <c r="G630" s="9" t="s">
        <v>46</v>
      </c>
      <c r="H630" s="9" t="s">
        <v>140</v>
      </c>
      <c r="I630" s="11">
        <v>8177311.0</v>
      </c>
      <c r="J630" s="11">
        <v>2.66807009E8</v>
      </c>
      <c r="K630" s="13">
        <v>46304.0</v>
      </c>
      <c r="L630" s="14">
        <v>46317.0</v>
      </c>
      <c r="M630" s="12"/>
      <c r="N630" s="9">
        <v>7.0</v>
      </c>
      <c r="O630" s="11">
        <v>8.0</v>
      </c>
      <c r="P630" s="9" t="s">
        <v>44</v>
      </c>
      <c r="Q630" s="12"/>
      <c r="R630" s="9" t="s">
        <v>90</v>
      </c>
      <c r="S630" s="9" t="s">
        <v>47</v>
      </c>
      <c r="T630" s="9" t="s">
        <v>44</v>
      </c>
      <c r="U630" s="9" t="s">
        <v>44</v>
      </c>
      <c r="V630" s="11">
        <v>60.04</v>
      </c>
      <c r="W630" s="11">
        <v>1.0</v>
      </c>
      <c r="X630" s="9" t="s">
        <v>48</v>
      </c>
      <c r="Y630" s="9" t="s">
        <v>827</v>
      </c>
      <c r="Z630" s="12"/>
      <c r="AA630" s="9">
        <v>1306152.0</v>
      </c>
      <c r="AB630" s="12"/>
      <c r="AC630" s="9" t="s">
        <v>50</v>
      </c>
    </row>
    <row r="631">
      <c r="A631" s="9" t="s">
        <v>33</v>
      </c>
      <c r="B631" s="11">
        <v>6.0</v>
      </c>
      <c r="C631" s="9" t="s">
        <v>43</v>
      </c>
      <c r="D631" s="9" t="s">
        <v>55</v>
      </c>
      <c r="E631" s="9" t="s">
        <v>56</v>
      </c>
      <c r="F631" s="9" t="s">
        <v>45</v>
      </c>
      <c r="G631" s="9" t="s">
        <v>46</v>
      </c>
      <c r="H631" s="9" t="s">
        <v>140</v>
      </c>
      <c r="I631" s="11">
        <v>8177206.0</v>
      </c>
      <c r="J631" s="11">
        <v>2.6680701E8</v>
      </c>
      <c r="K631" s="13">
        <v>46304.0</v>
      </c>
      <c r="L631" s="14">
        <v>46317.0</v>
      </c>
      <c r="M631" s="12"/>
      <c r="N631" s="9">
        <v>18.0</v>
      </c>
      <c r="O631" s="11">
        <v>8.0</v>
      </c>
      <c r="P631" s="9" t="s">
        <v>44</v>
      </c>
      <c r="Q631" s="12"/>
      <c r="R631" s="9" t="s">
        <v>90</v>
      </c>
      <c r="S631" s="9" t="s">
        <v>47</v>
      </c>
      <c r="T631" s="9" t="s">
        <v>44</v>
      </c>
      <c r="U631" s="9" t="s">
        <v>44</v>
      </c>
      <c r="V631" s="11">
        <v>60.04</v>
      </c>
      <c r="W631" s="11">
        <v>2.0</v>
      </c>
      <c r="X631" s="9" t="s">
        <v>48</v>
      </c>
      <c r="Y631" s="9" t="s">
        <v>828</v>
      </c>
      <c r="Z631" s="12"/>
      <c r="AA631" s="9">
        <v>1306048.0</v>
      </c>
      <c r="AB631" s="12"/>
      <c r="AC631" s="9" t="s">
        <v>50</v>
      </c>
    </row>
    <row r="632">
      <c r="A632" s="9" t="s">
        <v>33</v>
      </c>
      <c r="B632" s="11">
        <v>6.0</v>
      </c>
      <c r="C632" s="9" t="s">
        <v>43</v>
      </c>
      <c r="D632" s="9" t="s">
        <v>55</v>
      </c>
      <c r="E632" s="9" t="s">
        <v>56</v>
      </c>
      <c r="F632" s="9" t="s">
        <v>45</v>
      </c>
      <c r="G632" s="9" t="s">
        <v>46</v>
      </c>
      <c r="H632" s="9" t="s">
        <v>145</v>
      </c>
      <c r="I632" s="11">
        <v>8177146.0</v>
      </c>
      <c r="J632" s="11">
        <v>2.66807011E8</v>
      </c>
      <c r="K632" s="13">
        <v>46304.0</v>
      </c>
      <c r="L632" s="14">
        <v>46317.0</v>
      </c>
      <c r="M632" s="12"/>
      <c r="N632" s="9">
        <v>10.0</v>
      </c>
      <c r="O632" s="11">
        <v>8.0</v>
      </c>
      <c r="P632" s="9" t="s">
        <v>44</v>
      </c>
      <c r="Q632" s="12"/>
      <c r="R632" s="9" t="s">
        <v>90</v>
      </c>
      <c r="S632" s="9" t="s">
        <v>47</v>
      </c>
      <c r="T632" s="9" t="s">
        <v>44</v>
      </c>
      <c r="U632" s="9" t="s">
        <v>44</v>
      </c>
      <c r="V632" s="11">
        <v>60.04</v>
      </c>
      <c r="W632" s="11">
        <v>1.0</v>
      </c>
      <c r="X632" s="9" t="s">
        <v>48</v>
      </c>
      <c r="Y632" s="9" t="s">
        <v>829</v>
      </c>
      <c r="Z632" s="12"/>
      <c r="AA632" s="9">
        <v>1306115.0</v>
      </c>
      <c r="AB632" s="12"/>
      <c r="AC632" s="9" t="s">
        <v>50</v>
      </c>
    </row>
    <row r="633">
      <c r="A633" s="9" t="s">
        <v>33</v>
      </c>
      <c r="B633" s="11">
        <v>6.0</v>
      </c>
      <c r="C633" s="9" t="s">
        <v>43</v>
      </c>
      <c r="D633" s="9" t="s">
        <v>55</v>
      </c>
      <c r="E633" s="9" t="s">
        <v>56</v>
      </c>
      <c r="F633" s="9" t="s">
        <v>45</v>
      </c>
      <c r="G633" s="9" t="s">
        <v>46</v>
      </c>
      <c r="H633" s="9" t="s">
        <v>145</v>
      </c>
      <c r="I633" s="11">
        <v>8177280.0</v>
      </c>
      <c r="J633" s="11">
        <v>2.66807012E8</v>
      </c>
      <c r="K633" s="13">
        <v>46304.0</v>
      </c>
      <c r="L633" s="14">
        <v>46317.0</v>
      </c>
      <c r="M633" s="12"/>
      <c r="N633" s="9">
        <v>111.0</v>
      </c>
      <c r="O633" s="11">
        <v>8.0</v>
      </c>
      <c r="P633" s="9" t="s">
        <v>44</v>
      </c>
      <c r="Q633" s="12"/>
      <c r="R633" s="9" t="s">
        <v>90</v>
      </c>
      <c r="S633" s="9" t="s">
        <v>47</v>
      </c>
      <c r="T633" s="9" t="s">
        <v>44</v>
      </c>
      <c r="U633" s="9" t="s">
        <v>44</v>
      </c>
      <c r="V633" s="11">
        <v>60.04</v>
      </c>
      <c r="W633" s="11">
        <v>1.0</v>
      </c>
      <c r="X633" s="9" t="s">
        <v>48</v>
      </c>
      <c r="Y633" s="9" t="s">
        <v>830</v>
      </c>
      <c r="Z633" s="12"/>
      <c r="AA633" s="9">
        <v>1306024.0</v>
      </c>
      <c r="AB633" s="12"/>
      <c r="AC633" s="9" t="s">
        <v>50</v>
      </c>
    </row>
    <row r="634">
      <c r="A634" s="9" t="s">
        <v>33</v>
      </c>
      <c r="B634" s="11">
        <v>6.0</v>
      </c>
      <c r="C634" s="9" t="s">
        <v>43</v>
      </c>
      <c r="D634" s="9" t="s">
        <v>55</v>
      </c>
      <c r="E634" s="9" t="s">
        <v>56</v>
      </c>
      <c r="F634" s="9" t="s">
        <v>45</v>
      </c>
      <c r="G634" s="9" t="s">
        <v>46</v>
      </c>
      <c r="H634" s="9" t="s">
        <v>147</v>
      </c>
      <c r="I634" s="11">
        <v>8177147.0</v>
      </c>
      <c r="J634" s="11">
        <v>2.66807014E8</v>
      </c>
      <c r="K634" s="13">
        <v>46304.0</v>
      </c>
      <c r="L634" s="14">
        <v>46317.0</v>
      </c>
      <c r="M634" s="12"/>
      <c r="N634" s="9">
        <v>11.0</v>
      </c>
      <c r="O634" s="11">
        <v>8.0</v>
      </c>
      <c r="P634" s="9" t="s">
        <v>44</v>
      </c>
      <c r="Q634" s="12"/>
      <c r="R634" s="9" t="s">
        <v>90</v>
      </c>
      <c r="S634" s="9" t="s">
        <v>47</v>
      </c>
      <c r="T634" s="9" t="s">
        <v>44</v>
      </c>
      <c r="U634" s="9" t="s">
        <v>44</v>
      </c>
      <c r="V634" s="11">
        <v>60.04</v>
      </c>
      <c r="W634" s="11">
        <v>2.0</v>
      </c>
      <c r="X634" s="9" t="s">
        <v>48</v>
      </c>
      <c r="Y634" s="9" t="s">
        <v>831</v>
      </c>
      <c r="Z634" s="12"/>
      <c r="AA634" s="9">
        <v>1306109.0</v>
      </c>
      <c r="AB634" s="12"/>
      <c r="AC634" s="9" t="s">
        <v>50</v>
      </c>
    </row>
    <row r="635">
      <c r="A635" s="9" t="s">
        <v>33</v>
      </c>
      <c r="B635" s="11">
        <v>6.0</v>
      </c>
      <c r="C635" s="9" t="s">
        <v>43</v>
      </c>
      <c r="D635" s="9" t="s">
        <v>55</v>
      </c>
      <c r="E635" s="9" t="s">
        <v>56</v>
      </c>
      <c r="F635" s="9" t="s">
        <v>45</v>
      </c>
      <c r="G635" s="9" t="s">
        <v>46</v>
      </c>
      <c r="H635" s="9" t="s">
        <v>147</v>
      </c>
      <c r="I635" s="11">
        <v>8177281.0</v>
      </c>
      <c r="J635" s="11">
        <v>2.66807017E8</v>
      </c>
      <c r="K635" s="13">
        <v>46304.0</v>
      </c>
      <c r="L635" s="14">
        <v>46317.0</v>
      </c>
      <c r="M635" s="12"/>
      <c r="N635" s="9">
        <v>4.0</v>
      </c>
      <c r="O635" s="11">
        <v>8.0</v>
      </c>
      <c r="P635" s="9" t="s">
        <v>44</v>
      </c>
      <c r="Q635" s="12"/>
      <c r="R635" s="9" t="s">
        <v>90</v>
      </c>
      <c r="S635" s="9" t="s">
        <v>47</v>
      </c>
      <c r="T635" s="9" t="s">
        <v>44</v>
      </c>
      <c r="U635" s="9" t="s">
        <v>44</v>
      </c>
      <c r="V635" s="11">
        <v>60.04</v>
      </c>
      <c r="W635" s="11">
        <v>1.0</v>
      </c>
      <c r="X635" s="9" t="s">
        <v>48</v>
      </c>
      <c r="Y635" s="9" t="s">
        <v>832</v>
      </c>
      <c r="Z635" s="12"/>
      <c r="AA635" s="9">
        <v>1306068.0</v>
      </c>
      <c r="AB635" s="12"/>
      <c r="AC635" s="9" t="s">
        <v>50</v>
      </c>
    </row>
    <row r="636">
      <c r="A636" s="9" t="s">
        <v>33</v>
      </c>
      <c r="B636" s="11">
        <v>6.0</v>
      </c>
      <c r="C636" s="9" t="s">
        <v>43</v>
      </c>
      <c r="D636" s="9" t="s">
        <v>55</v>
      </c>
      <c r="E636" s="9" t="s">
        <v>56</v>
      </c>
      <c r="F636" s="9" t="s">
        <v>45</v>
      </c>
      <c r="G636" s="9" t="s">
        <v>46</v>
      </c>
      <c r="H636" s="9" t="s">
        <v>573</v>
      </c>
      <c r="I636" s="11">
        <v>8177177.0</v>
      </c>
      <c r="J636" s="11">
        <v>2.66807019E8</v>
      </c>
      <c r="K636" s="13">
        <v>46304.0</v>
      </c>
      <c r="L636" s="14">
        <v>46318.0</v>
      </c>
      <c r="M636" s="12"/>
      <c r="N636" s="9">
        <v>110.0</v>
      </c>
      <c r="O636" s="11">
        <v>9.0</v>
      </c>
      <c r="P636" s="9" t="s">
        <v>44</v>
      </c>
      <c r="Q636" s="12"/>
      <c r="R636" s="9" t="s">
        <v>90</v>
      </c>
      <c r="S636" s="9" t="s">
        <v>47</v>
      </c>
      <c r="T636" s="9" t="s">
        <v>44</v>
      </c>
      <c r="U636" s="9" t="s">
        <v>44</v>
      </c>
      <c r="V636" s="11">
        <v>67.68</v>
      </c>
      <c r="W636" s="11">
        <v>1.0</v>
      </c>
      <c r="X636" s="9" t="s">
        <v>48</v>
      </c>
      <c r="Y636" s="9" t="s">
        <v>833</v>
      </c>
      <c r="Z636" s="12"/>
      <c r="AA636" s="9">
        <v>1306192.0</v>
      </c>
      <c r="AB636" s="12"/>
      <c r="AC636" s="9" t="s">
        <v>50</v>
      </c>
    </row>
    <row r="637">
      <c r="A637" s="9" t="s">
        <v>33</v>
      </c>
      <c r="B637" s="11">
        <v>6.0</v>
      </c>
      <c r="C637" s="9" t="s">
        <v>43</v>
      </c>
      <c r="D637" s="9" t="s">
        <v>55</v>
      </c>
      <c r="E637" s="9" t="s">
        <v>56</v>
      </c>
      <c r="F637" s="9" t="s">
        <v>45</v>
      </c>
      <c r="G637" s="9" t="s">
        <v>46</v>
      </c>
      <c r="H637" s="9" t="s">
        <v>147</v>
      </c>
      <c r="I637" s="11">
        <v>8177207.0</v>
      </c>
      <c r="J637" s="11">
        <v>2.66807021E8</v>
      </c>
      <c r="K637" s="13">
        <v>46304.0</v>
      </c>
      <c r="L637" s="14">
        <v>46318.0</v>
      </c>
      <c r="M637" s="12"/>
      <c r="N637" s="9">
        <v>888.0</v>
      </c>
      <c r="O637" s="11">
        <v>9.0</v>
      </c>
      <c r="P637" s="9" t="s">
        <v>44</v>
      </c>
      <c r="Q637" s="12"/>
      <c r="R637" s="9" t="s">
        <v>90</v>
      </c>
      <c r="S637" s="9" t="s">
        <v>47</v>
      </c>
      <c r="T637" s="9" t="s">
        <v>44</v>
      </c>
      <c r="U637" s="9" t="s">
        <v>44</v>
      </c>
      <c r="V637" s="11">
        <v>67.68</v>
      </c>
      <c r="W637" s="11">
        <v>1.0</v>
      </c>
      <c r="X637" s="9" t="s">
        <v>48</v>
      </c>
      <c r="Y637" s="9" t="s">
        <v>834</v>
      </c>
      <c r="Z637" s="12"/>
      <c r="AA637" s="9">
        <v>1306274.0</v>
      </c>
      <c r="AB637" s="12"/>
      <c r="AC637" s="9" t="s">
        <v>50</v>
      </c>
    </row>
    <row r="638">
      <c r="A638" s="9" t="s">
        <v>33</v>
      </c>
      <c r="B638" s="11">
        <v>6.0</v>
      </c>
      <c r="C638" s="9" t="s">
        <v>43</v>
      </c>
      <c r="D638" s="9" t="s">
        <v>55</v>
      </c>
      <c r="E638" s="9" t="s">
        <v>56</v>
      </c>
      <c r="F638" s="9" t="s">
        <v>45</v>
      </c>
      <c r="G638" s="9" t="s">
        <v>46</v>
      </c>
      <c r="H638" s="9" t="s">
        <v>580</v>
      </c>
      <c r="I638" s="11">
        <v>8177312.0</v>
      </c>
      <c r="J638" s="11">
        <v>2.66807023E8</v>
      </c>
      <c r="K638" s="13">
        <v>46304.0</v>
      </c>
      <c r="L638" s="14">
        <v>46318.0</v>
      </c>
      <c r="M638" s="12"/>
      <c r="N638" s="9">
        <v>102.0</v>
      </c>
      <c r="O638" s="11">
        <v>9.0</v>
      </c>
      <c r="P638" s="9" t="s">
        <v>44</v>
      </c>
      <c r="Q638" s="12"/>
      <c r="R638" s="9" t="s">
        <v>90</v>
      </c>
      <c r="S638" s="9" t="s">
        <v>47</v>
      </c>
      <c r="T638" s="9" t="s">
        <v>44</v>
      </c>
      <c r="U638" s="9" t="s">
        <v>44</v>
      </c>
      <c r="V638" s="11">
        <v>67.68</v>
      </c>
      <c r="W638" s="11">
        <v>1.0</v>
      </c>
      <c r="X638" s="9" t="s">
        <v>48</v>
      </c>
      <c r="Y638" s="9" t="s">
        <v>835</v>
      </c>
      <c r="Z638" s="12"/>
      <c r="AA638" s="9">
        <v>1305791.0</v>
      </c>
      <c r="AB638" s="12"/>
      <c r="AC638" s="9" t="s">
        <v>50</v>
      </c>
    </row>
    <row r="639">
      <c r="A639" s="9" t="s">
        <v>33</v>
      </c>
      <c r="B639" s="11">
        <v>6.0</v>
      </c>
      <c r="C639" s="9" t="s">
        <v>43</v>
      </c>
      <c r="D639" s="9" t="s">
        <v>55</v>
      </c>
      <c r="E639" s="9" t="s">
        <v>56</v>
      </c>
      <c r="F639" s="9" t="s">
        <v>45</v>
      </c>
      <c r="G639" s="9" t="s">
        <v>46</v>
      </c>
      <c r="H639" s="9" t="s">
        <v>836</v>
      </c>
      <c r="I639" s="11">
        <v>8177337.0</v>
      </c>
      <c r="J639" s="11">
        <v>2.66807025E8</v>
      </c>
      <c r="K639" s="13">
        <v>46304.0</v>
      </c>
      <c r="L639" s="14">
        <v>46318.0</v>
      </c>
      <c r="M639" s="12"/>
      <c r="N639" s="9">
        <v>5.0</v>
      </c>
      <c r="O639" s="11">
        <v>9.0</v>
      </c>
      <c r="P639" s="9" t="s">
        <v>44</v>
      </c>
      <c r="Q639" s="12"/>
      <c r="R639" s="9" t="s">
        <v>90</v>
      </c>
      <c r="S639" s="9" t="s">
        <v>47</v>
      </c>
      <c r="T639" s="9" t="s">
        <v>44</v>
      </c>
      <c r="U639" s="9" t="s">
        <v>44</v>
      </c>
      <c r="V639" s="11">
        <v>67.68</v>
      </c>
      <c r="W639" s="11">
        <v>4.0</v>
      </c>
      <c r="X639" s="9" t="s">
        <v>48</v>
      </c>
      <c r="Y639" s="9" t="s">
        <v>837</v>
      </c>
      <c r="Z639" s="12"/>
      <c r="AA639" s="9">
        <v>1306047.0</v>
      </c>
      <c r="AB639" s="12"/>
      <c r="AC639" s="9" t="s">
        <v>50</v>
      </c>
    </row>
    <row r="640">
      <c r="A640" s="9" t="s">
        <v>33</v>
      </c>
      <c r="B640" s="11">
        <v>6.0</v>
      </c>
      <c r="C640" s="9" t="s">
        <v>43</v>
      </c>
      <c r="D640" s="9" t="s">
        <v>55</v>
      </c>
      <c r="E640" s="9" t="s">
        <v>56</v>
      </c>
      <c r="F640" s="9" t="s">
        <v>45</v>
      </c>
      <c r="G640" s="9" t="s">
        <v>46</v>
      </c>
      <c r="H640" s="9" t="s">
        <v>836</v>
      </c>
      <c r="I640" s="11">
        <v>8177124.0</v>
      </c>
      <c r="J640" s="11">
        <v>2.66807028E8</v>
      </c>
      <c r="K640" s="13">
        <v>46304.0</v>
      </c>
      <c r="L640" s="14">
        <v>46323.0</v>
      </c>
      <c r="M640" s="12"/>
      <c r="N640" s="9">
        <v>111.0</v>
      </c>
      <c r="O640" s="11">
        <v>12.0</v>
      </c>
      <c r="P640" s="9" t="s">
        <v>44</v>
      </c>
      <c r="Q640" s="12"/>
      <c r="R640" s="9" t="s">
        <v>90</v>
      </c>
      <c r="S640" s="9" t="s">
        <v>47</v>
      </c>
      <c r="T640" s="9" t="s">
        <v>44</v>
      </c>
      <c r="U640" s="9" t="s">
        <v>44</v>
      </c>
      <c r="V640" s="11">
        <v>67.68</v>
      </c>
      <c r="W640" s="11">
        <v>1.0</v>
      </c>
      <c r="X640" s="9" t="s">
        <v>48</v>
      </c>
      <c r="Y640" s="9" t="s">
        <v>838</v>
      </c>
      <c r="Z640" s="12"/>
      <c r="AA640" s="9">
        <v>1306371.0</v>
      </c>
      <c r="AB640" s="12"/>
      <c r="AC640" s="9" t="s">
        <v>50</v>
      </c>
    </row>
    <row r="641">
      <c r="A641" s="9" t="s">
        <v>33</v>
      </c>
      <c r="B641" s="11">
        <v>6.0</v>
      </c>
      <c r="C641" s="9" t="s">
        <v>43</v>
      </c>
      <c r="D641" s="9" t="s">
        <v>55</v>
      </c>
      <c r="E641" s="9" t="s">
        <v>56</v>
      </c>
      <c r="F641" s="9" t="s">
        <v>45</v>
      </c>
      <c r="G641" s="9" t="s">
        <v>46</v>
      </c>
      <c r="H641" s="9" t="s">
        <v>577</v>
      </c>
      <c r="I641" s="11">
        <v>8177178.0</v>
      </c>
      <c r="J641" s="11">
        <v>2.6680703E8</v>
      </c>
      <c r="K641" s="13">
        <v>46304.0</v>
      </c>
      <c r="L641" s="14">
        <v>46321.0</v>
      </c>
      <c r="M641" s="12"/>
      <c r="N641" s="9">
        <v>103.0</v>
      </c>
      <c r="O641" s="11">
        <v>10.0</v>
      </c>
      <c r="P641" s="9" t="s">
        <v>44</v>
      </c>
      <c r="Q641" s="12"/>
      <c r="R641" s="12"/>
      <c r="S641" s="9" t="s">
        <v>47</v>
      </c>
      <c r="T641" s="9" t="s">
        <v>44</v>
      </c>
      <c r="U641" s="9" t="s">
        <v>44</v>
      </c>
      <c r="V641" s="11">
        <v>67.68</v>
      </c>
      <c r="W641" s="11">
        <v>1.0</v>
      </c>
      <c r="X641" s="9" t="s">
        <v>48</v>
      </c>
      <c r="Y641" s="9" t="s">
        <v>839</v>
      </c>
      <c r="Z641" s="12"/>
      <c r="AA641" s="9">
        <v>1306171.0</v>
      </c>
      <c r="AB641" s="12"/>
      <c r="AC641" s="9" t="s">
        <v>50</v>
      </c>
    </row>
    <row r="642">
      <c r="A642" s="9" t="s">
        <v>33</v>
      </c>
      <c r="B642" s="11">
        <v>6.0</v>
      </c>
      <c r="C642" s="9" t="s">
        <v>43</v>
      </c>
      <c r="D642" s="9" t="s">
        <v>55</v>
      </c>
      <c r="E642" s="9" t="s">
        <v>56</v>
      </c>
      <c r="F642" s="9" t="s">
        <v>45</v>
      </c>
      <c r="G642" s="9" t="s">
        <v>46</v>
      </c>
      <c r="H642" s="9" t="s">
        <v>577</v>
      </c>
      <c r="I642" s="11">
        <v>8177208.0</v>
      </c>
      <c r="J642" s="11">
        <v>2.66807032E8</v>
      </c>
      <c r="K642" s="13">
        <v>46304.0</v>
      </c>
      <c r="L642" s="14">
        <v>46322.0</v>
      </c>
      <c r="M642" s="12"/>
      <c r="N642" s="9">
        <v>106.0</v>
      </c>
      <c r="O642" s="11">
        <v>11.0</v>
      </c>
      <c r="P642" s="9" t="s">
        <v>44</v>
      </c>
      <c r="Q642" s="12"/>
      <c r="R642" s="12"/>
      <c r="S642" s="9" t="s">
        <v>47</v>
      </c>
      <c r="T642" s="9" t="s">
        <v>44</v>
      </c>
      <c r="U642" s="9" t="s">
        <v>44</v>
      </c>
      <c r="V642" s="11">
        <v>67.68</v>
      </c>
      <c r="W642" s="11">
        <v>1.0</v>
      </c>
      <c r="X642" s="9" t="s">
        <v>48</v>
      </c>
      <c r="Y642" s="9" t="s">
        <v>840</v>
      </c>
      <c r="Z642" s="12"/>
      <c r="AA642" s="9">
        <v>1306233.0</v>
      </c>
      <c r="AB642" s="12"/>
      <c r="AC642" s="9" t="s">
        <v>50</v>
      </c>
    </row>
    <row r="643">
      <c r="A643" s="9" t="s">
        <v>33</v>
      </c>
      <c r="B643" s="11">
        <v>6.0</v>
      </c>
      <c r="C643" s="9" t="s">
        <v>43</v>
      </c>
      <c r="D643" s="9" t="s">
        <v>55</v>
      </c>
      <c r="E643" s="9" t="s">
        <v>56</v>
      </c>
      <c r="F643" s="9" t="s">
        <v>45</v>
      </c>
      <c r="G643" s="9" t="s">
        <v>46</v>
      </c>
      <c r="H643" s="9" t="s">
        <v>326</v>
      </c>
      <c r="I643" s="11">
        <v>8177313.0</v>
      </c>
      <c r="J643" s="11">
        <v>2.66807034E8</v>
      </c>
      <c r="K643" s="13">
        <v>46304.0</v>
      </c>
      <c r="L643" s="14">
        <v>46316.0</v>
      </c>
      <c r="M643" s="12"/>
      <c r="N643" s="9">
        <v>970.0</v>
      </c>
      <c r="O643" s="11">
        <v>7.0</v>
      </c>
      <c r="P643" s="9" t="s">
        <v>44</v>
      </c>
      <c r="Q643" s="12"/>
      <c r="R643" s="12"/>
      <c r="S643" s="9" t="s">
        <v>47</v>
      </c>
      <c r="T643" s="9" t="s">
        <v>44</v>
      </c>
      <c r="U643" s="9" t="s">
        <v>44</v>
      </c>
      <c r="V643" s="11">
        <v>45.49</v>
      </c>
      <c r="W643" s="11">
        <v>1.0</v>
      </c>
      <c r="X643" s="9" t="s">
        <v>48</v>
      </c>
      <c r="Y643" s="9" t="s">
        <v>584</v>
      </c>
      <c r="Z643" s="12"/>
      <c r="AA643" s="9">
        <v>1305909.0</v>
      </c>
      <c r="AB643" s="12"/>
      <c r="AC643" s="9" t="s">
        <v>50</v>
      </c>
    </row>
    <row r="644">
      <c r="A644" s="9" t="s">
        <v>33</v>
      </c>
      <c r="B644" s="11">
        <v>6.0</v>
      </c>
      <c r="C644" s="9" t="s">
        <v>43</v>
      </c>
      <c r="D644" s="9" t="s">
        <v>55</v>
      </c>
      <c r="E644" s="9" t="s">
        <v>56</v>
      </c>
      <c r="F644" s="9" t="s">
        <v>45</v>
      </c>
      <c r="G644" s="9" t="s">
        <v>46</v>
      </c>
      <c r="H644" s="9" t="s">
        <v>589</v>
      </c>
      <c r="I644" s="11">
        <v>8177338.0</v>
      </c>
      <c r="J644" s="11">
        <v>2.66807037E8</v>
      </c>
      <c r="K644" s="13">
        <v>46304.0</v>
      </c>
      <c r="L644" s="14">
        <v>46321.0</v>
      </c>
      <c r="M644" s="12"/>
      <c r="N644" s="9">
        <v>1.0</v>
      </c>
      <c r="O644" s="11">
        <v>10.0</v>
      </c>
      <c r="P644" s="9" t="s">
        <v>44</v>
      </c>
      <c r="Q644" s="12"/>
      <c r="R644" s="9" t="s">
        <v>90</v>
      </c>
      <c r="S644" s="9" t="s">
        <v>47</v>
      </c>
      <c r="T644" s="9" t="s">
        <v>44</v>
      </c>
      <c r="U644" s="9" t="s">
        <v>44</v>
      </c>
      <c r="V644" s="11">
        <v>60.04</v>
      </c>
      <c r="W644" s="11">
        <v>3.0</v>
      </c>
      <c r="X644" s="9" t="s">
        <v>48</v>
      </c>
      <c r="Y644" s="9" t="s">
        <v>841</v>
      </c>
      <c r="Z644" s="12"/>
      <c r="AA644" s="9">
        <v>1306123.0</v>
      </c>
      <c r="AB644" s="12"/>
      <c r="AC644" s="9" t="s">
        <v>50</v>
      </c>
    </row>
    <row r="645">
      <c r="A645" s="9" t="s">
        <v>33</v>
      </c>
      <c r="B645" s="11">
        <v>6.0</v>
      </c>
      <c r="C645" s="9" t="s">
        <v>43</v>
      </c>
      <c r="D645" s="9" t="s">
        <v>55</v>
      </c>
      <c r="E645" s="9" t="s">
        <v>56</v>
      </c>
      <c r="F645" s="9" t="s">
        <v>45</v>
      </c>
      <c r="G645" s="9" t="s">
        <v>46</v>
      </c>
      <c r="H645" s="9" t="s">
        <v>594</v>
      </c>
      <c r="I645" s="11">
        <v>8177236.0</v>
      </c>
      <c r="J645" s="11">
        <v>2.66807039E8</v>
      </c>
      <c r="K645" s="13">
        <v>46304.0</v>
      </c>
      <c r="L645" s="14">
        <v>46325.0</v>
      </c>
      <c r="M645" s="12"/>
      <c r="N645" s="9">
        <v>108.0</v>
      </c>
      <c r="O645" s="11">
        <v>14.0</v>
      </c>
      <c r="P645" s="9" t="s">
        <v>44</v>
      </c>
      <c r="Q645" s="12"/>
      <c r="R645" s="9" t="s">
        <v>90</v>
      </c>
      <c r="S645" s="9" t="s">
        <v>47</v>
      </c>
      <c r="T645" s="9" t="s">
        <v>44</v>
      </c>
      <c r="U645" s="9" t="s">
        <v>44</v>
      </c>
      <c r="V645" s="11">
        <v>67.68</v>
      </c>
      <c r="W645" s="11">
        <v>1.0</v>
      </c>
      <c r="X645" s="9" t="s">
        <v>48</v>
      </c>
      <c r="Y645" s="9" t="s">
        <v>842</v>
      </c>
      <c r="Z645" s="12"/>
      <c r="AA645" s="9">
        <v>1306183.0</v>
      </c>
      <c r="AB645" s="12"/>
      <c r="AC645" s="9" t="s">
        <v>50</v>
      </c>
    </row>
    <row r="646">
      <c r="A646" s="9" t="s">
        <v>33</v>
      </c>
      <c r="B646" s="11">
        <v>6.0</v>
      </c>
      <c r="C646" s="9" t="s">
        <v>43</v>
      </c>
      <c r="D646" s="9" t="s">
        <v>55</v>
      </c>
      <c r="E646" s="9" t="s">
        <v>56</v>
      </c>
      <c r="F646" s="9" t="s">
        <v>45</v>
      </c>
      <c r="G646" s="9" t="s">
        <v>46</v>
      </c>
      <c r="H646" s="9" t="s">
        <v>591</v>
      </c>
      <c r="I646" s="11">
        <v>8177209.0</v>
      </c>
      <c r="J646" s="11">
        <v>2.66807042E8</v>
      </c>
      <c r="K646" s="13">
        <v>46304.0</v>
      </c>
      <c r="L646" s="13">
        <v>46329.0</v>
      </c>
      <c r="M646" s="12"/>
      <c r="N646" s="9">
        <v>106.0</v>
      </c>
      <c r="O646" s="11">
        <v>15.0</v>
      </c>
      <c r="P646" s="9" t="s">
        <v>44</v>
      </c>
      <c r="Q646" s="12"/>
      <c r="R646" s="9" t="s">
        <v>90</v>
      </c>
      <c r="S646" s="9" t="s">
        <v>47</v>
      </c>
      <c r="T646" s="9" t="s">
        <v>44</v>
      </c>
      <c r="U646" s="9" t="s">
        <v>44</v>
      </c>
      <c r="V646" s="11">
        <v>67.68</v>
      </c>
      <c r="W646" s="11">
        <v>1.0</v>
      </c>
      <c r="X646" s="9" t="s">
        <v>48</v>
      </c>
      <c r="Y646" s="9" t="s">
        <v>843</v>
      </c>
      <c r="Z646" s="12"/>
      <c r="AA646" s="9">
        <v>1306238.0</v>
      </c>
      <c r="AB646" s="12"/>
      <c r="AC646" s="9" t="s">
        <v>50</v>
      </c>
    </row>
    <row r="647">
      <c r="A647" s="9" t="s">
        <v>33</v>
      </c>
      <c r="B647" s="11">
        <v>6.0</v>
      </c>
      <c r="C647" s="9" t="s">
        <v>43</v>
      </c>
      <c r="D647" s="9" t="s">
        <v>55</v>
      </c>
      <c r="E647" s="9" t="s">
        <v>56</v>
      </c>
      <c r="F647" s="9" t="s">
        <v>45</v>
      </c>
      <c r="G647" s="9" t="s">
        <v>46</v>
      </c>
      <c r="H647" s="9" t="s">
        <v>591</v>
      </c>
      <c r="I647" s="11">
        <v>8177179.0</v>
      </c>
      <c r="J647" s="11">
        <v>2.66807045E8</v>
      </c>
      <c r="K647" s="13">
        <v>46304.0</v>
      </c>
      <c r="L647" s="14">
        <v>46325.0</v>
      </c>
      <c r="M647" s="12"/>
      <c r="N647" s="9">
        <v>106.0</v>
      </c>
      <c r="O647" s="11">
        <v>14.0</v>
      </c>
      <c r="P647" s="9" t="s">
        <v>44</v>
      </c>
      <c r="Q647" s="12"/>
      <c r="R647" s="9" t="s">
        <v>90</v>
      </c>
      <c r="S647" s="9" t="s">
        <v>47</v>
      </c>
      <c r="T647" s="9" t="s">
        <v>44</v>
      </c>
      <c r="U647" s="9" t="s">
        <v>44</v>
      </c>
      <c r="V647" s="11">
        <v>67.68</v>
      </c>
      <c r="W647" s="11">
        <v>1.0</v>
      </c>
      <c r="X647" s="9" t="s">
        <v>48</v>
      </c>
      <c r="Y647" s="9" t="s">
        <v>844</v>
      </c>
      <c r="Z647" s="12"/>
      <c r="AA647" s="9">
        <v>1306281.0</v>
      </c>
      <c r="AB647" s="12"/>
      <c r="AC647" s="9" t="s">
        <v>50</v>
      </c>
    </row>
    <row r="648">
      <c r="A648" s="9" t="s">
        <v>33</v>
      </c>
      <c r="B648" s="11">
        <v>6.0</v>
      </c>
      <c r="C648" s="9" t="s">
        <v>43</v>
      </c>
      <c r="D648" s="9" t="s">
        <v>55</v>
      </c>
      <c r="E648" s="9" t="s">
        <v>56</v>
      </c>
      <c r="F648" s="9" t="s">
        <v>45</v>
      </c>
      <c r="G648" s="9" t="s">
        <v>46</v>
      </c>
      <c r="H648" s="9" t="s">
        <v>591</v>
      </c>
      <c r="I648" s="11">
        <v>8177237.0</v>
      </c>
      <c r="J648" s="11">
        <v>2.66807047E8</v>
      </c>
      <c r="K648" s="13">
        <v>46304.0</v>
      </c>
      <c r="L648" s="14">
        <v>46325.0</v>
      </c>
      <c r="M648" s="12"/>
      <c r="N648" s="9">
        <v>107.0</v>
      </c>
      <c r="O648" s="11">
        <v>14.0</v>
      </c>
      <c r="P648" s="9" t="s">
        <v>44</v>
      </c>
      <c r="Q648" s="12"/>
      <c r="R648" s="9" t="s">
        <v>90</v>
      </c>
      <c r="S648" s="9" t="s">
        <v>47</v>
      </c>
      <c r="T648" s="9" t="s">
        <v>44</v>
      </c>
      <c r="U648" s="9" t="s">
        <v>44</v>
      </c>
      <c r="V648" s="11">
        <v>67.68</v>
      </c>
      <c r="W648" s="11">
        <v>1.0</v>
      </c>
      <c r="X648" s="9" t="s">
        <v>48</v>
      </c>
      <c r="Y648" s="9" t="s">
        <v>845</v>
      </c>
      <c r="Z648" s="12"/>
      <c r="AA648" s="9">
        <v>1306143.0</v>
      </c>
      <c r="AB648" s="12"/>
      <c r="AC648" s="9" t="s">
        <v>50</v>
      </c>
    </row>
    <row r="649">
      <c r="A649" s="9" t="s">
        <v>33</v>
      </c>
      <c r="B649" s="11">
        <v>6.0</v>
      </c>
      <c r="C649" s="9" t="s">
        <v>43</v>
      </c>
      <c r="D649" s="9" t="s">
        <v>55</v>
      </c>
      <c r="E649" s="9" t="s">
        <v>56</v>
      </c>
      <c r="F649" s="9" t="s">
        <v>45</v>
      </c>
      <c r="G649" s="9" t="s">
        <v>46</v>
      </c>
      <c r="H649" s="9" t="s">
        <v>594</v>
      </c>
      <c r="I649" s="11">
        <v>8177180.0</v>
      </c>
      <c r="J649" s="11">
        <v>2.66807048E8</v>
      </c>
      <c r="K649" s="13">
        <v>46304.0</v>
      </c>
      <c r="L649" s="14">
        <v>46318.0</v>
      </c>
      <c r="M649" s="12"/>
      <c r="N649" s="9">
        <v>3.0</v>
      </c>
      <c r="O649" s="11">
        <v>9.0</v>
      </c>
      <c r="P649" s="9" t="s">
        <v>44</v>
      </c>
      <c r="Q649" s="12"/>
      <c r="R649" s="9" t="s">
        <v>90</v>
      </c>
      <c r="S649" s="9" t="s">
        <v>47</v>
      </c>
      <c r="T649" s="9" t="s">
        <v>44</v>
      </c>
      <c r="U649" s="9" t="s">
        <v>44</v>
      </c>
      <c r="V649" s="11">
        <v>60.04</v>
      </c>
      <c r="W649" s="11">
        <v>1.0</v>
      </c>
      <c r="X649" s="9" t="s">
        <v>48</v>
      </c>
      <c r="Y649" s="9" t="s">
        <v>846</v>
      </c>
      <c r="Z649" s="12"/>
      <c r="AA649" s="9">
        <v>1306223.0</v>
      </c>
      <c r="AB649" s="12"/>
      <c r="AC649" s="9" t="s">
        <v>50</v>
      </c>
    </row>
    <row r="650">
      <c r="A650" s="9" t="s">
        <v>33</v>
      </c>
      <c r="B650" s="11">
        <v>6.0</v>
      </c>
      <c r="C650" s="9" t="s">
        <v>43</v>
      </c>
      <c r="D650" s="9" t="s">
        <v>55</v>
      </c>
      <c r="E650" s="9" t="s">
        <v>56</v>
      </c>
      <c r="F650" s="9" t="s">
        <v>45</v>
      </c>
      <c r="G650" s="9" t="s">
        <v>46</v>
      </c>
      <c r="H650" s="9" t="s">
        <v>147</v>
      </c>
      <c r="I650" s="11">
        <v>8177282.0</v>
      </c>
      <c r="J650" s="11">
        <v>2.66807049E8</v>
      </c>
      <c r="K650" s="13">
        <v>46304.0</v>
      </c>
      <c r="L650" s="14">
        <v>46322.0</v>
      </c>
      <c r="M650" s="12"/>
      <c r="N650" s="9">
        <v>777.0</v>
      </c>
      <c r="O650" s="11">
        <v>11.0</v>
      </c>
      <c r="P650" s="9" t="s">
        <v>44</v>
      </c>
      <c r="Q650" s="12"/>
      <c r="R650" s="9" t="s">
        <v>90</v>
      </c>
      <c r="S650" s="9" t="s">
        <v>47</v>
      </c>
      <c r="T650" s="9" t="s">
        <v>44</v>
      </c>
      <c r="U650" s="9" t="s">
        <v>44</v>
      </c>
      <c r="V650" s="11">
        <v>67.68</v>
      </c>
      <c r="W650" s="11">
        <v>1.0</v>
      </c>
      <c r="X650" s="9" t="s">
        <v>48</v>
      </c>
      <c r="Y650" s="9" t="s">
        <v>847</v>
      </c>
      <c r="Z650" s="12"/>
      <c r="AA650" s="9">
        <v>1306182.0</v>
      </c>
      <c r="AB650" s="12"/>
      <c r="AC650" s="9" t="s">
        <v>50</v>
      </c>
    </row>
    <row r="651">
      <c r="A651" s="9" t="s">
        <v>33</v>
      </c>
      <c r="B651" s="11">
        <v>6.0</v>
      </c>
      <c r="C651" s="9" t="s">
        <v>43</v>
      </c>
      <c r="D651" s="9" t="s">
        <v>55</v>
      </c>
      <c r="E651" s="9" t="s">
        <v>56</v>
      </c>
      <c r="F651" s="9" t="s">
        <v>45</v>
      </c>
      <c r="G651" s="9" t="s">
        <v>46</v>
      </c>
      <c r="H651" s="9" t="s">
        <v>594</v>
      </c>
      <c r="I651" s="11">
        <v>8177181.0</v>
      </c>
      <c r="J651" s="11">
        <v>2.6680705E8</v>
      </c>
      <c r="K651" s="13">
        <v>46304.0</v>
      </c>
      <c r="L651" s="14">
        <v>46325.0</v>
      </c>
      <c r="M651" s="12"/>
      <c r="N651" s="9">
        <v>105.0</v>
      </c>
      <c r="O651" s="11">
        <v>14.0</v>
      </c>
      <c r="P651" s="9" t="s">
        <v>44</v>
      </c>
      <c r="Q651" s="12"/>
      <c r="R651" s="9" t="s">
        <v>90</v>
      </c>
      <c r="S651" s="9" t="s">
        <v>47</v>
      </c>
      <c r="T651" s="9" t="s">
        <v>44</v>
      </c>
      <c r="U651" s="9" t="s">
        <v>44</v>
      </c>
      <c r="V651" s="11">
        <v>67.68</v>
      </c>
      <c r="W651" s="11">
        <v>1.0</v>
      </c>
      <c r="X651" s="9" t="s">
        <v>48</v>
      </c>
      <c r="Y651" s="9" t="s">
        <v>848</v>
      </c>
      <c r="Z651" s="12"/>
      <c r="AA651" s="9">
        <v>1306169.0</v>
      </c>
      <c r="AB651" s="12"/>
      <c r="AC651" s="9" t="s">
        <v>50</v>
      </c>
    </row>
    <row r="652">
      <c r="A652" s="9" t="s">
        <v>33</v>
      </c>
      <c r="B652" s="11">
        <v>6.0</v>
      </c>
      <c r="C652" s="9" t="s">
        <v>43</v>
      </c>
      <c r="D652" s="9" t="s">
        <v>55</v>
      </c>
      <c r="E652" s="9" t="s">
        <v>56</v>
      </c>
      <c r="F652" s="9" t="s">
        <v>45</v>
      </c>
      <c r="G652" s="9" t="s">
        <v>46</v>
      </c>
      <c r="H652" s="9" t="s">
        <v>594</v>
      </c>
      <c r="I652" s="11">
        <v>8177210.0</v>
      </c>
      <c r="J652" s="11">
        <v>2.66807051E8</v>
      </c>
      <c r="K652" s="13">
        <v>46304.0</v>
      </c>
      <c r="L652" s="14">
        <v>46324.0</v>
      </c>
      <c r="M652" s="12"/>
      <c r="N652" s="9">
        <v>105.0</v>
      </c>
      <c r="O652" s="11">
        <v>13.0</v>
      </c>
      <c r="P652" s="9" t="s">
        <v>44</v>
      </c>
      <c r="Q652" s="12"/>
      <c r="R652" s="9" t="s">
        <v>90</v>
      </c>
      <c r="S652" s="9" t="s">
        <v>47</v>
      </c>
      <c r="T652" s="9" t="s">
        <v>44</v>
      </c>
      <c r="U652" s="9" t="s">
        <v>44</v>
      </c>
      <c r="V652" s="11">
        <v>67.68</v>
      </c>
      <c r="W652" s="11">
        <v>1.0</v>
      </c>
      <c r="X652" s="9" t="s">
        <v>48</v>
      </c>
      <c r="Y652" s="9" t="s">
        <v>849</v>
      </c>
      <c r="Z652" s="12"/>
      <c r="AA652" s="9">
        <v>1306203.0</v>
      </c>
      <c r="AB652" s="12"/>
      <c r="AC652" s="9" t="s">
        <v>50</v>
      </c>
    </row>
    <row r="653">
      <c r="A653" s="9" t="s">
        <v>33</v>
      </c>
      <c r="B653" s="11">
        <v>6.0</v>
      </c>
      <c r="C653" s="9" t="s">
        <v>43</v>
      </c>
      <c r="D653" s="9" t="s">
        <v>55</v>
      </c>
      <c r="E653" s="9" t="s">
        <v>56</v>
      </c>
      <c r="F653" s="9" t="s">
        <v>45</v>
      </c>
      <c r="G653" s="9" t="s">
        <v>46</v>
      </c>
      <c r="H653" s="9" t="s">
        <v>594</v>
      </c>
      <c r="I653" s="11">
        <v>8177125.0</v>
      </c>
      <c r="J653" s="11">
        <v>2.66807052E8</v>
      </c>
      <c r="K653" s="13">
        <v>46304.0</v>
      </c>
      <c r="L653" s="14">
        <v>46321.0</v>
      </c>
      <c r="M653" s="12"/>
      <c r="N653" s="9">
        <v>103.0</v>
      </c>
      <c r="O653" s="11">
        <v>10.0</v>
      </c>
      <c r="P653" s="9" t="s">
        <v>44</v>
      </c>
      <c r="Q653" s="12"/>
      <c r="R653" s="9" t="s">
        <v>90</v>
      </c>
      <c r="S653" s="9" t="s">
        <v>47</v>
      </c>
      <c r="T653" s="9" t="s">
        <v>44</v>
      </c>
      <c r="U653" s="9" t="s">
        <v>44</v>
      </c>
      <c r="V653" s="11">
        <v>67.68</v>
      </c>
      <c r="W653" s="11">
        <v>1.0</v>
      </c>
      <c r="X653" s="9" t="s">
        <v>48</v>
      </c>
      <c r="Y653" s="9" t="s">
        <v>850</v>
      </c>
      <c r="Z653" s="12"/>
      <c r="AA653" s="9">
        <v>1306181.0</v>
      </c>
      <c r="AB653" s="12"/>
      <c r="AC653" s="9" t="s">
        <v>50</v>
      </c>
    </row>
    <row r="654">
      <c r="A654" s="9" t="s">
        <v>33</v>
      </c>
      <c r="B654" s="11">
        <v>6.0</v>
      </c>
      <c r="C654" s="9" t="s">
        <v>43</v>
      </c>
      <c r="D654" s="9" t="s">
        <v>44</v>
      </c>
      <c r="E654" s="12"/>
      <c r="F654" s="9" t="s">
        <v>45</v>
      </c>
      <c r="G654" s="9" t="s">
        <v>46</v>
      </c>
      <c r="H654" s="9" t="s">
        <v>259</v>
      </c>
      <c r="I654" s="11">
        <v>0.0</v>
      </c>
      <c r="J654" s="11">
        <v>2.66811881E8</v>
      </c>
      <c r="K654" s="13">
        <v>46304.0</v>
      </c>
      <c r="L654" s="14">
        <v>46314.0</v>
      </c>
      <c r="M654" s="12"/>
      <c r="N654" s="9">
        <v>500.0</v>
      </c>
      <c r="O654" s="11">
        <v>5.0</v>
      </c>
      <c r="P654" s="9" t="s">
        <v>44</v>
      </c>
      <c r="Q654" s="12"/>
      <c r="R654" s="12"/>
      <c r="S654" s="9" t="s">
        <v>851</v>
      </c>
      <c r="T654" s="9" t="s">
        <v>44</v>
      </c>
      <c r="U654" s="9" t="s">
        <v>44</v>
      </c>
      <c r="V654" s="11">
        <v>209.1</v>
      </c>
      <c r="W654" s="11">
        <v>1.0</v>
      </c>
      <c r="X654" s="9" t="s">
        <v>852</v>
      </c>
      <c r="Y654" s="9" t="s">
        <v>853</v>
      </c>
      <c r="Z654" s="12"/>
      <c r="AA654" s="9">
        <v>71.0</v>
      </c>
      <c r="AB654" s="12"/>
      <c r="AC654" s="12"/>
    </row>
    <row r="655">
      <c r="A655" s="9" t="s">
        <v>33</v>
      </c>
      <c r="B655" s="11">
        <v>6.0</v>
      </c>
      <c r="C655" s="9" t="s">
        <v>43</v>
      </c>
      <c r="D655" s="9" t="s">
        <v>44</v>
      </c>
      <c r="E655" s="12"/>
      <c r="F655" s="9" t="s">
        <v>45</v>
      </c>
      <c r="G655" s="9" t="s">
        <v>46</v>
      </c>
      <c r="H655" s="9" t="s">
        <v>529</v>
      </c>
      <c r="I655" s="11">
        <v>0.0</v>
      </c>
      <c r="J655" s="11">
        <v>2.6681215E8</v>
      </c>
      <c r="K655" s="13">
        <v>46304.0</v>
      </c>
      <c r="L655" s="14">
        <v>46316.0</v>
      </c>
      <c r="M655" s="12"/>
      <c r="N655" s="9">
        <v>106.0</v>
      </c>
      <c r="O655" s="11">
        <v>7.0</v>
      </c>
      <c r="P655" s="9" t="s">
        <v>44</v>
      </c>
      <c r="Q655" s="12"/>
      <c r="R655" s="12"/>
      <c r="S655" s="9" t="s">
        <v>851</v>
      </c>
      <c r="T655" s="9" t="s">
        <v>44</v>
      </c>
      <c r="U655" s="9" t="s">
        <v>44</v>
      </c>
      <c r="V655" s="11">
        <v>177.77</v>
      </c>
      <c r="W655" s="11">
        <v>1.0</v>
      </c>
      <c r="X655" s="9" t="s">
        <v>854</v>
      </c>
      <c r="Y655" s="9" t="s">
        <v>855</v>
      </c>
      <c r="Z655" s="12"/>
      <c r="AA655" s="9">
        <v>1693.0</v>
      </c>
      <c r="AB655" s="12"/>
      <c r="AC655" s="12"/>
    </row>
    <row r="656">
      <c r="A656" s="9" t="s">
        <v>33</v>
      </c>
      <c r="B656" s="11">
        <v>6.0</v>
      </c>
      <c r="C656" s="9" t="s">
        <v>43</v>
      </c>
      <c r="D656" s="9" t="s">
        <v>55</v>
      </c>
      <c r="E656" s="9" t="s">
        <v>56</v>
      </c>
      <c r="F656" s="9" t="s">
        <v>45</v>
      </c>
      <c r="G656" s="9" t="s">
        <v>46</v>
      </c>
      <c r="H656" s="9" t="s">
        <v>813</v>
      </c>
      <c r="I656" s="11">
        <v>8177067.0</v>
      </c>
      <c r="J656" s="11">
        <v>2.66812965E8</v>
      </c>
      <c r="K656" s="13">
        <v>46304.0</v>
      </c>
      <c r="L656" s="14">
        <v>46316.0</v>
      </c>
      <c r="M656" s="12"/>
      <c r="N656" s="9">
        <v>50.0</v>
      </c>
      <c r="O656" s="11">
        <v>7.0</v>
      </c>
      <c r="P656" s="9" t="s">
        <v>44</v>
      </c>
      <c r="Q656" s="12"/>
      <c r="R656" s="9" t="s">
        <v>90</v>
      </c>
      <c r="S656" s="9" t="s">
        <v>851</v>
      </c>
      <c r="T656" s="9" t="s">
        <v>44</v>
      </c>
      <c r="U656" s="9" t="s">
        <v>44</v>
      </c>
      <c r="V656" s="11">
        <v>80.06</v>
      </c>
      <c r="W656" s="11">
        <v>2.0</v>
      </c>
      <c r="X656" s="9" t="s">
        <v>856</v>
      </c>
      <c r="Y656" s="9" t="s">
        <v>857</v>
      </c>
      <c r="Z656" s="12"/>
      <c r="AA656" s="9">
        <v>310.0</v>
      </c>
      <c r="AB656" s="12"/>
      <c r="AC656" s="9" t="s">
        <v>50</v>
      </c>
    </row>
    <row r="657">
      <c r="A657" s="9" t="s">
        <v>33</v>
      </c>
      <c r="B657" s="11">
        <v>6.0</v>
      </c>
      <c r="C657" s="9" t="s">
        <v>43</v>
      </c>
      <c r="D657" s="9" t="s">
        <v>55</v>
      </c>
      <c r="E657" s="9" t="s">
        <v>56</v>
      </c>
      <c r="F657" s="9" t="s">
        <v>45</v>
      </c>
      <c r="G657" s="9" t="s">
        <v>46</v>
      </c>
      <c r="H657" s="9" t="s">
        <v>68</v>
      </c>
      <c r="I657" s="11">
        <v>8177629.0</v>
      </c>
      <c r="J657" s="11">
        <v>2.66813765E8</v>
      </c>
      <c r="K657" s="13">
        <v>46304.0</v>
      </c>
      <c r="L657" s="14">
        <v>46314.0</v>
      </c>
      <c r="M657" s="12"/>
      <c r="N657" s="9">
        <v>99.0</v>
      </c>
      <c r="O657" s="11">
        <v>5.0</v>
      </c>
      <c r="P657" s="9" t="s">
        <v>44</v>
      </c>
      <c r="Q657" s="12"/>
      <c r="R657" s="12"/>
      <c r="S657" s="9" t="s">
        <v>851</v>
      </c>
      <c r="T657" s="9" t="s">
        <v>44</v>
      </c>
      <c r="U657" s="9" t="s">
        <v>44</v>
      </c>
      <c r="V657" s="11">
        <v>67.73</v>
      </c>
      <c r="W657" s="11">
        <v>2.0</v>
      </c>
      <c r="X657" s="9" t="s">
        <v>858</v>
      </c>
      <c r="Y657" s="9" t="s">
        <v>859</v>
      </c>
      <c r="Z657" s="12"/>
      <c r="AA657" s="9" t="s">
        <v>860</v>
      </c>
      <c r="AB657" s="12"/>
      <c r="AC657" s="12"/>
    </row>
    <row r="658">
      <c r="A658" s="9" t="s">
        <v>33</v>
      </c>
      <c r="B658" s="11">
        <v>6.0</v>
      </c>
      <c r="C658" s="9" t="s">
        <v>43</v>
      </c>
      <c r="D658" s="9" t="s">
        <v>55</v>
      </c>
      <c r="E658" s="9" t="s">
        <v>56</v>
      </c>
      <c r="F658" s="9" t="s">
        <v>45</v>
      </c>
      <c r="G658" s="9" t="s">
        <v>46</v>
      </c>
      <c r="H658" s="9" t="s">
        <v>607</v>
      </c>
      <c r="I658" s="11">
        <v>8177368.0</v>
      </c>
      <c r="J658" s="11">
        <v>2.66817967E8</v>
      </c>
      <c r="K658" s="13">
        <v>46304.0</v>
      </c>
      <c r="L658" s="14">
        <v>46321.0</v>
      </c>
      <c r="M658" s="12"/>
      <c r="N658" s="9">
        <v>122.0</v>
      </c>
      <c r="O658" s="11">
        <v>10.0</v>
      </c>
      <c r="P658" s="9" t="s">
        <v>44</v>
      </c>
      <c r="Q658" s="12"/>
      <c r="R658" s="9" t="s">
        <v>52</v>
      </c>
      <c r="S658" s="9" t="s">
        <v>47</v>
      </c>
      <c r="T658" s="9" t="s">
        <v>44</v>
      </c>
      <c r="U658" s="9" t="s">
        <v>44</v>
      </c>
      <c r="V658" s="11">
        <v>38.46</v>
      </c>
      <c r="W658" s="11">
        <v>1.0</v>
      </c>
      <c r="X658" s="9" t="s">
        <v>48</v>
      </c>
      <c r="Y658" s="9" t="s">
        <v>608</v>
      </c>
      <c r="Z658" s="12"/>
      <c r="AA658" s="9">
        <v>1306423.0</v>
      </c>
      <c r="AB658" s="12"/>
      <c r="AC658" s="9" t="s">
        <v>50</v>
      </c>
    </row>
    <row r="659">
      <c r="A659" s="9" t="s">
        <v>33</v>
      </c>
      <c r="B659" s="11">
        <v>6.0</v>
      </c>
      <c r="C659" s="9" t="s">
        <v>43</v>
      </c>
      <c r="D659" s="9" t="s">
        <v>55</v>
      </c>
      <c r="E659" s="9" t="s">
        <v>56</v>
      </c>
      <c r="F659" s="9" t="s">
        <v>45</v>
      </c>
      <c r="G659" s="9" t="s">
        <v>46</v>
      </c>
      <c r="H659" s="9" t="s">
        <v>151</v>
      </c>
      <c r="I659" s="11">
        <v>8177369.0</v>
      </c>
      <c r="J659" s="11">
        <v>2.66817968E8</v>
      </c>
      <c r="K659" s="13">
        <v>46304.0</v>
      </c>
      <c r="L659" s="14">
        <v>46316.0</v>
      </c>
      <c r="M659" s="12"/>
      <c r="N659" s="9">
        <v>104.0</v>
      </c>
      <c r="O659" s="11">
        <v>7.0</v>
      </c>
      <c r="P659" s="9" t="s">
        <v>44</v>
      </c>
      <c r="Q659" s="12"/>
      <c r="R659" s="9" t="s">
        <v>52</v>
      </c>
      <c r="S659" s="9" t="s">
        <v>47</v>
      </c>
      <c r="T659" s="9" t="s">
        <v>44</v>
      </c>
      <c r="U659" s="9" t="s">
        <v>44</v>
      </c>
      <c r="V659" s="11">
        <v>38.46</v>
      </c>
      <c r="W659" s="11">
        <v>2.0</v>
      </c>
      <c r="X659" s="9" t="s">
        <v>48</v>
      </c>
      <c r="Y659" s="9" t="s">
        <v>152</v>
      </c>
      <c r="Z659" s="12"/>
      <c r="AA659" s="9">
        <v>1306424.0</v>
      </c>
      <c r="AB659" s="12"/>
      <c r="AC659" s="9" t="s">
        <v>50</v>
      </c>
    </row>
    <row r="660">
      <c r="A660" s="9" t="s">
        <v>33</v>
      </c>
      <c r="B660" s="11">
        <v>6.0</v>
      </c>
      <c r="C660" s="9" t="s">
        <v>43</v>
      </c>
      <c r="D660" s="9" t="s">
        <v>55</v>
      </c>
      <c r="E660" s="9" t="s">
        <v>56</v>
      </c>
      <c r="F660" s="9" t="s">
        <v>45</v>
      </c>
      <c r="G660" s="9" t="s">
        <v>46</v>
      </c>
      <c r="H660" s="9" t="s">
        <v>151</v>
      </c>
      <c r="I660" s="11">
        <v>8177393.0</v>
      </c>
      <c r="J660" s="11">
        <v>2.66817969E8</v>
      </c>
      <c r="K660" s="13">
        <v>46304.0</v>
      </c>
      <c r="L660" s="14">
        <v>46317.0</v>
      </c>
      <c r="M660" s="12"/>
      <c r="N660" s="9">
        <v>111.0</v>
      </c>
      <c r="O660" s="11">
        <v>8.0</v>
      </c>
      <c r="P660" s="9" t="s">
        <v>44</v>
      </c>
      <c r="Q660" s="12"/>
      <c r="R660" s="9" t="s">
        <v>52</v>
      </c>
      <c r="S660" s="9" t="s">
        <v>47</v>
      </c>
      <c r="T660" s="9" t="s">
        <v>44</v>
      </c>
      <c r="U660" s="9" t="s">
        <v>44</v>
      </c>
      <c r="V660" s="11">
        <v>38.46</v>
      </c>
      <c r="W660" s="11">
        <v>1.0</v>
      </c>
      <c r="X660" s="9" t="s">
        <v>48</v>
      </c>
      <c r="Y660" s="9" t="s">
        <v>861</v>
      </c>
      <c r="Z660" s="12"/>
      <c r="AA660" s="9">
        <v>1306427.0</v>
      </c>
      <c r="AB660" s="12"/>
      <c r="AC660" s="9" t="s">
        <v>50</v>
      </c>
    </row>
    <row r="661">
      <c r="A661" s="9" t="s">
        <v>33</v>
      </c>
      <c r="B661" s="11">
        <v>6.0</v>
      </c>
      <c r="C661" s="9" t="s">
        <v>43</v>
      </c>
      <c r="D661" s="9" t="s">
        <v>55</v>
      </c>
      <c r="E661" s="9" t="s">
        <v>56</v>
      </c>
      <c r="F661" s="9" t="s">
        <v>45</v>
      </c>
      <c r="G661" s="9" t="s">
        <v>46</v>
      </c>
      <c r="H661" s="9" t="s">
        <v>151</v>
      </c>
      <c r="I661" s="11">
        <v>8177363.0</v>
      </c>
      <c r="J661" s="11">
        <v>2.6681797E8</v>
      </c>
      <c r="K661" s="13">
        <v>46304.0</v>
      </c>
      <c r="L661" s="14">
        <v>46316.0</v>
      </c>
      <c r="M661" s="12"/>
      <c r="N661" s="9">
        <v>103.0</v>
      </c>
      <c r="O661" s="11">
        <v>7.0</v>
      </c>
      <c r="P661" s="9" t="s">
        <v>44</v>
      </c>
      <c r="Q661" s="12"/>
      <c r="R661" s="9" t="s">
        <v>52</v>
      </c>
      <c r="S661" s="9" t="s">
        <v>47</v>
      </c>
      <c r="T661" s="9" t="s">
        <v>44</v>
      </c>
      <c r="U661" s="9" t="s">
        <v>44</v>
      </c>
      <c r="V661" s="11">
        <v>38.46</v>
      </c>
      <c r="W661" s="11">
        <v>1.0</v>
      </c>
      <c r="X661" s="9" t="s">
        <v>48</v>
      </c>
      <c r="Y661" s="9" t="s">
        <v>862</v>
      </c>
      <c r="Z661" s="12"/>
      <c r="AA661" s="9">
        <v>1306338.0</v>
      </c>
      <c r="AB661" s="12"/>
      <c r="AC661" s="9" t="s">
        <v>50</v>
      </c>
    </row>
    <row r="662">
      <c r="A662" s="9" t="s">
        <v>33</v>
      </c>
      <c r="B662" s="11">
        <v>6.0</v>
      </c>
      <c r="C662" s="9" t="s">
        <v>43</v>
      </c>
      <c r="D662" s="9" t="s">
        <v>55</v>
      </c>
      <c r="E662" s="9" t="s">
        <v>56</v>
      </c>
      <c r="F662" s="9" t="s">
        <v>45</v>
      </c>
      <c r="G662" s="9" t="s">
        <v>46</v>
      </c>
      <c r="H662" s="9" t="s">
        <v>298</v>
      </c>
      <c r="I662" s="11">
        <v>8177370.0</v>
      </c>
      <c r="J662" s="11">
        <v>2.66817971E8</v>
      </c>
      <c r="K662" s="13">
        <v>46304.0</v>
      </c>
      <c r="L662" s="14">
        <v>46316.0</v>
      </c>
      <c r="M662" s="12"/>
      <c r="N662" s="9">
        <v>1.0</v>
      </c>
      <c r="O662" s="11">
        <v>7.0</v>
      </c>
      <c r="P662" s="9" t="s">
        <v>44</v>
      </c>
      <c r="Q662" s="12"/>
      <c r="R662" s="9" t="s">
        <v>52</v>
      </c>
      <c r="S662" s="9" t="s">
        <v>47</v>
      </c>
      <c r="T662" s="9" t="s">
        <v>44</v>
      </c>
      <c r="U662" s="9" t="s">
        <v>44</v>
      </c>
      <c r="V662" s="11">
        <v>38.46</v>
      </c>
      <c r="W662" s="11">
        <v>1.0</v>
      </c>
      <c r="X662" s="9" t="s">
        <v>48</v>
      </c>
      <c r="Y662" s="9" t="s">
        <v>863</v>
      </c>
      <c r="Z662" s="12"/>
      <c r="AA662" s="9">
        <v>1306376.0</v>
      </c>
      <c r="AB662" s="12"/>
      <c r="AC662" s="9" t="s">
        <v>50</v>
      </c>
    </row>
    <row r="663">
      <c r="A663" s="9" t="s">
        <v>33</v>
      </c>
      <c r="B663" s="11">
        <v>6.0</v>
      </c>
      <c r="C663" s="9" t="s">
        <v>43</v>
      </c>
      <c r="D663" s="9" t="s">
        <v>55</v>
      </c>
      <c r="E663" s="9" t="s">
        <v>56</v>
      </c>
      <c r="F663" s="9" t="s">
        <v>45</v>
      </c>
      <c r="G663" s="9" t="s">
        <v>46</v>
      </c>
      <c r="H663" s="9" t="s">
        <v>63</v>
      </c>
      <c r="I663" s="11">
        <v>8177394.0</v>
      </c>
      <c r="J663" s="11">
        <v>2.66817972E8</v>
      </c>
      <c r="K663" s="13">
        <v>46304.0</v>
      </c>
      <c r="L663" s="14">
        <v>46316.0</v>
      </c>
      <c r="M663" s="12"/>
      <c r="N663" s="9">
        <v>2.0</v>
      </c>
      <c r="O663" s="11">
        <v>7.0</v>
      </c>
      <c r="P663" s="9" t="s">
        <v>44</v>
      </c>
      <c r="Q663" s="12"/>
      <c r="R663" s="9" t="s">
        <v>52</v>
      </c>
      <c r="S663" s="9" t="s">
        <v>47</v>
      </c>
      <c r="T663" s="9" t="s">
        <v>44</v>
      </c>
      <c r="U663" s="9" t="s">
        <v>44</v>
      </c>
      <c r="V663" s="11">
        <v>481.72</v>
      </c>
      <c r="W663" s="11">
        <v>69.0</v>
      </c>
      <c r="X663" s="9" t="s">
        <v>48</v>
      </c>
      <c r="Y663" s="9" t="s">
        <v>64</v>
      </c>
      <c r="Z663" s="12"/>
      <c r="AA663" s="9">
        <v>1304627.0</v>
      </c>
      <c r="AB663" s="12"/>
      <c r="AC663" s="9" t="s">
        <v>50</v>
      </c>
    </row>
    <row r="664">
      <c r="A664" s="9" t="s">
        <v>33</v>
      </c>
      <c r="B664" s="11">
        <v>6.0</v>
      </c>
      <c r="C664" s="9" t="s">
        <v>43</v>
      </c>
      <c r="D664" s="9" t="s">
        <v>55</v>
      </c>
      <c r="E664" s="9" t="s">
        <v>56</v>
      </c>
      <c r="F664" s="9" t="s">
        <v>45</v>
      </c>
      <c r="G664" s="9" t="s">
        <v>46</v>
      </c>
      <c r="H664" s="9" t="s">
        <v>63</v>
      </c>
      <c r="I664" s="11">
        <v>8177371.0</v>
      </c>
      <c r="J664" s="11">
        <v>2.66817973E8</v>
      </c>
      <c r="K664" s="13">
        <v>46304.0</v>
      </c>
      <c r="L664" s="14">
        <v>46316.0</v>
      </c>
      <c r="M664" s="12"/>
      <c r="N664" s="9">
        <v>2.0</v>
      </c>
      <c r="O664" s="11">
        <v>7.0</v>
      </c>
      <c r="P664" s="9" t="s">
        <v>44</v>
      </c>
      <c r="Q664" s="12"/>
      <c r="R664" s="9" t="s">
        <v>52</v>
      </c>
      <c r="S664" s="9" t="s">
        <v>47</v>
      </c>
      <c r="T664" s="9" t="s">
        <v>44</v>
      </c>
      <c r="U664" s="9" t="s">
        <v>44</v>
      </c>
      <c r="V664" s="11">
        <v>131.21</v>
      </c>
      <c r="W664" s="11">
        <v>14.0</v>
      </c>
      <c r="X664" s="9" t="s">
        <v>48</v>
      </c>
      <c r="Y664" s="9" t="s">
        <v>71</v>
      </c>
      <c r="Z664" s="12"/>
      <c r="AA664" s="9">
        <v>1306572.0</v>
      </c>
      <c r="AB664" s="12"/>
      <c r="AC664" s="9" t="s">
        <v>50</v>
      </c>
    </row>
    <row r="665">
      <c r="A665" s="9" t="s">
        <v>33</v>
      </c>
      <c r="B665" s="11">
        <v>6.0</v>
      </c>
      <c r="C665" s="9" t="s">
        <v>43</v>
      </c>
      <c r="D665" s="9" t="s">
        <v>55</v>
      </c>
      <c r="E665" s="9" t="s">
        <v>56</v>
      </c>
      <c r="F665" s="9" t="s">
        <v>45</v>
      </c>
      <c r="G665" s="9" t="s">
        <v>46</v>
      </c>
      <c r="H665" s="9" t="s">
        <v>61</v>
      </c>
      <c r="I665" s="11">
        <v>8177395.0</v>
      </c>
      <c r="J665" s="11">
        <v>2.66817974E8</v>
      </c>
      <c r="K665" s="13">
        <v>46304.0</v>
      </c>
      <c r="L665" s="14">
        <v>46317.0</v>
      </c>
      <c r="M665" s="12"/>
      <c r="N665" s="9">
        <v>112.0</v>
      </c>
      <c r="O665" s="11">
        <v>8.0</v>
      </c>
      <c r="P665" s="9" t="s">
        <v>44</v>
      </c>
      <c r="Q665" s="12"/>
      <c r="R665" s="9" t="s">
        <v>52</v>
      </c>
      <c r="S665" s="9" t="s">
        <v>47</v>
      </c>
      <c r="T665" s="9" t="s">
        <v>44</v>
      </c>
      <c r="U665" s="9" t="s">
        <v>44</v>
      </c>
      <c r="V665" s="11">
        <v>38.46</v>
      </c>
      <c r="W665" s="11">
        <v>1.0</v>
      </c>
      <c r="X665" s="9" t="s">
        <v>48</v>
      </c>
      <c r="Y665" s="9" t="s">
        <v>864</v>
      </c>
      <c r="Z665" s="12"/>
      <c r="AA665" s="9">
        <v>1306391.0</v>
      </c>
      <c r="AB665" s="12"/>
      <c r="AC665" s="9" t="s">
        <v>50</v>
      </c>
    </row>
    <row r="666">
      <c r="A666" s="9" t="s">
        <v>33</v>
      </c>
      <c r="B666" s="11">
        <v>6.0</v>
      </c>
      <c r="C666" s="9" t="s">
        <v>43</v>
      </c>
      <c r="D666" s="9" t="s">
        <v>55</v>
      </c>
      <c r="E666" s="9" t="s">
        <v>56</v>
      </c>
      <c r="F666" s="9" t="s">
        <v>45</v>
      </c>
      <c r="G666" s="9" t="s">
        <v>46</v>
      </c>
      <c r="H666" s="9" t="s">
        <v>209</v>
      </c>
      <c r="I666" s="11">
        <v>8177372.0</v>
      </c>
      <c r="J666" s="11">
        <v>2.66817975E8</v>
      </c>
      <c r="K666" s="13">
        <v>46304.0</v>
      </c>
      <c r="L666" s="14">
        <v>46322.0</v>
      </c>
      <c r="M666" s="12"/>
      <c r="N666" s="9">
        <v>107.0</v>
      </c>
      <c r="O666" s="11">
        <v>11.0</v>
      </c>
      <c r="P666" s="9" t="s">
        <v>44</v>
      </c>
      <c r="Q666" s="12"/>
      <c r="R666" s="9" t="s">
        <v>52</v>
      </c>
      <c r="S666" s="9" t="s">
        <v>47</v>
      </c>
      <c r="T666" s="9" t="s">
        <v>44</v>
      </c>
      <c r="U666" s="9" t="s">
        <v>44</v>
      </c>
      <c r="V666" s="11">
        <v>38.46</v>
      </c>
      <c r="W666" s="11">
        <v>8.0</v>
      </c>
      <c r="X666" s="9" t="s">
        <v>48</v>
      </c>
      <c r="Y666" s="9" t="s">
        <v>865</v>
      </c>
      <c r="Z666" s="12"/>
      <c r="AA666" s="9">
        <v>1306437.0</v>
      </c>
      <c r="AB666" s="12"/>
      <c r="AC666" s="9" t="s">
        <v>50</v>
      </c>
    </row>
    <row r="667">
      <c r="A667" s="9" t="s">
        <v>33</v>
      </c>
      <c r="B667" s="11">
        <v>6.0</v>
      </c>
      <c r="C667" s="9" t="s">
        <v>43</v>
      </c>
      <c r="D667" s="9" t="s">
        <v>55</v>
      </c>
      <c r="E667" s="9" t="s">
        <v>56</v>
      </c>
      <c r="F667" s="9" t="s">
        <v>45</v>
      </c>
      <c r="G667" s="9" t="s">
        <v>46</v>
      </c>
      <c r="H667" s="9" t="s">
        <v>259</v>
      </c>
      <c r="I667" s="11">
        <v>8177396.0</v>
      </c>
      <c r="J667" s="11">
        <v>2.66817976E8</v>
      </c>
      <c r="K667" s="13">
        <v>46304.0</v>
      </c>
      <c r="L667" s="14">
        <v>46316.0</v>
      </c>
      <c r="M667" s="12"/>
      <c r="N667" s="9">
        <v>301.0</v>
      </c>
      <c r="O667" s="11">
        <v>7.0</v>
      </c>
      <c r="P667" s="9" t="s">
        <v>44</v>
      </c>
      <c r="Q667" s="12"/>
      <c r="R667" s="12"/>
      <c r="S667" s="9" t="s">
        <v>47</v>
      </c>
      <c r="T667" s="9" t="s">
        <v>44</v>
      </c>
      <c r="U667" s="9" t="s">
        <v>44</v>
      </c>
      <c r="V667" s="11">
        <v>44.77</v>
      </c>
      <c r="W667" s="11">
        <v>2.0</v>
      </c>
      <c r="X667" s="9" t="s">
        <v>48</v>
      </c>
      <c r="Y667" s="9" t="s">
        <v>866</v>
      </c>
      <c r="Z667" s="12"/>
      <c r="AA667" s="9">
        <v>1306420.0</v>
      </c>
      <c r="AB667" s="12"/>
      <c r="AC667" s="9" t="s">
        <v>50</v>
      </c>
    </row>
    <row r="668">
      <c r="A668" s="9" t="s">
        <v>33</v>
      </c>
      <c r="B668" s="11">
        <v>6.0</v>
      </c>
      <c r="C668" s="9" t="s">
        <v>43</v>
      </c>
      <c r="D668" s="9" t="s">
        <v>55</v>
      </c>
      <c r="E668" s="9" t="s">
        <v>56</v>
      </c>
      <c r="F668" s="9" t="s">
        <v>45</v>
      </c>
      <c r="G668" s="9" t="s">
        <v>46</v>
      </c>
      <c r="H668" s="9" t="s">
        <v>70</v>
      </c>
      <c r="I668" s="11">
        <v>8177339.0</v>
      </c>
      <c r="J668" s="11">
        <v>2.66817977E8</v>
      </c>
      <c r="K668" s="13">
        <v>46304.0</v>
      </c>
      <c r="L668" s="14">
        <v>46316.0</v>
      </c>
      <c r="M668" s="12"/>
      <c r="N668" s="9">
        <v>2.0</v>
      </c>
      <c r="O668" s="11">
        <v>7.0</v>
      </c>
      <c r="P668" s="9" t="s">
        <v>44</v>
      </c>
      <c r="Q668" s="12"/>
      <c r="R668" s="12"/>
      <c r="S668" s="9" t="s">
        <v>47</v>
      </c>
      <c r="T668" s="9" t="s">
        <v>44</v>
      </c>
      <c r="U668" s="9" t="s">
        <v>44</v>
      </c>
      <c r="V668" s="11">
        <v>51.62</v>
      </c>
      <c r="W668" s="11">
        <v>1.0</v>
      </c>
      <c r="X668" s="9" t="s">
        <v>48</v>
      </c>
      <c r="Y668" s="9" t="s">
        <v>867</v>
      </c>
      <c r="Z668" s="12"/>
      <c r="AA668" s="9">
        <v>1306399.0</v>
      </c>
      <c r="AB668" s="12"/>
      <c r="AC668" s="9" t="s">
        <v>50</v>
      </c>
    </row>
    <row r="669">
      <c r="A669" s="9" t="s">
        <v>33</v>
      </c>
      <c r="B669" s="11">
        <v>6.0</v>
      </c>
      <c r="C669" s="9" t="s">
        <v>43</v>
      </c>
      <c r="D669" s="9" t="s">
        <v>55</v>
      </c>
      <c r="E669" s="9" t="s">
        <v>56</v>
      </c>
      <c r="F669" s="9" t="s">
        <v>45</v>
      </c>
      <c r="G669" s="9" t="s">
        <v>46</v>
      </c>
      <c r="H669" s="9" t="s">
        <v>70</v>
      </c>
      <c r="I669" s="11">
        <v>8177382.0</v>
      </c>
      <c r="J669" s="11">
        <v>2.66817978E8</v>
      </c>
      <c r="K669" s="13">
        <v>46304.0</v>
      </c>
      <c r="L669" s="14">
        <v>46316.0</v>
      </c>
      <c r="M669" s="12"/>
      <c r="N669" s="9">
        <v>803.0</v>
      </c>
      <c r="O669" s="11">
        <v>7.0</v>
      </c>
      <c r="P669" s="9" t="s">
        <v>44</v>
      </c>
      <c r="Q669" s="12"/>
      <c r="R669" s="12"/>
      <c r="S669" s="9" t="s">
        <v>47</v>
      </c>
      <c r="T669" s="9" t="s">
        <v>44</v>
      </c>
      <c r="U669" s="9" t="s">
        <v>44</v>
      </c>
      <c r="V669" s="11">
        <v>68.24</v>
      </c>
      <c r="W669" s="11">
        <v>6.0</v>
      </c>
      <c r="X669" s="9" t="s">
        <v>48</v>
      </c>
      <c r="Y669" s="9" t="s">
        <v>868</v>
      </c>
      <c r="Z669" s="12"/>
      <c r="AA669" s="9" t="s">
        <v>869</v>
      </c>
      <c r="AB669" s="12"/>
      <c r="AC669" s="9" t="s">
        <v>50</v>
      </c>
    </row>
    <row r="670">
      <c r="A670" s="9" t="s">
        <v>33</v>
      </c>
      <c r="B670" s="11">
        <v>6.0</v>
      </c>
      <c r="C670" s="9" t="s">
        <v>43</v>
      </c>
      <c r="D670" s="9" t="s">
        <v>55</v>
      </c>
      <c r="E670" s="9" t="s">
        <v>56</v>
      </c>
      <c r="F670" s="9" t="s">
        <v>45</v>
      </c>
      <c r="G670" s="9" t="s">
        <v>46</v>
      </c>
      <c r="H670" s="9" t="s">
        <v>76</v>
      </c>
      <c r="I670" s="11">
        <v>8177383.0</v>
      </c>
      <c r="J670" s="11">
        <v>2.66817979E8</v>
      </c>
      <c r="K670" s="13">
        <v>46304.0</v>
      </c>
      <c r="L670" s="14">
        <v>46318.0</v>
      </c>
      <c r="M670" s="12"/>
      <c r="N670" s="9">
        <v>112.0</v>
      </c>
      <c r="O670" s="11">
        <v>9.0</v>
      </c>
      <c r="P670" s="9" t="s">
        <v>44</v>
      </c>
      <c r="Q670" s="12"/>
      <c r="R670" s="12"/>
      <c r="S670" s="9" t="s">
        <v>47</v>
      </c>
      <c r="T670" s="9" t="s">
        <v>44</v>
      </c>
      <c r="U670" s="9" t="s">
        <v>44</v>
      </c>
      <c r="V670" s="11">
        <v>49.43</v>
      </c>
      <c r="W670" s="11">
        <v>1.0</v>
      </c>
      <c r="X670" s="9" t="s">
        <v>48</v>
      </c>
      <c r="Y670" s="9" t="s">
        <v>870</v>
      </c>
      <c r="Z670" s="12"/>
      <c r="AA670" s="9">
        <v>1305879.0</v>
      </c>
      <c r="AB670" s="12"/>
      <c r="AC670" s="9" t="s">
        <v>50</v>
      </c>
    </row>
    <row r="671">
      <c r="A671" s="9" t="s">
        <v>33</v>
      </c>
      <c r="B671" s="11">
        <v>6.0</v>
      </c>
      <c r="C671" s="9" t="s">
        <v>43</v>
      </c>
      <c r="D671" s="9" t="s">
        <v>55</v>
      </c>
      <c r="E671" s="9" t="s">
        <v>56</v>
      </c>
      <c r="F671" s="9" t="s">
        <v>45</v>
      </c>
      <c r="G671" s="9" t="s">
        <v>46</v>
      </c>
      <c r="H671" s="9" t="s">
        <v>76</v>
      </c>
      <c r="I671" s="11">
        <v>8177384.0</v>
      </c>
      <c r="J671" s="11">
        <v>2.6681798E8</v>
      </c>
      <c r="K671" s="13">
        <v>46304.0</v>
      </c>
      <c r="L671" s="14">
        <v>46323.0</v>
      </c>
      <c r="M671" s="12"/>
      <c r="N671" s="9">
        <v>113.0</v>
      </c>
      <c r="O671" s="11">
        <v>12.0</v>
      </c>
      <c r="P671" s="9" t="s">
        <v>44</v>
      </c>
      <c r="Q671" s="12"/>
      <c r="R671" s="12"/>
      <c r="S671" s="9" t="s">
        <v>47</v>
      </c>
      <c r="T671" s="9" t="s">
        <v>44</v>
      </c>
      <c r="U671" s="9" t="s">
        <v>44</v>
      </c>
      <c r="V671" s="11">
        <v>49.43</v>
      </c>
      <c r="W671" s="11">
        <v>1.0</v>
      </c>
      <c r="X671" s="9" t="s">
        <v>48</v>
      </c>
      <c r="Y671" s="9" t="s">
        <v>871</v>
      </c>
      <c r="Z671" s="12"/>
      <c r="AA671" s="9">
        <v>1305901.0</v>
      </c>
      <c r="AB671" s="12"/>
      <c r="AC671" s="9" t="s">
        <v>50</v>
      </c>
    </row>
    <row r="672">
      <c r="A672" s="9" t="s">
        <v>33</v>
      </c>
      <c r="B672" s="11">
        <v>6.0</v>
      </c>
      <c r="C672" s="9" t="s">
        <v>43</v>
      </c>
      <c r="D672" s="9" t="s">
        <v>55</v>
      </c>
      <c r="E672" s="9" t="s">
        <v>56</v>
      </c>
      <c r="F672" s="9" t="s">
        <v>45</v>
      </c>
      <c r="G672" s="9" t="s">
        <v>46</v>
      </c>
      <c r="H672" s="9" t="s">
        <v>76</v>
      </c>
      <c r="I672" s="11">
        <v>8177385.0</v>
      </c>
      <c r="J672" s="11">
        <v>2.66817981E8</v>
      </c>
      <c r="K672" s="13">
        <v>46304.0</v>
      </c>
      <c r="L672" s="14">
        <v>46322.0</v>
      </c>
      <c r="M672" s="12"/>
      <c r="N672" s="9">
        <v>113.0</v>
      </c>
      <c r="O672" s="11">
        <v>11.0</v>
      </c>
      <c r="P672" s="9" t="s">
        <v>44</v>
      </c>
      <c r="Q672" s="12"/>
      <c r="R672" s="12"/>
      <c r="S672" s="9" t="s">
        <v>47</v>
      </c>
      <c r="T672" s="9" t="s">
        <v>44</v>
      </c>
      <c r="U672" s="9" t="s">
        <v>44</v>
      </c>
      <c r="V672" s="11">
        <v>49.43</v>
      </c>
      <c r="W672" s="11">
        <v>1.0</v>
      </c>
      <c r="X672" s="9" t="s">
        <v>48</v>
      </c>
      <c r="Y672" s="9" t="s">
        <v>872</v>
      </c>
      <c r="Z672" s="12"/>
      <c r="AA672" s="9">
        <v>1305893.0</v>
      </c>
      <c r="AB672" s="12"/>
      <c r="AC672" s="9" t="s">
        <v>50</v>
      </c>
    </row>
    <row r="673">
      <c r="A673" s="9" t="s">
        <v>33</v>
      </c>
      <c r="B673" s="11">
        <v>6.0</v>
      </c>
      <c r="C673" s="9" t="s">
        <v>43</v>
      </c>
      <c r="D673" s="9" t="s">
        <v>55</v>
      </c>
      <c r="E673" s="9" t="s">
        <v>56</v>
      </c>
      <c r="F673" s="9" t="s">
        <v>45</v>
      </c>
      <c r="G673" s="9" t="s">
        <v>46</v>
      </c>
      <c r="H673" s="9" t="s">
        <v>324</v>
      </c>
      <c r="I673" s="11">
        <v>8177397.0</v>
      </c>
      <c r="J673" s="11">
        <v>2.66817983E8</v>
      </c>
      <c r="K673" s="13">
        <v>46304.0</v>
      </c>
      <c r="L673" s="14">
        <v>46314.0</v>
      </c>
      <c r="M673" s="12"/>
      <c r="N673" s="9">
        <v>13.0</v>
      </c>
      <c r="O673" s="11">
        <v>5.0</v>
      </c>
      <c r="P673" s="9" t="s">
        <v>44</v>
      </c>
      <c r="Q673" s="12"/>
      <c r="R673" s="9" t="s">
        <v>90</v>
      </c>
      <c r="S673" s="9" t="s">
        <v>47</v>
      </c>
      <c r="T673" s="9" t="s">
        <v>44</v>
      </c>
      <c r="U673" s="9" t="s">
        <v>44</v>
      </c>
      <c r="V673" s="11">
        <v>33.82</v>
      </c>
      <c r="W673" s="11">
        <v>3.0</v>
      </c>
      <c r="X673" s="9" t="s">
        <v>48</v>
      </c>
      <c r="Y673" s="9" t="s">
        <v>873</v>
      </c>
      <c r="Z673" s="12"/>
      <c r="AA673" s="9">
        <v>1306309.0</v>
      </c>
      <c r="AB673" s="12"/>
      <c r="AC673" s="9" t="s">
        <v>50</v>
      </c>
    </row>
    <row r="674">
      <c r="A674" s="9" t="s">
        <v>33</v>
      </c>
      <c r="B674" s="11">
        <v>6.0</v>
      </c>
      <c r="C674" s="9" t="s">
        <v>43</v>
      </c>
      <c r="D674" s="9" t="s">
        <v>55</v>
      </c>
      <c r="E674" s="9" t="s">
        <v>56</v>
      </c>
      <c r="F674" s="9" t="s">
        <v>45</v>
      </c>
      <c r="G674" s="9" t="s">
        <v>46</v>
      </c>
      <c r="H674" s="9" t="s">
        <v>704</v>
      </c>
      <c r="I674" s="11">
        <v>8177364.0</v>
      </c>
      <c r="J674" s="11">
        <v>2.66817984E8</v>
      </c>
      <c r="K674" s="13">
        <v>46304.0</v>
      </c>
      <c r="L674" s="14">
        <v>46316.0</v>
      </c>
      <c r="M674" s="12"/>
      <c r="N674" s="9">
        <v>1.0</v>
      </c>
      <c r="O674" s="11">
        <v>7.0</v>
      </c>
      <c r="P674" s="9" t="s">
        <v>44</v>
      </c>
      <c r="Q674" s="12"/>
      <c r="R674" s="9" t="s">
        <v>90</v>
      </c>
      <c r="S674" s="9" t="s">
        <v>47</v>
      </c>
      <c r="T674" s="9" t="s">
        <v>44</v>
      </c>
      <c r="U674" s="9" t="s">
        <v>44</v>
      </c>
      <c r="V674" s="11">
        <v>56.59</v>
      </c>
      <c r="W674" s="11">
        <v>1.0</v>
      </c>
      <c r="X674" s="9" t="s">
        <v>48</v>
      </c>
      <c r="Y674" s="9" t="s">
        <v>874</v>
      </c>
      <c r="Z674" s="12"/>
      <c r="AA674" s="9">
        <v>1306085.0</v>
      </c>
      <c r="AB674" s="12"/>
      <c r="AC674" s="9" t="s">
        <v>50</v>
      </c>
    </row>
    <row r="675">
      <c r="A675" s="9" t="s">
        <v>33</v>
      </c>
      <c r="B675" s="11">
        <v>6.0</v>
      </c>
      <c r="C675" s="9" t="s">
        <v>43</v>
      </c>
      <c r="D675" s="9" t="s">
        <v>55</v>
      </c>
      <c r="E675" s="9" t="s">
        <v>56</v>
      </c>
      <c r="F675" s="9" t="s">
        <v>45</v>
      </c>
      <c r="G675" s="9" t="s">
        <v>46</v>
      </c>
      <c r="H675" s="9" t="s">
        <v>99</v>
      </c>
      <c r="I675" s="11">
        <v>8177398.0</v>
      </c>
      <c r="J675" s="11">
        <v>2.66817985E8</v>
      </c>
      <c r="K675" s="13">
        <v>46304.0</v>
      </c>
      <c r="L675" s="14">
        <v>46318.0</v>
      </c>
      <c r="M675" s="12"/>
      <c r="N675" s="9">
        <v>104.0</v>
      </c>
      <c r="O675" s="11">
        <v>9.0</v>
      </c>
      <c r="P675" s="9" t="s">
        <v>44</v>
      </c>
      <c r="Q675" s="12"/>
      <c r="R675" s="9" t="s">
        <v>90</v>
      </c>
      <c r="S675" s="9" t="s">
        <v>47</v>
      </c>
      <c r="T675" s="9" t="s">
        <v>44</v>
      </c>
      <c r="U675" s="9" t="s">
        <v>44</v>
      </c>
      <c r="V675" s="11">
        <v>57.25</v>
      </c>
      <c r="W675" s="11">
        <v>2.0</v>
      </c>
      <c r="X675" s="9" t="s">
        <v>48</v>
      </c>
      <c r="Y675" s="9" t="s">
        <v>875</v>
      </c>
      <c r="Z675" s="12"/>
      <c r="AA675" s="9">
        <v>1306313.0</v>
      </c>
      <c r="AB675" s="12"/>
      <c r="AC675" s="9" t="s">
        <v>50</v>
      </c>
    </row>
    <row r="676">
      <c r="A676" s="9" t="s">
        <v>33</v>
      </c>
      <c r="B676" s="11">
        <v>6.0</v>
      </c>
      <c r="C676" s="9" t="s">
        <v>43</v>
      </c>
      <c r="D676" s="9" t="s">
        <v>55</v>
      </c>
      <c r="E676" s="9" t="s">
        <v>56</v>
      </c>
      <c r="F676" s="9" t="s">
        <v>45</v>
      </c>
      <c r="G676" s="9" t="s">
        <v>46</v>
      </c>
      <c r="H676" s="9" t="s">
        <v>113</v>
      </c>
      <c r="I676" s="11">
        <v>8177373.0</v>
      </c>
      <c r="J676" s="11">
        <v>2.66817986E8</v>
      </c>
      <c r="K676" s="13">
        <v>46304.0</v>
      </c>
      <c r="L676" s="14">
        <v>46315.0</v>
      </c>
      <c r="M676" s="12"/>
      <c r="N676" s="9">
        <v>1.0</v>
      </c>
      <c r="O676" s="11">
        <v>6.0</v>
      </c>
      <c r="P676" s="9" t="s">
        <v>44</v>
      </c>
      <c r="Q676" s="12"/>
      <c r="R676" s="9" t="s">
        <v>90</v>
      </c>
      <c r="S676" s="9" t="s">
        <v>47</v>
      </c>
      <c r="T676" s="9" t="s">
        <v>44</v>
      </c>
      <c r="U676" s="9" t="s">
        <v>44</v>
      </c>
      <c r="V676" s="11">
        <v>51.54</v>
      </c>
      <c r="W676" s="11">
        <v>2.0</v>
      </c>
      <c r="X676" s="9" t="s">
        <v>48</v>
      </c>
      <c r="Y676" s="9" t="s">
        <v>876</v>
      </c>
      <c r="Z676" s="12"/>
      <c r="AA676" s="9">
        <v>1306407.0</v>
      </c>
      <c r="AB676" s="12"/>
      <c r="AC676" s="9" t="s">
        <v>50</v>
      </c>
    </row>
    <row r="677">
      <c r="A677" s="9" t="s">
        <v>33</v>
      </c>
      <c r="B677" s="11">
        <v>6.0</v>
      </c>
      <c r="C677" s="9" t="s">
        <v>43</v>
      </c>
      <c r="D677" s="9" t="s">
        <v>55</v>
      </c>
      <c r="E677" s="9" t="s">
        <v>56</v>
      </c>
      <c r="F677" s="9" t="s">
        <v>45</v>
      </c>
      <c r="G677" s="9" t="s">
        <v>46</v>
      </c>
      <c r="H677" s="9" t="s">
        <v>115</v>
      </c>
      <c r="I677" s="11">
        <v>8177399.0</v>
      </c>
      <c r="J677" s="11">
        <v>2.66817987E8</v>
      </c>
      <c r="K677" s="13">
        <v>46304.0</v>
      </c>
      <c r="L677" s="14">
        <v>46324.0</v>
      </c>
      <c r="M677" s="12"/>
      <c r="N677" s="9">
        <v>108.0</v>
      </c>
      <c r="O677" s="11">
        <v>13.0</v>
      </c>
      <c r="P677" s="9" t="s">
        <v>44</v>
      </c>
      <c r="Q677" s="12"/>
      <c r="R677" s="9" t="s">
        <v>90</v>
      </c>
      <c r="S677" s="9" t="s">
        <v>47</v>
      </c>
      <c r="T677" s="9" t="s">
        <v>44</v>
      </c>
      <c r="U677" s="9" t="s">
        <v>44</v>
      </c>
      <c r="V677" s="11">
        <v>71.9</v>
      </c>
      <c r="W677" s="11">
        <v>1.0</v>
      </c>
      <c r="X677" s="9" t="s">
        <v>48</v>
      </c>
      <c r="Y677" s="9" t="s">
        <v>877</v>
      </c>
      <c r="Z677" s="12"/>
      <c r="AA677" s="9">
        <v>1306346.0</v>
      </c>
      <c r="AB677" s="12"/>
      <c r="AC677" s="9" t="s">
        <v>50</v>
      </c>
    </row>
    <row r="678">
      <c r="A678" s="9" t="s">
        <v>33</v>
      </c>
      <c r="B678" s="11">
        <v>6.0</v>
      </c>
      <c r="C678" s="9" t="s">
        <v>43</v>
      </c>
      <c r="D678" s="9" t="s">
        <v>55</v>
      </c>
      <c r="E678" s="9" t="s">
        <v>56</v>
      </c>
      <c r="F678" s="9" t="s">
        <v>45</v>
      </c>
      <c r="G678" s="9" t="s">
        <v>46</v>
      </c>
      <c r="H678" s="9" t="s">
        <v>441</v>
      </c>
      <c r="I678" s="11">
        <v>8177340.0</v>
      </c>
      <c r="J678" s="11">
        <v>2.66817988E8</v>
      </c>
      <c r="K678" s="13">
        <v>46304.0</v>
      </c>
      <c r="L678" s="13">
        <v>46364.0</v>
      </c>
      <c r="M678" s="12"/>
      <c r="N678" s="9">
        <v>103.0</v>
      </c>
      <c r="O678" s="11">
        <v>39.0</v>
      </c>
      <c r="P678" s="9" t="s">
        <v>44</v>
      </c>
      <c r="Q678" s="12"/>
      <c r="R678" s="12"/>
      <c r="S678" s="9" t="s">
        <v>47</v>
      </c>
      <c r="T678" s="9" t="s">
        <v>44</v>
      </c>
      <c r="U678" s="9" t="s">
        <v>44</v>
      </c>
      <c r="V678" s="11">
        <v>264.02</v>
      </c>
      <c r="W678" s="11">
        <v>1.0</v>
      </c>
      <c r="X678" s="9" t="s">
        <v>48</v>
      </c>
      <c r="Y678" s="9" t="s">
        <v>878</v>
      </c>
      <c r="Z678" s="12"/>
      <c r="AA678" s="9">
        <v>1306102.0</v>
      </c>
      <c r="AB678" s="12"/>
      <c r="AC678" s="9" t="s">
        <v>50</v>
      </c>
    </row>
    <row r="679">
      <c r="A679" s="9" t="s">
        <v>33</v>
      </c>
      <c r="B679" s="11">
        <v>6.0</v>
      </c>
      <c r="C679" s="9" t="s">
        <v>43</v>
      </c>
      <c r="D679" s="9" t="s">
        <v>55</v>
      </c>
      <c r="E679" s="9" t="s">
        <v>56</v>
      </c>
      <c r="F679" s="9" t="s">
        <v>45</v>
      </c>
      <c r="G679" s="9" t="s">
        <v>46</v>
      </c>
      <c r="H679" s="9" t="s">
        <v>444</v>
      </c>
      <c r="I679" s="11">
        <v>8177386.0</v>
      </c>
      <c r="J679" s="11">
        <v>2.66817989E8</v>
      </c>
      <c r="K679" s="13">
        <v>46304.0</v>
      </c>
      <c r="L679" s="14">
        <v>46316.0</v>
      </c>
      <c r="M679" s="12"/>
      <c r="N679" s="9">
        <v>16.0</v>
      </c>
      <c r="O679" s="11">
        <v>7.0</v>
      </c>
      <c r="P679" s="9" t="s">
        <v>44</v>
      </c>
      <c r="Q679" s="12"/>
      <c r="R679" s="12"/>
      <c r="S679" s="9" t="s">
        <v>47</v>
      </c>
      <c r="T679" s="9" t="s">
        <v>44</v>
      </c>
      <c r="U679" s="9" t="s">
        <v>44</v>
      </c>
      <c r="V679" s="11">
        <v>51.54</v>
      </c>
      <c r="W679" s="11">
        <v>1.0</v>
      </c>
      <c r="X679" s="9" t="s">
        <v>48</v>
      </c>
      <c r="Y679" s="9" t="s">
        <v>879</v>
      </c>
      <c r="Z679" s="12"/>
      <c r="AA679" s="9">
        <v>1306398.0</v>
      </c>
      <c r="AB679" s="12"/>
      <c r="AC679" s="9" t="s">
        <v>50</v>
      </c>
    </row>
    <row r="680">
      <c r="A680" s="9" t="s">
        <v>33</v>
      </c>
      <c r="B680" s="11">
        <v>6.0</v>
      </c>
      <c r="C680" s="9" t="s">
        <v>43</v>
      </c>
      <c r="D680" s="9" t="s">
        <v>55</v>
      </c>
      <c r="E680" s="9" t="s">
        <v>56</v>
      </c>
      <c r="F680" s="9" t="s">
        <v>45</v>
      </c>
      <c r="G680" s="9" t="s">
        <v>46</v>
      </c>
      <c r="H680" s="9" t="s">
        <v>444</v>
      </c>
      <c r="I680" s="11">
        <v>8177400.0</v>
      </c>
      <c r="J680" s="11">
        <v>2.6681799E8</v>
      </c>
      <c r="K680" s="13">
        <v>46304.0</v>
      </c>
      <c r="L680" s="14">
        <v>46316.0</v>
      </c>
      <c r="M680" s="12"/>
      <c r="N680" s="9">
        <v>22.0</v>
      </c>
      <c r="O680" s="11">
        <v>7.0</v>
      </c>
      <c r="P680" s="9" t="s">
        <v>44</v>
      </c>
      <c r="Q680" s="12"/>
      <c r="R680" s="9" t="s">
        <v>52</v>
      </c>
      <c r="S680" s="9" t="s">
        <v>47</v>
      </c>
      <c r="T680" s="9" t="s">
        <v>44</v>
      </c>
      <c r="U680" s="9" t="s">
        <v>44</v>
      </c>
      <c r="V680" s="11">
        <v>443.72</v>
      </c>
      <c r="W680" s="11">
        <v>26.0</v>
      </c>
      <c r="X680" s="9" t="s">
        <v>48</v>
      </c>
      <c r="Y680" s="9" t="s">
        <v>880</v>
      </c>
      <c r="Z680" s="12"/>
      <c r="AA680" s="9">
        <v>1306502.0</v>
      </c>
      <c r="AB680" s="12"/>
      <c r="AC680" s="9" t="s">
        <v>50</v>
      </c>
    </row>
    <row r="681">
      <c r="A681" s="9" t="s">
        <v>33</v>
      </c>
      <c r="B681" s="11">
        <v>6.0</v>
      </c>
      <c r="C681" s="9" t="s">
        <v>43</v>
      </c>
      <c r="D681" s="9" t="s">
        <v>55</v>
      </c>
      <c r="E681" s="9" t="s">
        <v>56</v>
      </c>
      <c r="F681" s="9" t="s">
        <v>45</v>
      </c>
      <c r="G681" s="9" t="s">
        <v>46</v>
      </c>
      <c r="H681" s="9" t="s">
        <v>450</v>
      </c>
      <c r="I681" s="11">
        <v>8177387.0</v>
      </c>
      <c r="J681" s="11">
        <v>2.66817991E8</v>
      </c>
      <c r="K681" s="13">
        <v>46304.0</v>
      </c>
      <c r="L681" s="14">
        <v>46321.0</v>
      </c>
      <c r="M681" s="12"/>
      <c r="N681" s="9">
        <v>26.0</v>
      </c>
      <c r="O681" s="11">
        <v>10.0</v>
      </c>
      <c r="P681" s="9" t="s">
        <v>44</v>
      </c>
      <c r="Q681" s="12"/>
      <c r="R681" s="9" t="s">
        <v>52</v>
      </c>
      <c r="S681" s="9" t="s">
        <v>47</v>
      </c>
      <c r="T681" s="9" t="s">
        <v>44</v>
      </c>
      <c r="U681" s="9" t="s">
        <v>44</v>
      </c>
      <c r="V681" s="11">
        <v>153.74</v>
      </c>
      <c r="W681" s="11">
        <v>7.0</v>
      </c>
      <c r="X681" s="9" t="s">
        <v>48</v>
      </c>
      <c r="Y681" s="9" t="s">
        <v>754</v>
      </c>
      <c r="Z681" s="12"/>
      <c r="AA681" s="9">
        <v>1306341.0</v>
      </c>
      <c r="AB681" s="12"/>
      <c r="AC681" s="9" t="s">
        <v>50</v>
      </c>
    </row>
    <row r="682">
      <c r="A682" s="9" t="s">
        <v>33</v>
      </c>
      <c r="B682" s="11">
        <v>6.0</v>
      </c>
      <c r="C682" s="9" t="s">
        <v>43</v>
      </c>
      <c r="D682" s="9" t="s">
        <v>55</v>
      </c>
      <c r="E682" s="9" t="s">
        <v>56</v>
      </c>
      <c r="F682" s="9" t="s">
        <v>45</v>
      </c>
      <c r="G682" s="9" t="s">
        <v>46</v>
      </c>
      <c r="H682" s="9" t="s">
        <v>454</v>
      </c>
      <c r="I682" s="11">
        <v>8177374.0</v>
      </c>
      <c r="J682" s="11">
        <v>2.66817992E8</v>
      </c>
      <c r="K682" s="13">
        <v>46304.0</v>
      </c>
      <c r="L682" s="14">
        <v>46322.0</v>
      </c>
      <c r="M682" s="12"/>
      <c r="N682" s="9">
        <v>300.0</v>
      </c>
      <c r="O682" s="11">
        <v>11.0</v>
      </c>
      <c r="P682" s="9" t="s">
        <v>44</v>
      </c>
      <c r="Q682" s="12"/>
      <c r="R682" s="9" t="s">
        <v>52</v>
      </c>
      <c r="S682" s="9" t="s">
        <v>47</v>
      </c>
      <c r="T682" s="9" t="s">
        <v>44</v>
      </c>
      <c r="U682" s="9" t="s">
        <v>44</v>
      </c>
      <c r="V682" s="11">
        <v>63.12</v>
      </c>
      <c r="W682" s="11">
        <v>1.0</v>
      </c>
      <c r="X682" s="9" t="s">
        <v>48</v>
      </c>
      <c r="Y682" s="9" t="s">
        <v>881</v>
      </c>
      <c r="Z682" s="12"/>
      <c r="AA682" s="9">
        <v>1306359.0</v>
      </c>
      <c r="AB682" s="12"/>
      <c r="AC682" s="9" t="s">
        <v>50</v>
      </c>
    </row>
    <row r="683">
      <c r="A683" s="9" t="s">
        <v>33</v>
      </c>
      <c r="B683" s="11">
        <v>6.0</v>
      </c>
      <c r="C683" s="9" t="s">
        <v>43</v>
      </c>
      <c r="D683" s="9" t="s">
        <v>55</v>
      </c>
      <c r="E683" s="9" t="s">
        <v>56</v>
      </c>
      <c r="F683" s="9" t="s">
        <v>45</v>
      </c>
      <c r="G683" s="9" t="s">
        <v>46</v>
      </c>
      <c r="H683" s="9" t="s">
        <v>456</v>
      </c>
      <c r="I683" s="11">
        <v>8177365.0</v>
      </c>
      <c r="J683" s="11">
        <v>2.66817993E8</v>
      </c>
      <c r="K683" s="13">
        <v>46304.0</v>
      </c>
      <c r="L683" s="14">
        <v>46316.0</v>
      </c>
      <c r="M683" s="12"/>
      <c r="N683" s="9">
        <v>11.0</v>
      </c>
      <c r="O683" s="11">
        <v>7.0</v>
      </c>
      <c r="P683" s="9" t="s">
        <v>44</v>
      </c>
      <c r="Q683" s="12"/>
      <c r="R683" s="9" t="s">
        <v>52</v>
      </c>
      <c r="S683" s="9" t="s">
        <v>47</v>
      </c>
      <c r="T683" s="9" t="s">
        <v>44</v>
      </c>
      <c r="U683" s="9" t="s">
        <v>44</v>
      </c>
      <c r="V683" s="11">
        <v>56.59</v>
      </c>
      <c r="W683" s="11">
        <v>1.0</v>
      </c>
      <c r="X683" s="9" t="s">
        <v>48</v>
      </c>
      <c r="Y683" s="9" t="s">
        <v>882</v>
      </c>
      <c r="Z683" s="12"/>
      <c r="AA683" s="9">
        <v>1306339.0</v>
      </c>
      <c r="AB683" s="12"/>
      <c r="AC683" s="9" t="s">
        <v>50</v>
      </c>
    </row>
    <row r="684">
      <c r="A684" s="9" t="s">
        <v>33</v>
      </c>
      <c r="B684" s="11">
        <v>6.0</v>
      </c>
      <c r="C684" s="9" t="s">
        <v>43</v>
      </c>
      <c r="D684" s="9" t="s">
        <v>55</v>
      </c>
      <c r="E684" s="9" t="s">
        <v>56</v>
      </c>
      <c r="F684" s="9" t="s">
        <v>45</v>
      </c>
      <c r="G684" s="9" t="s">
        <v>46</v>
      </c>
      <c r="H684" s="9" t="s">
        <v>456</v>
      </c>
      <c r="I684" s="11">
        <v>8177375.0</v>
      </c>
      <c r="J684" s="11">
        <v>2.66817994E8</v>
      </c>
      <c r="K684" s="13">
        <v>46304.0</v>
      </c>
      <c r="L684" s="14">
        <v>46316.0</v>
      </c>
      <c r="M684" s="12"/>
      <c r="N684" s="9">
        <v>14.0</v>
      </c>
      <c r="O684" s="11">
        <v>7.0</v>
      </c>
      <c r="P684" s="9" t="s">
        <v>44</v>
      </c>
      <c r="Q684" s="12"/>
      <c r="R684" s="9" t="s">
        <v>52</v>
      </c>
      <c r="S684" s="9" t="s">
        <v>47</v>
      </c>
      <c r="T684" s="9" t="s">
        <v>44</v>
      </c>
      <c r="U684" s="9" t="s">
        <v>44</v>
      </c>
      <c r="V684" s="11">
        <v>56.59</v>
      </c>
      <c r="W684" s="11">
        <v>1.0</v>
      </c>
      <c r="X684" s="9" t="s">
        <v>48</v>
      </c>
      <c r="Y684" s="9" t="s">
        <v>883</v>
      </c>
      <c r="Z684" s="12"/>
      <c r="AA684" s="9">
        <v>1306392.0</v>
      </c>
      <c r="AB684" s="12"/>
      <c r="AC684" s="9" t="s">
        <v>50</v>
      </c>
    </row>
    <row r="685">
      <c r="A685" s="9" t="s">
        <v>33</v>
      </c>
      <c r="B685" s="11">
        <v>6.0</v>
      </c>
      <c r="C685" s="9" t="s">
        <v>43</v>
      </c>
      <c r="D685" s="9" t="s">
        <v>55</v>
      </c>
      <c r="E685" s="9" t="s">
        <v>56</v>
      </c>
      <c r="F685" s="9" t="s">
        <v>45</v>
      </c>
      <c r="G685" s="9" t="s">
        <v>46</v>
      </c>
      <c r="H685" s="9" t="s">
        <v>456</v>
      </c>
      <c r="I685" s="11">
        <v>8177388.0</v>
      </c>
      <c r="J685" s="11">
        <v>2.66817995E8</v>
      </c>
      <c r="K685" s="13">
        <v>46304.0</v>
      </c>
      <c r="L685" s="14">
        <v>46317.0</v>
      </c>
      <c r="M685" s="12"/>
      <c r="N685" s="9">
        <v>22.0</v>
      </c>
      <c r="O685" s="11">
        <v>8.0</v>
      </c>
      <c r="P685" s="9" t="s">
        <v>44</v>
      </c>
      <c r="Q685" s="12"/>
      <c r="R685" s="9" t="s">
        <v>52</v>
      </c>
      <c r="S685" s="9" t="s">
        <v>47</v>
      </c>
      <c r="T685" s="9" t="s">
        <v>44</v>
      </c>
      <c r="U685" s="9" t="s">
        <v>44</v>
      </c>
      <c r="V685" s="11">
        <v>63.12</v>
      </c>
      <c r="W685" s="11">
        <v>1.0</v>
      </c>
      <c r="X685" s="9" t="s">
        <v>48</v>
      </c>
      <c r="Y685" s="9" t="s">
        <v>884</v>
      </c>
      <c r="Z685" s="12"/>
      <c r="AA685" s="9">
        <v>1306461.0</v>
      </c>
      <c r="AB685" s="12"/>
      <c r="AC685" s="9" t="s">
        <v>50</v>
      </c>
    </row>
    <row r="686">
      <c r="A686" s="9" t="s">
        <v>33</v>
      </c>
      <c r="B686" s="11">
        <v>6.0</v>
      </c>
      <c r="C686" s="9" t="s">
        <v>43</v>
      </c>
      <c r="D686" s="9" t="s">
        <v>55</v>
      </c>
      <c r="E686" s="9" t="s">
        <v>56</v>
      </c>
      <c r="F686" s="9" t="s">
        <v>45</v>
      </c>
      <c r="G686" s="9" t="s">
        <v>46</v>
      </c>
      <c r="H686" s="9" t="s">
        <v>57</v>
      </c>
      <c r="I686" s="11">
        <v>8177376.0</v>
      </c>
      <c r="J686" s="11">
        <v>2.66817996E8</v>
      </c>
      <c r="K686" s="13">
        <v>46304.0</v>
      </c>
      <c r="L686" s="14">
        <v>46317.0</v>
      </c>
      <c r="M686" s="12"/>
      <c r="N686" s="12"/>
      <c r="O686" s="11">
        <v>8.0</v>
      </c>
      <c r="P686" s="9" t="s">
        <v>44</v>
      </c>
      <c r="Q686" s="12"/>
      <c r="R686" s="9" t="s">
        <v>52</v>
      </c>
      <c r="S686" s="9" t="s">
        <v>47</v>
      </c>
      <c r="T686" s="9" t="s">
        <v>44</v>
      </c>
      <c r="U686" s="9" t="s">
        <v>44</v>
      </c>
      <c r="V686" s="11">
        <v>67.52</v>
      </c>
      <c r="W686" s="11">
        <v>7.0</v>
      </c>
      <c r="X686" s="9" t="s">
        <v>48</v>
      </c>
      <c r="Y686" s="9" t="s">
        <v>885</v>
      </c>
      <c r="Z686" s="12"/>
      <c r="AA686" s="9">
        <v>1306061.0</v>
      </c>
      <c r="AB686" s="12"/>
      <c r="AC686" s="9" t="s">
        <v>50</v>
      </c>
    </row>
    <row r="687">
      <c r="A687" s="9" t="s">
        <v>33</v>
      </c>
      <c r="B687" s="11">
        <v>6.0</v>
      </c>
      <c r="C687" s="9" t="s">
        <v>43</v>
      </c>
      <c r="D687" s="9" t="s">
        <v>55</v>
      </c>
      <c r="E687" s="9" t="s">
        <v>56</v>
      </c>
      <c r="F687" s="9" t="s">
        <v>45</v>
      </c>
      <c r="G687" s="9" t="s">
        <v>46</v>
      </c>
      <c r="H687" s="9" t="s">
        <v>131</v>
      </c>
      <c r="I687" s="11">
        <v>8177366.0</v>
      </c>
      <c r="J687" s="11">
        <v>2.66817997E8</v>
      </c>
      <c r="K687" s="13">
        <v>46304.0</v>
      </c>
      <c r="L687" s="14">
        <v>46342.0</v>
      </c>
      <c r="M687" s="12"/>
      <c r="N687" s="9">
        <v>1.0</v>
      </c>
      <c r="O687" s="11">
        <v>24.0</v>
      </c>
      <c r="P687" s="9" t="s">
        <v>44</v>
      </c>
      <c r="Q687" s="12"/>
      <c r="R687" s="9" t="s">
        <v>52</v>
      </c>
      <c r="S687" s="9" t="s">
        <v>47</v>
      </c>
      <c r="T687" s="9" t="s">
        <v>44</v>
      </c>
      <c r="U687" s="9" t="s">
        <v>44</v>
      </c>
      <c r="V687" s="11">
        <v>122.99</v>
      </c>
      <c r="W687" s="11">
        <v>6.0</v>
      </c>
      <c r="X687" s="9" t="s">
        <v>48</v>
      </c>
      <c r="Y687" s="9" t="s">
        <v>886</v>
      </c>
      <c r="Z687" s="12"/>
      <c r="AA687" s="9">
        <v>1306337.0</v>
      </c>
      <c r="AB687" s="12"/>
      <c r="AC687" s="9" t="s">
        <v>50</v>
      </c>
    </row>
    <row r="688">
      <c r="A688" s="9" t="s">
        <v>33</v>
      </c>
      <c r="B688" s="11">
        <v>6.0</v>
      </c>
      <c r="C688" s="9" t="s">
        <v>43</v>
      </c>
      <c r="D688" s="9" t="s">
        <v>55</v>
      </c>
      <c r="E688" s="9" t="s">
        <v>56</v>
      </c>
      <c r="F688" s="9" t="s">
        <v>45</v>
      </c>
      <c r="G688" s="9" t="s">
        <v>46</v>
      </c>
      <c r="H688" s="9" t="s">
        <v>133</v>
      </c>
      <c r="I688" s="11">
        <v>8177377.0</v>
      </c>
      <c r="J688" s="11">
        <v>2.66817998E8</v>
      </c>
      <c r="K688" s="13">
        <v>46304.0</v>
      </c>
      <c r="L688" s="14">
        <v>46316.0</v>
      </c>
      <c r="M688" s="12"/>
      <c r="N688" s="9">
        <v>14.0</v>
      </c>
      <c r="O688" s="11">
        <v>7.0</v>
      </c>
      <c r="P688" s="9" t="s">
        <v>44</v>
      </c>
      <c r="Q688" s="12"/>
      <c r="R688" s="9" t="s">
        <v>90</v>
      </c>
      <c r="S688" s="9" t="s">
        <v>47</v>
      </c>
      <c r="T688" s="9" t="s">
        <v>44</v>
      </c>
      <c r="U688" s="9" t="s">
        <v>44</v>
      </c>
      <c r="V688" s="11">
        <v>47.89</v>
      </c>
      <c r="W688" s="11">
        <v>1.0</v>
      </c>
      <c r="X688" s="9" t="s">
        <v>48</v>
      </c>
      <c r="Y688" s="9" t="s">
        <v>887</v>
      </c>
      <c r="Z688" s="12"/>
      <c r="AA688" s="9">
        <v>1306436.0</v>
      </c>
      <c r="AB688" s="12"/>
      <c r="AC688" s="9" t="s">
        <v>50</v>
      </c>
    </row>
    <row r="689">
      <c r="A689" s="9" t="s">
        <v>33</v>
      </c>
      <c r="B689" s="11">
        <v>6.0</v>
      </c>
      <c r="C689" s="9" t="s">
        <v>43</v>
      </c>
      <c r="D689" s="9" t="s">
        <v>55</v>
      </c>
      <c r="E689" s="9" t="s">
        <v>56</v>
      </c>
      <c r="F689" s="9" t="s">
        <v>45</v>
      </c>
      <c r="G689" s="9" t="s">
        <v>46</v>
      </c>
      <c r="H689" s="9" t="s">
        <v>133</v>
      </c>
      <c r="I689" s="11">
        <v>8177401.0</v>
      </c>
      <c r="J689" s="11">
        <v>2.66817999E8</v>
      </c>
      <c r="K689" s="13">
        <v>46304.0</v>
      </c>
      <c r="L689" s="14">
        <v>46317.0</v>
      </c>
      <c r="M689" s="12"/>
      <c r="N689" s="9">
        <v>109.0</v>
      </c>
      <c r="O689" s="11">
        <v>8.0</v>
      </c>
      <c r="P689" s="9" t="s">
        <v>44</v>
      </c>
      <c r="Q689" s="12"/>
      <c r="R689" s="9" t="s">
        <v>90</v>
      </c>
      <c r="S689" s="9" t="s">
        <v>47</v>
      </c>
      <c r="T689" s="9" t="s">
        <v>44</v>
      </c>
      <c r="U689" s="9" t="s">
        <v>44</v>
      </c>
      <c r="V689" s="11">
        <v>47.89</v>
      </c>
      <c r="W689" s="11">
        <v>1.0</v>
      </c>
      <c r="X689" s="9" t="s">
        <v>48</v>
      </c>
      <c r="Y689" s="9" t="s">
        <v>888</v>
      </c>
      <c r="Z689" s="12"/>
      <c r="AA689" s="9">
        <v>1306328.0</v>
      </c>
      <c r="AB689" s="12"/>
      <c r="AC689" s="9" t="s">
        <v>50</v>
      </c>
    </row>
    <row r="690">
      <c r="A690" s="9" t="s">
        <v>33</v>
      </c>
      <c r="B690" s="11">
        <v>6.0</v>
      </c>
      <c r="C690" s="9" t="s">
        <v>43</v>
      </c>
      <c r="D690" s="9" t="s">
        <v>55</v>
      </c>
      <c r="E690" s="9" t="s">
        <v>56</v>
      </c>
      <c r="F690" s="9" t="s">
        <v>45</v>
      </c>
      <c r="G690" s="9" t="s">
        <v>46</v>
      </c>
      <c r="H690" s="9" t="s">
        <v>133</v>
      </c>
      <c r="I690" s="11">
        <v>8177378.0</v>
      </c>
      <c r="J690" s="11">
        <v>2.66818E8</v>
      </c>
      <c r="K690" s="13">
        <v>46304.0</v>
      </c>
      <c r="L690" s="14">
        <v>46317.0</v>
      </c>
      <c r="M690" s="12"/>
      <c r="N690" s="9">
        <v>102.0</v>
      </c>
      <c r="O690" s="11">
        <v>8.0</v>
      </c>
      <c r="P690" s="9" t="s">
        <v>44</v>
      </c>
      <c r="Q690" s="12"/>
      <c r="R690" s="9" t="s">
        <v>90</v>
      </c>
      <c r="S690" s="9" t="s">
        <v>47</v>
      </c>
      <c r="T690" s="9" t="s">
        <v>44</v>
      </c>
      <c r="U690" s="9" t="s">
        <v>44</v>
      </c>
      <c r="V690" s="11">
        <v>47.89</v>
      </c>
      <c r="W690" s="11">
        <v>1.0</v>
      </c>
      <c r="X690" s="9" t="s">
        <v>48</v>
      </c>
      <c r="Y690" s="9" t="s">
        <v>889</v>
      </c>
      <c r="Z690" s="12"/>
      <c r="AA690" s="9">
        <v>1306446.0</v>
      </c>
      <c r="AB690" s="12"/>
      <c r="AC690" s="9" t="s">
        <v>50</v>
      </c>
    </row>
    <row r="691">
      <c r="A691" s="9" t="s">
        <v>33</v>
      </c>
      <c r="B691" s="11">
        <v>6.0</v>
      </c>
      <c r="C691" s="9" t="s">
        <v>43</v>
      </c>
      <c r="D691" s="9" t="s">
        <v>55</v>
      </c>
      <c r="E691" s="9" t="s">
        <v>56</v>
      </c>
      <c r="F691" s="9" t="s">
        <v>45</v>
      </c>
      <c r="G691" s="9" t="s">
        <v>46</v>
      </c>
      <c r="H691" s="9" t="s">
        <v>792</v>
      </c>
      <c r="I691" s="11">
        <v>8177389.0</v>
      </c>
      <c r="J691" s="11">
        <v>2.66818001E8</v>
      </c>
      <c r="K691" s="13">
        <v>46304.0</v>
      </c>
      <c r="L691" s="14">
        <v>46318.0</v>
      </c>
      <c r="M691" s="12"/>
      <c r="N691" s="9">
        <v>1011.0</v>
      </c>
      <c r="O691" s="11">
        <v>9.0</v>
      </c>
      <c r="P691" s="9" t="s">
        <v>44</v>
      </c>
      <c r="Q691" s="12"/>
      <c r="R691" s="12"/>
      <c r="S691" s="9" t="s">
        <v>47</v>
      </c>
      <c r="T691" s="9" t="s">
        <v>44</v>
      </c>
      <c r="U691" s="9" t="s">
        <v>44</v>
      </c>
      <c r="V691" s="11">
        <v>53.7</v>
      </c>
      <c r="W691" s="11">
        <v>1.0</v>
      </c>
      <c r="X691" s="9" t="s">
        <v>48</v>
      </c>
      <c r="Y691" s="9" t="s">
        <v>890</v>
      </c>
      <c r="Z691" s="12"/>
      <c r="AA691" s="9">
        <v>1306370.0</v>
      </c>
      <c r="AB691" s="12"/>
      <c r="AC691" s="9" t="s">
        <v>50</v>
      </c>
    </row>
    <row r="692">
      <c r="A692" s="9" t="s">
        <v>33</v>
      </c>
      <c r="B692" s="11">
        <v>6.0</v>
      </c>
      <c r="C692" s="9" t="s">
        <v>43</v>
      </c>
      <c r="D692" s="9" t="s">
        <v>55</v>
      </c>
      <c r="E692" s="9" t="s">
        <v>56</v>
      </c>
      <c r="F692" s="9" t="s">
        <v>45</v>
      </c>
      <c r="G692" s="9" t="s">
        <v>46</v>
      </c>
      <c r="H692" s="9" t="s">
        <v>891</v>
      </c>
      <c r="I692" s="11">
        <v>8177390.0</v>
      </c>
      <c r="J692" s="11">
        <v>2.66818002E8</v>
      </c>
      <c r="K692" s="13">
        <v>46304.0</v>
      </c>
      <c r="L692" s="14">
        <v>46318.0</v>
      </c>
      <c r="M692" s="12"/>
      <c r="N692" s="9">
        <v>5.0</v>
      </c>
      <c r="O692" s="11">
        <v>9.0</v>
      </c>
      <c r="P692" s="9" t="s">
        <v>44</v>
      </c>
      <c r="Q692" s="12"/>
      <c r="R692" s="12"/>
      <c r="S692" s="9" t="s">
        <v>47</v>
      </c>
      <c r="T692" s="9" t="s">
        <v>44</v>
      </c>
      <c r="U692" s="9" t="s">
        <v>44</v>
      </c>
      <c r="V692" s="11">
        <v>53.7</v>
      </c>
      <c r="W692" s="11">
        <v>1.0</v>
      </c>
      <c r="X692" s="9" t="s">
        <v>48</v>
      </c>
      <c r="Y692" s="9" t="s">
        <v>892</v>
      </c>
      <c r="Z692" s="12"/>
      <c r="AA692" s="9">
        <v>1306383.0</v>
      </c>
      <c r="AB692" s="12"/>
      <c r="AC692" s="9" t="s">
        <v>50</v>
      </c>
    </row>
    <row r="693">
      <c r="A693" s="9" t="s">
        <v>33</v>
      </c>
      <c r="B693" s="11">
        <v>6.0</v>
      </c>
      <c r="C693" s="9" t="s">
        <v>43</v>
      </c>
      <c r="D693" s="9" t="s">
        <v>55</v>
      </c>
      <c r="E693" s="9" t="s">
        <v>56</v>
      </c>
      <c r="F693" s="9" t="s">
        <v>45</v>
      </c>
      <c r="G693" s="9" t="s">
        <v>46</v>
      </c>
      <c r="H693" s="9" t="s">
        <v>529</v>
      </c>
      <c r="I693" s="11">
        <v>8177391.0</v>
      </c>
      <c r="J693" s="11">
        <v>2.66818003E8</v>
      </c>
      <c r="K693" s="13">
        <v>46304.0</v>
      </c>
      <c r="L693" s="14">
        <v>46317.0</v>
      </c>
      <c r="M693" s="12"/>
      <c r="N693" s="9">
        <v>2.0</v>
      </c>
      <c r="O693" s="11">
        <v>8.0</v>
      </c>
      <c r="P693" s="9" t="s">
        <v>44</v>
      </c>
      <c r="Q693" s="12"/>
      <c r="R693" s="9" t="s">
        <v>52</v>
      </c>
      <c r="S693" s="9" t="s">
        <v>47</v>
      </c>
      <c r="T693" s="9" t="s">
        <v>44</v>
      </c>
      <c r="U693" s="9" t="s">
        <v>44</v>
      </c>
      <c r="V693" s="11">
        <v>70.57</v>
      </c>
      <c r="W693" s="11">
        <v>10.0</v>
      </c>
      <c r="X693" s="9" t="s">
        <v>48</v>
      </c>
      <c r="Y693" s="9" t="s">
        <v>893</v>
      </c>
      <c r="Z693" s="12"/>
      <c r="AA693" s="9">
        <v>1306365.0</v>
      </c>
      <c r="AB693" s="12"/>
      <c r="AC693" s="9" t="s">
        <v>50</v>
      </c>
    </row>
    <row r="694">
      <c r="A694" s="9" t="s">
        <v>33</v>
      </c>
      <c r="B694" s="11">
        <v>6.0</v>
      </c>
      <c r="C694" s="9" t="s">
        <v>43</v>
      </c>
      <c r="D694" s="9" t="s">
        <v>55</v>
      </c>
      <c r="E694" s="9" t="s">
        <v>56</v>
      </c>
      <c r="F694" s="9" t="s">
        <v>45</v>
      </c>
      <c r="G694" s="9" t="s">
        <v>46</v>
      </c>
      <c r="H694" s="9" t="s">
        <v>554</v>
      </c>
      <c r="I694" s="11">
        <v>8177402.0</v>
      </c>
      <c r="J694" s="11">
        <v>2.66818004E8</v>
      </c>
      <c r="K694" s="13">
        <v>46304.0</v>
      </c>
      <c r="L694" s="14">
        <v>46317.0</v>
      </c>
      <c r="M694" s="12"/>
      <c r="N694" s="9">
        <v>1.0</v>
      </c>
      <c r="O694" s="11">
        <v>8.0</v>
      </c>
      <c r="P694" s="9" t="s">
        <v>44</v>
      </c>
      <c r="Q694" s="12"/>
      <c r="R694" s="9" t="s">
        <v>52</v>
      </c>
      <c r="S694" s="9" t="s">
        <v>47</v>
      </c>
      <c r="T694" s="9" t="s">
        <v>44</v>
      </c>
      <c r="U694" s="9" t="s">
        <v>44</v>
      </c>
      <c r="V694" s="11">
        <v>60.93</v>
      </c>
      <c r="W694" s="11">
        <v>1.0</v>
      </c>
      <c r="X694" s="9" t="s">
        <v>48</v>
      </c>
      <c r="Y694" s="9" t="s">
        <v>894</v>
      </c>
      <c r="Z694" s="12"/>
      <c r="AA694" s="9">
        <v>1306372.0</v>
      </c>
      <c r="AB694" s="12"/>
      <c r="AC694" s="9" t="s">
        <v>50</v>
      </c>
    </row>
    <row r="695">
      <c r="A695" s="9" t="s">
        <v>33</v>
      </c>
      <c r="B695" s="11">
        <v>6.0</v>
      </c>
      <c r="C695" s="9" t="s">
        <v>43</v>
      </c>
      <c r="D695" s="9" t="s">
        <v>55</v>
      </c>
      <c r="E695" s="9" t="s">
        <v>56</v>
      </c>
      <c r="F695" s="9" t="s">
        <v>45</v>
      </c>
      <c r="G695" s="9" t="s">
        <v>46</v>
      </c>
      <c r="H695" s="9" t="s">
        <v>140</v>
      </c>
      <c r="I695" s="11">
        <v>8177367.0</v>
      </c>
      <c r="J695" s="11">
        <v>2.66818005E8</v>
      </c>
      <c r="K695" s="13">
        <v>46304.0</v>
      </c>
      <c r="L695" s="14">
        <v>46317.0</v>
      </c>
      <c r="M695" s="12"/>
      <c r="N695" s="9">
        <v>81.0</v>
      </c>
      <c r="O695" s="11">
        <v>8.0</v>
      </c>
      <c r="P695" s="9" t="s">
        <v>44</v>
      </c>
      <c r="Q695" s="12"/>
      <c r="R695" s="9" t="s">
        <v>90</v>
      </c>
      <c r="S695" s="9" t="s">
        <v>47</v>
      </c>
      <c r="T695" s="9" t="s">
        <v>44</v>
      </c>
      <c r="U695" s="9" t="s">
        <v>44</v>
      </c>
      <c r="V695" s="11">
        <v>60.04</v>
      </c>
      <c r="W695" s="11">
        <v>2.0</v>
      </c>
      <c r="X695" s="9" t="s">
        <v>48</v>
      </c>
      <c r="Y695" s="9" t="s">
        <v>561</v>
      </c>
      <c r="Z695" s="12"/>
      <c r="AA695" s="9">
        <v>1306336.0</v>
      </c>
      <c r="AB695" s="12"/>
      <c r="AC695" s="9" t="s">
        <v>50</v>
      </c>
    </row>
    <row r="696">
      <c r="A696" s="9" t="s">
        <v>33</v>
      </c>
      <c r="B696" s="11">
        <v>6.0</v>
      </c>
      <c r="C696" s="9" t="s">
        <v>43</v>
      </c>
      <c r="D696" s="9" t="s">
        <v>55</v>
      </c>
      <c r="E696" s="9" t="s">
        <v>56</v>
      </c>
      <c r="F696" s="9" t="s">
        <v>45</v>
      </c>
      <c r="G696" s="9" t="s">
        <v>46</v>
      </c>
      <c r="H696" s="9" t="s">
        <v>140</v>
      </c>
      <c r="I696" s="11">
        <v>8177379.0</v>
      </c>
      <c r="J696" s="11">
        <v>2.66818006E8</v>
      </c>
      <c r="K696" s="13">
        <v>46304.0</v>
      </c>
      <c r="L696" s="14">
        <v>46322.0</v>
      </c>
      <c r="M696" s="12"/>
      <c r="N696" s="9">
        <v>101.0</v>
      </c>
      <c r="O696" s="11">
        <v>11.0</v>
      </c>
      <c r="P696" s="9" t="s">
        <v>44</v>
      </c>
      <c r="Q696" s="12"/>
      <c r="R696" s="9" t="s">
        <v>90</v>
      </c>
      <c r="S696" s="9" t="s">
        <v>47</v>
      </c>
      <c r="T696" s="9" t="s">
        <v>44</v>
      </c>
      <c r="U696" s="9" t="s">
        <v>44</v>
      </c>
      <c r="V696" s="11">
        <v>67.68</v>
      </c>
      <c r="W696" s="11">
        <v>1.0</v>
      </c>
      <c r="X696" s="9" t="s">
        <v>48</v>
      </c>
      <c r="Y696" s="9" t="s">
        <v>895</v>
      </c>
      <c r="Z696" s="12"/>
      <c r="AA696" s="9">
        <v>1306435.0</v>
      </c>
      <c r="AB696" s="12"/>
      <c r="AC696" s="9" t="s">
        <v>50</v>
      </c>
    </row>
    <row r="697">
      <c r="A697" s="9" t="s">
        <v>33</v>
      </c>
      <c r="B697" s="11">
        <v>6.0</v>
      </c>
      <c r="C697" s="9" t="s">
        <v>43</v>
      </c>
      <c r="D697" s="9" t="s">
        <v>55</v>
      </c>
      <c r="E697" s="9" t="s">
        <v>56</v>
      </c>
      <c r="F697" s="9" t="s">
        <v>45</v>
      </c>
      <c r="G697" s="9" t="s">
        <v>46</v>
      </c>
      <c r="H697" s="9" t="s">
        <v>145</v>
      </c>
      <c r="I697" s="11">
        <v>8177403.0</v>
      </c>
      <c r="J697" s="11">
        <v>2.66818007E8</v>
      </c>
      <c r="K697" s="13">
        <v>46304.0</v>
      </c>
      <c r="L697" s="14">
        <v>46317.0</v>
      </c>
      <c r="M697" s="12"/>
      <c r="N697" s="9">
        <v>117.0</v>
      </c>
      <c r="O697" s="11">
        <v>8.0</v>
      </c>
      <c r="P697" s="9" t="s">
        <v>44</v>
      </c>
      <c r="Q697" s="12"/>
      <c r="R697" s="9" t="s">
        <v>90</v>
      </c>
      <c r="S697" s="9" t="s">
        <v>47</v>
      </c>
      <c r="T697" s="9" t="s">
        <v>44</v>
      </c>
      <c r="U697" s="9" t="s">
        <v>44</v>
      </c>
      <c r="V697" s="11">
        <v>60.04</v>
      </c>
      <c r="W697" s="11">
        <v>2.0</v>
      </c>
      <c r="X697" s="9" t="s">
        <v>48</v>
      </c>
      <c r="Y697" s="9" t="s">
        <v>896</v>
      </c>
      <c r="Z697" s="12"/>
      <c r="AA697" s="9">
        <v>1306364.0</v>
      </c>
      <c r="AB697" s="12"/>
      <c r="AC697" s="9" t="s">
        <v>50</v>
      </c>
    </row>
    <row r="698">
      <c r="A698" s="9" t="s">
        <v>33</v>
      </c>
      <c r="B698" s="11">
        <v>6.0</v>
      </c>
      <c r="C698" s="9" t="s">
        <v>43</v>
      </c>
      <c r="D698" s="9" t="s">
        <v>55</v>
      </c>
      <c r="E698" s="9" t="s">
        <v>56</v>
      </c>
      <c r="F698" s="9" t="s">
        <v>45</v>
      </c>
      <c r="G698" s="9" t="s">
        <v>46</v>
      </c>
      <c r="H698" s="9" t="s">
        <v>573</v>
      </c>
      <c r="I698" s="11">
        <v>8177404.0</v>
      </c>
      <c r="J698" s="11">
        <v>2.66818008E8</v>
      </c>
      <c r="K698" s="13">
        <v>46304.0</v>
      </c>
      <c r="L698" s="14">
        <v>46321.0</v>
      </c>
      <c r="M698" s="12"/>
      <c r="N698" s="9">
        <v>116.0</v>
      </c>
      <c r="O698" s="11">
        <v>10.0</v>
      </c>
      <c r="P698" s="9" t="s">
        <v>44</v>
      </c>
      <c r="Q698" s="12"/>
      <c r="R698" s="9" t="s">
        <v>90</v>
      </c>
      <c r="S698" s="9" t="s">
        <v>47</v>
      </c>
      <c r="T698" s="9" t="s">
        <v>44</v>
      </c>
      <c r="U698" s="9" t="s">
        <v>44</v>
      </c>
      <c r="V698" s="11">
        <v>79.47</v>
      </c>
      <c r="W698" s="11">
        <v>4.0</v>
      </c>
      <c r="X698" s="9" t="s">
        <v>48</v>
      </c>
      <c r="Y698" s="9" t="s">
        <v>897</v>
      </c>
      <c r="Z698" s="12"/>
      <c r="AA698" s="9">
        <v>1306375.0</v>
      </c>
      <c r="AB698" s="12"/>
      <c r="AC698" s="9" t="s">
        <v>50</v>
      </c>
    </row>
    <row r="699">
      <c r="A699" s="9" t="s">
        <v>33</v>
      </c>
      <c r="B699" s="11">
        <v>6.0</v>
      </c>
      <c r="C699" s="9" t="s">
        <v>43</v>
      </c>
      <c r="D699" s="9" t="s">
        <v>55</v>
      </c>
      <c r="E699" s="9" t="s">
        <v>56</v>
      </c>
      <c r="F699" s="9" t="s">
        <v>45</v>
      </c>
      <c r="G699" s="9" t="s">
        <v>46</v>
      </c>
      <c r="H699" s="9" t="s">
        <v>575</v>
      </c>
      <c r="I699" s="11">
        <v>8177341.0</v>
      </c>
      <c r="J699" s="11">
        <v>2.66818009E8</v>
      </c>
      <c r="K699" s="13">
        <v>46304.0</v>
      </c>
      <c r="L699" s="14">
        <v>46322.0</v>
      </c>
      <c r="M699" s="12"/>
      <c r="N699" s="9">
        <v>101.0</v>
      </c>
      <c r="O699" s="11">
        <v>11.0</v>
      </c>
      <c r="P699" s="9" t="s">
        <v>44</v>
      </c>
      <c r="Q699" s="12"/>
      <c r="R699" s="9" t="s">
        <v>90</v>
      </c>
      <c r="S699" s="9" t="s">
        <v>47</v>
      </c>
      <c r="T699" s="9" t="s">
        <v>44</v>
      </c>
      <c r="U699" s="9" t="s">
        <v>44</v>
      </c>
      <c r="V699" s="11">
        <v>67.68</v>
      </c>
      <c r="W699" s="11">
        <v>1.0</v>
      </c>
      <c r="X699" s="9" t="s">
        <v>48</v>
      </c>
      <c r="Y699" s="9" t="s">
        <v>898</v>
      </c>
      <c r="Z699" s="12"/>
      <c r="AA699" s="9">
        <v>1306353.0</v>
      </c>
      <c r="AB699" s="12"/>
      <c r="AC699" s="9" t="s">
        <v>50</v>
      </c>
    </row>
    <row r="700">
      <c r="A700" s="9" t="s">
        <v>33</v>
      </c>
      <c r="B700" s="11">
        <v>6.0</v>
      </c>
      <c r="C700" s="9" t="s">
        <v>43</v>
      </c>
      <c r="D700" s="9" t="s">
        <v>55</v>
      </c>
      <c r="E700" s="9" t="s">
        <v>56</v>
      </c>
      <c r="F700" s="9" t="s">
        <v>45</v>
      </c>
      <c r="G700" s="9" t="s">
        <v>46</v>
      </c>
      <c r="H700" s="9" t="s">
        <v>591</v>
      </c>
      <c r="I700" s="11">
        <v>8177380.0</v>
      </c>
      <c r="J700" s="11">
        <v>2.6681801E8</v>
      </c>
      <c r="K700" s="13">
        <v>46304.0</v>
      </c>
      <c r="L700" s="14">
        <v>46321.0</v>
      </c>
      <c r="M700" s="12"/>
      <c r="N700" s="9">
        <v>104.0</v>
      </c>
      <c r="O700" s="11">
        <v>10.0</v>
      </c>
      <c r="P700" s="9" t="s">
        <v>44</v>
      </c>
      <c r="Q700" s="12"/>
      <c r="R700" s="9" t="s">
        <v>90</v>
      </c>
      <c r="S700" s="9" t="s">
        <v>47</v>
      </c>
      <c r="T700" s="9" t="s">
        <v>44</v>
      </c>
      <c r="U700" s="9" t="s">
        <v>44</v>
      </c>
      <c r="V700" s="11">
        <v>67.68</v>
      </c>
      <c r="W700" s="11">
        <v>1.0</v>
      </c>
      <c r="X700" s="9" t="s">
        <v>48</v>
      </c>
      <c r="Y700" s="9" t="s">
        <v>899</v>
      </c>
      <c r="Z700" s="12"/>
      <c r="AA700" s="9">
        <v>1306443.0</v>
      </c>
      <c r="AB700" s="12"/>
      <c r="AC700" s="9" t="s">
        <v>50</v>
      </c>
    </row>
    <row r="701">
      <c r="A701" s="9" t="s">
        <v>33</v>
      </c>
      <c r="B701" s="11">
        <v>6.0</v>
      </c>
      <c r="C701" s="9" t="s">
        <v>43</v>
      </c>
      <c r="D701" s="9" t="s">
        <v>55</v>
      </c>
      <c r="E701" s="9" t="s">
        <v>56</v>
      </c>
      <c r="F701" s="9" t="s">
        <v>45</v>
      </c>
      <c r="G701" s="9" t="s">
        <v>46</v>
      </c>
      <c r="H701" s="9" t="s">
        <v>594</v>
      </c>
      <c r="I701" s="11">
        <v>8177381.0</v>
      </c>
      <c r="J701" s="11">
        <v>2.66818011E8</v>
      </c>
      <c r="K701" s="13">
        <v>46304.0</v>
      </c>
      <c r="L701" s="14">
        <v>46324.0</v>
      </c>
      <c r="M701" s="12"/>
      <c r="N701" s="9">
        <v>107.0</v>
      </c>
      <c r="O701" s="11">
        <v>13.0</v>
      </c>
      <c r="P701" s="9" t="s">
        <v>44</v>
      </c>
      <c r="Q701" s="12"/>
      <c r="R701" s="9" t="s">
        <v>90</v>
      </c>
      <c r="S701" s="9" t="s">
        <v>47</v>
      </c>
      <c r="T701" s="9" t="s">
        <v>44</v>
      </c>
      <c r="U701" s="9" t="s">
        <v>44</v>
      </c>
      <c r="V701" s="11">
        <v>67.68</v>
      </c>
      <c r="W701" s="11">
        <v>2.0</v>
      </c>
      <c r="X701" s="9" t="s">
        <v>48</v>
      </c>
      <c r="Y701" s="9" t="s">
        <v>900</v>
      </c>
      <c r="Z701" s="12"/>
      <c r="AA701" s="9">
        <v>1306421.0</v>
      </c>
      <c r="AB701" s="12"/>
      <c r="AC701" s="9" t="s">
        <v>50</v>
      </c>
    </row>
    <row r="702">
      <c r="A702" s="9" t="s">
        <v>33</v>
      </c>
      <c r="B702" s="11">
        <v>6.0</v>
      </c>
      <c r="C702" s="9" t="s">
        <v>43</v>
      </c>
      <c r="D702" s="9" t="s">
        <v>55</v>
      </c>
      <c r="E702" s="9" t="s">
        <v>56</v>
      </c>
      <c r="F702" s="9" t="s">
        <v>45</v>
      </c>
      <c r="G702" s="9" t="s">
        <v>46</v>
      </c>
      <c r="H702" s="9" t="s">
        <v>594</v>
      </c>
      <c r="I702" s="11">
        <v>8177392.0</v>
      </c>
      <c r="J702" s="11">
        <v>2.66818012E8</v>
      </c>
      <c r="K702" s="13">
        <v>46304.0</v>
      </c>
      <c r="L702" s="14">
        <v>46324.0</v>
      </c>
      <c r="M702" s="12"/>
      <c r="N702" s="9">
        <v>107.0</v>
      </c>
      <c r="O702" s="11">
        <v>13.0</v>
      </c>
      <c r="P702" s="9" t="s">
        <v>44</v>
      </c>
      <c r="Q702" s="12"/>
      <c r="R702" s="9" t="s">
        <v>90</v>
      </c>
      <c r="S702" s="9" t="s">
        <v>47</v>
      </c>
      <c r="T702" s="9" t="s">
        <v>44</v>
      </c>
      <c r="U702" s="9" t="s">
        <v>44</v>
      </c>
      <c r="V702" s="11">
        <v>97.54</v>
      </c>
      <c r="W702" s="11">
        <v>10.0</v>
      </c>
      <c r="X702" s="9" t="s">
        <v>48</v>
      </c>
      <c r="Y702" s="9" t="s">
        <v>901</v>
      </c>
      <c r="Z702" s="12"/>
      <c r="AA702" s="9">
        <v>1306374.0</v>
      </c>
      <c r="AB702" s="12"/>
      <c r="AC702" s="9" t="s">
        <v>50</v>
      </c>
    </row>
    <row r="703">
      <c r="A703" s="9" t="s">
        <v>33</v>
      </c>
      <c r="B703" s="11">
        <v>6.0</v>
      </c>
      <c r="C703" s="9" t="s">
        <v>43</v>
      </c>
      <c r="D703" s="9" t="s">
        <v>44</v>
      </c>
      <c r="E703" s="12"/>
      <c r="F703" s="9" t="s">
        <v>45</v>
      </c>
      <c r="G703" s="9" t="s">
        <v>46</v>
      </c>
      <c r="H703" s="9" t="s">
        <v>253</v>
      </c>
      <c r="I703" s="11">
        <v>0.0</v>
      </c>
      <c r="J703" s="11">
        <v>2.66818324E8</v>
      </c>
      <c r="K703" s="13">
        <v>46304.0</v>
      </c>
      <c r="L703" s="9" t="s">
        <v>902</v>
      </c>
      <c r="M703" s="12"/>
      <c r="N703" s="9">
        <v>19.0</v>
      </c>
      <c r="O703" s="11">
        <v>0.0</v>
      </c>
      <c r="P703" s="9" t="s">
        <v>44</v>
      </c>
      <c r="Q703" s="12"/>
      <c r="R703" s="12"/>
      <c r="S703" s="9" t="s">
        <v>53</v>
      </c>
      <c r="T703" s="9" t="s">
        <v>55</v>
      </c>
      <c r="U703" s="9" t="s">
        <v>44</v>
      </c>
      <c r="V703" s="11">
        <v>58.43</v>
      </c>
      <c r="W703" s="11">
        <v>1.0</v>
      </c>
      <c r="X703" s="24" t="s">
        <v>903</v>
      </c>
      <c r="Y703" s="9" t="s">
        <v>904</v>
      </c>
      <c r="Z703" s="9" t="s">
        <v>905</v>
      </c>
      <c r="AA703" s="9">
        <v>9772.0</v>
      </c>
      <c r="AB703" s="12"/>
      <c r="AC703" s="12"/>
    </row>
    <row r="704">
      <c r="A704" s="9" t="s">
        <v>33</v>
      </c>
      <c r="B704" s="11">
        <v>6.0</v>
      </c>
      <c r="C704" s="9" t="s">
        <v>43</v>
      </c>
      <c r="D704" s="9" t="s">
        <v>55</v>
      </c>
      <c r="E704" s="9" t="s">
        <v>56</v>
      </c>
      <c r="F704" s="9" t="s">
        <v>45</v>
      </c>
      <c r="G704" s="9" t="s">
        <v>46</v>
      </c>
      <c r="H704" s="9" t="s">
        <v>131</v>
      </c>
      <c r="I704" s="11">
        <v>8177578.0</v>
      </c>
      <c r="J704" s="11">
        <v>2.6682935E8</v>
      </c>
      <c r="K704" s="13">
        <v>46304.0</v>
      </c>
      <c r="L704" s="14">
        <v>46338.0</v>
      </c>
      <c r="M704" s="12"/>
      <c r="N704" s="9">
        <v>1.0</v>
      </c>
      <c r="O704" s="11">
        <v>22.0</v>
      </c>
      <c r="P704" s="9" t="s">
        <v>44</v>
      </c>
      <c r="Q704" s="12"/>
      <c r="R704" s="12"/>
      <c r="S704" s="9" t="s">
        <v>47</v>
      </c>
      <c r="T704" s="9" t="s">
        <v>44</v>
      </c>
      <c r="U704" s="9" t="s">
        <v>44</v>
      </c>
      <c r="V704" s="11">
        <v>737.48</v>
      </c>
      <c r="W704" s="11">
        <v>19.0</v>
      </c>
      <c r="X704" s="9" t="s">
        <v>906</v>
      </c>
      <c r="Y704" s="9" t="s">
        <v>907</v>
      </c>
      <c r="Z704" s="12"/>
      <c r="AA704" s="9">
        <v>55857.0</v>
      </c>
      <c r="AB704" s="12"/>
      <c r="AC704" s="12"/>
    </row>
    <row r="705">
      <c r="A705" s="9" t="s">
        <v>33</v>
      </c>
      <c r="B705" s="11">
        <v>6.0</v>
      </c>
      <c r="C705" s="9" t="s">
        <v>43</v>
      </c>
      <c r="D705" s="9" t="s">
        <v>55</v>
      </c>
      <c r="E705" s="9" t="s">
        <v>56</v>
      </c>
      <c r="F705" s="9" t="s">
        <v>45</v>
      </c>
      <c r="G705" s="9" t="s">
        <v>46</v>
      </c>
      <c r="H705" s="9" t="s">
        <v>434</v>
      </c>
      <c r="I705" s="11">
        <v>8177579.0</v>
      </c>
      <c r="J705" s="11">
        <v>2.66829351E8</v>
      </c>
      <c r="K705" s="13">
        <v>46304.0</v>
      </c>
      <c r="L705" s="14">
        <v>46321.0</v>
      </c>
      <c r="M705" s="12"/>
      <c r="N705" s="9">
        <v>100.0</v>
      </c>
      <c r="O705" s="11">
        <v>10.0</v>
      </c>
      <c r="P705" s="9" t="s">
        <v>44</v>
      </c>
      <c r="Q705" s="12"/>
      <c r="R705" s="12"/>
      <c r="S705" s="9" t="s">
        <v>47</v>
      </c>
      <c r="T705" s="9" t="s">
        <v>44</v>
      </c>
      <c r="U705" s="9" t="s">
        <v>44</v>
      </c>
      <c r="V705" s="11">
        <v>315.35</v>
      </c>
      <c r="W705" s="11">
        <v>6.0</v>
      </c>
      <c r="X705" s="9" t="s">
        <v>906</v>
      </c>
      <c r="Y705" s="9" t="s">
        <v>908</v>
      </c>
      <c r="Z705" s="12"/>
      <c r="AA705" s="9">
        <v>55798.0</v>
      </c>
      <c r="AB705" s="12"/>
      <c r="AC705" s="12"/>
    </row>
    <row r="706">
      <c r="A706" s="9" t="s">
        <v>33</v>
      </c>
      <c r="B706" s="11">
        <v>6.0</v>
      </c>
      <c r="C706" s="9" t="s">
        <v>43</v>
      </c>
      <c r="D706" s="9" t="s">
        <v>55</v>
      </c>
      <c r="E706" s="9" t="s">
        <v>56</v>
      </c>
      <c r="F706" s="9" t="s">
        <v>45</v>
      </c>
      <c r="G706" s="9" t="s">
        <v>46</v>
      </c>
      <c r="H706" s="9" t="s">
        <v>491</v>
      </c>
      <c r="I706" s="11">
        <v>8177588.0</v>
      </c>
      <c r="J706" s="11">
        <v>2.66829353E8</v>
      </c>
      <c r="K706" s="13">
        <v>46304.0</v>
      </c>
      <c r="L706" s="14">
        <v>46322.0</v>
      </c>
      <c r="M706" s="12"/>
      <c r="N706" s="9">
        <v>301.0</v>
      </c>
      <c r="O706" s="11">
        <v>11.0</v>
      </c>
      <c r="P706" s="9" t="s">
        <v>44</v>
      </c>
      <c r="Q706" s="12"/>
      <c r="R706" s="12"/>
      <c r="S706" s="9" t="s">
        <v>47</v>
      </c>
      <c r="T706" s="9" t="s">
        <v>44</v>
      </c>
      <c r="U706" s="9" t="s">
        <v>44</v>
      </c>
      <c r="V706" s="11">
        <v>286.43</v>
      </c>
      <c r="W706" s="11">
        <v>7.0</v>
      </c>
      <c r="X706" s="9" t="s">
        <v>906</v>
      </c>
      <c r="Y706" s="9" t="s">
        <v>909</v>
      </c>
      <c r="Z706" s="12"/>
      <c r="AA706" s="9">
        <v>55810.0</v>
      </c>
      <c r="AB706" s="12"/>
      <c r="AC706" s="12"/>
    </row>
    <row r="707">
      <c r="A707" s="9" t="s">
        <v>33</v>
      </c>
      <c r="B707" s="11">
        <v>6.0</v>
      </c>
      <c r="C707" s="9" t="s">
        <v>43</v>
      </c>
      <c r="D707" s="9" t="s">
        <v>55</v>
      </c>
      <c r="E707" s="9" t="s">
        <v>56</v>
      </c>
      <c r="F707" s="9" t="s">
        <v>45</v>
      </c>
      <c r="G707" s="9" t="s">
        <v>46</v>
      </c>
      <c r="H707" s="9" t="s">
        <v>107</v>
      </c>
      <c r="I707" s="11">
        <v>8177580.0</v>
      </c>
      <c r="J707" s="11">
        <v>2.66829354E8</v>
      </c>
      <c r="K707" s="13">
        <v>46304.0</v>
      </c>
      <c r="L707" s="14">
        <v>46311.0</v>
      </c>
      <c r="M707" s="12"/>
      <c r="N707" s="9">
        <v>22.0</v>
      </c>
      <c r="O707" s="11">
        <v>4.0</v>
      </c>
      <c r="P707" s="9" t="s">
        <v>44</v>
      </c>
      <c r="Q707" s="12"/>
      <c r="R707" s="9" t="s">
        <v>90</v>
      </c>
      <c r="S707" s="9" t="s">
        <v>47</v>
      </c>
      <c r="T707" s="9" t="s">
        <v>44</v>
      </c>
      <c r="U707" s="9" t="s">
        <v>44</v>
      </c>
      <c r="V707" s="11">
        <v>528.92</v>
      </c>
      <c r="W707" s="11">
        <v>3.0</v>
      </c>
      <c r="X707" s="9" t="s">
        <v>906</v>
      </c>
      <c r="Y707" s="9" t="s">
        <v>910</v>
      </c>
      <c r="Z707" s="12"/>
      <c r="AA707" s="9">
        <v>55814.0</v>
      </c>
      <c r="AB707" s="12"/>
      <c r="AC707" s="12"/>
    </row>
    <row r="708">
      <c r="A708" s="9" t="s">
        <v>33</v>
      </c>
      <c r="B708" s="11">
        <v>6.0</v>
      </c>
      <c r="C708" s="9" t="s">
        <v>43</v>
      </c>
      <c r="D708" s="9" t="s">
        <v>55</v>
      </c>
      <c r="E708" s="9" t="s">
        <v>56</v>
      </c>
      <c r="F708" s="9" t="s">
        <v>45</v>
      </c>
      <c r="G708" s="9" t="s">
        <v>46</v>
      </c>
      <c r="H708" s="9" t="s">
        <v>543</v>
      </c>
      <c r="I708" s="11">
        <v>8177581.0</v>
      </c>
      <c r="J708" s="11">
        <v>2.66829356E8</v>
      </c>
      <c r="K708" s="13">
        <v>46304.0</v>
      </c>
      <c r="L708" s="14">
        <v>46315.0</v>
      </c>
      <c r="M708" s="12"/>
      <c r="N708" s="9">
        <v>8.0</v>
      </c>
      <c r="O708" s="11">
        <v>6.0</v>
      </c>
      <c r="P708" s="9" t="s">
        <v>44</v>
      </c>
      <c r="Q708" s="12"/>
      <c r="R708" s="12"/>
      <c r="S708" s="9" t="s">
        <v>47</v>
      </c>
      <c r="T708" s="9" t="s">
        <v>44</v>
      </c>
      <c r="U708" s="9" t="s">
        <v>44</v>
      </c>
      <c r="V708" s="11">
        <v>104.22</v>
      </c>
      <c r="W708" s="11">
        <v>2.0</v>
      </c>
      <c r="X708" s="9" t="s">
        <v>906</v>
      </c>
      <c r="Y708" s="9" t="s">
        <v>911</v>
      </c>
      <c r="Z708" s="12"/>
      <c r="AA708" s="9">
        <v>55812.0</v>
      </c>
      <c r="AB708" s="12"/>
      <c r="AC708" s="12"/>
    </row>
    <row r="709">
      <c r="A709" s="9" t="s">
        <v>33</v>
      </c>
      <c r="B709" s="11">
        <v>6.0</v>
      </c>
      <c r="C709" s="9" t="s">
        <v>43</v>
      </c>
      <c r="D709" s="9" t="s">
        <v>55</v>
      </c>
      <c r="E709" s="9" t="s">
        <v>56</v>
      </c>
      <c r="F709" s="9" t="s">
        <v>45</v>
      </c>
      <c r="G709" s="9" t="s">
        <v>46</v>
      </c>
      <c r="H709" s="9" t="s">
        <v>491</v>
      </c>
      <c r="I709" s="11">
        <v>8177582.0</v>
      </c>
      <c r="J709" s="11">
        <v>2.66829358E8</v>
      </c>
      <c r="K709" s="13">
        <v>46304.0</v>
      </c>
      <c r="L709" s="14">
        <v>46317.0</v>
      </c>
      <c r="M709" s="12"/>
      <c r="N709" s="9">
        <v>101.0</v>
      </c>
      <c r="O709" s="11">
        <v>8.0</v>
      </c>
      <c r="P709" s="9" t="s">
        <v>44</v>
      </c>
      <c r="Q709" s="12"/>
      <c r="R709" s="12"/>
      <c r="S709" s="9" t="s">
        <v>47</v>
      </c>
      <c r="T709" s="9" t="s">
        <v>44</v>
      </c>
      <c r="U709" s="9" t="s">
        <v>44</v>
      </c>
      <c r="V709" s="11">
        <v>265.82</v>
      </c>
      <c r="W709" s="11">
        <v>5.0</v>
      </c>
      <c r="X709" s="9" t="s">
        <v>906</v>
      </c>
      <c r="Y709" s="9" t="s">
        <v>912</v>
      </c>
      <c r="Z709" s="12"/>
      <c r="AA709" s="9">
        <v>55837.0</v>
      </c>
      <c r="AB709" s="12"/>
      <c r="AC709" s="12"/>
    </row>
    <row r="710">
      <c r="A710" s="9" t="s">
        <v>33</v>
      </c>
      <c r="B710" s="11">
        <v>6.0</v>
      </c>
      <c r="C710" s="9" t="s">
        <v>43</v>
      </c>
      <c r="D710" s="9" t="s">
        <v>55</v>
      </c>
      <c r="E710" s="9" t="s">
        <v>56</v>
      </c>
      <c r="F710" s="9" t="s">
        <v>45</v>
      </c>
      <c r="G710" s="9" t="s">
        <v>46</v>
      </c>
      <c r="H710" s="9" t="s">
        <v>434</v>
      </c>
      <c r="I710" s="11">
        <v>8177583.0</v>
      </c>
      <c r="J710" s="11">
        <v>2.66829359E8</v>
      </c>
      <c r="K710" s="13">
        <v>46304.0</v>
      </c>
      <c r="L710" s="14">
        <v>46321.0</v>
      </c>
      <c r="M710" s="12"/>
      <c r="N710" s="9">
        <v>100.0</v>
      </c>
      <c r="O710" s="11">
        <v>10.0</v>
      </c>
      <c r="P710" s="9" t="s">
        <v>44</v>
      </c>
      <c r="Q710" s="12"/>
      <c r="R710" s="12"/>
      <c r="S710" s="9" t="s">
        <v>47</v>
      </c>
      <c r="T710" s="9" t="s">
        <v>44</v>
      </c>
      <c r="U710" s="9" t="s">
        <v>44</v>
      </c>
      <c r="V710" s="11">
        <v>307.09</v>
      </c>
      <c r="W710" s="11">
        <v>5.0</v>
      </c>
      <c r="X710" s="9" t="s">
        <v>906</v>
      </c>
      <c r="Y710" s="9" t="s">
        <v>913</v>
      </c>
      <c r="Z710" s="12"/>
      <c r="AA710" s="9">
        <v>55796.0</v>
      </c>
      <c r="AB710" s="12"/>
      <c r="AC710" s="12"/>
    </row>
    <row r="711">
      <c r="A711" s="9" t="s">
        <v>33</v>
      </c>
      <c r="B711" s="11">
        <v>6.0</v>
      </c>
      <c r="C711" s="9" t="s">
        <v>43</v>
      </c>
      <c r="D711" s="9" t="s">
        <v>55</v>
      </c>
      <c r="E711" s="9" t="s">
        <v>56</v>
      </c>
      <c r="F711" s="9" t="s">
        <v>45</v>
      </c>
      <c r="G711" s="9" t="s">
        <v>46</v>
      </c>
      <c r="H711" s="9" t="s">
        <v>495</v>
      </c>
      <c r="I711" s="11">
        <v>8177584.0</v>
      </c>
      <c r="J711" s="11">
        <v>2.6682936E8</v>
      </c>
      <c r="K711" s="13">
        <v>46304.0</v>
      </c>
      <c r="L711" s="14">
        <v>46321.0</v>
      </c>
      <c r="M711" s="12"/>
      <c r="N711" s="9">
        <v>201.0</v>
      </c>
      <c r="O711" s="11">
        <v>10.0</v>
      </c>
      <c r="P711" s="9" t="s">
        <v>44</v>
      </c>
      <c r="Q711" s="12"/>
      <c r="R711" s="12"/>
      <c r="S711" s="9" t="s">
        <v>47</v>
      </c>
      <c r="T711" s="9" t="s">
        <v>44</v>
      </c>
      <c r="U711" s="9" t="s">
        <v>44</v>
      </c>
      <c r="V711" s="11">
        <v>226.43</v>
      </c>
      <c r="W711" s="11">
        <v>7.0</v>
      </c>
      <c r="X711" s="9" t="s">
        <v>906</v>
      </c>
      <c r="Y711" s="9" t="s">
        <v>914</v>
      </c>
      <c r="Z711" s="12"/>
      <c r="AA711" s="9">
        <v>55831.0</v>
      </c>
      <c r="AB711" s="12"/>
      <c r="AC711" s="12"/>
    </row>
    <row r="712">
      <c r="A712" s="9" t="s">
        <v>33</v>
      </c>
      <c r="B712" s="11">
        <v>6.0</v>
      </c>
      <c r="C712" s="9" t="s">
        <v>43</v>
      </c>
      <c r="D712" s="9" t="s">
        <v>55</v>
      </c>
      <c r="E712" s="9" t="s">
        <v>56</v>
      </c>
      <c r="F712" s="9" t="s">
        <v>45</v>
      </c>
      <c r="G712" s="9" t="s">
        <v>46</v>
      </c>
      <c r="H712" s="9" t="s">
        <v>434</v>
      </c>
      <c r="I712" s="11">
        <v>8177585.0</v>
      </c>
      <c r="J712" s="11">
        <v>2.66829361E8</v>
      </c>
      <c r="K712" s="13">
        <v>46304.0</v>
      </c>
      <c r="L712" s="14">
        <v>46321.0</v>
      </c>
      <c r="M712" s="12"/>
      <c r="N712" s="9">
        <v>200.0</v>
      </c>
      <c r="O712" s="11">
        <v>10.0</v>
      </c>
      <c r="P712" s="9" t="s">
        <v>44</v>
      </c>
      <c r="Q712" s="12"/>
      <c r="R712" s="12"/>
      <c r="S712" s="9" t="s">
        <v>47</v>
      </c>
      <c r="T712" s="9" t="s">
        <v>44</v>
      </c>
      <c r="U712" s="9" t="s">
        <v>44</v>
      </c>
      <c r="V712" s="11">
        <v>312.9</v>
      </c>
      <c r="W712" s="11">
        <v>6.0</v>
      </c>
      <c r="X712" s="9" t="s">
        <v>906</v>
      </c>
      <c r="Y712" s="9" t="s">
        <v>915</v>
      </c>
      <c r="Z712" s="12"/>
      <c r="AA712" s="9">
        <v>55792.0</v>
      </c>
      <c r="AB712" s="12"/>
      <c r="AC712" s="12"/>
    </row>
    <row r="713">
      <c r="A713" s="9" t="s">
        <v>33</v>
      </c>
      <c r="B713" s="11">
        <v>6.0</v>
      </c>
      <c r="C713" s="9" t="s">
        <v>43</v>
      </c>
      <c r="D713" s="9" t="s">
        <v>55</v>
      </c>
      <c r="E713" s="9" t="s">
        <v>56</v>
      </c>
      <c r="F713" s="9" t="s">
        <v>45</v>
      </c>
      <c r="G713" s="9" t="s">
        <v>46</v>
      </c>
      <c r="H713" s="9" t="s">
        <v>491</v>
      </c>
      <c r="I713" s="11">
        <v>8177586.0</v>
      </c>
      <c r="J713" s="11">
        <v>2.66829362E8</v>
      </c>
      <c r="K713" s="13">
        <v>46304.0</v>
      </c>
      <c r="L713" s="14">
        <v>46317.0</v>
      </c>
      <c r="M713" s="12"/>
      <c r="N713" s="9">
        <v>101.0</v>
      </c>
      <c r="O713" s="11">
        <v>8.0</v>
      </c>
      <c r="P713" s="9" t="s">
        <v>44</v>
      </c>
      <c r="Q713" s="12"/>
      <c r="R713" s="12"/>
      <c r="S713" s="9" t="s">
        <v>47</v>
      </c>
      <c r="T713" s="9" t="s">
        <v>44</v>
      </c>
      <c r="U713" s="9" t="s">
        <v>44</v>
      </c>
      <c r="V713" s="11">
        <v>351.41</v>
      </c>
      <c r="W713" s="11">
        <v>9.0</v>
      </c>
      <c r="X713" s="9" t="s">
        <v>906</v>
      </c>
      <c r="Y713" s="9" t="s">
        <v>916</v>
      </c>
      <c r="Z713" s="12"/>
      <c r="AA713" s="9">
        <v>55797.0</v>
      </c>
      <c r="AB713" s="12"/>
      <c r="AC713" s="12"/>
    </row>
    <row r="714">
      <c r="A714" s="9" t="s">
        <v>33</v>
      </c>
      <c r="B714" s="11">
        <v>6.0</v>
      </c>
      <c r="C714" s="9" t="s">
        <v>43</v>
      </c>
      <c r="D714" s="9" t="s">
        <v>55</v>
      </c>
      <c r="E714" s="9" t="s">
        <v>56</v>
      </c>
      <c r="F714" s="9" t="s">
        <v>45</v>
      </c>
      <c r="G714" s="9" t="s">
        <v>46</v>
      </c>
      <c r="H714" s="9" t="s">
        <v>434</v>
      </c>
      <c r="I714" s="11">
        <v>8177573.0</v>
      </c>
      <c r="J714" s="11">
        <v>2.66829363E8</v>
      </c>
      <c r="K714" s="13">
        <v>46304.0</v>
      </c>
      <c r="L714" s="14">
        <v>46317.0</v>
      </c>
      <c r="M714" s="12"/>
      <c r="N714" s="9">
        <v>409.0</v>
      </c>
      <c r="O714" s="11">
        <v>8.0</v>
      </c>
      <c r="P714" s="9" t="s">
        <v>44</v>
      </c>
      <c r="Q714" s="12"/>
      <c r="R714" s="12"/>
      <c r="S714" s="9" t="s">
        <v>47</v>
      </c>
      <c r="T714" s="9" t="s">
        <v>44</v>
      </c>
      <c r="U714" s="9" t="s">
        <v>44</v>
      </c>
      <c r="V714" s="11">
        <v>362.21</v>
      </c>
      <c r="W714" s="11">
        <v>7.0</v>
      </c>
      <c r="X714" s="9" t="s">
        <v>906</v>
      </c>
      <c r="Y714" s="9" t="s">
        <v>917</v>
      </c>
      <c r="Z714" s="12"/>
      <c r="AA714" s="9">
        <v>55795.0</v>
      </c>
      <c r="AB714" s="12"/>
      <c r="AC714" s="12"/>
    </row>
    <row r="715">
      <c r="A715" s="9" t="s">
        <v>33</v>
      </c>
      <c r="B715" s="11">
        <v>6.0</v>
      </c>
      <c r="C715" s="9" t="s">
        <v>43</v>
      </c>
      <c r="D715" s="9" t="s">
        <v>55</v>
      </c>
      <c r="E715" s="9" t="s">
        <v>56</v>
      </c>
      <c r="F715" s="9" t="s">
        <v>45</v>
      </c>
      <c r="G715" s="9" t="s">
        <v>46</v>
      </c>
      <c r="H715" s="9" t="s">
        <v>779</v>
      </c>
      <c r="I715" s="11">
        <v>8177574.0</v>
      </c>
      <c r="J715" s="11">
        <v>2.66829364E8</v>
      </c>
      <c r="K715" s="13">
        <v>46304.0</v>
      </c>
      <c r="L715" s="14">
        <v>46316.0</v>
      </c>
      <c r="M715" s="12"/>
      <c r="N715" s="9">
        <v>3.0</v>
      </c>
      <c r="O715" s="11">
        <v>7.0</v>
      </c>
      <c r="P715" s="9" t="s">
        <v>44</v>
      </c>
      <c r="Q715" s="12"/>
      <c r="R715" s="12"/>
      <c r="S715" s="9" t="s">
        <v>47</v>
      </c>
      <c r="T715" s="9" t="s">
        <v>44</v>
      </c>
      <c r="U715" s="9" t="s">
        <v>44</v>
      </c>
      <c r="V715" s="11">
        <v>414.63</v>
      </c>
      <c r="W715" s="11">
        <v>10.0</v>
      </c>
      <c r="X715" s="9" t="s">
        <v>906</v>
      </c>
      <c r="Y715" s="9" t="s">
        <v>918</v>
      </c>
      <c r="Z715" s="12"/>
      <c r="AA715" s="9">
        <v>55836.0</v>
      </c>
      <c r="AB715" s="12"/>
      <c r="AC715" s="12"/>
    </row>
    <row r="716">
      <c r="A716" s="9" t="s">
        <v>33</v>
      </c>
      <c r="B716" s="11">
        <v>6.0</v>
      </c>
      <c r="C716" s="9" t="s">
        <v>43</v>
      </c>
      <c r="D716" s="9" t="s">
        <v>55</v>
      </c>
      <c r="E716" s="9" t="s">
        <v>56</v>
      </c>
      <c r="F716" s="9" t="s">
        <v>45</v>
      </c>
      <c r="G716" s="9" t="s">
        <v>46</v>
      </c>
      <c r="H716" s="9" t="s">
        <v>434</v>
      </c>
      <c r="I716" s="11">
        <v>8177575.0</v>
      </c>
      <c r="J716" s="11">
        <v>2.66829365E8</v>
      </c>
      <c r="K716" s="13">
        <v>46304.0</v>
      </c>
      <c r="L716" s="14">
        <v>46321.0</v>
      </c>
      <c r="M716" s="12"/>
      <c r="N716" s="9">
        <v>200.0</v>
      </c>
      <c r="O716" s="11">
        <v>10.0</v>
      </c>
      <c r="P716" s="9" t="s">
        <v>44</v>
      </c>
      <c r="Q716" s="12"/>
      <c r="R716" s="12"/>
      <c r="S716" s="9" t="s">
        <v>47</v>
      </c>
      <c r="T716" s="9" t="s">
        <v>44</v>
      </c>
      <c r="U716" s="9" t="s">
        <v>44</v>
      </c>
      <c r="V716" s="11">
        <v>219.34</v>
      </c>
      <c r="W716" s="11">
        <v>2.0</v>
      </c>
      <c r="X716" s="9" t="s">
        <v>906</v>
      </c>
      <c r="Y716" s="9" t="s">
        <v>919</v>
      </c>
      <c r="Z716" s="12"/>
      <c r="AA716" s="9">
        <v>55839.0</v>
      </c>
      <c r="AB716" s="12"/>
      <c r="AC716" s="12"/>
    </row>
    <row r="717">
      <c r="A717" s="9" t="s">
        <v>33</v>
      </c>
      <c r="B717" s="11">
        <v>6.0</v>
      </c>
      <c r="C717" s="9" t="s">
        <v>43</v>
      </c>
      <c r="D717" s="9" t="s">
        <v>55</v>
      </c>
      <c r="E717" s="9" t="s">
        <v>56</v>
      </c>
      <c r="F717" s="9" t="s">
        <v>45</v>
      </c>
      <c r="G717" s="9" t="s">
        <v>46</v>
      </c>
      <c r="H717" s="9" t="s">
        <v>107</v>
      </c>
      <c r="I717" s="11">
        <v>8177576.0</v>
      </c>
      <c r="J717" s="11">
        <v>2.66830416E8</v>
      </c>
      <c r="K717" s="13">
        <v>46304.0</v>
      </c>
      <c r="L717" s="14">
        <v>46316.0</v>
      </c>
      <c r="M717" s="12"/>
      <c r="N717" s="9">
        <v>103.0</v>
      </c>
      <c r="O717" s="11">
        <v>7.0</v>
      </c>
      <c r="P717" s="9" t="s">
        <v>44</v>
      </c>
      <c r="Q717" s="12"/>
      <c r="R717" s="9" t="s">
        <v>90</v>
      </c>
      <c r="S717" s="9" t="s">
        <v>47</v>
      </c>
      <c r="T717" s="9" t="s">
        <v>44</v>
      </c>
      <c r="U717" s="9" t="s">
        <v>44</v>
      </c>
      <c r="V717" s="11">
        <v>208.26</v>
      </c>
      <c r="W717" s="11">
        <v>3.0</v>
      </c>
      <c r="X717" s="9" t="s">
        <v>906</v>
      </c>
      <c r="Y717" s="9" t="s">
        <v>920</v>
      </c>
      <c r="Z717" s="12"/>
      <c r="AA717" s="9">
        <v>55841.0</v>
      </c>
      <c r="AB717" s="12"/>
      <c r="AC717" s="12"/>
    </row>
    <row r="718">
      <c r="A718" s="9" t="s">
        <v>33</v>
      </c>
      <c r="B718" s="11">
        <v>6.0</v>
      </c>
      <c r="C718" s="9" t="s">
        <v>43</v>
      </c>
      <c r="D718" s="9" t="s">
        <v>55</v>
      </c>
      <c r="E718" s="9" t="s">
        <v>56</v>
      </c>
      <c r="F718" s="9" t="s">
        <v>45</v>
      </c>
      <c r="G718" s="9" t="s">
        <v>46</v>
      </c>
      <c r="H718" s="9" t="s">
        <v>543</v>
      </c>
      <c r="I718" s="11">
        <v>8177589.0</v>
      </c>
      <c r="J718" s="11">
        <v>2.6683042E8</v>
      </c>
      <c r="K718" s="13">
        <v>46304.0</v>
      </c>
      <c r="L718" s="14">
        <v>46315.0</v>
      </c>
      <c r="M718" s="12"/>
      <c r="N718" s="9">
        <v>6.0</v>
      </c>
      <c r="O718" s="11">
        <v>6.0</v>
      </c>
      <c r="P718" s="9" t="s">
        <v>44</v>
      </c>
      <c r="Q718" s="12"/>
      <c r="R718" s="9" t="s">
        <v>90</v>
      </c>
      <c r="S718" s="9" t="s">
        <v>47</v>
      </c>
      <c r="T718" s="9" t="s">
        <v>44</v>
      </c>
      <c r="U718" s="9" t="s">
        <v>44</v>
      </c>
      <c r="V718" s="11">
        <v>105.61</v>
      </c>
      <c r="W718" s="11">
        <v>4.0</v>
      </c>
      <c r="X718" s="9" t="s">
        <v>906</v>
      </c>
      <c r="Y718" s="9" t="s">
        <v>921</v>
      </c>
      <c r="Z718" s="12"/>
      <c r="AA718" s="9">
        <v>55811.0</v>
      </c>
      <c r="AB718" s="12"/>
      <c r="AC718" s="12"/>
    </row>
    <row r="719">
      <c r="A719" s="9" t="s">
        <v>33</v>
      </c>
      <c r="B719" s="11">
        <v>6.0</v>
      </c>
      <c r="C719" s="9" t="s">
        <v>43</v>
      </c>
      <c r="D719" s="9" t="s">
        <v>55</v>
      </c>
      <c r="E719" s="9" t="s">
        <v>56</v>
      </c>
      <c r="F719" s="9" t="s">
        <v>45</v>
      </c>
      <c r="G719" s="9" t="s">
        <v>46</v>
      </c>
      <c r="H719" s="9" t="s">
        <v>704</v>
      </c>
      <c r="I719" s="11">
        <v>8177618.0</v>
      </c>
      <c r="J719" s="11">
        <v>2.66830424E8</v>
      </c>
      <c r="K719" s="13">
        <v>46304.0</v>
      </c>
      <c r="L719" s="14">
        <v>46316.0</v>
      </c>
      <c r="M719" s="12"/>
      <c r="N719" s="9">
        <v>106.0</v>
      </c>
      <c r="O719" s="11">
        <v>7.0</v>
      </c>
      <c r="P719" s="9" t="s">
        <v>44</v>
      </c>
      <c r="Q719" s="12"/>
      <c r="R719" s="9" t="s">
        <v>90</v>
      </c>
      <c r="S719" s="9" t="s">
        <v>47</v>
      </c>
      <c r="T719" s="9" t="s">
        <v>44</v>
      </c>
      <c r="U719" s="9" t="s">
        <v>44</v>
      </c>
      <c r="V719" s="11">
        <v>369.9</v>
      </c>
      <c r="W719" s="11">
        <v>11.0</v>
      </c>
      <c r="X719" s="9" t="s">
        <v>906</v>
      </c>
      <c r="Y719" s="9" t="s">
        <v>922</v>
      </c>
      <c r="Z719" s="12"/>
      <c r="AA719" s="9">
        <v>55858.0</v>
      </c>
      <c r="AB719" s="12"/>
      <c r="AC719" s="12"/>
    </row>
    <row r="720">
      <c r="A720" s="9" t="s">
        <v>33</v>
      </c>
      <c r="B720" s="11">
        <v>6.0</v>
      </c>
      <c r="C720" s="9" t="s">
        <v>43</v>
      </c>
      <c r="D720" s="9" t="s">
        <v>55</v>
      </c>
      <c r="E720" s="9" t="s">
        <v>56</v>
      </c>
      <c r="F720" s="9" t="s">
        <v>45</v>
      </c>
      <c r="G720" s="9" t="s">
        <v>46</v>
      </c>
      <c r="H720" s="9" t="s">
        <v>779</v>
      </c>
      <c r="I720" s="11">
        <v>8177606.0</v>
      </c>
      <c r="J720" s="11">
        <v>2.66830427E8</v>
      </c>
      <c r="K720" s="13">
        <v>46304.0</v>
      </c>
      <c r="L720" s="14">
        <v>46325.0</v>
      </c>
      <c r="M720" s="12"/>
      <c r="N720" s="9">
        <v>100.0</v>
      </c>
      <c r="O720" s="11">
        <v>14.0</v>
      </c>
      <c r="P720" s="9" t="s">
        <v>44</v>
      </c>
      <c r="Q720" s="12"/>
      <c r="R720" s="12"/>
      <c r="S720" s="9" t="s">
        <v>47</v>
      </c>
      <c r="T720" s="9" t="s">
        <v>44</v>
      </c>
      <c r="U720" s="9" t="s">
        <v>44</v>
      </c>
      <c r="V720" s="11">
        <v>291.78</v>
      </c>
      <c r="W720" s="11">
        <v>7.0</v>
      </c>
      <c r="X720" s="9" t="s">
        <v>906</v>
      </c>
      <c r="Y720" s="9" t="s">
        <v>923</v>
      </c>
      <c r="Z720" s="12"/>
      <c r="AA720" s="9">
        <v>55832.0</v>
      </c>
      <c r="AB720" s="12"/>
      <c r="AC720" s="12"/>
    </row>
    <row r="721">
      <c r="A721" s="9" t="s">
        <v>33</v>
      </c>
      <c r="B721" s="11">
        <v>6.0</v>
      </c>
      <c r="C721" s="9" t="s">
        <v>43</v>
      </c>
      <c r="D721" s="9" t="s">
        <v>55</v>
      </c>
      <c r="E721" s="9" t="s">
        <v>56</v>
      </c>
      <c r="F721" s="9" t="s">
        <v>45</v>
      </c>
      <c r="G721" s="9" t="s">
        <v>46</v>
      </c>
      <c r="H721" s="9" t="s">
        <v>434</v>
      </c>
      <c r="I721" s="11">
        <v>8177590.0</v>
      </c>
      <c r="J721" s="11">
        <v>2.66830431E8</v>
      </c>
      <c r="K721" s="13">
        <v>46304.0</v>
      </c>
      <c r="L721" s="14">
        <v>46322.0</v>
      </c>
      <c r="M721" s="12"/>
      <c r="N721" s="9">
        <v>100.0</v>
      </c>
      <c r="O721" s="11">
        <v>11.0</v>
      </c>
      <c r="P721" s="9" t="s">
        <v>44</v>
      </c>
      <c r="Q721" s="12"/>
      <c r="R721" s="12"/>
      <c r="S721" s="9" t="s">
        <v>47</v>
      </c>
      <c r="T721" s="9" t="s">
        <v>44</v>
      </c>
      <c r="U721" s="9" t="s">
        <v>44</v>
      </c>
      <c r="V721" s="11">
        <v>368.81</v>
      </c>
      <c r="W721" s="11">
        <v>8.0</v>
      </c>
      <c r="X721" s="9" t="s">
        <v>906</v>
      </c>
      <c r="Y721" s="9" t="s">
        <v>924</v>
      </c>
      <c r="Z721" s="12"/>
      <c r="AA721" s="9">
        <v>55791.0</v>
      </c>
      <c r="AB721" s="12"/>
      <c r="AC721" s="12"/>
    </row>
    <row r="722">
      <c r="A722" s="9" t="s">
        <v>33</v>
      </c>
      <c r="B722" s="11">
        <v>6.0</v>
      </c>
      <c r="C722" s="9" t="s">
        <v>43</v>
      </c>
      <c r="D722" s="9" t="s">
        <v>55</v>
      </c>
      <c r="E722" s="9" t="s">
        <v>56</v>
      </c>
      <c r="F722" s="9" t="s">
        <v>45</v>
      </c>
      <c r="G722" s="9" t="s">
        <v>46</v>
      </c>
      <c r="H722" s="9" t="s">
        <v>434</v>
      </c>
      <c r="I722" s="11">
        <v>8177591.0</v>
      </c>
      <c r="J722" s="11">
        <v>2.66830435E8</v>
      </c>
      <c r="K722" s="13">
        <v>46304.0</v>
      </c>
      <c r="L722" s="14">
        <v>46317.0</v>
      </c>
      <c r="M722" s="12"/>
      <c r="N722" s="9">
        <v>409.0</v>
      </c>
      <c r="O722" s="11">
        <v>8.0</v>
      </c>
      <c r="P722" s="9" t="s">
        <v>44</v>
      </c>
      <c r="Q722" s="12"/>
      <c r="R722" s="12"/>
      <c r="S722" s="9" t="s">
        <v>47</v>
      </c>
      <c r="T722" s="9" t="s">
        <v>44</v>
      </c>
      <c r="U722" s="9" t="s">
        <v>44</v>
      </c>
      <c r="V722" s="11">
        <v>367.51</v>
      </c>
      <c r="W722" s="11">
        <v>7.0</v>
      </c>
      <c r="X722" s="9" t="s">
        <v>906</v>
      </c>
      <c r="Y722" s="9" t="s">
        <v>908</v>
      </c>
      <c r="Z722" s="12"/>
      <c r="AA722" s="9">
        <v>55794.0</v>
      </c>
      <c r="AB722" s="12"/>
      <c r="AC722" s="12"/>
    </row>
    <row r="723">
      <c r="A723" s="9" t="s">
        <v>33</v>
      </c>
      <c r="B723" s="11">
        <v>6.0</v>
      </c>
      <c r="C723" s="9" t="s">
        <v>43</v>
      </c>
      <c r="D723" s="9" t="s">
        <v>55</v>
      </c>
      <c r="E723" s="9" t="s">
        <v>56</v>
      </c>
      <c r="F723" s="9" t="s">
        <v>45</v>
      </c>
      <c r="G723" s="9" t="s">
        <v>46</v>
      </c>
      <c r="H723" s="9" t="s">
        <v>434</v>
      </c>
      <c r="I723" s="11">
        <v>8177592.0</v>
      </c>
      <c r="J723" s="11">
        <v>2.66830439E8</v>
      </c>
      <c r="K723" s="13">
        <v>46304.0</v>
      </c>
      <c r="L723" s="14">
        <v>46317.0</v>
      </c>
      <c r="M723" s="12"/>
      <c r="N723" s="9">
        <v>409.0</v>
      </c>
      <c r="O723" s="11">
        <v>8.0</v>
      </c>
      <c r="P723" s="9" t="s">
        <v>44</v>
      </c>
      <c r="Q723" s="12"/>
      <c r="R723" s="12"/>
      <c r="S723" s="9" t="s">
        <v>47</v>
      </c>
      <c r="T723" s="9" t="s">
        <v>44</v>
      </c>
      <c r="U723" s="9" t="s">
        <v>44</v>
      </c>
      <c r="V723" s="11">
        <v>358.24</v>
      </c>
      <c r="W723" s="11">
        <v>7.0</v>
      </c>
      <c r="X723" s="9" t="s">
        <v>906</v>
      </c>
      <c r="Y723" s="9" t="s">
        <v>925</v>
      </c>
      <c r="Z723" s="12"/>
      <c r="AA723" s="9">
        <v>55790.0</v>
      </c>
      <c r="AB723" s="12"/>
      <c r="AC723" s="12"/>
    </row>
    <row r="724">
      <c r="A724" s="9" t="s">
        <v>33</v>
      </c>
      <c r="B724" s="11">
        <v>6.0</v>
      </c>
      <c r="C724" s="9" t="s">
        <v>43</v>
      </c>
      <c r="D724" s="9" t="s">
        <v>55</v>
      </c>
      <c r="E724" s="9" t="s">
        <v>56</v>
      </c>
      <c r="F724" s="9" t="s">
        <v>45</v>
      </c>
      <c r="G724" s="9" t="s">
        <v>46</v>
      </c>
      <c r="H724" s="9" t="s">
        <v>87</v>
      </c>
      <c r="I724" s="11">
        <v>8177607.0</v>
      </c>
      <c r="J724" s="11">
        <v>2.66830443E8</v>
      </c>
      <c r="K724" s="13">
        <v>46304.0</v>
      </c>
      <c r="L724" s="14">
        <v>46314.0</v>
      </c>
      <c r="M724" s="12"/>
      <c r="N724" s="9">
        <v>55.0</v>
      </c>
      <c r="O724" s="11">
        <v>5.0</v>
      </c>
      <c r="P724" s="9" t="s">
        <v>44</v>
      </c>
      <c r="Q724" s="12"/>
      <c r="R724" s="9" t="s">
        <v>90</v>
      </c>
      <c r="S724" s="9" t="s">
        <v>47</v>
      </c>
      <c r="T724" s="9" t="s">
        <v>44</v>
      </c>
      <c r="U724" s="9" t="s">
        <v>44</v>
      </c>
      <c r="V724" s="11">
        <v>285.82</v>
      </c>
      <c r="W724" s="11">
        <v>13.0</v>
      </c>
      <c r="X724" s="9" t="s">
        <v>906</v>
      </c>
      <c r="Y724" s="9" t="s">
        <v>926</v>
      </c>
      <c r="Z724" s="12"/>
      <c r="AA724" s="9">
        <v>55840.0</v>
      </c>
      <c r="AB724" s="12"/>
      <c r="AC724" s="12"/>
    </row>
    <row r="725">
      <c r="A725" s="9" t="s">
        <v>33</v>
      </c>
      <c r="B725" s="11">
        <v>6.0</v>
      </c>
      <c r="C725" s="9" t="s">
        <v>43</v>
      </c>
      <c r="D725" s="9" t="s">
        <v>55</v>
      </c>
      <c r="E725" s="9" t="s">
        <v>56</v>
      </c>
      <c r="F725" s="9" t="s">
        <v>45</v>
      </c>
      <c r="G725" s="9" t="s">
        <v>46</v>
      </c>
      <c r="H725" s="9" t="s">
        <v>381</v>
      </c>
      <c r="I725" s="11">
        <v>8177608.0</v>
      </c>
      <c r="J725" s="11">
        <v>2.66830448E8</v>
      </c>
      <c r="K725" s="13">
        <v>46304.0</v>
      </c>
      <c r="L725" s="14">
        <v>46317.0</v>
      </c>
      <c r="M725" s="12"/>
      <c r="N725" s="9">
        <v>106.0</v>
      </c>
      <c r="O725" s="11">
        <v>8.0</v>
      </c>
      <c r="P725" s="9" t="s">
        <v>44</v>
      </c>
      <c r="Q725" s="12"/>
      <c r="R725" s="9" t="s">
        <v>90</v>
      </c>
      <c r="S725" s="9" t="s">
        <v>47</v>
      </c>
      <c r="T725" s="9" t="s">
        <v>44</v>
      </c>
      <c r="U725" s="9" t="s">
        <v>44</v>
      </c>
      <c r="V725" s="11">
        <v>246.35</v>
      </c>
      <c r="W725" s="11">
        <v>4.0</v>
      </c>
      <c r="X725" s="9" t="s">
        <v>906</v>
      </c>
      <c r="Y725" s="9" t="s">
        <v>927</v>
      </c>
      <c r="Z725" s="12"/>
      <c r="AA725" s="9">
        <v>55856.0</v>
      </c>
      <c r="AB725" s="12"/>
      <c r="AC725" s="12"/>
    </row>
    <row r="726">
      <c r="A726" s="9" t="s">
        <v>33</v>
      </c>
      <c r="B726" s="11">
        <v>6.0</v>
      </c>
      <c r="C726" s="9" t="s">
        <v>43</v>
      </c>
      <c r="D726" s="9" t="s">
        <v>55</v>
      </c>
      <c r="E726" s="9" t="s">
        <v>56</v>
      </c>
      <c r="F726" s="9" t="s">
        <v>45</v>
      </c>
      <c r="G726" s="9" t="s">
        <v>46</v>
      </c>
      <c r="H726" s="9" t="s">
        <v>434</v>
      </c>
      <c r="I726" s="11">
        <v>8177598.0</v>
      </c>
      <c r="J726" s="11">
        <v>2.66830451E8</v>
      </c>
      <c r="K726" s="13">
        <v>46304.0</v>
      </c>
      <c r="L726" s="14">
        <v>46323.0</v>
      </c>
      <c r="M726" s="12"/>
      <c r="N726" s="9">
        <v>200.0</v>
      </c>
      <c r="O726" s="11">
        <v>12.0</v>
      </c>
      <c r="P726" s="9" t="s">
        <v>44</v>
      </c>
      <c r="Q726" s="12"/>
      <c r="R726" s="12"/>
      <c r="S726" s="9" t="s">
        <v>47</v>
      </c>
      <c r="T726" s="9" t="s">
        <v>44</v>
      </c>
      <c r="U726" s="9" t="s">
        <v>44</v>
      </c>
      <c r="V726" s="11">
        <v>285.63</v>
      </c>
      <c r="W726" s="11">
        <v>5.0</v>
      </c>
      <c r="X726" s="9" t="s">
        <v>906</v>
      </c>
      <c r="Y726" s="9" t="s">
        <v>917</v>
      </c>
      <c r="Z726" s="12"/>
      <c r="AA726" s="9">
        <v>55793.0</v>
      </c>
      <c r="AB726" s="12"/>
      <c r="AC726" s="12"/>
    </row>
    <row r="727">
      <c r="A727" s="9" t="s">
        <v>33</v>
      </c>
      <c r="B727" s="11">
        <v>6.0</v>
      </c>
      <c r="C727" s="9" t="s">
        <v>43</v>
      </c>
      <c r="D727" s="9" t="s">
        <v>55</v>
      </c>
      <c r="E727" s="9" t="s">
        <v>56</v>
      </c>
      <c r="F727" s="9" t="s">
        <v>45</v>
      </c>
      <c r="G727" s="9" t="s">
        <v>46</v>
      </c>
      <c r="H727" s="9" t="s">
        <v>68</v>
      </c>
      <c r="I727" s="11">
        <v>8177630.0</v>
      </c>
      <c r="J727" s="11">
        <v>2.66830454E8</v>
      </c>
      <c r="K727" s="13">
        <v>46304.0</v>
      </c>
      <c r="L727" s="14">
        <v>46314.0</v>
      </c>
      <c r="M727" s="12"/>
      <c r="N727" s="9">
        <v>36.0</v>
      </c>
      <c r="O727" s="11">
        <v>5.0</v>
      </c>
      <c r="P727" s="9" t="s">
        <v>44</v>
      </c>
      <c r="Q727" s="12"/>
      <c r="R727" s="12"/>
      <c r="S727" s="9" t="s">
        <v>47</v>
      </c>
      <c r="T727" s="9" t="s">
        <v>44</v>
      </c>
      <c r="U727" s="9" t="s">
        <v>44</v>
      </c>
      <c r="V727" s="11">
        <v>959.68</v>
      </c>
      <c r="W727" s="11">
        <v>1.0</v>
      </c>
      <c r="X727" s="9" t="s">
        <v>906</v>
      </c>
      <c r="Y727" s="9" t="s">
        <v>928</v>
      </c>
      <c r="Z727" s="12"/>
      <c r="AA727" s="9">
        <v>55855.0</v>
      </c>
      <c r="AB727" s="12"/>
      <c r="AC727" s="12"/>
    </row>
    <row r="728">
      <c r="A728" s="9" t="s">
        <v>33</v>
      </c>
      <c r="B728" s="11">
        <v>6.0</v>
      </c>
      <c r="C728" s="9" t="s">
        <v>43</v>
      </c>
      <c r="D728" s="9" t="s">
        <v>55</v>
      </c>
      <c r="E728" s="9" t="s">
        <v>56</v>
      </c>
      <c r="F728" s="9" t="s">
        <v>45</v>
      </c>
      <c r="G728" s="9" t="s">
        <v>46</v>
      </c>
      <c r="H728" s="9" t="s">
        <v>281</v>
      </c>
      <c r="I728" s="11">
        <v>8177609.0</v>
      </c>
      <c r="J728" s="11">
        <v>2.66830458E8</v>
      </c>
      <c r="K728" s="13">
        <v>46304.0</v>
      </c>
      <c r="L728" s="14">
        <v>46314.0</v>
      </c>
      <c r="M728" s="12"/>
      <c r="N728" s="9">
        <v>2.0</v>
      </c>
      <c r="O728" s="11">
        <v>5.0</v>
      </c>
      <c r="P728" s="9" t="s">
        <v>44</v>
      </c>
      <c r="Q728" s="12"/>
      <c r="R728" s="12"/>
      <c r="S728" s="9" t="s">
        <v>47</v>
      </c>
      <c r="T728" s="9" t="s">
        <v>44</v>
      </c>
      <c r="U728" s="9" t="s">
        <v>44</v>
      </c>
      <c r="V728" s="11">
        <v>35.75</v>
      </c>
      <c r="W728" s="11">
        <v>1.0</v>
      </c>
      <c r="X728" s="9" t="s">
        <v>906</v>
      </c>
      <c r="Y728" s="9" t="s">
        <v>929</v>
      </c>
      <c r="Z728" s="12"/>
      <c r="AA728" s="9">
        <v>55822.0</v>
      </c>
      <c r="AB728" s="12"/>
      <c r="AC728" s="12"/>
    </row>
    <row r="729">
      <c r="A729" s="9" t="s">
        <v>33</v>
      </c>
      <c r="B729" s="11">
        <v>6.0</v>
      </c>
      <c r="C729" s="9" t="s">
        <v>43</v>
      </c>
      <c r="D729" s="9" t="s">
        <v>55</v>
      </c>
      <c r="E729" s="9" t="s">
        <v>56</v>
      </c>
      <c r="F729" s="9" t="s">
        <v>45</v>
      </c>
      <c r="G729" s="9" t="s">
        <v>46</v>
      </c>
      <c r="H729" s="9" t="s">
        <v>57</v>
      </c>
      <c r="I729" s="11">
        <v>8177599.0</v>
      </c>
      <c r="J729" s="11">
        <v>2.66830461E8</v>
      </c>
      <c r="K729" s="13">
        <v>46304.0</v>
      </c>
      <c r="L729" s="14">
        <v>46317.0</v>
      </c>
      <c r="M729" s="12"/>
      <c r="N729" s="9">
        <v>106.0</v>
      </c>
      <c r="O729" s="11">
        <v>8.0</v>
      </c>
      <c r="P729" s="9" t="s">
        <v>44</v>
      </c>
      <c r="Q729" s="12"/>
      <c r="R729" s="12"/>
      <c r="S729" s="9" t="s">
        <v>47</v>
      </c>
      <c r="T729" s="9" t="s">
        <v>44</v>
      </c>
      <c r="U729" s="9" t="s">
        <v>44</v>
      </c>
      <c r="V729" s="11">
        <v>40.95</v>
      </c>
      <c r="W729" s="11">
        <v>1.0</v>
      </c>
      <c r="X729" s="9" t="s">
        <v>906</v>
      </c>
      <c r="Y729" s="9" t="s">
        <v>930</v>
      </c>
      <c r="Z729" s="12"/>
      <c r="AA729" s="9">
        <v>55816.0</v>
      </c>
      <c r="AB729" s="12"/>
      <c r="AC729" s="12"/>
    </row>
    <row r="730">
      <c r="A730" s="9" t="s">
        <v>33</v>
      </c>
      <c r="B730" s="11">
        <v>6.0</v>
      </c>
      <c r="C730" s="9" t="s">
        <v>43</v>
      </c>
      <c r="D730" s="9" t="s">
        <v>55</v>
      </c>
      <c r="E730" s="9" t="s">
        <v>56</v>
      </c>
      <c r="F730" s="9" t="s">
        <v>45</v>
      </c>
      <c r="G730" s="9" t="s">
        <v>46</v>
      </c>
      <c r="H730" s="9" t="s">
        <v>196</v>
      </c>
      <c r="I730" s="11">
        <v>8177600.0</v>
      </c>
      <c r="J730" s="11">
        <v>2.66830465E8</v>
      </c>
      <c r="K730" s="13">
        <v>46304.0</v>
      </c>
      <c r="L730" s="14">
        <v>46314.0</v>
      </c>
      <c r="M730" s="12"/>
      <c r="N730" s="9">
        <v>107.0</v>
      </c>
      <c r="O730" s="11">
        <v>5.0</v>
      </c>
      <c r="P730" s="9" t="s">
        <v>44</v>
      </c>
      <c r="Q730" s="12"/>
      <c r="R730" s="12"/>
      <c r="S730" s="9" t="s">
        <v>47</v>
      </c>
      <c r="T730" s="9" t="s">
        <v>44</v>
      </c>
      <c r="U730" s="9" t="s">
        <v>44</v>
      </c>
      <c r="V730" s="11">
        <v>52.53</v>
      </c>
      <c r="W730" s="11">
        <v>1.0</v>
      </c>
      <c r="X730" s="9" t="s">
        <v>906</v>
      </c>
      <c r="Y730" s="9" t="s">
        <v>931</v>
      </c>
      <c r="Z730" s="12"/>
      <c r="AA730" s="9">
        <v>55826.0</v>
      </c>
      <c r="AB730" s="12"/>
      <c r="AC730" s="12"/>
    </row>
    <row r="731">
      <c r="A731" s="9" t="s">
        <v>33</v>
      </c>
      <c r="B731" s="11">
        <v>6.0</v>
      </c>
      <c r="C731" s="9" t="s">
        <v>43</v>
      </c>
      <c r="D731" s="9" t="s">
        <v>55</v>
      </c>
      <c r="E731" s="9" t="s">
        <v>56</v>
      </c>
      <c r="F731" s="9" t="s">
        <v>45</v>
      </c>
      <c r="G731" s="9" t="s">
        <v>46</v>
      </c>
      <c r="H731" s="9" t="s">
        <v>359</v>
      </c>
      <c r="I731" s="11">
        <v>8177601.0</v>
      </c>
      <c r="J731" s="11">
        <v>2.66830468E8</v>
      </c>
      <c r="K731" s="13">
        <v>46304.0</v>
      </c>
      <c r="L731" s="14">
        <v>46315.0</v>
      </c>
      <c r="M731" s="12"/>
      <c r="N731" s="9">
        <v>686.0</v>
      </c>
      <c r="O731" s="11">
        <v>6.0</v>
      </c>
      <c r="P731" s="9" t="s">
        <v>44</v>
      </c>
      <c r="Q731" s="12"/>
      <c r="R731" s="12"/>
      <c r="S731" s="9" t="s">
        <v>47</v>
      </c>
      <c r="T731" s="9" t="s">
        <v>44</v>
      </c>
      <c r="U731" s="9" t="s">
        <v>44</v>
      </c>
      <c r="V731" s="11">
        <v>62.41</v>
      </c>
      <c r="W731" s="11">
        <v>1.0</v>
      </c>
      <c r="X731" s="9" t="s">
        <v>906</v>
      </c>
      <c r="Y731" s="9" t="s">
        <v>932</v>
      </c>
      <c r="Z731" s="12"/>
      <c r="AA731" s="9">
        <v>55818.0</v>
      </c>
      <c r="AB731" s="12"/>
      <c r="AC731" s="12"/>
    </row>
    <row r="732">
      <c r="A732" s="9" t="s">
        <v>33</v>
      </c>
      <c r="B732" s="11">
        <v>6.0</v>
      </c>
      <c r="C732" s="9" t="s">
        <v>43</v>
      </c>
      <c r="D732" s="9" t="s">
        <v>55</v>
      </c>
      <c r="E732" s="9" t="s">
        <v>56</v>
      </c>
      <c r="F732" s="9" t="s">
        <v>45</v>
      </c>
      <c r="G732" s="9" t="s">
        <v>46</v>
      </c>
      <c r="H732" s="9" t="s">
        <v>193</v>
      </c>
      <c r="I732" s="11">
        <v>8177602.0</v>
      </c>
      <c r="J732" s="11">
        <v>2.66830471E8</v>
      </c>
      <c r="K732" s="13">
        <v>46304.0</v>
      </c>
      <c r="L732" s="14">
        <v>46316.0</v>
      </c>
      <c r="M732" s="12"/>
      <c r="N732" s="9">
        <v>112.0</v>
      </c>
      <c r="O732" s="11">
        <v>7.0</v>
      </c>
      <c r="P732" s="9" t="s">
        <v>44</v>
      </c>
      <c r="Q732" s="12"/>
      <c r="R732" s="12"/>
      <c r="S732" s="9" t="s">
        <v>47</v>
      </c>
      <c r="T732" s="9" t="s">
        <v>44</v>
      </c>
      <c r="U732" s="9" t="s">
        <v>44</v>
      </c>
      <c r="V732" s="11">
        <v>41.17</v>
      </c>
      <c r="W732" s="11">
        <v>1.0</v>
      </c>
      <c r="X732" s="9" t="s">
        <v>906</v>
      </c>
      <c r="Y732" s="9" t="s">
        <v>933</v>
      </c>
      <c r="Z732" s="12"/>
      <c r="AA732" s="9">
        <v>55821.0</v>
      </c>
      <c r="AB732" s="12"/>
      <c r="AC732" s="12"/>
    </row>
    <row r="733">
      <c r="A733" s="9" t="s">
        <v>33</v>
      </c>
      <c r="B733" s="11">
        <v>6.0</v>
      </c>
      <c r="C733" s="9" t="s">
        <v>43</v>
      </c>
      <c r="D733" s="9" t="s">
        <v>55</v>
      </c>
      <c r="E733" s="9" t="s">
        <v>56</v>
      </c>
      <c r="F733" s="9" t="s">
        <v>45</v>
      </c>
      <c r="G733" s="9" t="s">
        <v>46</v>
      </c>
      <c r="H733" s="9" t="s">
        <v>444</v>
      </c>
      <c r="I733" s="11">
        <v>8177610.0</v>
      </c>
      <c r="J733" s="11">
        <v>2.66830475E8</v>
      </c>
      <c r="K733" s="13">
        <v>46304.0</v>
      </c>
      <c r="L733" s="14">
        <v>46314.0</v>
      </c>
      <c r="M733" s="12"/>
      <c r="N733" s="9">
        <v>66.0</v>
      </c>
      <c r="O733" s="11">
        <v>5.0</v>
      </c>
      <c r="P733" s="9" t="s">
        <v>44</v>
      </c>
      <c r="Q733" s="12"/>
      <c r="R733" s="12"/>
      <c r="S733" s="9" t="s">
        <v>47</v>
      </c>
      <c r="T733" s="9" t="s">
        <v>44</v>
      </c>
      <c r="U733" s="9" t="s">
        <v>44</v>
      </c>
      <c r="V733" s="11">
        <v>49.12</v>
      </c>
      <c r="W733" s="11">
        <v>1.0</v>
      </c>
      <c r="X733" s="9" t="s">
        <v>906</v>
      </c>
      <c r="Y733" s="9" t="s">
        <v>934</v>
      </c>
      <c r="Z733" s="12"/>
      <c r="AA733" s="9">
        <v>55838.0</v>
      </c>
      <c r="AB733" s="12"/>
      <c r="AC733" s="12"/>
    </row>
    <row r="734">
      <c r="A734" s="9" t="s">
        <v>33</v>
      </c>
      <c r="B734" s="11">
        <v>6.0</v>
      </c>
      <c r="C734" s="9" t="s">
        <v>43</v>
      </c>
      <c r="D734" s="9" t="s">
        <v>55</v>
      </c>
      <c r="E734" s="9" t="s">
        <v>56</v>
      </c>
      <c r="F734" s="9" t="s">
        <v>45</v>
      </c>
      <c r="G734" s="9" t="s">
        <v>46</v>
      </c>
      <c r="H734" s="9" t="s">
        <v>543</v>
      </c>
      <c r="I734" s="11">
        <v>8177611.0</v>
      </c>
      <c r="J734" s="11">
        <v>2.66830478E8</v>
      </c>
      <c r="K734" s="13">
        <v>46304.0</v>
      </c>
      <c r="L734" s="14">
        <v>46315.0</v>
      </c>
      <c r="M734" s="12"/>
      <c r="N734" s="9">
        <v>4.0</v>
      </c>
      <c r="O734" s="11">
        <v>6.0</v>
      </c>
      <c r="P734" s="9" t="s">
        <v>44</v>
      </c>
      <c r="Q734" s="12"/>
      <c r="R734" s="9" t="s">
        <v>90</v>
      </c>
      <c r="S734" s="9" t="s">
        <v>47</v>
      </c>
      <c r="T734" s="9" t="s">
        <v>44</v>
      </c>
      <c r="U734" s="9" t="s">
        <v>44</v>
      </c>
      <c r="V734" s="11">
        <v>49.92</v>
      </c>
      <c r="W734" s="11">
        <v>1.0</v>
      </c>
      <c r="X734" s="9" t="s">
        <v>906</v>
      </c>
      <c r="Y734" s="9" t="s">
        <v>935</v>
      </c>
      <c r="Z734" s="12"/>
      <c r="AA734" s="9">
        <v>55819.0</v>
      </c>
      <c r="AB734" s="12"/>
      <c r="AC734" s="12"/>
    </row>
    <row r="735">
      <c r="A735" s="9" t="s">
        <v>33</v>
      </c>
      <c r="B735" s="11">
        <v>6.0</v>
      </c>
      <c r="C735" s="9" t="s">
        <v>43</v>
      </c>
      <c r="D735" s="9" t="s">
        <v>55</v>
      </c>
      <c r="E735" s="9" t="s">
        <v>56</v>
      </c>
      <c r="F735" s="9" t="s">
        <v>45</v>
      </c>
      <c r="G735" s="9" t="s">
        <v>46</v>
      </c>
      <c r="H735" s="9" t="s">
        <v>107</v>
      </c>
      <c r="I735" s="11">
        <v>8177603.0</v>
      </c>
      <c r="J735" s="11">
        <v>2.66830482E8</v>
      </c>
      <c r="K735" s="13">
        <v>46304.0</v>
      </c>
      <c r="L735" s="14">
        <v>46311.0</v>
      </c>
      <c r="M735" s="12"/>
      <c r="N735" s="9">
        <v>27.0</v>
      </c>
      <c r="O735" s="11">
        <v>4.0</v>
      </c>
      <c r="P735" s="9" t="s">
        <v>44</v>
      </c>
      <c r="Q735" s="12"/>
      <c r="R735" s="9" t="s">
        <v>90</v>
      </c>
      <c r="S735" s="9" t="s">
        <v>47</v>
      </c>
      <c r="T735" s="9" t="s">
        <v>44</v>
      </c>
      <c r="U735" s="9" t="s">
        <v>44</v>
      </c>
      <c r="V735" s="11">
        <v>55.47</v>
      </c>
      <c r="W735" s="11">
        <v>1.0</v>
      </c>
      <c r="X735" s="9" t="s">
        <v>906</v>
      </c>
      <c r="Y735" s="9" t="s">
        <v>936</v>
      </c>
      <c r="Z735" s="12"/>
      <c r="AA735" s="9">
        <v>55817.0</v>
      </c>
      <c r="AB735" s="12"/>
      <c r="AC735" s="12"/>
    </row>
    <row r="736">
      <c r="A736" s="9" t="s">
        <v>33</v>
      </c>
      <c r="B736" s="11">
        <v>6.0</v>
      </c>
      <c r="C736" s="9" t="s">
        <v>43</v>
      </c>
      <c r="D736" s="9" t="s">
        <v>55</v>
      </c>
      <c r="E736" s="9" t="s">
        <v>56</v>
      </c>
      <c r="F736" s="9" t="s">
        <v>45</v>
      </c>
      <c r="G736" s="9" t="s">
        <v>46</v>
      </c>
      <c r="H736" s="9" t="s">
        <v>441</v>
      </c>
      <c r="I736" s="11">
        <v>8177612.0</v>
      </c>
      <c r="J736" s="11">
        <v>2.66830486E8</v>
      </c>
      <c r="K736" s="13">
        <v>46304.0</v>
      </c>
      <c r="L736" s="14">
        <v>46351.0</v>
      </c>
      <c r="M736" s="12"/>
      <c r="N736" s="9">
        <v>1.0</v>
      </c>
      <c r="O736" s="11">
        <v>30.0</v>
      </c>
      <c r="P736" s="9" t="s">
        <v>44</v>
      </c>
      <c r="Q736" s="12"/>
      <c r="R736" s="12"/>
      <c r="S736" s="9" t="s">
        <v>47</v>
      </c>
      <c r="T736" s="9" t="s">
        <v>44</v>
      </c>
      <c r="U736" s="9" t="s">
        <v>44</v>
      </c>
      <c r="V736" s="11">
        <v>162.9</v>
      </c>
      <c r="W736" s="11">
        <v>1.0</v>
      </c>
      <c r="X736" s="9" t="s">
        <v>906</v>
      </c>
      <c r="Y736" s="9" t="s">
        <v>937</v>
      </c>
      <c r="Z736" s="12"/>
      <c r="AA736" s="9">
        <v>55828.0</v>
      </c>
      <c r="AB736" s="12"/>
      <c r="AC736" s="12"/>
    </row>
    <row r="737">
      <c r="A737" s="9" t="s">
        <v>33</v>
      </c>
      <c r="B737" s="11">
        <v>6.0</v>
      </c>
      <c r="C737" s="9" t="s">
        <v>43</v>
      </c>
      <c r="D737" s="9" t="s">
        <v>55</v>
      </c>
      <c r="E737" s="9" t="s">
        <v>56</v>
      </c>
      <c r="F737" s="9" t="s">
        <v>45</v>
      </c>
      <c r="G737" s="9" t="s">
        <v>46</v>
      </c>
      <c r="H737" s="9" t="s">
        <v>107</v>
      </c>
      <c r="I737" s="11">
        <v>8177593.0</v>
      </c>
      <c r="J737" s="11">
        <v>2.6683049E8</v>
      </c>
      <c r="K737" s="13">
        <v>46304.0</v>
      </c>
      <c r="L737" s="14">
        <v>46311.0</v>
      </c>
      <c r="M737" s="12"/>
      <c r="N737" s="9">
        <v>22.0</v>
      </c>
      <c r="O737" s="11">
        <v>4.0</v>
      </c>
      <c r="P737" s="9" t="s">
        <v>44</v>
      </c>
      <c r="Q737" s="12"/>
      <c r="R737" s="9" t="s">
        <v>90</v>
      </c>
      <c r="S737" s="9" t="s">
        <v>47</v>
      </c>
      <c r="T737" s="9" t="s">
        <v>44</v>
      </c>
      <c r="U737" s="9" t="s">
        <v>44</v>
      </c>
      <c r="V737" s="11">
        <v>438.95</v>
      </c>
      <c r="W737" s="11">
        <v>1.0</v>
      </c>
      <c r="X737" s="9" t="s">
        <v>906</v>
      </c>
      <c r="Y737" s="9" t="s">
        <v>910</v>
      </c>
      <c r="Z737" s="12"/>
      <c r="AA737" s="9">
        <v>55815.0</v>
      </c>
      <c r="AB737" s="12"/>
      <c r="AC737" s="12"/>
    </row>
    <row r="738">
      <c r="A738" s="9" t="s">
        <v>33</v>
      </c>
      <c r="B738" s="11">
        <v>6.0</v>
      </c>
      <c r="C738" s="9" t="s">
        <v>43</v>
      </c>
      <c r="D738" s="9" t="s">
        <v>55</v>
      </c>
      <c r="E738" s="9" t="s">
        <v>56</v>
      </c>
      <c r="F738" s="9" t="s">
        <v>45</v>
      </c>
      <c r="G738" s="9" t="s">
        <v>46</v>
      </c>
      <c r="H738" s="9" t="s">
        <v>131</v>
      </c>
      <c r="I738" s="11">
        <v>8177594.0</v>
      </c>
      <c r="J738" s="11">
        <v>2.66830493E8</v>
      </c>
      <c r="K738" s="13">
        <v>46304.0</v>
      </c>
      <c r="L738" s="14">
        <v>46338.0</v>
      </c>
      <c r="M738" s="12"/>
      <c r="N738" s="9">
        <v>7.0</v>
      </c>
      <c r="O738" s="11">
        <v>22.0</v>
      </c>
      <c r="P738" s="9" t="s">
        <v>44</v>
      </c>
      <c r="Q738" s="12"/>
      <c r="R738" s="12"/>
      <c r="S738" s="9" t="s">
        <v>47</v>
      </c>
      <c r="T738" s="9" t="s">
        <v>44</v>
      </c>
      <c r="U738" s="9" t="s">
        <v>44</v>
      </c>
      <c r="V738" s="11">
        <v>230.56</v>
      </c>
      <c r="W738" s="11">
        <v>1.0</v>
      </c>
      <c r="X738" s="9" t="s">
        <v>906</v>
      </c>
      <c r="Y738" s="9" t="s">
        <v>938</v>
      </c>
      <c r="Z738" s="12"/>
      <c r="AA738" s="9">
        <v>55808.0</v>
      </c>
      <c r="AB738" s="12"/>
      <c r="AC738" s="12"/>
    </row>
    <row r="739">
      <c r="A739" s="9" t="s">
        <v>33</v>
      </c>
      <c r="B739" s="11">
        <v>6.0</v>
      </c>
      <c r="C739" s="9" t="s">
        <v>43</v>
      </c>
      <c r="D739" s="9" t="s">
        <v>55</v>
      </c>
      <c r="E739" s="9" t="s">
        <v>56</v>
      </c>
      <c r="F739" s="9" t="s">
        <v>45</v>
      </c>
      <c r="G739" s="9" t="s">
        <v>46</v>
      </c>
      <c r="H739" s="9" t="s">
        <v>324</v>
      </c>
      <c r="I739" s="11">
        <v>8177595.0</v>
      </c>
      <c r="J739" s="11">
        <v>2.66830496E8</v>
      </c>
      <c r="K739" s="13">
        <v>46304.0</v>
      </c>
      <c r="L739" s="14">
        <v>46311.0</v>
      </c>
      <c r="M739" s="12"/>
      <c r="N739" s="9">
        <v>104.0</v>
      </c>
      <c r="O739" s="11">
        <v>4.0</v>
      </c>
      <c r="P739" s="9" t="s">
        <v>44</v>
      </c>
      <c r="Q739" s="12"/>
      <c r="R739" s="9" t="s">
        <v>90</v>
      </c>
      <c r="S739" s="9" t="s">
        <v>47</v>
      </c>
      <c r="T739" s="9" t="s">
        <v>44</v>
      </c>
      <c r="U739" s="9" t="s">
        <v>44</v>
      </c>
      <c r="V739" s="11">
        <v>120.34</v>
      </c>
      <c r="W739" s="11">
        <v>1.0</v>
      </c>
      <c r="X739" s="9" t="s">
        <v>906</v>
      </c>
      <c r="Y739" s="9" t="s">
        <v>939</v>
      </c>
      <c r="Z739" s="12"/>
      <c r="AA739" s="9">
        <v>55820.0</v>
      </c>
      <c r="AB739" s="12"/>
      <c r="AC739" s="12"/>
    </row>
    <row r="740">
      <c r="A740" s="9" t="s">
        <v>33</v>
      </c>
      <c r="B740" s="11">
        <v>6.0</v>
      </c>
      <c r="C740" s="9" t="s">
        <v>43</v>
      </c>
      <c r="D740" s="9" t="s">
        <v>55</v>
      </c>
      <c r="E740" s="9" t="s">
        <v>56</v>
      </c>
      <c r="F740" s="9" t="s">
        <v>45</v>
      </c>
      <c r="G740" s="9" t="s">
        <v>46</v>
      </c>
      <c r="H740" s="9" t="s">
        <v>281</v>
      </c>
      <c r="I740" s="11">
        <v>8177604.0</v>
      </c>
      <c r="J740" s="11">
        <v>2.668305E8</v>
      </c>
      <c r="K740" s="13">
        <v>46304.0</v>
      </c>
      <c r="L740" s="14">
        <v>46314.0</v>
      </c>
      <c r="M740" s="12"/>
      <c r="N740" s="9">
        <v>2.0</v>
      </c>
      <c r="O740" s="11">
        <v>5.0</v>
      </c>
      <c r="P740" s="9" t="s">
        <v>44</v>
      </c>
      <c r="Q740" s="12"/>
      <c r="R740" s="12"/>
      <c r="S740" s="9" t="s">
        <v>47</v>
      </c>
      <c r="T740" s="9" t="s">
        <v>44</v>
      </c>
      <c r="U740" s="9" t="s">
        <v>44</v>
      </c>
      <c r="V740" s="11">
        <v>35.9</v>
      </c>
      <c r="W740" s="11">
        <v>1.0</v>
      </c>
      <c r="X740" s="9" t="s">
        <v>906</v>
      </c>
      <c r="Y740" s="9" t="s">
        <v>929</v>
      </c>
      <c r="Z740" s="12"/>
      <c r="AA740" s="9">
        <v>55823.0</v>
      </c>
      <c r="AB740" s="12"/>
      <c r="AC740" s="12"/>
    </row>
    <row r="741">
      <c r="A741" s="9" t="s">
        <v>33</v>
      </c>
      <c r="B741" s="11">
        <v>6.0</v>
      </c>
      <c r="C741" s="9" t="s">
        <v>43</v>
      </c>
      <c r="D741" s="9" t="s">
        <v>55</v>
      </c>
      <c r="E741" s="9" t="s">
        <v>56</v>
      </c>
      <c r="F741" s="9" t="s">
        <v>45</v>
      </c>
      <c r="G741" s="9" t="s">
        <v>46</v>
      </c>
      <c r="H741" s="9" t="s">
        <v>482</v>
      </c>
      <c r="I741" s="11">
        <v>8177613.0</v>
      </c>
      <c r="J741" s="11">
        <v>2.66830503E8</v>
      </c>
      <c r="K741" s="13">
        <v>46304.0</v>
      </c>
      <c r="L741" s="14">
        <v>46324.0</v>
      </c>
      <c r="M741" s="12"/>
      <c r="N741" s="9">
        <v>104.0</v>
      </c>
      <c r="O741" s="11">
        <v>13.0</v>
      </c>
      <c r="P741" s="9" t="s">
        <v>44</v>
      </c>
      <c r="Q741" s="12"/>
      <c r="R741" s="12"/>
      <c r="S741" s="9" t="s">
        <v>47</v>
      </c>
      <c r="T741" s="9" t="s">
        <v>44</v>
      </c>
      <c r="U741" s="9" t="s">
        <v>44</v>
      </c>
      <c r="V741" s="11">
        <v>170.29</v>
      </c>
      <c r="W741" s="11">
        <v>1.0</v>
      </c>
      <c r="X741" s="9" t="s">
        <v>906</v>
      </c>
      <c r="Y741" s="9" t="s">
        <v>940</v>
      </c>
      <c r="Z741" s="12"/>
      <c r="AA741" s="9">
        <v>55825.0</v>
      </c>
      <c r="AB741" s="12"/>
      <c r="AC741" s="12"/>
    </row>
    <row r="742">
      <c r="A742" s="9" t="s">
        <v>33</v>
      </c>
      <c r="B742" s="11">
        <v>6.0</v>
      </c>
      <c r="C742" s="9" t="s">
        <v>43</v>
      </c>
      <c r="D742" s="9" t="s">
        <v>55</v>
      </c>
      <c r="E742" s="9" t="s">
        <v>56</v>
      </c>
      <c r="F742" s="9" t="s">
        <v>45</v>
      </c>
      <c r="G742" s="9" t="s">
        <v>46</v>
      </c>
      <c r="H742" s="9" t="s">
        <v>151</v>
      </c>
      <c r="I742" s="11">
        <v>8177614.0</v>
      </c>
      <c r="J742" s="11">
        <v>2.66830505E8</v>
      </c>
      <c r="K742" s="13">
        <v>46304.0</v>
      </c>
      <c r="L742" s="14">
        <v>46315.0</v>
      </c>
      <c r="M742" s="12"/>
      <c r="N742" s="9">
        <v>105.0</v>
      </c>
      <c r="O742" s="11">
        <v>6.0</v>
      </c>
      <c r="P742" s="9" t="s">
        <v>44</v>
      </c>
      <c r="Q742" s="12"/>
      <c r="R742" s="12"/>
      <c r="S742" s="9" t="s">
        <v>47</v>
      </c>
      <c r="T742" s="9" t="s">
        <v>44</v>
      </c>
      <c r="U742" s="9" t="s">
        <v>44</v>
      </c>
      <c r="V742" s="11">
        <v>40.97</v>
      </c>
      <c r="W742" s="11">
        <v>1.0</v>
      </c>
      <c r="X742" s="9" t="s">
        <v>906</v>
      </c>
      <c r="Y742" s="9" t="s">
        <v>941</v>
      </c>
      <c r="Z742" s="12"/>
      <c r="AA742" s="9">
        <v>55827.0</v>
      </c>
      <c r="AB742" s="12"/>
      <c r="AC742" s="12"/>
    </row>
    <row r="743">
      <c r="A743" s="9" t="s">
        <v>33</v>
      </c>
      <c r="B743" s="11">
        <v>6.0</v>
      </c>
      <c r="C743" s="9" t="s">
        <v>43</v>
      </c>
      <c r="D743" s="9" t="s">
        <v>55</v>
      </c>
      <c r="E743" s="9" t="s">
        <v>56</v>
      </c>
      <c r="F743" s="9" t="s">
        <v>45</v>
      </c>
      <c r="G743" s="9" t="s">
        <v>46</v>
      </c>
      <c r="H743" s="9" t="s">
        <v>495</v>
      </c>
      <c r="I743" s="11">
        <v>8177605.0</v>
      </c>
      <c r="J743" s="11">
        <v>2.66830507E8</v>
      </c>
      <c r="K743" s="13">
        <v>46304.0</v>
      </c>
      <c r="L743" s="14">
        <v>46317.0</v>
      </c>
      <c r="M743" s="12"/>
      <c r="N743" s="9">
        <v>6.0</v>
      </c>
      <c r="O743" s="11">
        <v>8.0</v>
      </c>
      <c r="P743" s="9" t="s">
        <v>44</v>
      </c>
      <c r="Q743" s="12"/>
      <c r="R743" s="12"/>
      <c r="S743" s="9" t="s">
        <v>47</v>
      </c>
      <c r="T743" s="9" t="s">
        <v>44</v>
      </c>
      <c r="U743" s="9" t="s">
        <v>44</v>
      </c>
      <c r="V743" s="11">
        <v>50.06</v>
      </c>
      <c r="W743" s="11">
        <v>1.0</v>
      </c>
      <c r="X743" s="9" t="s">
        <v>906</v>
      </c>
      <c r="Y743" s="9" t="s">
        <v>942</v>
      </c>
      <c r="Z743" s="12"/>
      <c r="AA743" s="9">
        <v>55824.0</v>
      </c>
      <c r="AB743" s="12"/>
      <c r="AC743" s="12"/>
    </row>
    <row r="744">
      <c r="A744" s="9" t="s">
        <v>33</v>
      </c>
      <c r="B744" s="11">
        <v>6.0</v>
      </c>
      <c r="C744" s="9" t="s">
        <v>43</v>
      </c>
      <c r="D744" s="9" t="s">
        <v>55</v>
      </c>
      <c r="E744" s="9" t="s">
        <v>56</v>
      </c>
      <c r="F744" s="9" t="s">
        <v>45</v>
      </c>
      <c r="G744" s="9" t="s">
        <v>46</v>
      </c>
      <c r="H744" s="9" t="s">
        <v>495</v>
      </c>
      <c r="I744" s="11">
        <v>8177587.0</v>
      </c>
      <c r="J744" s="11">
        <v>2.66831434E8</v>
      </c>
      <c r="K744" s="13">
        <v>46304.0</v>
      </c>
      <c r="L744" s="14">
        <v>46317.0</v>
      </c>
      <c r="M744" s="12"/>
      <c r="N744" s="9">
        <v>9.0</v>
      </c>
      <c r="O744" s="11">
        <v>8.0</v>
      </c>
      <c r="P744" s="9" t="s">
        <v>44</v>
      </c>
      <c r="Q744" s="12"/>
      <c r="R744" s="12"/>
      <c r="S744" s="9" t="s">
        <v>47</v>
      </c>
      <c r="T744" s="9" t="s">
        <v>44</v>
      </c>
      <c r="U744" s="9" t="s">
        <v>44</v>
      </c>
      <c r="V744" s="11">
        <v>105.95</v>
      </c>
      <c r="W744" s="11">
        <v>2.0</v>
      </c>
      <c r="X744" s="9" t="s">
        <v>906</v>
      </c>
      <c r="Y744" s="9" t="s">
        <v>943</v>
      </c>
      <c r="Z744" s="12"/>
      <c r="AA744" s="9">
        <v>55809.0</v>
      </c>
      <c r="AB744" s="12"/>
      <c r="AC744" s="12"/>
    </row>
    <row r="745">
      <c r="A745" s="9" t="s">
        <v>33</v>
      </c>
      <c r="B745" s="11">
        <v>6.0</v>
      </c>
      <c r="C745" s="9" t="s">
        <v>43</v>
      </c>
      <c r="D745" s="9" t="s">
        <v>44</v>
      </c>
      <c r="E745" s="12"/>
      <c r="F745" s="9" t="s">
        <v>45</v>
      </c>
      <c r="G745" s="9" t="s">
        <v>46</v>
      </c>
      <c r="H745" s="9" t="s">
        <v>65</v>
      </c>
      <c r="I745" s="11">
        <v>0.0</v>
      </c>
      <c r="J745" s="11">
        <v>2.66832298E8</v>
      </c>
      <c r="K745" s="13">
        <v>46304.0</v>
      </c>
      <c r="L745" s="14">
        <v>46316.0</v>
      </c>
      <c r="M745" s="12"/>
      <c r="N745" s="9">
        <v>116.0</v>
      </c>
      <c r="O745" s="11">
        <v>7.0</v>
      </c>
      <c r="P745" s="9" t="s">
        <v>44</v>
      </c>
      <c r="Q745" s="12"/>
      <c r="R745" s="12"/>
      <c r="S745" s="9" t="s">
        <v>47</v>
      </c>
      <c r="T745" s="9" t="s">
        <v>44</v>
      </c>
      <c r="U745" s="9" t="s">
        <v>44</v>
      </c>
      <c r="V745" s="11">
        <v>338.31</v>
      </c>
      <c r="W745" s="11">
        <v>1.0</v>
      </c>
      <c r="X745" s="9" t="s">
        <v>944</v>
      </c>
      <c r="Y745" s="9" t="s">
        <v>945</v>
      </c>
      <c r="Z745" s="12"/>
      <c r="AA745" s="9">
        <v>11092.0</v>
      </c>
      <c r="AB745" s="12"/>
      <c r="AC745" s="12"/>
    </row>
    <row r="746">
      <c r="A746" s="9" t="s">
        <v>33</v>
      </c>
      <c r="B746" s="11">
        <v>6.0</v>
      </c>
      <c r="C746" s="9" t="s">
        <v>43</v>
      </c>
      <c r="D746" s="9" t="s">
        <v>55</v>
      </c>
      <c r="E746" s="9" t="s">
        <v>56</v>
      </c>
      <c r="F746" s="9" t="s">
        <v>45</v>
      </c>
      <c r="G746" s="9" t="s">
        <v>46</v>
      </c>
      <c r="H746" s="9" t="s">
        <v>68</v>
      </c>
      <c r="I746" s="11">
        <v>8177627.0</v>
      </c>
      <c r="J746" s="11">
        <v>2.66832662E8</v>
      </c>
      <c r="K746" s="13">
        <v>46304.0</v>
      </c>
      <c r="L746" s="14">
        <v>46314.0</v>
      </c>
      <c r="M746" s="12"/>
      <c r="N746" s="9">
        <v>99.0</v>
      </c>
      <c r="O746" s="11">
        <v>5.0</v>
      </c>
      <c r="P746" s="9" t="s">
        <v>44</v>
      </c>
      <c r="Q746" s="12"/>
      <c r="R746" s="12"/>
      <c r="S746" s="9" t="s">
        <v>851</v>
      </c>
      <c r="T746" s="9" t="s">
        <v>44</v>
      </c>
      <c r="U746" s="9" t="s">
        <v>44</v>
      </c>
      <c r="V746" s="11">
        <v>67.72</v>
      </c>
      <c r="W746" s="11">
        <v>1.0</v>
      </c>
      <c r="X746" s="9" t="s">
        <v>946</v>
      </c>
      <c r="Y746" s="9" t="s">
        <v>859</v>
      </c>
      <c r="Z746" s="12"/>
      <c r="AA746" s="9">
        <v>1872.0</v>
      </c>
      <c r="AB746" s="12"/>
      <c r="AC746" s="12"/>
    </row>
    <row r="747">
      <c r="A747" s="9" t="s">
        <v>33</v>
      </c>
      <c r="B747" s="11">
        <v>6.0</v>
      </c>
      <c r="C747" s="9" t="s">
        <v>43</v>
      </c>
      <c r="D747" s="9" t="s">
        <v>55</v>
      </c>
      <c r="E747" s="9" t="s">
        <v>56</v>
      </c>
      <c r="F747" s="9" t="s">
        <v>45</v>
      </c>
      <c r="G747" s="9" t="s">
        <v>46</v>
      </c>
      <c r="H747" s="9" t="s">
        <v>813</v>
      </c>
      <c r="I747" s="11">
        <v>8177619.0</v>
      </c>
      <c r="J747" s="11">
        <v>2.66834263E8</v>
      </c>
      <c r="K747" s="13">
        <v>46304.0</v>
      </c>
      <c r="L747" s="14">
        <v>46322.0</v>
      </c>
      <c r="M747" s="12"/>
      <c r="N747" s="9">
        <v>11.0</v>
      </c>
      <c r="O747" s="11">
        <v>11.0</v>
      </c>
      <c r="P747" s="9" t="s">
        <v>44</v>
      </c>
      <c r="Q747" s="12"/>
      <c r="R747" s="9" t="s">
        <v>90</v>
      </c>
      <c r="S747" s="9" t="s">
        <v>47</v>
      </c>
      <c r="T747" s="9" t="s">
        <v>44</v>
      </c>
      <c r="U747" s="9" t="s">
        <v>44</v>
      </c>
      <c r="V747" s="11">
        <v>139.21</v>
      </c>
      <c r="W747" s="11">
        <v>1.0</v>
      </c>
      <c r="X747" s="9" t="s">
        <v>947</v>
      </c>
      <c r="Y747" s="9" t="s">
        <v>948</v>
      </c>
      <c r="Z747" s="12"/>
      <c r="AA747" s="9">
        <v>107278.0</v>
      </c>
      <c r="AB747" s="12"/>
      <c r="AC747" s="12"/>
    </row>
    <row r="748">
      <c r="A748" s="9" t="s">
        <v>33</v>
      </c>
      <c r="B748" s="11">
        <v>6.0</v>
      </c>
      <c r="C748" s="9" t="s">
        <v>43</v>
      </c>
      <c r="D748" s="9" t="s">
        <v>55</v>
      </c>
      <c r="E748" s="9" t="s">
        <v>56</v>
      </c>
      <c r="F748" s="9" t="s">
        <v>45</v>
      </c>
      <c r="G748" s="9" t="s">
        <v>46</v>
      </c>
      <c r="H748" s="9" t="s">
        <v>949</v>
      </c>
      <c r="I748" s="11">
        <v>8177620.0</v>
      </c>
      <c r="J748" s="11">
        <v>2.66834265E8</v>
      </c>
      <c r="K748" s="13">
        <v>46304.0</v>
      </c>
      <c r="L748" s="14">
        <v>46323.0</v>
      </c>
      <c r="M748" s="12"/>
      <c r="N748" s="9">
        <v>1.0</v>
      </c>
      <c r="O748" s="11">
        <v>12.0</v>
      </c>
      <c r="P748" s="9" t="s">
        <v>44</v>
      </c>
      <c r="Q748" s="12"/>
      <c r="R748" s="9" t="s">
        <v>90</v>
      </c>
      <c r="S748" s="9" t="s">
        <v>47</v>
      </c>
      <c r="T748" s="9" t="s">
        <v>44</v>
      </c>
      <c r="U748" s="9" t="s">
        <v>44</v>
      </c>
      <c r="V748" s="11">
        <v>155.51</v>
      </c>
      <c r="W748" s="11">
        <v>1.0</v>
      </c>
      <c r="X748" s="9" t="s">
        <v>947</v>
      </c>
      <c r="Y748" s="9" t="s">
        <v>950</v>
      </c>
      <c r="Z748" s="12"/>
      <c r="AA748" s="9">
        <v>107277.0</v>
      </c>
      <c r="AB748" s="12"/>
      <c r="AC748" s="12"/>
    </row>
    <row r="749">
      <c r="A749" s="9" t="s">
        <v>33</v>
      </c>
      <c r="B749" s="11">
        <v>6.0</v>
      </c>
      <c r="C749" s="9" t="s">
        <v>43</v>
      </c>
      <c r="D749" s="9" t="s">
        <v>55</v>
      </c>
      <c r="E749" s="9" t="s">
        <v>56</v>
      </c>
      <c r="F749" s="9" t="s">
        <v>45</v>
      </c>
      <c r="G749" s="9" t="s">
        <v>46</v>
      </c>
      <c r="H749" s="9" t="s">
        <v>381</v>
      </c>
      <c r="I749" s="11">
        <v>8177615.0</v>
      </c>
      <c r="J749" s="11">
        <v>2.66834266E8</v>
      </c>
      <c r="K749" s="13">
        <v>46304.0</v>
      </c>
      <c r="L749" s="14">
        <v>46318.0</v>
      </c>
      <c r="M749" s="12"/>
      <c r="N749" s="9">
        <v>5.0</v>
      </c>
      <c r="O749" s="11">
        <v>9.0</v>
      </c>
      <c r="P749" s="9" t="s">
        <v>44</v>
      </c>
      <c r="Q749" s="12"/>
      <c r="R749" s="9" t="s">
        <v>90</v>
      </c>
      <c r="S749" s="9" t="s">
        <v>47</v>
      </c>
      <c r="T749" s="9" t="s">
        <v>44</v>
      </c>
      <c r="U749" s="9" t="s">
        <v>44</v>
      </c>
      <c r="V749" s="11">
        <v>96.56</v>
      </c>
      <c r="W749" s="11">
        <v>2.0</v>
      </c>
      <c r="X749" s="9" t="s">
        <v>947</v>
      </c>
      <c r="Y749" s="9" t="s">
        <v>951</v>
      </c>
      <c r="Z749" s="12"/>
      <c r="AA749" s="9" t="s">
        <v>952</v>
      </c>
      <c r="AB749" s="12"/>
      <c r="AC749" s="12"/>
    </row>
    <row r="750">
      <c r="A750" s="9" t="s">
        <v>33</v>
      </c>
      <c r="B750" s="11">
        <v>6.0</v>
      </c>
      <c r="C750" s="9" t="s">
        <v>43</v>
      </c>
      <c r="D750" s="9" t="s">
        <v>55</v>
      </c>
      <c r="E750" s="9" t="s">
        <v>56</v>
      </c>
      <c r="F750" s="9" t="s">
        <v>45</v>
      </c>
      <c r="G750" s="9" t="s">
        <v>46</v>
      </c>
      <c r="H750" s="9" t="s">
        <v>99</v>
      </c>
      <c r="I750" s="11">
        <v>8177621.0</v>
      </c>
      <c r="J750" s="11">
        <v>2.66834267E8</v>
      </c>
      <c r="K750" s="13">
        <v>46304.0</v>
      </c>
      <c r="L750" s="14">
        <v>46318.0</v>
      </c>
      <c r="M750" s="12"/>
      <c r="N750" s="9">
        <v>6.0</v>
      </c>
      <c r="O750" s="11">
        <v>9.0</v>
      </c>
      <c r="P750" s="9" t="s">
        <v>44</v>
      </c>
      <c r="Q750" s="12"/>
      <c r="R750" s="9" t="s">
        <v>90</v>
      </c>
      <c r="S750" s="9" t="s">
        <v>47</v>
      </c>
      <c r="T750" s="9" t="s">
        <v>44</v>
      </c>
      <c r="U750" s="9" t="s">
        <v>44</v>
      </c>
      <c r="V750" s="11">
        <v>85.87</v>
      </c>
      <c r="W750" s="11">
        <v>3.0</v>
      </c>
      <c r="X750" s="9" t="s">
        <v>947</v>
      </c>
      <c r="Y750" s="9" t="s">
        <v>953</v>
      </c>
      <c r="Z750" s="12"/>
      <c r="AA750" s="9" t="s">
        <v>954</v>
      </c>
      <c r="AB750" s="12"/>
      <c r="AC750" s="12"/>
    </row>
    <row r="751">
      <c r="A751" s="9" t="s">
        <v>33</v>
      </c>
      <c r="B751" s="11">
        <v>6.0</v>
      </c>
      <c r="C751" s="9" t="s">
        <v>43</v>
      </c>
      <c r="D751" s="9" t="s">
        <v>55</v>
      </c>
      <c r="E751" s="9" t="s">
        <v>56</v>
      </c>
      <c r="F751" s="9" t="s">
        <v>45</v>
      </c>
      <c r="G751" s="9" t="s">
        <v>46</v>
      </c>
      <c r="H751" s="9" t="s">
        <v>444</v>
      </c>
      <c r="I751" s="11">
        <v>8177622.0</v>
      </c>
      <c r="J751" s="11">
        <v>2.66834268E8</v>
      </c>
      <c r="K751" s="13">
        <v>46304.0</v>
      </c>
      <c r="L751" s="14">
        <v>46321.0</v>
      </c>
      <c r="M751" s="12"/>
      <c r="N751" s="9">
        <v>22.0</v>
      </c>
      <c r="O751" s="11">
        <v>10.0</v>
      </c>
      <c r="P751" s="9" t="s">
        <v>44</v>
      </c>
      <c r="Q751" s="12"/>
      <c r="R751" s="12"/>
      <c r="S751" s="9" t="s">
        <v>47</v>
      </c>
      <c r="T751" s="9" t="s">
        <v>44</v>
      </c>
      <c r="U751" s="9" t="s">
        <v>44</v>
      </c>
      <c r="V751" s="11">
        <v>122.47</v>
      </c>
      <c r="W751" s="11">
        <v>1.0</v>
      </c>
      <c r="X751" s="9" t="s">
        <v>947</v>
      </c>
      <c r="Y751" s="9" t="s">
        <v>955</v>
      </c>
      <c r="Z751" s="12"/>
      <c r="AA751" s="9" t="s">
        <v>956</v>
      </c>
      <c r="AB751" s="12"/>
      <c r="AC751" s="12"/>
    </row>
    <row r="752">
      <c r="A752" s="9" t="s">
        <v>33</v>
      </c>
      <c r="B752" s="11">
        <v>6.0</v>
      </c>
      <c r="C752" s="9" t="s">
        <v>43</v>
      </c>
      <c r="D752" s="9" t="s">
        <v>55</v>
      </c>
      <c r="E752" s="9" t="s">
        <v>56</v>
      </c>
      <c r="F752" s="9" t="s">
        <v>45</v>
      </c>
      <c r="G752" s="9" t="s">
        <v>46</v>
      </c>
      <c r="H752" s="9" t="s">
        <v>70</v>
      </c>
      <c r="I752" s="11">
        <v>8177616.0</v>
      </c>
      <c r="J752" s="11">
        <v>2.6683427E8</v>
      </c>
      <c r="K752" s="13">
        <v>46304.0</v>
      </c>
      <c r="L752" s="14">
        <v>46321.0</v>
      </c>
      <c r="M752" s="12"/>
      <c r="N752" s="9">
        <v>30.0</v>
      </c>
      <c r="O752" s="11">
        <v>10.0</v>
      </c>
      <c r="P752" s="9" t="s">
        <v>44</v>
      </c>
      <c r="Q752" s="12"/>
      <c r="R752" s="12"/>
      <c r="S752" s="9" t="s">
        <v>47</v>
      </c>
      <c r="T752" s="9" t="s">
        <v>44</v>
      </c>
      <c r="U752" s="9" t="s">
        <v>44</v>
      </c>
      <c r="V752" s="11">
        <v>118.41</v>
      </c>
      <c r="W752" s="11">
        <v>2.0</v>
      </c>
      <c r="X752" s="9" t="s">
        <v>947</v>
      </c>
      <c r="Y752" s="9" t="s">
        <v>957</v>
      </c>
      <c r="Z752" s="12"/>
      <c r="AA752" s="9" t="s">
        <v>958</v>
      </c>
      <c r="AB752" s="12"/>
      <c r="AC752" s="12"/>
    </row>
    <row r="753">
      <c r="A753" s="9" t="s">
        <v>33</v>
      </c>
      <c r="B753" s="11">
        <v>6.0</v>
      </c>
      <c r="C753" s="9" t="s">
        <v>43</v>
      </c>
      <c r="D753" s="9" t="s">
        <v>55</v>
      </c>
      <c r="E753" s="9" t="s">
        <v>56</v>
      </c>
      <c r="F753" s="9" t="s">
        <v>45</v>
      </c>
      <c r="G753" s="9" t="s">
        <v>46</v>
      </c>
      <c r="H753" s="9" t="s">
        <v>68</v>
      </c>
      <c r="I753" s="11">
        <v>8177623.0</v>
      </c>
      <c r="J753" s="11">
        <v>2.66834271E8</v>
      </c>
      <c r="K753" s="13">
        <v>46304.0</v>
      </c>
      <c r="L753" s="14">
        <v>46321.0</v>
      </c>
      <c r="M753" s="12"/>
      <c r="N753" s="9">
        <v>5.0</v>
      </c>
      <c r="O753" s="11">
        <v>10.0</v>
      </c>
      <c r="P753" s="9" t="s">
        <v>44</v>
      </c>
      <c r="Q753" s="12"/>
      <c r="R753" s="12"/>
      <c r="S753" s="9" t="s">
        <v>47</v>
      </c>
      <c r="T753" s="9" t="s">
        <v>44</v>
      </c>
      <c r="U753" s="9" t="s">
        <v>44</v>
      </c>
      <c r="V753" s="11">
        <v>103.77</v>
      </c>
      <c r="W753" s="11">
        <v>1.0</v>
      </c>
      <c r="X753" s="9" t="s">
        <v>947</v>
      </c>
      <c r="Y753" s="9" t="s">
        <v>959</v>
      </c>
      <c r="Z753" s="12"/>
      <c r="AA753" s="9">
        <v>107257.0</v>
      </c>
      <c r="AB753" s="12"/>
      <c r="AC753" s="12"/>
    </row>
    <row r="754">
      <c r="A754" s="9" t="s">
        <v>33</v>
      </c>
      <c r="B754" s="11">
        <v>6.0</v>
      </c>
      <c r="C754" s="9" t="s">
        <v>43</v>
      </c>
      <c r="D754" s="9" t="s">
        <v>55</v>
      </c>
      <c r="E754" s="9" t="s">
        <v>56</v>
      </c>
      <c r="F754" s="9" t="s">
        <v>45</v>
      </c>
      <c r="G754" s="9" t="s">
        <v>46</v>
      </c>
      <c r="H754" s="9" t="s">
        <v>80</v>
      </c>
      <c r="I754" s="11">
        <v>8177624.0</v>
      </c>
      <c r="J754" s="11">
        <v>2.66834273E8</v>
      </c>
      <c r="K754" s="13">
        <v>46304.0</v>
      </c>
      <c r="L754" s="14">
        <v>46317.0</v>
      </c>
      <c r="M754" s="12"/>
      <c r="N754" s="9">
        <v>22.0</v>
      </c>
      <c r="O754" s="11">
        <v>8.0</v>
      </c>
      <c r="P754" s="9" t="s">
        <v>44</v>
      </c>
      <c r="Q754" s="12"/>
      <c r="R754" s="12"/>
      <c r="S754" s="9" t="s">
        <v>47</v>
      </c>
      <c r="T754" s="9" t="s">
        <v>44</v>
      </c>
      <c r="U754" s="9" t="s">
        <v>44</v>
      </c>
      <c r="V754" s="11">
        <v>131.21</v>
      </c>
      <c r="W754" s="11">
        <v>1.0</v>
      </c>
      <c r="X754" s="9" t="s">
        <v>947</v>
      </c>
      <c r="Y754" s="9" t="s">
        <v>960</v>
      </c>
      <c r="Z754" s="12"/>
      <c r="AA754" s="9">
        <v>107259.0</v>
      </c>
      <c r="AB754" s="12"/>
      <c r="AC754" s="12"/>
    </row>
    <row r="755">
      <c r="A755" s="9" t="s">
        <v>33</v>
      </c>
      <c r="B755" s="11">
        <v>6.0</v>
      </c>
      <c r="C755" s="9" t="s">
        <v>43</v>
      </c>
      <c r="D755" s="9" t="s">
        <v>55</v>
      </c>
      <c r="E755" s="9" t="s">
        <v>56</v>
      </c>
      <c r="F755" s="9" t="s">
        <v>45</v>
      </c>
      <c r="G755" s="9" t="s">
        <v>46</v>
      </c>
      <c r="H755" s="9" t="s">
        <v>193</v>
      </c>
      <c r="I755" s="11">
        <v>8177617.0</v>
      </c>
      <c r="J755" s="11">
        <v>2.66834274E8</v>
      </c>
      <c r="K755" s="13">
        <v>46304.0</v>
      </c>
      <c r="L755" s="14">
        <v>46321.0</v>
      </c>
      <c r="M755" s="12"/>
      <c r="N755" s="9">
        <v>5.0</v>
      </c>
      <c r="O755" s="11">
        <v>10.0</v>
      </c>
      <c r="P755" s="9" t="s">
        <v>44</v>
      </c>
      <c r="Q755" s="12"/>
      <c r="R755" s="12"/>
      <c r="S755" s="9" t="s">
        <v>47</v>
      </c>
      <c r="T755" s="9" t="s">
        <v>44</v>
      </c>
      <c r="U755" s="9" t="s">
        <v>44</v>
      </c>
      <c r="V755" s="11">
        <v>127.64</v>
      </c>
      <c r="W755" s="11">
        <v>2.0</v>
      </c>
      <c r="X755" s="9" t="s">
        <v>947</v>
      </c>
      <c r="Y755" s="9" t="s">
        <v>961</v>
      </c>
      <c r="Z755" s="12"/>
      <c r="AA755" s="9">
        <v>107262.0</v>
      </c>
      <c r="AB755" s="12"/>
      <c r="AC755" s="12"/>
    </row>
    <row r="756">
      <c r="A756" s="9" t="s">
        <v>33</v>
      </c>
      <c r="B756" s="11">
        <v>6.0</v>
      </c>
      <c r="C756" s="9" t="s">
        <v>43</v>
      </c>
      <c r="D756" s="9" t="s">
        <v>55</v>
      </c>
      <c r="E756" s="9" t="s">
        <v>56</v>
      </c>
      <c r="F756" s="9" t="s">
        <v>45</v>
      </c>
      <c r="G756" s="9" t="s">
        <v>46</v>
      </c>
      <c r="H756" s="9" t="s">
        <v>87</v>
      </c>
      <c r="I756" s="11">
        <v>8177625.0</v>
      </c>
      <c r="J756" s="11">
        <v>2.66834275E8</v>
      </c>
      <c r="K756" s="13">
        <v>46304.0</v>
      </c>
      <c r="L756" s="14">
        <v>46318.0</v>
      </c>
      <c r="M756" s="12"/>
      <c r="N756" s="9">
        <v>2.0</v>
      </c>
      <c r="O756" s="11">
        <v>9.0</v>
      </c>
      <c r="P756" s="9" t="s">
        <v>44</v>
      </c>
      <c r="Q756" s="12"/>
      <c r="R756" s="9" t="s">
        <v>90</v>
      </c>
      <c r="S756" s="9" t="s">
        <v>47</v>
      </c>
      <c r="T756" s="9" t="s">
        <v>44</v>
      </c>
      <c r="U756" s="9" t="s">
        <v>44</v>
      </c>
      <c r="V756" s="11">
        <v>173.6</v>
      </c>
      <c r="W756" s="11">
        <v>1.0</v>
      </c>
      <c r="X756" s="9" t="s">
        <v>947</v>
      </c>
      <c r="Y756" s="9" t="s">
        <v>962</v>
      </c>
      <c r="Z756" s="12"/>
      <c r="AA756" s="9">
        <v>107263.0</v>
      </c>
      <c r="AB756" s="12"/>
      <c r="AC756" s="12"/>
    </row>
    <row r="757">
      <c r="A757" s="9" t="s">
        <v>33</v>
      </c>
      <c r="B757" s="11">
        <v>6.0</v>
      </c>
      <c r="C757" s="9" t="s">
        <v>43</v>
      </c>
      <c r="D757" s="9" t="s">
        <v>55</v>
      </c>
      <c r="E757" s="9" t="s">
        <v>56</v>
      </c>
      <c r="F757" s="9" t="s">
        <v>45</v>
      </c>
      <c r="G757" s="9" t="s">
        <v>46</v>
      </c>
      <c r="H757" s="9" t="s">
        <v>326</v>
      </c>
      <c r="I757" s="11">
        <v>8177626.0</v>
      </c>
      <c r="J757" s="11">
        <v>2.66834276E8</v>
      </c>
      <c r="K757" s="13">
        <v>46304.0</v>
      </c>
      <c r="L757" s="14">
        <v>46321.0</v>
      </c>
      <c r="M757" s="12"/>
      <c r="N757" s="9">
        <v>970.0</v>
      </c>
      <c r="O757" s="11">
        <v>10.0</v>
      </c>
      <c r="P757" s="9" t="s">
        <v>44</v>
      </c>
      <c r="Q757" s="12"/>
      <c r="R757" s="12"/>
      <c r="S757" s="9" t="s">
        <v>47</v>
      </c>
      <c r="T757" s="9" t="s">
        <v>44</v>
      </c>
      <c r="U757" s="9" t="s">
        <v>44</v>
      </c>
      <c r="V757" s="11">
        <v>191.58</v>
      </c>
      <c r="W757" s="11">
        <v>1.0</v>
      </c>
      <c r="X757" s="9" t="s">
        <v>947</v>
      </c>
      <c r="Y757" s="9" t="s">
        <v>963</v>
      </c>
      <c r="Z757" s="12"/>
      <c r="AA757" s="9">
        <v>107264.0</v>
      </c>
      <c r="AB757" s="12"/>
      <c r="AC757" s="12"/>
    </row>
    <row r="758">
      <c r="A758" s="9" t="s">
        <v>33</v>
      </c>
      <c r="B758" s="11">
        <v>6.0</v>
      </c>
      <c r="C758" s="9" t="s">
        <v>43</v>
      </c>
      <c r="D758" s="9" t="s">
        <v>55</v>
      </c>
      <c r="E758" s="9" t="s">
        <v>56</v>
      </c>
      <c r="F758" s="9" t="s">
        <v>45</v>
      </c>
      <c r="G758" s="9" t="s">
        <v>46</v>
      </c>
      <c r="H758" s="9" t="s">
        <v>72</v>
      </c>
      <c r="I758" s="11">
        <v>8177628.0</v>
      </c>
      <c r="J758" s="11">
        <v>2.66835327E8</v>
      </c>
      <c r="K758" s="13">
        <v>46304.0</v>
      </c>
      <c r="L758" s="14">
        <v>46316.0</v>
      </c>
      <c r="M758" s="12"/>
      <c r="N758" s="9">
        <v>133.0</v>
      </c>
      <c r="O758" s="11">
        <v>7.0</v>
      </c>
      <c r="P758" s="9" t="s">
        <v>44</v>
      </c>
      <c r="Q758" s="12"/>
      <c r="R758" s="12"/>
      <c r="S758" s="9" t="s">
        <v>47</v>
      </c>
      <c r="T758" s="9" t="s">
        <v>44</v>
      </c>
      <c r="U758" s="9" t="s">
        <v>44</v>
      </c>
      <c r="V758" s="11">
        <v>1254.68</v>
      </c>
      <c r="W758" s="11">
        <v>46.0</v>
      </c>
      <c r="X758" s="9" t="s">
        <v>964</v>
      </c>
      <c r="Y758" s="9" t="s">
        <v>965</v>
      </c>
      <c r="Z758" s="12"/>
      <c r="AA758" s="9">
        <v>39464.0</v>
      </c>
      <c r="AB758" s="12"/>
      <c r="AC758" s="12"/>
    </row>
    <row r="759">
      <c r="A759" s="9" t="s">
        <v>33</v>
      </c>
      <c r="B759" s="11">
        <v>6.0</v>
      </c>
      <c r="C759" s="9" t="s">
        <v>43</v>
      </c>
      <c r="D759" s="9" t="s">
        <v>55</v>
      </c>
      <c r="E759" s="9" t="s">
        <v>56</v>
      </c>
      <c r="F759" s="9" t="s">
        <v>45</v>
      </c>
      <c r="G759" s="9" t="s">
        <v>46</v>
      </c>
      <c r="H759" s="9" t="s">
        <v>426</v>
      </c>
      <c r="I759" s="11">
        <v>8177596.0</v>
      </c>
      <c r="J759" s="11">
        <v>2.66837696E8</v>
      </c>
      <c r="K759" s="13">
        <v>46304.0</v>
      </c>
      <c r="L759" s="14">
        <v>46318.0</v>
      </c>
      <c r="M759" s="12"/>
      <c r="N759" s="9">
        <v>16.0</v>
      </c>
      <c r="O759" s="11">
        <v>9.0</v>
      </c>
      <c r="P759" s="9" t="s">
        <v>44</v>
      </c>
      <c r="Q759" s="12"/>
      <c r="R759" s="9" t="s">
        <v>90</v>
      </c>
      <c r="S759" s="9" t="s">
        <v>47</v>
      </c>
      <c r="T759" s="9" t="s">
        <v>44</v>
      </c>
      <c r="U759" s="9" t="s">
        <v>44</v>
      </c>
      <c r="V759" s="11">
        <v>113.2</v>
      </c>
      <c r="W759" s="11">
        <v>1.0</v>
      </c>
      <c r="X759" s="9" t="s">
        <v>906</v>
      </c>
      <c r="Y759" s="9" t="s">
        <v>966</v>
      </c>
      <c r="Z759" s="12"/>
      <c r="AA759" s="9">
        <v>55707.0</v>
      </c>
      <c r="AB759" s="12"/>
      <c r="AC759" s="12"/>
    </row>
    <row r="760">
      <c r="A760" s="9" t="s">
        <v>33</v>
      </c>
      <c r="B760" s="11">
        <v>6.0</v>
      </c>
      <c r="C760" s="9" t="s">
        <v>43</v>
      </c>
      <c r="D760" s="9" t="s">
        <v>55</v>
      </c>
      <c r="E760" s="9" t="s">
        <v>56</v>
      </c>
      <c r="F760" s="9" t="s">
        <v>45</v>
      </c>
      <c r="G760" s="9" t="s">
        <v>46</v>
      </c>
      <c r="H760" s="9" t="s">
        <v>149</v>
      </c>
      <c r="I760" s="11">
        <v>8177413.0</v>
      </c>
      <c r="J760" s="11">
        <v>2.66840091E8</v>
      </c>
      <c r="K760" s="13">
        <v>46304.0</v>
      </c>
      <c r="L760" s="14">
        <v>46316.0</v>
      </c>
      <c r="M760" s="12"/>
      <c r="N760" s="9">
        <v>102.0</v>
      </c>
      <c r="O760" s="11">
        <v>7.0</v>
      </c>
      <c r="P760" s="9" t="s">
        <v>44</v>
      </c>
      <c r="Q760" s="12"/>
      <c r="R760" s="9" t="s">
        <v>52</v>
      </c>
      <c r="S760" s="9" t="s">
        <v>47</v>
      </c>
      <c r="T760" s="9" t="s">
        <v>44</v>
      </c>
      <c r="U760" s="9" t="s">
        <v>44</v>
      </c>
      <c r="V760" s="11">
        <v>51.48</v>
      </c>
      <c r="W760" s="11">
        <v>4.0</v>
      </c>
      <c r="X760" s="9" t="s">
        <v>48</v>
      </c>
      <c r="Y760" s="9" t="s">
        <v>967</v>
      </c>
      <c r="Z760" s="12"/>
      <c r="AA760" s="9">
        <v>1306593.0</v>
      </c>
      <c r="AB760" s="12"/>
      <c r="AC760" s="9" t="s">
        <v>50</v>
      </c>
    </row>
    <row r="761">
      <c r="A761" s="9" t="s">
        <v>33</v>
      </c>
      <c r="B761" s="11">
        <v>6.0</v>
      </c>
      <c r="C761" s="9" t="s">
        <v>43</v>
      </c>
      <c r="D761" s="9" t="s">
        <v>55</v>
      </c>
      <c r="E761" s="9" t="s">
        <v>56</v>
      </c>
      <c r="F761" s="9" t="s">
        <v>45</v>
      </c>
      <c r="G761" s="9" t="s">
        <v>46</v>
      </c>
      <c r="H761" s="9" t="s">
        <v>605</v>
      </c>
      <c r="I761" s="11">
        <v>8177499.0</v>
      </c>
      <c r="J761" s="11">
        <v>2.66840092E8</v>
      </c>
      <c r="K761" s="13">
        <v>46304.0</v>
      </c>
      <c r="L761" s="14">
        <v>46316.0</v>
      </c>
      <c r="M761" s="12"/>
      <c r="N761" s="9">
        <v>105.0</v>
      </c>
      <c r="O761" s="11">
        <v>7.0</v>
      </c>
      <c r="P761" s="9" t="s">
        <v>44</v>
      </c>
      <c r="Q761" s="12"/>
      <c r="R761" s="12"/>
      <c r="S761" s="9" t="s">
        <v>47</v>
      </c>
      <c r="T761" s="9" t="s">
        <v>44</v>
      </c>
      <c r="U761" s="9" t="s">
        <v>44</v>
      </c>
      <c r="V761" s="11">
        <v>38.46</v>
      </c>
      <c r="W761" s="11">
        <v>1.0</v>
      </c>
      <c r="X761" s="9" t="s">
        <v>48</v>
      </c>
      <c r="Y761" s="9" t="s">
        <v>968</v>
      </c>
      <c r="Z761" s="12"/>
      <c r="AA761" s="9">
        <v>1306205.0</v>
      </c>
      <c r="AB761" s="12"/>
      <c r="AC761" s="9" t="s">
        <v>50</v>
      </c>
    </row>
    <row r="762">
      <c r="A762" s="9" t="s">
        <v>33</v>
      </c>
      <c r="B762" s="11">
        <v>6.0</v>
      </c>
      <c r="C762" s="9" t="s">
        <v>43</v>
      </c>
      <c r="D762" s="9" t="s">
        <v>55</v>
      </c>
      <c r="E762" s="9" t="s">
        <v>56</v>
      </c>
      <c r="F762" s="9" t="s">
        <v>45</v>
      </c>
      <c r="G762" s="9" t="s">
        <v>46</v>
      </c>
      <c r="H762" s="9" t="s">
        <v>151</v>
      </c>
      <c r="I762" s="11">
        <v>8177500.0</v>
      </c>
      <c r="J762" s="11">
        <v>2.66840093E8</v>
      </c>
      <c r="K762" s="13">
        <v>46304.0</v>
      </c>
      <c r="L762" s="14">
        <v>46316.0</v>
      </c>
      <c r="M762" s="12"/>
      <c r="N762" s="9">
        <v>102.0</v>
      </c>
      <c r="O762" s="11">
        <v>7.0</v>
      </c>
      <c r="P762" s="9" t="s">
        <v>44</v>
      </c>
      <c r="Q762" s="12"/>
      <c r="R762" s="12"/>
      <c r="S762" s="9" t="s">
        <v>47</v>
      </c>
      <c r="T762" s="9" t="s">
        <v>44</v>
      </c>
      <c r="U762" s="9" t="s">
        <v>44</v>
      </c>
      <c r="V762" s="11">
        <v>38.46</v>
      </c>
      <c r="W762" s="11">
        <v>1.0</v>
      </c>
      <c r="X762" s="9" t="s">
        <v>48</v>
      </c>
      <c r="Y762" s="9" t="s">
        <v>969</v>
      </c>
      <c r="Z762" s="12"/>
      <c r="AA762" s="9">
        <v>1306373.0</v>
      </c>
      <c r="AB762" s="12"/>
      <c r="AC762" s="9" t="s">
        <v>50</v>
      </c>
    </row>
    <row r="763">
      <c r="A763" s="9" t="s">
        <v>33</v>
      </c>
      <c r="B763" s="11">
        <v>6.0</v>
      </c>
      <c r="C763" s="9" t="s">
        <v>43</v>
      </c>
      <c r="D763" s="9" t="s">
        <v>55</v>
      </c>
      <c r="E763" s="9" t="s">
        <v>56</v>
      </c>
      <c r="F763" s="9" t="s">
        <v>45</v>
      </c>
      <c r="G763" s="9" t="s">
        <v>46</v>
      </c>
      <c r="H763" s="9" t="s">
        <v>159</v>
      </c>
      <c r="I763" s="11">
        <v>8177501.0</v>
      </c>
      <c r="J763" s="11">
        <v>2.66840094E8</v>
      </c>
      <c r="K763" s="13">
        <v>46304.0</v>
      </c>
      <c r="L763" s="14">
        <v>46317.0</v>
      </c>
      <c r="M763" s="12"/>
      <c r="N763" s="9">
        <v>115.0</v>
      </c>
      <c r="O763" s="11">
        <v>8.0</v>
      </c>
      <c r="P763" s="9" t="s">
        <v>44</v>
      </c>
      <c r="Q763" s="12"/>
      <c r="R763" s="12"/>
      <c r="S763" s="9" t="s">
        <v>47</v>
      </c>
      <c r="T763" s="9" t="s">
        <v>44</v>
      </c>
      <c r="U763" s="9" t="s">
        <v>44</v>
      </c>
      <c r="V763" s="11">
        <v>38.46</v>
      </c>
      <c r="W763" s="11">
        <v>1.0</v>
      </c>
      <c r="X763" s="9" t="s">
        <v>48</v>
      </c>
      <c r="Y763" s="9" t="s">
        <v>970</v>
      </c>
      <c r="Z763" s="12"/>
      <c r="AA763" s="9">
        <v>1306349.0</v>
      </c>
      <c r="AB763" s="12"/>
      <c r="AC763" s="9" t="s">
        <v>50</v>
      </c>
    </row>
    <row r="764">
      <c r="A764" s="9" t="s">
        <v>33</v>
      </c>
      <c r="B764" s="11">
        <v>6.0</v>
      </c>
      <c r="C764" s="9" t="s">
        <v>43</v>
      </c>
      <c r="D764" s="9" t="s">
        <v>55</v>
      </c>
      <c r="E764" s="9" t="s">
        <v>56</v>
      </c>
      <c r="F764" s="9" t="s">
        <v>45</v>
      </c>
      <c r="G764" s="9" t="s">
        <v>46</v>
      </c>
      <c r="H764" s="9" t="s">
        <v>159</v>
      </c>
      <c r="I764" s="11">
        <v>8177502.0</v>
      </c>
      <c r="J764" s="11">
        <v>2.66840096E8</v>
      </c>
      <c r="K764" s="13">
        <v>46304.0</v>
      </c>
      <c r="L764" s="14">
        <v>46316.0</v>
      </c>
      <c r="M764" s="12"/>
      <c r="N764" s="9">
        <v>101.0</v>
      </c>
      <c r="O764" s="11">
        <v>7.0</v>
      </c>
      <c r="P764" s="9" t="s">
        <v>44</v>
      </c>
      <c r="Q764" s="12"/>
      <c r="R764" s="12"/>
      <c r="S764" s="9" t="s">
        <v>47</v>
      </c>
      <c r="T764" s="9" t="s">
        <v>44</v>
      </c>
      <c r="U764" s="9" t="s">
        <v>44</v>
      </c>
      <c r="V764" s="11">
        <v>38.46</v>
      </c>
      <c r="W764" s="11">
        <v>1.0</v>
      </c>
      <c r="X764" s="9" t="s">
        <v>48</v>
      </c>
      <c r="Y764" s="9" t="s">
        <v>971</v>
      </c>
      <c r="Z764" s="12"/>
      <c r="AA764" s="9">
        <v>1306344.0</v>
      </c>
      <c r="AB764" s="12"/>
      <c r="AC764" s="9" t="s">
        <v>50</v>
      </c>
    </row>
    <row r="765">
      <c r="A765" s="9" t="s">
        <v>33</v>
      </c>
      <c r="B765" s="11">
        <v>6.0</v>
      </c>
      <c r="C765" s="9" t="s">
        <v>43</v>
      </c>
      <c r="D765" s="9" t="s">
        <v>55</v>
      </c>
      <c r="E765" s="9" t="s">
        <v>56</v>
      </c>
      <c r="F765" s="9" t="s">
        <v>45</v>
      </c>
      <c r="G765" s="9" t="s">
        <v>46</v>
      </c>
      <c r="H765" s="9" t="s">
        <v>57</v>
      </c>
      <c r="I765" s="11">
        <v>8177555.0</v>
      </c>
      <c r="J765" s="11">
        <v>2.66840098E8</v>
      </c>
      <c r="K765" s="13">
        <v>46304.0</v>
      </c>
      <c r="L765" s="14">
        <v>46318.0</v>
      </c>
      <c r="M765" s="12"/>
      <c r="N765" s="9">
        <v>104.0</v>
      </c>
      <c r="O765" s="11">
        <v>9.0</v>
      </c>
      <c r="P765" s="9" t="s">
        <v>44</v>
      </c>
      <c r="Q765" s="12"/>
      <c r="R765" s="9" t="s">
        <v>52</v>
      </c>
      <c r="S765" s="9" t="s">
        <v>47</v>
      </c>
      <c r="T765" s="9" t="s">
        <v>44</v>
      </c>
      <c r="U765" s="9" t="s">
        <v>44</v>
      </c>
      <c r="V765" s="11">
        <v>38.46</v>
      </c>
      <c r="W765" s="11">
        <v>1.0</v>
      </c>
      <c r="X765" s="9" t="s">
        <v>48</v>
      </c>
      <c r="Y765" s="9" t="s">
        <v>972</v>
      </c>
      <c r="Z765" s="12"/>
      <c r="AA765" s="9">
        <v>1306283.0</v>
      </c>
      <c r="AB765" s="12"/>
      <c r="AC765" s="9" t="s">
        <v>50</v>
      </c>
    </row>
    <row r="766">
      <c r="A766" s="9" t="s">
        <v>33</v>
      </c>
      <c r="B766" s="11">
        <v>6.0</v>
      </c>
      <c r="C766" s="9" t="s">
        <v>43</v>
      </c>
      <c r="D766" s="9" t="s">
        <v>55</v>
      </c>
      <c r="E766" s="9" t="s">
        <v>56</v>
      </c>
      <c r="F766" s="9" t="s">
        <v>45</v>
      </c>
      <c r="G766" s="9" t="s">
        <v>46</v>
      </c>
      <c r="H766" s="9" t="s">
        <v>167</v>
      </c>
      <c r="I766" s="11">
        <v>8177435.0</v>
      </c>
      <c r="J766" s="11">
        <v>2.668401E8</v>
      </c>
      <c r="K766" s="13">
        <v>46304.0</v>
      </c>
      <c r="L766" s="14">
        <v>46316.0</v>
      </c>
      <c r="M766" s="12"/>
      <c r="N766" s="9">
        <v>1.0</v>
      </c>
      <c r="O766" s="11">
        <v>7.0</v>
      </c>
      <c r="P766" s="9" t="s">
        <v>44</v>
      </c>
      <c r="Q766" s="12"/>
      <c r="R766" s="12"/>
      <c r="S766" s="9" t="s">
        <v>47</v>
      </c>
      <c r="T766" s="9" t="s">
        <v>44</v>
      </c>
      <c r="U766" s="9" t="s">
        <v>44</v>
      </c>
      <c r="V766" s="11">
        <v>38.46</v>
      </c>
      <c r="W766" s="11">
        <v>1.0</v>
      </c>
      <c r="X766" s="9" t="s">
        <v>48</v>
      </c>
      <c r="Y766" s="9" t="s">
        <v>973</v>
      </c>
      <c r="Z766" s="12"/>
      <c r="AA766" s="9">
        <v>1306513.0</v>
      </c>
      <c r="AB766" s="12"/>
      <c r="AC766" s="9" t="s">
        <v>50</v>
      </c>
    </row>
    <row r="767">
      <c r="A767" s="9" t="s">
        <v>33</v>
      </c>
      <c r="B767" s="11">
        <v>6.0</v>
      </c>
      <c r="C767" s="9" t="s">
        <v>43</v>
      </c>
      <c r="D767" s="9" t="s">
        <v>55</v>
      </c>
      <c r="E767" s="9" t="s">
        <v>56</v>
      </c>
      <c r="F767" s="9" t="s">
        <v>45</v>
      </c>
      <c r="G767" s="9" t="s">
        <v>46</v>
      </c>
      <c r="H767" s="9" t="s">
        <v>171</v>
      </c>
      <c r="I767" s="11">
        <v>8177503.0</v>
      </c>
      <c r="J767" s="11">
        <v>2.66840103E8</v>
      </c>
      <c r="K767" s="13">
        <v>46304.0</v>
      </c>
      <c r="L767" s="14">
        <v>46317.0</v>
      </c>
      <c r="M767" s="12"/>
      <c r="N767" s="9">
        <v>1.0</v>
      </c>
      <c r="O767" s="11">
        <v>8.0</v>
      </c>
      <c r="P767" s="9" t="s">
        <v>44</v>
      </c>
      <c r="Q767" s="12"/>
      <c r="R767" s="9" t="s">
        <v>52</v>
      </c>
      <c r="S767" s="9" t="s">
        <v>47</v>
      </c>
      <c r="T767" s="9" t="s">
        <v>44</v>
      </c>
      <c r="U767" s="9" t="s">
        <v>44</v>
      </c>
      <c r="V767" s="11">
        <v>38.46</v>
      </c>
      <c r="W767" s="11">
        <v>1.0</v>
      </c>
      <c r="X767" s="9" t="s">
        <v>48</v>
      </c>
      <c r="Y767" s="9" t="s">
        <v>974</v>
      </c>
      <c r="Z767" s="12"/>
      <c r="AA767" s="9">
        <v>1306264.0</v>
      </c>
      <c r="AB767" s="12"/>
      <c r="AC767" s="9" t="s">
        <v>50</v>
      </c>
    </row>
    <row r="768">
      <c r="A768" s="9" t="s">
        <v>33</v>
      </c>
      <c r="B768" s="11">
        <v>6.0</v>
      </c>
      <c r="C768" s="9" t="s">
        <v>43</v>
      </c>
      <c r="D768" s="9" t="s">
        <v>55</v>
      </c>
      <c r="E768" s="9" t="s">
        <v>56</v>
      </c>
      <c r="F768" s="9" t="s">
        <v>45</v>
      </c>
      <c r="G768" s="9" t="s">
        <v>46</v>
      </c>
      <c r="H768" s="9" t="s">
        <v>171</v>
      </c>
      <c r="I768" s="11">
        <v>8177459.0</v>
      </c>
      <c r="J768" s="11">
        <v>2.66840105E8</v>
      </c>
      <c r="K768" s="13">
        <v>46304.0</v>
      </c>
      <c r="L768" s="14">
        <v>46317.0</v>
      </c>
      <c r="M768" s="12"/>
      <c r="N768" s="9">
        <v>110.0</v>
      </c>
      <c r="O768" s="11">
        <v>8.0</v>
      </c>
      <c r="P768" s="9" t="s">
        <v>44</v>
      </c>
      <c r="Q768" s="12"/>
      <c r="R768" s="9" t="s">
        <v>52</v>
      </c>
      <c r="S768" s="9" t="s">
        <v>47</v>
      </c>
      <c r="T768" s="9" t="s">
        <v>44</v>
      </c>
      <c r="U768" s="9" t="s">
        <v>44</v>
      </c>
      <c r="V768" s="11">
        <v>38.46</v>
      </c>
      <c r="W768" s="11">
        <v>1.0</v>
      </c>
      <c r="X768" s="9" t="s">
        <v>48</v>
      </c>
      <c r="Y768" s="9" t="s">
        <v>975</v>
      </c>
      <c r="Z768" s="12"/>
      <c r="AA768" s="9">
        <v>1306214.0</v>
      </c>
      <c r="AB768" s="12"/>
      <c r="AC768" s="9" t="s">
        <v>50</v>
      </c>
    </row>
    <row r="769">
      <c r="A769" s="9" t="s">
        <v>33</v>
      </c>
      <c r="B769" s="11">
        <v>6.0</v>
      </c>
      <c r="C769" s="9" t="s">
        <v>43</v>
      </c>
      <c r="D769" s="9" t="s">
        <v>55</v>
      </c>
      <c r="E769" s="9" t="s">
        <v>56</v>
      </c>
      <c r="F769" s="9" t="s">
        <v>45</v>
      </c>
      <c r="G769" s="9" t="s">
        <v>46</v>
      </c>
      <c r="H769" s="9" t="s">
        <v>178</v>
      </c>
      <c r="I769" s="11">
        <v>8177556.0</v>
      </c>
      <c r="J769" s="11">
        <v>2.66840107E8</v>
      </c>
      <c r="K769" s="13">
        <v>46304.0</v>
      </c>
      <c r="L769" s="14">
        <v>46317.0</v>
      </c>
      <c r="M769" s="12"/>
      <c r="N769" s="9">
        <v>109.0</v>
      </c>
      <c r="O769" s="11">
        <v>8.0</v>
      </c>
      <c r="P769" s="9" t="s">
        <v>44</v>
      </c>
      <c r="Q769" s="12"/>
      <c r="R769" s="9" t="s">
        <v>52</v>
      </c>
      <c r="S769" s="9" t="s">
        <v>47</v>
      </c>
      <c r="T769" s="9" t="s">
        <v>44</v>
      </c>
      <c r="U769" s="9" t="s">
        <v>44</v>
      </c>
      <c r="V769" s="11">
        <v>38.46</v>
      </c>
      <c r="W769" s="11">
        <v>1.0</v>
      </c>
      <c r="X769" s="9" t="s">
        <v>48</v>
      </c>
      <c r="Y769" s="9" t="s">
        <v>976</v>
      </c>
      <c r="Z769" s="12"/>
      <c r="AA769" s="9">
        <v>1306316.0</v>
      </c>
      <c r="AB769" s="12"/>
      <c r="AC769" s="9" t="s">
        <v>50</v>
      </c>
    </row>
    <row r="770">
      <c r="A770" s="9" t="s">
        <v>33</v>
      </c>
      <c r="B770" s="11">
        <v>6.0</v>
      </c>
      <c r="C770" s="9" t="s">
        <v>43</v>
      </c>
      <c r="D770" s="9" t="s">
        <v>55</v>
      </c>
      <c r="E770" s="9" t="s">
        <v>56</v>
      </c>
      <c r="F770" s="9" t="s">
        <v>45</v>
      </c>
      <c r="G770" s="9" t="s">
        <v>46</v>
      </c>
      <c r="H770" s="9" t="s">
        <v>59</v>
      </c>
      <c r="I770" s="11">
        <v>8177557.0</v>
      </c>
      <c r="J770" s="11">
        <v>2.66840109E8</v>
      </c>
      <c r="K770" s="13">
        <v>46304.0</v>
      </c>
      <c r="L770" s="14">
        <v>46317.0</v>
      </c>
      <c r="M770" s="12"/>
      <c r="N770" s="9">
        <v>401.0</v>
      </c>
      <c r="O770" s="11">
        <v>8.0</v>
      </c>
      <c r="P770" s="9" t="s">
        <v>44</v>
      </c>
      <c r="Q770" s="12"/>
      <c r="R770" s="9" t="s">
        <v>52</v>
      </c>
      <c r="S770" s="9" t="s">
        <v>47</v>
      </c>
      <c r="T770" s="9" t="s">
        <v>44</v>
      </c>
      <c r="U770" s="9" t="s">
        <v>44</v>
      </c>
      <c r="V770" s="11">
        <v>38.46</v>
      </c>
      <c r="W770" s="11">
        <v>1.0</v>
      </c>
      <c r="X770" s="9" t="s">
        <v>48</v>
      </c>
      <c r="Y770" s="9" t="s">
        <v>977</v>
      </c>
      <c r="Z770" s="12"/>
      <c r="AA770" s="9">
        <v>1306430.0</v>
      </c>
      <c r="AB770" s="12"/>
      <c r="AC770" s="9" t="s">
        <v>50</v>
      </c>
    </row>
    <row r="771">
      <c r="A771" s="9" t="s">
        <v>33</v>
      </c>
      <c r="B771" s="11">
        <v>6.0</v>
      </c>
      <c r="C771" s="9" t="s">
        <v>43</v>
      </c>
      <c r="D771" s="9" t="s">
        <v>55</v>
      </c>
      <c r="E771" s="9" t="s">
        <v>56</v>
      </c>
      <c r="F771" s="9" t="s">
        <v>45</v>
      </c>
      <c r="G771" s="9" t="s">
        <v>46</v>
      </c>
      <c r="H771" s="9" t="s">
        <v>59</v>
      </c>
      <c r="I771" s="11">
        <v>8177504.0</v>
      </c>
      <c r="J771" s="11">
        <v>2.66840111E8</v>
      </c>
      <c r="K771" s="13">
        <v>46304.0</v>
      </c>
      <c r="L771" s="14">
        <v>46317.0</v>
      </c>
      <c r="M771" s="12"/>
      <c r="N771" s="9">
        <v>402.0</v>
      </c>
      <c r="O771" s="11">
        <v>8.0</v>
      </c>
      <c r="P771" s="9" t="s">
        <v>44</v>
      </c>
      <c r="Q771" s="12"/>
      <c r="R771" s="12"/>
      <c r="S771" s="9" t="s">
        <v>47</v>
      </c>
      <c r="T771" s="9" t="s">
        <v>44</v>
      </c>
      <c r="U771" s="9" t="s">
        <v>44</v>
      </c>
      <c r="V771" s="11">
        <v>38.46</v>
      </c>
      <c r="W771" s="11">
        <v>1.0</v>
      </c>
      <c r="X771" s="9" t="s">
        <v>48</v>
      </c>
      <c r="Y771" s="9" t="s">
        <v>978</v>
      </c>
      <c r="Z771" s="12"/>
      <c r="AA771" s="9">
        <v>1306467.0</v>
      </c>
      <c r="AB771" s="12"/>
      <c r="AC771" s="9" t="s">
        <v>50</v>
      </c>
    </row>
    <row r="772">
      <c r="A772" s="9" t="s">
        <v>33</v>
      </c>
      <c r="B772" s="11">
        <v>6.0</v>
      </c>
      <c r="C772" s="9" t="s">
        <v>43</v>
      </c>
      <c r="D772" s="9" t="s">
        <v>55</v>
      </c>
      <c r="E772" s="9" t="s">
        <v>56</v>
      </c>
      <c r="F772" s="9" t="s">
        <v>45</v>
      </c>
      <c r="G772" s="9" t="s">
        <v>46</v>
      </c>
      <c r="H772" s="9" t="s">
        <v>178</v>
      </c>
      <c r="I772" s="11">
        <v>8177436.0</v>
      </c>
      <c r="J772" s="11">
        <v>2.66840113E8</v>
      </c>
      <c r="K772" s="13">
        <v>46304.0</v>
      </c>
      <c r="L772" s="14">
        <v>46317.0</v>
      </c>
      <c r="M772" s="12"/>
      <c r="N772" s="9">
        <v>102.0</v>
      </c>
      <c r="O772" s="11">
        <v>8.0</v>
      </c>
      <c r="P772" s="9" t="s">
        <v>44</v>
      </c>
      <c r="Q772" s="12"/>
      <c r="R772" s="12"/>
      <c r="S772" s="9" t="s">
        <v>47</v>
      </c>
      <c r="T772" s="9" t="s">
        <v>44</v>
      </c>
      <c r="U772" s="9" t="s">
        <v>44</v>
      </c>
      <c r="V772" s="11">
        <v>38.46</v>
      </c>
      <c r="W772" s="11">
        <v>1.0</v>
      </c>
      <c r="X772" s="9" t="s">
        <v>48</v>
      </c>
      <c r="Y772" s="9" t="s">
        <v>979</v>
      </c>
      <c r="Z772" s="12"/>
      <c r="AA772" s="9">
        <v>1306463.0</v>
      </c>
      <c r="AB772" s="12"/>
      <c r="AC772" s="9" t="s">
        <v>50</v>
      </c>
    </row>
    <row r="773">
      <c r="A773" s="9" t="s">
        <v>33</v>
      </c>
      <c r="B773" s="11">
        <v>6.0</v>
      </c>
      <c r="C773" s="9" t="s">
        <v>43</v>
      </c>
      <c r="D773" s="9" t="s">
        <v>55</v>
      </c>
      <c r="E773" s="9" t="s">
        <v>56</v>
      </c>
      <c r="F773" s="9" t="s">
        <v>45</v>
      </c>
      <c r="G773" s="9" t="s">
        <v>46</v>
      </c>
      <c r="H773" s="9" t="s">
        <v>178</v>
      </c>
      <c r="I773" s="11">
        <v>8177405.0</v>
      </c>
      <c r="J773" s="11">
        <v>2.66840115E8</v>
      </c>
      <c r="K773" s="13">
        <v>46304.0</v>
      </c>
      <c r="L773" s="14">
        <v>46317.0</v>
      </c>
      <c r="M773" s="12"/>
      <c r="N773" s="9">
        <v>102.0</v>
      </c>
      <c r="O773" s="11">
        <v>8.0</v>
      </c>
      <c r="P773" s="9" t="s">
        <v>44</v>
      </c>
      <c r="Q773" s="12"/>
      <c r="R773" s="9" t="s">
        <v>52</v>
      </c>
      <c r="S773" s="9" t="s">
        <v>47</v>
      </c>
      <c r="T773" s="9" t="s">
        <v>44</v>
      </c>
      <c r="U773" s="9" t="s">
        <v>44</v>
      </c>
      <c r="V773" s="11">
        <v>52.38</v>
      </c>
      <c r="W773" s="11">
        <v>8.0</v>
      </c>
      <c r="X773" s="9" t="s">
        <v>48</v>
      </c>
      <c r="Y773" s="9" t="s">
        <v>980</v>
      </c>
      <c r="Z773" s="12"/>
      <c r="AA773" s="9">
        <v>1306550.0</v>
      </c>
      <c r="AB773" s="12"/>
      <c r="AC773" s="9" t="s">
        <v>50</v>
      </c>
    </row>
    <row r="774">
      <c r="A774" s="9" t="s">
        <v>33</v>
      </c>
      <c r="B774" s="11">
        <v>6.0</v>
      </c>
      <c r="C774" s="9" t="s">
        <v>43</v>
      </c>
      <c r="D774" s="9" t="s">
        <v>55</v>
      </c>
      <c r="E774" s="9" t="s">
        <v>56</v>
      </c>
      <c r="F774" s="9" t="s">
        <v>45</v>
      </c>
      <c r="G774" s="9" t="s">
        <v>46</v>
      </c>
      <c r="H774" s="9" t="s">
        <v>298</v>
      </c>
      <c r="I774" s="11">
        <v>8177460.0</v>
      </c>
      <c r="J774" s="11">
        <v>2.66840117E8</v>
      </c>
      <c r="K774" s="13">
        <v>46304.0</v>
      </c>
      <c r="L774" s="14">
        <v>46316.0</v>
      </c>
      <c r="M774" s="12"/>
      <c r="N774" s="9">
        <v>1.0</v>
      </c>
      <c r="O774" s="11">
        <v>7.0</v>
      </c>
      <c r="P774" s="9" t="s">
        <v>44</v>
      </c>
      <c r="Q774" s="12"/>
      <c r="R774" s="9" t="s">
        <v>52</v>
      </c>
      <c r="S774" s="9" t="s">
        <v>47</v>
      </c>
      <c r="T774" s="9" t="s">
        <v>44</v>
      </c>
      <c r="U774" s="9" t="s">
        <v>44</v>
      </c>
      <c r="V774" s="11">
        <v>38.46</v>
      </c>
      <c r="W774" s="11">
        <v>1.0</v>
      </c>
      <c r="X774" s="9" t="s">
        <v>48</v>
      </c>
      <c r="Y774" s="9" t="s">
        <v>981</v>
      </c>
      <c r="Z774" s="12"/>
      <c r="AA774" s="9">
        <v>1306174.0</v>
      </c>
      <c r="AB774" s="12"/>
      <c r="AC774" s="9" t="s">
        <v>50</v>
      </c>
    </row>
    <row r="775">
      <c r="A775" s="9" t="s">
        <v>33</v>
      </c>
      <c r="B775" s="11">
        <v>6.0</v>
      </c>
      <c r="C775" s="9" t="s">
        <v>43</v>
      </c>
      <c r="D775" s="9" t="s">
        <v>55</v>
      </c>
      <c r="E775" s="9" t="s">
        <v>56</v>
      </c>
      <c r="F775" s="9" t="s">
        <v>45</v>
      </c>
      <c r="G775" s="9" t="s">
        <v>46</v>
      </c>
      <c r="H775" s="9" t="s">
        <v>178</v>
      </c>
      <c r="I775" s="11">
        <v>8177461.0</v>
      </c>
      <c r="J775" s="11">
        <v>2.66840119E8</v>
      </c>
      <c r="K775" s="13">
        <v>46304.0</v>
      </c>
      <c r="L775" s="14">
        <v>46318.0</v>
      </c>
      <c r="M775" s="12"/>
      <c r="N775" s="9">
        <v>103.0</v>
      </c>
      <c r="O775" s="11">
        <v>9.0</v>
      </c>
      <c r="P775" s="9" t="s">
        <v>44</v>
      </c>
      <c r="Q775" s="12"/>
      <c r="R775" s="12"/>
      <c r="S775" s="9" t="s">
        <v>47</v>
      </c>
      <c r="T775" s="9" t="s">
        <v>44</v>
      </c>
      <c r="U775" s="9" t="s">
        <v>44</v>
      </c>
      <c r="V775" s="11">
        <v>38.46</v>
      </c>
      <c r="W775" s="11">
        <v>1.0</v>
      </c>
      <c r="X775" s="9" t="s">
        <v>48</v>
      </c>
      <c r="Y775" s="9" t="s">
        <v>982</v>
      </c>
      <c r="Z775" s="12"/>
      <c r="AA775" s="9">
        <v>1306498.0</v>
      </c>
      <c r="AB775" s="12"/>
      <c r="AC775" s="9" t="s">
        <v>50</v>
      </c>
    </row>
    <row r="776">
      <c r="A776" s="9" t="s">
        <v>33</v>
      </c>
      <c r="B776" s="11">
        <v>6.0</v>
      </c>
      <c r="C776" s="9" t="s">
        <v>43</v>
      </c>
      <c r="D776" s="9" t="s">
        <v>55</v>
      </c>
      <c r="E776" s="9" t="s">
        <v>56</v>
      </c>
      <c r="F776" s="9" t="s">
        <v>45</v>
      </c>
      <c r="G776" s="9" t="s">
        <v>46</v>
      </c>
      <c r="H776" s="9" t="s">
        <v>178</v>
      </c>
      <c r="I776" s="11">
        <v>8177558.0</v>
      </c>
      <c r="J776" s="11">
        <v>2.6684012E8</v>
      </c>
      <c r="K776" s="13">
        <v>46304.0</v>
      </c>
      <c r="L776" s="14">
        <v>46317.0</v>
      </c>
      <c r="M776" s="12"/>
      <c r="N776" s="9">
        <v>107.0</v>
      </c>
      <c r="O776" s="11">
        <v>8.0</v>
      </c>
      <c r="P776" s="9" t="s">
        <v>44</v>
      </c>
      <c r="Q776" s="12"/>
      <c r="R776" s="9" t="s">
        <v>52</v>
      </c>
      <c r="S776" s="9" t="s">
        <v>47</v>
      </c>
      <c r="T776" s="9" t="s">
        <v>44</v>
      </c>
      <c r="U776" s="9" t="s">
        <v>44</v>
      </c>
      <c r="V776" s="11">
        <v>38.46</v>
      </c>
      <c r="W776" s="11">
        <v>1.0</v>
      </c>
      <c r="X776" s="9" t="s">
        <v>48</v>
      </c>
      <c r="Y776" s="9" t="s">
        <v>983</v>
      </c>
      <c r="Z776" s="12"/>
      <c r="AA776" s="9">
        <v>1306492.0</v>
      </c>
      <c r="AB776" s="12"/>
      <c r="AC776" s="9" t="s">
        <v>50</v>
      </c>
    </row>
    <row r="777">
      <c r="A777" s="9" t="s">
        <v>33</v>
      </c>
      <c r="B777" s="11">
        <v>6.0</v>
      </c>
      <c r="C777" s="9" t="s">
        <v>43</v>
      </c>
      <c r="D777" s="9" t="s">
        <v>55</v>
      </c>
      <c r="E777" s="9" t="s">
        <v>56</v>
      </c>
      <c r="F777" s="9" t="s">
        <v>45</v>
      </c>
      <c r="G777" s="9" t="s">
        <v>46</v>
      </c>
      <c r="H777" s="9" t="s">
        <v>63</v>
      </c>
      <c r="I777" s="11">
        <v>8177437.0</v>
      </c>
      <c r="J777" s="11">
        <v>2.66840121E8</v>
      </c>
      <c r="K777" s="13">
        <v>46304.0</v>
      </c>
      <c r="L777" s="14">
        <v>46316.0</v>
      </c>
      <c r="M777" s="12"/>
      <c r="N777" s="9">
        <v>2.0</v>
      </c>
      <c r="O777" s="11">
        <v>7.0</v>
      </c>
      <c r="P777" s="9" t="s">
        <v>44</v>
      </c>
      <c r="Q777" s="12"/>
      <c r="R777" s="9" t="s">
        <v>52</v>
      </c>
      <c r="S777" s="9" t="s">
        <v>47</v>
      </c>
      <c r="T777" s="9" t="s">
        <v>44</v>
      </c>
      <c r="U777" s="9" t="s">
        <v>44</v>
      </c>
      <c r="V777" s="11">
        <v>38.46</v>
      </c>
      <c r="W777" s="11">
        <v>2.0</v>
      </c>
      <c r="X777" s="9" t="s">
        <v>48</v>
      </c>
      <c r="Y777" s="9" t="s">
        <v>64</v>
      </c>
      <c r="Z777" s="12"/>
      <c r="AA777" s="9">
        <v>1303546.0</v>
      </c>
      <c r="AB777" s="12"/>
      <c r="AC777" s="9" t="s">
        <v>50</v>
      </c>
    </row>
    <row r="778">
      <c r="A778" s="9" t="s">
        <v>33</v>
      </c>
      <c r="B778" s="11">
        <v>6.0</v>
      </c>
      <c r="C778" s="9" t="s">
        <v>43</v>
      </c>
      <c r="D778" s="9" t="s">
        <v>55</v>
      </c>
      <c r="E778" s="9" t="s">
        <v>56</v>
      </c>
      <c r="F778" s="9" t="s">
        <v>45</v>
      </c>
      <c r="G778" s="9" t="s">
        <v>46</v>
      </c>
      <c r="H778" s="9" t="s">
        <v>63</v>
      </c>
      <c r="I778" s="11">
        <v>8177505.0</v>
      </c>
      <c r="J778" s="11">
        <v>2.66840122E8</v>
      </c>
      <c r="K778" s="13">
        <v>46304.0</v>
      </c>
      <c r="L778" s="14">
        <v>46323.0</v>
      </c>
      <c r="M778" s="12"/>
      <c r="N778" s="9">
        <v>105.0</v>
      </c>
      <c r="O778" s="11">
        <v>12.0</v>
      </c>
      <c r="P778" s="9" t="s">
        <v>44</v>
      </c>
      <c r="Q778" s="12"/>
      <c r="R778" s="12"/>
      <c r="S778" s="9" t="s">
        <v>47</v>
      </c>
      <c r="T778" s="9" t="s">
        <v>44</v>
      </c>
      <c r="U778" s="9" t="s">
        <v>44</v>
      </c>
      <c r="V778" s="11">
        <v>38.46</v>
      </c>
      <c r="W778" s="11">
        <v>1.0</v>
      </c>
      <c r="X778" s="9" t="s">
        <v>48</v>
      </c>
      <c r="Y778" s="9" t="s">
        <v>984</v>
      </c>
      <c r="Z778" s="12"/>
      <c r="AA778" s="9">
        <v>1306254.0</v>
      </c>
      <c r="AB778" s="12"/>
      <c r="AC778" s="9" t="s">
        <v>50</v>
      </c>
    </row>
    <row r="779">
      <c r="A779" s="9" t="s">
        <v>33</v>
      </c>
      <c r="B779" s="11">
        <v>6.0</v>
      </c>
      <c r="C779" s="9" t="s">
        <v>43</v>
      </c>
      <c r="D779" s="9" t="s">
        <v>55</v>
      </c>
      <c r="E779" s="9" t="s">
        <v>56</v>
      </c>
      <c r="F779" s="9" t="s">
        <v>45</v>
      </c>
      <c r="G779" s="9" t="s">
        <v>46</v>
      </c>
      <c r="H779" s="9" t="s">
        <v>178</v>
      </c>
      <c r="I779" s="11">
        <v>8177462.0</v>
      </c>
      <c r="J779" s="11">
        <v>2.66840123E8</v>
      </c>
      <c r="K779" s="13">
        <v>46304.0</v>
      </c>
      <c r="L779" s="14">
        <v>46317.0</v>
      </c>
      <c r="M779" s="12"/>
      <c r="N779" s="9">
        <v>104.0</v>
      </c>
      <c r="O779" s="11">
        <v>8.0</v>
      </c>
      <c r="P779" s="9" t="s">
        <v>44</v>
      </c>
      <c r="Q779" s="12"/>
      <c r="R779" s="12"/>
      <c r="S779" s="9" t="s">
        <v>47</v>
      </c>
      <c r="T779" s="9" t="s">
        <v>44</v>
      </c>
      <c r="U779" s="9" t="s">
        <v>44</v>
      </c>
      <c r="V779" s="11">
        <v>38.46</v>
      </c>
      <c r="W779" s="11">
        <v>1.0</v>
      </c>
      <c r="X779" s="9" t="s">
        <v>48</v>
      </c>
      <c r="Y779" s="9" t="s">
        <v>985</v>
      </c>
      <c r="Z779" s="12"/>
      <c r="AA779" s="9">
        <v>1306414.0</v>
      </c>
      <c r="AB779" s="12"/>
      <c r="AC779" s="9" t="s">
        <v>50</v>
      </c>
    </row>
    <row r="780">
      <c r="A780" s="9" t="s">
        <v>33</v>
      </c>
      <c r="B780" s="11">
        <v>6.0</v>
      </c>
      <c r="C780" s="9" t="s">
        <v>43</v>
      </c>
      <c r="D780" s="9" t="s">
        <v>55</v>
      </c>
      <c r="E780" s="9" t="s">
        <v>56</v>
      </c>
      <c r="F780" s="9" t="s">
        <v>45</v>
      </c>
      <c r="G780" s="9" t="s">
        <v>46</v>
      </c>
      <c r="H780" s="9" t="s">
        <v>61</v>
      </c>
      <c r="I780" s="11">
        <v>8177438.0</v>
      </c>
      <c r="J780" s="11">
        <v>2.66840124E8</v>
      </c>
      <c r="K780" s="13">
        <v>46304.0</v>
      </c>
      <c r="L780" s="14">
        <v>46317.0</v>
      </c>
      <c r="M780" s="12"/>
      <c r="N780" s="9">
        <v>122.0</v>
      </c>
      <c r="O780" s="11">
        <v>8.0</v>
      </c>
      <c r="P780" s="9" t="s">
        <v>44</v>
      </c>
      <c r="Q780" s="12"/>
      <c r="R780" s="12"/>
      <c r="S780" s="9" t="s">
        <v>47</v>
      </c>
      <c r="T780" s="9" t="s">
        <v>44</v>
      </c>
      <c r="U780" s="9" t="s">
        <v>44</v>
      </c>
      <c r="V780" s="11">
        <v>38.46</v>
      </c>
      <c r="W780" s="11">
        <v>1.0</v>
      </c>
      <c r="X780" s="9" t="s">
        <v>48</v>
      </c>
      <c r="Y780" s="9" t="s">
        <v>986</v>
      </c>
      <c r="Z780" s="12"/>
      <c r="AA780" s="9">
        <v>1306448.0</v>
      </c>
      <c r="AB780" s="12"/>
      <c r="AC780" s="9" t="s">
        <v>50</v>
      </c>
    </row>
    <row r="781">
      <c r="A781" s="9" t="s">
        <v>33</v>
      </c>
      <c r="B781" s="11">
        <v>6.0</v>
      </c>
      <c r="C781" s="9" t="s">
        <v>43</v>
      </c>
      <c r="D781" s="9" t="s">
        <v>55</v>
      </c>
      <c r="E781" s="9" t="s">
        <v>56</v>
      </c>
      <c r="F781" s="9" t="s">
        <v>45</v>
      </c>
      <c r="G781" s="9" t="s">
        <v>46</v>
      </c>
      <c r="H781" s="9" t="s">
        <v>196</v>
      </c>
      <c r="I781" s="11">
        <v>8177506.0</v>
      </c>
      <c r="J781" s="11">
        <v>2.66840125E8</v>
      </c>
      <c r="K781" s="13">
        <v>46304.0</v>
      </c>
      <c r="L781" s="14">
        <v>46316.0</v>
      </c>
      <c r="M781" s="12"/>
      <c r="N781" s="9">
        <v>1.0</v>
      </c>
      <c r="O781" s="11">
        <v>7.0</v>
      </c>
      <c r="P781" s="9" t="s">
        <v>44</v>
      </c>
      <c r="Q781" s="12"/>
      <c r="R781" s="12"/>
      <c r="S781" s="9" t="s">
        <v>47</v>
      </c>
      <c r="T781" s="9" t="s">
        <v>44</v>
      </c>
      <c r="U781" s="9" t="s">
        <v>44</v>
      </c>
      <c r="V781" s="11">
        <v>38.46</v>
      </c>
      <c r="W781" s="11">
        <v>1.0</v>
      </c>
      <c r="X781" s="9" t="s">
        <v>48</v>
      </c>
      <c r="Y781" s="9" t="s">
        <v>987</v>
      </c>
      <c r="Z781" s="12"/>
      <c r="AA781" s="9">
        <v>1306409.0</v>
      </c>
      <c r="AB781" s="12"/>
      <c r="AC781" s="9" t="s">
        <v>50</v>
      </c>
    </row>
    <row r="782">
      <c r="A782" s="9" t="s">
        <v>33</v>
      </c>
      <c r="B782" s="11">
        <v>6.0</v>
      </c>
      <c r="C782" s="9" t="s">
        <v>43</v>
      </c>
      <c r="D782" s="9" t="s">
        <v>55</v>
      </c>
      <c r="E782" s="9" t="s">
        <v>56</v>
      </c>
      <c r="F782" s="9" t="s">
        <v>45</v>
      </c>
      <c r="G782" s="9" t="s">
        <v>46</v>
      </c>
      <c r="H782" s="9" t="s">
        <v>196</v>
      </c>
      <c r="I782" s="11">
        <v>8177463.0</v>
      </c>
      <c r="J782" s="11">
        <v>2.66840126E8</v>
      </c>
      <c r="K782" s="13">
        <v>46304.0</v>
      </c>
      <c r="L782" s="14">
        <v>46321.0</v>
      </c>
      <c r="M782" s="12"/>
      <c r="N782" s="9">
        <v>110.0</v>
      </c>
      <c r="O782" s="11">
        <v>10.0</v>
      </c>
      <c r="P782" s="9" t="s">
        <v>44</v>
      </c>
      <c r="Q782" s="12"/>
      <c r="R782" s="12"/>
      <c r="S782" s="9" t="s">
        <v>47</v>
      </c>
      <c r="T782" s="9" t="s">
        <v>44</v>
      </c>
      <c r="U782" s="9" t="s">
        <v>44</v>
      </c>
      <c r="V782" s="11">
        <v>38.46</v>
      </c>
      <c r="W782" s="11">
        <v>1.0</v>
      </c>
      <c r="X782" s="9" t="s">
        <v>48</v>
      </c>
      <c r="Y782" s="9" t="s">
        <v>988</v>
      </c>
      <c r="Z782" s="12"/>
      <c r="AA782" s="9">
        <v>1306410.0</v>
      </c>
      <c r="AB782" s="12"/>
      <c r="AC782" s="9" t="s">
        <v>50</v>
      </c>
    </row>
    <row r="783">
      <c r="A783" s="9" t="s">
        <v>33</v>
      </c>
      <c r="B783" s="11">
        <v>6.0</v>
      </c>
      <c r="C783" s="9" t="s">
        <v>43</v>
      </c>
      <c r="D783" s="9" t="s">
        <v>55</v>
      </c>
      <c r="E783" s="9" t="s">
        <v>56</v>
      </c>
      <c r="F783" s="9" t="s">
        <v>45</v>
      </c>
      <c r="G783" s="9" t="s">
        <v>46</v>
      </c>
      <c r="H783" s="9" t="s">
        <v>193</v>
      </c>
      <c r="I783" s="11">
        <v>8177507.0</v>
      </c>
      <c r="J783" s="11">
        <v>2.66840127E8</v>
      </c>
      <c r="K783" s="13">
        <v>46304.0</v>
      </c>
      <c r="L783" s="14">
        <v>46316.0</v>
      </c>
      <c r="M783" s="12"/>
      <c r="N783" s="9">
        <v>115.0</v>
      </c>
      <c r="O783" s="11">
        <v>7.0</v>
      </c>
      <c r="P783" s="9" t="s">
        <v>44</v>
      </c>
      <c r="Q783" s="12"/>
      <c r="R783" s="12"/>
      <c r="S783" s="9" t="s">
        <v>47</v>
      </c>
      <c r="T783" s="9" t="s">
        <v>44</v>
      </c>
      <c r="U783" s="9" t="s">
        <v>44</v>
      </c>
      <c r="V783" s="11">
        <v>38.46</v>
      </c>
      <c r="W783" s="11">
        <v>1.0</v>
      </c>
      <c r="X783" s="9" t="s">
        <v>48</v>
      </c>
      <c r="Y783" s="9" t="s">
        <v>989</v>
      </c>
      <c r="Z783" s="12"/>
      <c r="AA783" s="9">
        <v>1306459.0</v>
      </c>
      <c r="AB783" s="12"/>
      <c r="AC783" s="9" t="s">
        <v>50</v>
      </c>
    </row>
    <row r="784">
      <c r="A784" s="9" t="s">
        <v>33</v>
      </c>
      <c r="B784" s="11">
        <v>6.0</v>
      </c>
      <c r="C784" s="9" t="s">
        <v>43</v>
      </c>
      <c r="D784" s="9" t="s">
        <v>55</v>
      </c>
      <c r="E784" s="9" t="s">
        <v>56</v>
      </c>
      <c r="F784" s="9" t="s">
        <v>45</v>
      </c>
      <c r="G784" s="9" t="s">
        <v>46</v>
      </c>
      <c r="H784" s="9" t="s">
        <v>193</v>
      </c>
      <c r="I784" s="11">
        <v>8177508.0</v>
      </c>
      <c r="J784" s="11">
        <v>2.6684013E8</v>
      </c>
      <c r="K784" s="13">
        <v>46304.0</v>
      </c>
      <c r="L784" s="14">
        <v>46317.0</v>
      </c>
      <c r="M784" s="12"/>
      <c r="N784" s="9">
        <v>120.0</v>
      </c>
      <c r="O784" s="11">
        <v>8.0</v>
      </c>
      <c r="P784" s="9" t="s">
        <v>44</v>
      </c>
      <c r="Q784" s="12"/>
      <c r="R784" s="9" t="s">
        <v>52</v>
      </c>
      <c r="S784" s="9" t="s">
        <v>47</v>
      </c>
      <c r="T784" s="9" t="s">
        <v>44</v>
      </c>
      <c r="U784" s="9" t="s">
        <v>44</v>
      </c>
      <c r="V784" s="11">
        <v>38.46</v>
      </c>
      <c r="W784" s="11">
        <v>1.0</v>
      </c>
      <c r="X784" s="9" t="s">
        <v>48</v>
      </c>
      <c r="Y784" s="9" t="s">
        <v>990</v>
      </c>
      <c r="Z784" s="12"/>
      <c r="AA784" s="9">
        <v>1306279.0</v>
      </c>
      <c r="AB784" s="12"/>
      <c r="AC784" s="9" t="s">
        <v>50</v>
      </c>
    </row>
    <row r="785">
      <c r="A785" s="9" t="s">
        <v>33</v>
      </c>
      <c r="B785" s="11">
        <v>6.0</v>
      </c>
      <c r="C785" s="9" t="s">
        <v>43</v>
      </c>
      <c r="D785" s="9" t="s">
        <v>55</v>
      </c>
      <c r="E785" s="9" t="s">
        <v>56</v>
      </c>
      <c r="F785" s="9" t="s">
        <v>45</v>
      </c>
      <c r="G785" s="9" t="s">
        <v>46</v>
      </c>
      <c r="H785" s="9" t="s">
        <v>207</v>
      </c>
      <c r="I785" s="11">
        <v>8177464.0</v>
      </c>
      <c r="J785" s="11">
        <v>2.66840132E8</v>
      </c>
      <c r="K785" s="13">
        <v>46304.0</v>
      </c>
      <c r="L785" s="14">
        <v>46316.0</v>
      </c>
      <c r="M785" s="12"/>
      <c r="N785" s="9">
        <v>1.0</v>
      </c>
      <c r="O785" s="11">
        <v>7.0</v>
      </c>
      <c r="P785" s="9" t="s">
        <v>44</v>
      </c>
      <c r="Q785" s="12"/>
      <c r="R785" s="12"/>
      <c r="S785" s="9" t="s">
        <v>47</v>
      </c>
      <c r="T785" s="9" t="s">
        <v>44</v>
      </c>
      <c r="U785" s="9" t="s">
        <v>44</v>
      </c>
      <c r="V785" s="11">
        <v>38.46</v>
      </c>
      <c r="W785" s="11">
        <v>1.0</v>
      </c>
      <c r="X785" s="9" t="s">
        <v>48</v>
      </c>
      <c r="Y785" s="9" t="s">
        <v>991</v>
      </c>
      <c r="Z785" s="12"/>
      <c r="AA785" s="9">
        <v>1306231.0</v>
      </c>
      <c r="AB785" s="12"/>
      <c r="AC785" s="9" t="s">
        <v>50</v>
      </c>
    </row>
    <row r="786">
      <c r="A786" s="9" t="s">
        <v>33</v>
      </c>
      <c r="B786" s="11">
        <v>6.0</v>
      </c>
      <c r="C786" s="9" t="s">
        <v>43</v>
      </c>
      <c r="D786" s="9" t="s">
        <v>55</v>
      </c>
      <c r="E786" s="9" t="s">
        <v>56</v>
      </c>
      <c r="F786" s="9" t="s">
        <v>45</v>
      </c>
      <c r="G786" s="9" t="s">
        <v>46</v>
      </c>
      <c r="H786" s="9" t="s">
        <v>207</v>
      </c>
      <c r="I786" s="11">
        <v>8177509.0</v>
      </c>
      <c r="J786" s="11">
        <v>2.66840134E8</v>
      </c>
      <c r="K786" s="13">
        <v>46304.0</v>
      </c>
      <c r="L786" s="14">
        <v>46316.0</v>
      </c>
      <c r="M786" s="12"/>
      <c r="N786" s="9">
        <v>1.0</v>
      </c>
      <c r="O786" s="11">
        <v>7.0</v>
      </c>
      <c r="P786" s="9" t="s">
        <v>44</v>
      </c>
      <c r="Q786" s="12"/>
      <c r="R786" s="9" t="s">
        <v>52</v>
      </c>
      <c r="S786" s="9" t="s">
        <v>47</v>
      </c>
      <c r="T786" s="9" t="s">
        <v>44</v>
      </c>
      <c r="U786" s="9" t="s">
        <v>44</v>
      </c>
      <c r="V786" s="11">
        <v>38.46</v>
      </c>
      <c r="W786" s="11">
        <v>1.0</v>
      </c>
      <c r="X786" s="9" t="s">
        <v>48</v>
      </c>
      <c r="Y786" s="9" t="s">
        <v>992</v>
      </c>
      <c r="Z786" s="12"/>
      <c r="AA786" s="9">
        <v>1306248.0</v>
      </c>
      <c r="AB786" s="12"/>
      <c r="AC786" s="9" t="s">
        <v>50</v>
      </c>
    </row>
    <row r="787">
      <c r="A787" s="9" t="s">
        <v>33</v>
      </c>
      <c r="B787" s="11">
        <v>6.0</v>
      </c>
      <c r="C787" s="9" t="s">
        <v>43</v>
      </c>
      <c r="D787" s="9" t="s">
        <v>55</v>
      </c>
      <c r="E787" s="9" t="s">
        <v>56</v>
      </c>
      <c r="F787" s="9" t="s">
        <v>45</v>
      </c>
      <c r="G787" s="9" t="s">
        <v>46</v>
      </c>
      <c r="H787" s="9" t="s">
        <v>207</v>
      </c>
      <c r="I787" s="11">
        <v>8177465.0</v>
      </c>
      <c r="J787" s="11">
        <v>2.66840135E8</v>
      </c>
      <c r="K787" s="13">
        <v>46304.0</v>
      </c>
      <c r="L787" s="14">
        <v>46318.0</v>
      </c>
      <c r="M787" s="12"/>
      <c r="N787" s="9">
        <v>202.0</v>
      </c>
      <c r="O787" s="11">
        <v>9.0</v>
      </c>
      <c r="P787" s="9" t="s">
        <v>44</v>
      </c>
      <c r="Q787" s="12"/>
      <c r="R787" s="12"/>
      <c r="S787" s="9" t="s">
        <v>47</v>
      </c>
      <c r="T787" s="9" t="s">
        <v>44</v>
      </c>
      <c r="U787" s="9" t="s">
        <v>44</v>
      </c>
      <c r="V787" s="11">
        <v>38.46</v>
      </c>
      <c r="W787" s="11">
        <v>1.0</v>
      </c>
      <c r="X787" s="9" t="s">
        <v>48</v>
      </c>
      <c r="Y787" s="9" t="s">
        <v>993</v>
      </c>
      <c r="Z787" s="12"/>
      <c r="AA787" s="9">
        <v>1303854.0</v>
      </c>
      <c r="AB787" s="12"/>
      <c r="AC787" s="9" t="s">
        <v>50</v>
      </c>
    </row>
    <row r="788">
      <c r="A788" s="9" t="s">
        <v>33</v>
      </c>
      <c r="B788" s="11">
        <v>6.0</v>
      </c>
      <c r="C788" s="9" t="s">
        <v>43</v>
      </c>
      <c r="D788" s="9" t="s">
        <v>55</v>
      </c>
      <c r="E788" s="9" t="s">
        <v>56</v>
      </c>
      <c r="F788" s="9" t="s">
        <v>45</v>
      </c>
      <c r="G788" s="9" t="s">
        <v>46</v>
      </c>
      <c r="H788" s="9" t="s">
        <v>209</v>
      </c>
      <c r="I788" s="11">
        <v>8177510.0</v>
      </c>
      <c r="J788" s="11">
        <v>2.66840136E8</v>
      </c>
      <c r="K788" s="13">
        <v>46304.0</v>
      </c>
      <c r="L788" s="14">
        <v>46321.0</v>
      </c>
      <c r="M788" s="12"/>
      <c r="N788" s="9">
        <v>118.0</v>
      </c>
      <c r="O788" s="11">
        <v>10.0</v>
      </c>
      <c r="P788" s="9" t="s">
        <v>44</v>
      </c>
      <c r="Q788" s="12"/>
      <c r="R788" s="12"/>
      <c r="S788" s="9" t="s">
        <v>47</v>
      </c>
      <c r="T788" s="9" t="s">
        <v>44</v>
      </c>
      <c r="U788" s="9" t="s">
        <v>44</v>
      </c>
      <c r="V788" s="11">
        <v>38.46</v>
      </c>
      <c r="W788" s="11">
        <v>1.0</v>
      </c>
      <c r="X788" s="9" t="s">
        <v>48</v>
      </c>
      <c r="Y788" s="9" t="s">
        <v>994</v>
      </c>
      <c r="Z788" s="12"/>
      <c r="AA788" s="9">
        <v>1306229.0</v>
      </c>
      <c r="AB788" s="12"/>
      <c r="AC788" s="9" t="s">
        <v>50</v>
      </c>
    </row>
    <row r="789">
      <c r="A789" s="9" t="s">
        <v>33</v>
      </c>
      <c r="B789" s="11">
        <v>6.0</v>
      </c>
      <c r="C789" s="9" t="s">
        <v>43</v>
      </c>
      <c r="D789" s="9" t="s">
        <v>55</v>
      </c>
      <c r="E789" s="9" t="s">
        <v>56</v>
      </c>
      <c r="F789" s="9" t="s">
        <v>45</v>
      </c>
      <c r="G789" s="9" t="s">
        <v>46</v>
      </c>
      <c r="H789" s="9" t="s">
        <v>209</v>
      </c>
      <c r="I789" s="11">
        <v>8177439.0</v>
      </c>
      <c r="J789" s="11">
        <v>2.66840138E8</v>
      </c>
      <c r="K789" s="13">
        <v>46304.0</v>
      </c>
      <c r="L789" s="14">
        <v>46317.0</v>
      </c>
      <c r="M789" s="12"/>
      <c r="N789" s="9">
        <v>107.0</v>
      </c>
      <c r="O789" s="11">
        <v>8.0</v>
      </c>
      <c r="P789" s="9" t="s">
        <v>44</v>
      </c>
      <c r="Q789" s="12"/>
      <c r="R789" s="9" t="s">
        <v>52</v>
      </c>
      <c r="S789" s="9" t="s">
        <v>47</v>
      </c>
      <c r="T789" s="9" t="s">
        <v>44</v>
      </c>
      <c r="U789" s="9" t="s">
        <v>44</v>
      </c>
      <c r="V789" s="11">
        <v>38.46</v>
      </c>
      <c r="W789" s="11">
        <v>2.0</v>
      </c>
      <c r="X789" s="9" t="s">
        <v>48</v>
      </c>
      <c r="Y789" s="9" t="s">
        <v>995</v>
      </c>
      <c r="Z789" s="12"/>
      <c r="AA789" s="9">
        <v>1306067.0</v>
      </c>
      <c r="AB789" s="12"/>
      <c r="AC789" s="9" t="s">
        <v>50</v>
      </c>
    </row>
    <row r="790">
      <c r="A790" s="9" t="s">
        <v>33</v>
      </c>
      <c r="B790" s="11">
        <v>6.0</v>
      </c>
      <c r="C790" s="9" t="s">
        <v>43</v>
      </c>
      <c r="D790" s="9" t="s">
        <v>55</v>
      </c>
      <c r="E790" s="9" t="s">
        <v>56</v>
      </c>
      <c r="F790" s="9" t="s">
        <v>45</v>
      </c>
      <c r="G790" s="9" t="s">
        <v>46</v>
      </c>
      <c r="H790" s="9" t="s">
        <v>209</v>
      </c>
      <c r="I790" s="11">
        <v>8177466.0</v>
      </c>
      <c r="J790" s="11">
        <v>2.66840139E8</v>
      </c>
      <c r="K790" s="13">
        <v>46304.0</v>
      </c>
      <c r="L790" s="14">
        <v>46318.0</v>
      </c>
      <c r="M790" s="12"/>
      <c r="N790" s="9">
        <v>102.0</v>
      </c>
      <c r="O790" s="11">
        <v>9.0</v>
      </c>
      <c r="P790" s="9" t="s">
        <v>44</v>
      </c>
      <c r="Q790" s="12"/>
      <c r="R790" s="12"/>
      <c r="S790" s="9" t="s">
        <v>47</v>
      </c>
      <c r="T790" s="9" t="s">
        <v>44</v>
      </c>
      <c r="U790" s="9" t="s">
        <v>44</v>
      </c>
      <c r="V790" s="11">
        <v>38.46</v>
      </c>
      <c r="W790" s="11">
        <v>1.0</v>
      </c>
      <c r="X790" s="9" t="s">
        <v>48</v>
      </c>
      <c r="Y790" s="9" t="s">
        <v>996</v>
      </c>
      <c r="Z790" s="12"/>
      <c r="AA790" s="9">
        <v>1306378.0</v>
      </c>
      <c r="AB790" s="12"/>
      <c r="AC790" s="9" t="s">
        <v>50</v>
      </c>
    </row>
    <row r="791">
      <c r="A791" s="9" t="s">
        <v>33</v>
      </c>
      <c r="B791" s="11">
        <v>6.0</v>
      </c>
      <c r="C791" s="9" t="s">
        <v>43</v>
      </c>
      <c r="D791" s="9" t="s">
        <v>55</v>
      </c>
      <c r="E791" s="9" t="s">
        <v>56</v>
      </c>
      <c r="F791" s="9" t="s">
        <v>45</v>
      </c>
      <c r="G791" s="9" t="s">
        <v>46</v>
      </c>
      <c r="H791" s="9" t="s">
        <v>65</v>
      </c>
      <c r="I791" s="11">
        <v>8177511.0</v>
      </c>
      <c r="J791" s="11">
        <v>2.66840141E8</v>
      </c>
      <c r="K791" s="13">
        <v>46304.0</v>
      </c>
      <c r="L791" s="14">
        <v>46316.0</v>
      </c>
      <c r="M791" s="12"/>
      <c r="N791" s="9">
        <v>1.0</v>
      </c>
      <c r="O791" s="11">
        <v>7.0</v>
      </c>
      <c r="P791" s="9" t="s">
        <v>44</v>
      </c>
      <c r="Q791" s="12"/>
      <c r="R791" s="12"/>
      <c r="S791" s="9" t="s">
        <v>47</v>
      </c>
      <c r="T791" s="9" t="s">
        <v>44</v>
      </c>
      <c r="U791" s="9" t="s">
        <v>44</v>
      </c>
      <c r="V791" s="11">
        <v>38.46</v>
      </c>
      <c r="W791" s="11">
        <v>1.0</v>
      </c>
      <c r="X791" s="9" t="s">
        <v>48</v>
      </c>
      <c r="Y791" s="9" t="s">
        <v>997</v>
      </c>
      <c r="Z791" s="12"/>
      <c r="AA791" s="9">
        <v>1306211.0</v>
      </c>
      <c r="AB791" s="12"/>
      <c r="AC791" s="9" t="s">
        <v>50</v>
      </c>
    </row>
    <row r="792">
      <c r="A792" s="9" t="s">
        <v>33</v>
      </c>
      <c r="B792" s="11">
        <v>6.0</v>
      </c>
      <c r="C792" s="9" t="s">
        <v>43</v>
      </c>
      <c r="D792" s="9" t="s">
        <v>55</v>
      </c>
      <c r="E792" s="9" t="s">
        <v>56</v>
      </c>
      <c r="F792" s="9" t="s">
        <v>45</v>
      </c>
      <c r="G792" s="9" t="s">
        <v>46</v>
      </c>
      <c r="H792" s="9" t="s">
        <v>65</v>
      </c>
      <c r="I792" s="11">
        <v>8177440.0</v>
      </c>
      <c r="J792" s="11">
        <v>2.66840143E8</v>
      </c>
      <c r="K792" s="13">
        <v>46304.0</v>
      </c>
      <c r="L792" s="14">
        <v>46318.0</v>
      </c>
      <c r="M792" s="12"/>
      <c r="N792" s="9">
        <v>106.0</v>
      </c>
      <c r="O792" s="11">
        <v>9.0</v>
      </c>
      <c r="P792" s="9" t="s">
        <v>44</v>
      </c>
      <c r="Q792" s="12"/>
      <c r="R792" s="9" t="s">
        <v>52</v>
      </c>
      <c r="S792" s="9" t="s">
        <v>47</v>
      </c>
      <c r="T792" s="9" t="s">
        <v>44</v>
      </c>
      <c r="U792" s="9" t="s">
        <v>44</v>
      </c>
      <c r="V792" s="11">
        <v>38.46</v>
      </c>
      <c r="W792" s="11">
        <v>1.0</v>
      </c>
      <c r="X792" s="9" t="s">
        <v>48</v>
      </c>
      <c r="Y792" s="9" t="s">
        <v>71</v>
      </c>
      <c r="Z792" s="12"/>
      <c r="AA792" s="9">
        <v>1306345.0</v>
      </c>
      <c r="AB792" s="12"/>
      <c r="AC792" s="9" t="s">
        <v>50</v>
      </c>
    </row>
    <row r="793">
      <c r="A793" s="9" t="s">
        <v>33</v>
      </c>
      <c r="B793" s="11">
        <v>6.0</v>
      </c>
      <c r="C793" s="9" t="s">
        <v>43</v>
      </c>
      <c r="D793" s="9" t="s">
        <v>55</v>
      </c>
      <c r="E793" s="9" t="s">
        <v>56</v>
      </c>
      <c r="F793" s="9" t="s">
        <v>45</v>
      </c>
      <c r="G793" s="9" t="s">
        <v>46</v>
      </c>
      <c r="H793" s="9" t="s">
        <v>193</v>
      </c>
      <c r="I793" s="11">
        <v>8177559.0</v>
      </c>
      <c r="J793" s="11">
        <v>2.66840145E8</v>
      </c>
      <c r="K793" s="13">
        <v>46304.0</v>
      </c>
      <c r="L793" s="14">
        <v>46317.0</v>
      </c>
      <c r="M793" s="12"/>
      <c r="N793" s="9">
        <v>106.0</v>
      </c>
      <c r="O793" s="11">
        <v>8.0</v>
      </c>
      <c r="P793" s="9" t="s">
        <v>44</v>
      </c>
      <c r="Q793" s="12"/>
      <c r="R793" s="9" t="s">
        <v>52</v>
      </c>
      <c r="S793" s="9" t="s">
        <v>47</v>
      </c>
      <c r="T793" s="9" t="s">
        <v>44</v>
      </c>
      <c r="U793" s="9" t="s">
        <v>44</v>
      </c>
      <c r="V793" s="11">
        <v>38.46</v>
      </c>
      <c r="W793" s="11">
        <v>1.0</v>
      </c>
      <c r="X793" s="9" t="s">
        <v>48</v>
      </c>
      <c r="Y793" s="9" t="s">
        <v>998</v>
      </c>
      <c r="Z793" s="12"/>
      <c r="AA793" s="9">
        <v>1306516.0</v>
      </c>
      <c r="AB793" s="12"/>
      <c r="AC793" s="9" t="s">
        <v>50</v>
      </c>
    </row>
    <row r="794">
      <c r="A794" s="9" t="s">
        <v>33</v>
      </c>
      <c r="B794" s="11">
        <v>6.0</v>
      </c>
      <c r="C794" s="9" t="s">
        <v>43</v>
      </c>
      <c r="D794" s="9" t="s">
        <v>55</v>
      </c>
      <c r="E794" s="9" t="s">
        <v>56</v>
      </c>
      <c r="F794" s="9" t="s">
        <v>45</v>
      </c>
      <c r="G794" s="9" t="s">
        <v>46</v>
      </c>
      <c r="H794" s="9" t="s">
        <v>209</v>
      </c>
      <c r="I794" s="11">
        <v>8177512.0</v>
      </c>
      <c r="J794" s="11">
        <v>2.66840146E8</v>
      </c>
      <c r="K794" s="13">
        <v>46304.0</v>
      </c>
      <c r="L794" s="14">
        <v>46316.0</v>
      </c>
      <c r="M794" s="12"/>
      <c r="N794" s="9">
        <v>1.0</v>
      </c>
      <c r="O794" s="11">
        <v>7.0</v>
      </c>
      <c r="P794" s="9" t="s">
        <v>44</v>
      </c>
      <c r="Q794" s="12"/>
      <c r="R794" s="9" t="s">
        <v>52</v>
      </c>
      <c r="S794" s="9" t="s">
        <v>47</v>
      </c>
      <c r="T794" s="9" t="s">
        <v>44</v>
      </c>
      <c r="U794" s="9" t="s">
        <v>44</v>
      </c>
      <c r="V794" s="11">
        <v>38.46</v>
      </c>
      <c r="W794" s="11">
        <v>1.0</v>
      </c>
      <c r="X794" s="9" t="s">
        <v>48</v>
      </c>
      <c r="Y794" s="9" t="s">
        <v>999</v>
      </c>
      <c r="Z794" s="12"/>
      <c r="AA794" s="9">
        <v>1306271.0</v>
      </c>
      <c r="AB794" s="12"/>
      <c r="AC794" s="9" t="s">
        <v>50</v>
      </c>
    </row>
    <row r="795">
      <c r="A795" s="9" t="s">
        <v>33</v>
      </c>
      <c r="B795" s="11">
        <v>6.0</v>
      </c>
      <c r="C795" s="9" t="s">
        <v>43</v>
      </c>
      <c r="D795" s="9" t="s">
        <v>55</v>
      </c>
      <c r="E795" s="9" t="s">
        <v>56</v>
      </c>
      <c r="F795" s="9" t="s">
        <v>45</v>
      </c>
      <c r="G795" s="9" t="s">
        <v>46</v>
      </c>
      <c r="H795" s="9" t="s">
        <v>209</v>
      </c>
      <c r="I795" s="11">
        <v>8177513.0</v>
      </c>
      <c r="J795" s="11">
        <v>2.66840148E8</v>
      </c>
      <c r="K795" s="13">
        <v>46304.0</v>
      </c>
      <c r="L795" s="14">
        <v>46316.0</v>
      </c>
      <c r="M795" s="12"/>
      <c r="N795" s="9">
        <v>3.0</v>
      </c>
      <c r="O795" s="11">
        <v>7.0</v>
      </c>
      <c r="P795" s="9" t="s">
        <v>44</v>
      </c>
      <c r="Q795" s="12"/>
      <c r="R795" s="12"/>
      <c r="S795" s="9" t="s">
        <v>47</v>
      </c>
      <c r="T795" s="9" t="s">
        <v>44</v>
      </c>
      <c r="U795" s="9" t="s">
        <v>44</v>
      </c>
      <c r="V795" s="11">
        <v>38.46</v>
      </c>
      <c r="W795" s="11">
        <v>1.0</v>
      </c>
      <c r="X795" s="9" t="s">
        <v>48</v>
      </c>
      <c r="Y795" s="9" t="s">
        <v>1000</v>
      </c>
      <c r="Z795" s="12"/>
      <c r="AA795" s="9">
        <v>1306387.0</v>
      </c>
      <c r="AB795" s="12"/>
      <c r="AC795" s="9" t="s">
        <v>50</v>
      </c>
    </row>
    <row r="796">
      <c r="A796" s="9" t="s">
        <v>33</v>
      </c>
      <c r="B796" s="11">
        <v>6.0</v>
      </c>
      <c r="C796" s="9" t="s">
        <v>43</v>
      </c>
      <c r="D796" s="9" t="s">
        <v>55</v>
      </c>
      <c r="E796" s="9" t="s">
        <v>56</v>
      </c>
      <c r="F796" s="9" t="s">
        <v>45</v>
      </c>
      <c r="G796" s="9" t="s">
        <v>46</v>
      </c>
      <c r="H796" s="9" t="s">
        <v>209</v>
      </c>
      <c r="I796" s="11">
        <v>8177514.0</v>
      </c>
      <c r="J796" s="11">
        <v>2.6684015E8</v>
      </c>
      <c r="K796" s="13">
        <v>46304.0</v>
      </c>
      <c r="L796" s="14">
        <v>46317.0</v>
      </c>
      <c r="M796" s="12"/>
      <c r="N796" s="9">
        <v>115.0</v>
      </c>
      <c r="O796" s="11">
        <v>8.0</v>
      </c>
      <c r="P796" s="9" t="s">
        <v>44</v>
      </c>
      <c r="Q796" s="12"/>
      <c r="R796" s="9" t="s">
        <v>52</v>
      </c>
      <c r="S796" s="9" t="s">
        <v>47</v>
      </c>
      <c r="T796" s="9" t="s">
        <v>44</v>
      </c>
      <c r="U796" s="9" t="s">
        <v>44</v>
      </c>
      <c r="V796" s="11">
        <v>38.46</v>
      </c>
      <c r="W796" s="11">
        <v>1.0</v>
      </c>
      <c r="X796" s="9" t="s">
        <v>48</v>
      </c>
      <c r="Y796" s="9" t="s">
        <v>1001</v>
      </c>
      <c r="Z796" s="12"/>
      <c r="AA796" s="9">
        <v>1306262.0</v>
      </c>
      <c r="AB796" s="12"/>
      <c r="AC796" s="9" t="s">
        <v>50</v>
      </c>
    </row>
    <row r="797">
      <c r="A797" s="9" t="s">
        <v>33</v>
      </c>
      <c r="B797" s="11">
        <v>6.0</v>
      </c>
      <c r="C797" s="9" t="s">
        <v>43</v>
      </c>
      <c r="D797" s="9" t="s">
        <v>55</v>
      </c>
      <c r="E797" s="9" t="s">
        <v>56</v>
      </c>
      <c r="F797" s="9" t="s">
        <v>45</v>
      </c>
      <c r="G797" s="9" t="s">
        <v>46</v>
      </c>
      <c r="H797" s="9" t="s">
        <v>209</v>
      </c>
      <c r="I797" s="11">
        <v>8177560.0</v>
      </c>
      <c r="J797" s="11">
        <v>2.66840151E8</v>
      </c>
      <c r="K797" s="13">
        <v>46304.0</v>
      </c>
      <c r="L797" s="14">
        <v>46317.0</v>
      </c>
      <c r="M797" s="12"/>
      <c r="N797" s="9">
        <v>105.0</v>
      </c>
      <c r="O797" s="11">
        <v>8.0</v>
      </c>
      <c r="P797" s="9" t="s">
        <v>44</v>
      </c>
      <c r="Q797" s="12"/>
      <c r="R797" s="9" t="s">
        <v>52</v>
      </c>
      <c r="S797" s="9" t="s">
        <v>47</v>
      </c>
      <c r="T797" s="9" t="s">
        <v>44</v>
      </c>
      <c r="U797" s="9" t="s">
        <v>44</v>
      </c>
      <c r="V797" s="11">
        <v>38.46</v>
      </c>
      <c r="W797" s="11">
        <v>1.0</v>
      </c>
      <c r="X797" s="9" t="s">
        <v>48</v>
      </c>
      <c r="Y797" s="9" t="s">
        <v>1002</v>
      </c>
      <c r="Z797" s="12"/>
      <c r="AA797" s="9">
        <v>1306477.0</v>
      </c>
      <c r="AB797" s="12"/>
      <c r="AC797" s="9" t="s">
        <v>50</v>
      </c>
    </row>
    <row r="798">
      <c r="A798" s="9" t="s">
        <v>33</v>
      </c>
      <c r="B798" s="11">
        <v>6.0</v>
      </c>
      <c r="C798" s="9" t="s">
        <v>43</v>
      </c>
      <c r="D798" s="9" t="s">
        <v>55</v>
      </c>
      <c r="E798" s="9" t="s">
        <v>56</v>
      </c>
      <c r="F798" s="9" t="s">
        <v>45</v>
      </c>
      <c r="G798" s="9" t="s">
        <v>46</v>
      </c>
      <c r="H798" s="9" t="s">
        <v>193</v>
      </c>
      <c r="I798" s="11">
        <v>8177515.0</v>
      </c>
      <c r="J798" s="11">
        <v>2.66840153E8</v>
      </c>
      <c r="K798" s="13">
        <v>46304.0</v>
      </c>
      <c r="L798" s="14">
        <v>46317.0</v>
      </c>
      <c r="M798" s="12"/>
      <c r="N798" s="9">
        <v>117.0</v>
      </c>
      <c r="O798" s="11">
        <v>8.0</v>
      </c>
      <c r="P798" s="9" t="s">
        <v>44</v>
      </c>
      <c r="Q798" s="12"/>
      <c r="R798" s="12"/>
      <c r="S798" s="9" t="s">
        <v>47</v>
      </c>
      <c r="T798" s="9" t="s">
        <v>44</v>
      </c>
      <c r="U798" s="9" t="s">
        <v>44</v>
      </c>
      <c r="V798" s="11">
        <v>38.46</v>
      </c>
      <c r="W798" s="11">
        <v>1.0</v>
      </c>
      <c r="X798" s="9" t="s">
        <v>48</v>
      </c>
      <c r="Y798" s="9" t="s">
        <v>1003</v>
      </c>
      <c r="Z798" s="12"/>
      <c r="AA798" s="9">
        <v>1306278.0</v>
      </c>
      <c r="AB798" s="12"/>
      <c r="AC798" s="9" t="s">
        <v>50</v>
      </c>
    </row>
    <row r="799">
      <c r="A799" s="9" t="s">
        <v>33</v>
      </c>
      <c r="B799" s="11">
        <v>6.0</v>
      </c>
      <c r="C799" s="9" t="s">
        <v>43</v>
      </c>
      <c r="D799" s="9" t="s">
        <v>55</v>
      </c>
      <c r="E799" s="9" t="s">
        <v>56</v>
      </c>
      <c r="F799" s="9" t="s">
        <v>45</v>
      </c>
      <c r="G799" s="9" t="s">
        <v>46</v>
      </c>
      <c r="H799" s="9" t="s">
        <v>68</v>
      </c>
      <c r="I799" s="11">
        <v>8177414.0</v>
      </c>
      <c r="J799" s="11">
        <v>2.66840154E8</v>
      </c>
      <c r="K799" s="13">
        <v>46304.0</v>
      </c>
      <c r="L799" s="14">
        <v>46316.0</v>
      </c>
      <c r="M799" s="12"/>
      <c r="N799" s="9">
        <v>61.0</v>
      </c>
      <c r="O799" s="11">
        <v>7.0</v>
      </c>
      <c r="P799" s="9" t="s">
        <v>44</v>
      </c>
      <c r="Q799" s="12"/>
      <c r="R799" s="12"/>
      <c r="S799" s="9" t="s">
        <v>47</v>
      </c>
      <c r="T799" s="9" t="s">
        <v>44</v>
      </c>
      <c r="U799" s="9" t="s">
        <v>44</v>
      </c>
      <c r="V799" s="11">
        <v>70.11</v>
      </c>
      <c r="W799" s="11">
        <v>2.0</v>
      </c>
      <c r="X799" s="9" t="s">
        <v>48</v>
      </c>
      <c r="Y799" s="9" t="s">
        <v>1004</v>
      </c>
      <c r="Z799" s="12"/>
      <c r="AA799" s="9">
        <v>1306087.0</v>
      </c>
      <c r="AB799" s="12"/>
      <c r="AC799" s="9" t="s">
        <v>50</v>
      </c>
    </row>
    <row r="800">
      <c r="A800" s="9" t="s">
        <v>33</v>
      </c>
      <c r="B800" s="11">
        <v>6.0</v>
      </c>
      <c r="C800" s="9" t="s">
        <v>43</v>
      </c>
      <c r="D800" s="9" t="s">
        <v>55</v>
      </c>
      <c r="E800" s="9" t="s">
        <v>56</v>
      </c>
      <c r="F800" s="9" t="s">
        <v>45</v>
      </c>
      <c r="G800" s="9" t="s">
        <v>46</v>
      </c>
      <c r="H800" s="9" t="s">
        <v>222</v>
      </c>
      <c r="I800" s="11">
        <v>8177441.0</v>
      </c>
      <c r="J800" s="11">
        <v>2.66840156E8</v>
      </c>
      <c r="K800" s="13">
        <v>46304.0</v>
      </c>
      <c r="L800" s="14">
        <v>46316.0</v>
      </c>
      <c r="M800" s="12"/>
      <c r="N800" s="9">
        <v>2201.0</v>
      </c>
      <c r="O800" s="11">
        <v>7.0</v>
      </c>
      <c r="P800" s="9" t="s">
        <v>44</v>
      </c>
      <c r="Q800" s="12"/>
      <c r="R800" s="9" t="s">
        <v>52</v>
      </c>
      <c r="S800" s="9" t="s">
        <v>47</v>
      </c>
      <c r="T800" s="9" t="s">
        <v>44</v>
      </c>
      <c r="U800" s="9" t="s">
        <v>44</v>
      </c>
      <c r="V800" s="11">
        <v>45.49</v>
      </c>
      <c r="W800" s="11">
        <v>2.0</v>
      </c>
      <c r="X800" s="9" t="s">
        <v>48</v>
      </c>
      <c r="Y800" s="9" t="s">
        <v>1005</v>
      </c>
      <c r="Z800" s="12"/>
      <c r="AA800" s="9">
        <v>1306348.0</v>
      </c>
      <c r="AB800" s="12"/>
      <c r="AC800" s="9" t="s">
        <v>50</v>
      </c>
    </row>
    <row r="801">
      <c r="A801" s="9" t="s">
        <v>33</v>
      </c>
      <c r="B801" s="11">
        <v>6.0</v>
      </c>
      <c r="C801" s="9" t="s">
        <v>43</v>
      </c>
      <c r="D801" s="9" t="s">
        <v>55</v>
      </c>
      <c r="E801" s="9" t="s">
        <v>56</v>
      </c>
      <c r="F801" s="9" t="s">
        <v>45</v>
      </c>
      <c r="G801" s="9" t="s">
        <v>46</v>
      </c>
      <c r="H801" s="9" t="s">
        <v>68</v>
      </c>
      <c r="I801" s="11">
        <v>8177442.0</v>
      </c>
      <c r="J801" s="11">
        <v>2.66840157E8</v>
      </c>
      <c r="K801" s="13">
        <v>46304.0</v>
      </c>
      <c r="L801" s="14">
        <v>46316.0</v>
      </c>
      <c r="M801" s="12"/>
      <c r="N801" s="9">
        <v>21.0</v>
      </c>
      <c r="O801" s="11">
        <v>7.0</v>
      </c>
      <c r="P801" s="9" t="s">
        <v>44</v>
      </c>
      <c r="Q801" s="12"/>
      <c r="R801" s="12"/>
      <c r="S801" s="9" t="s">
        <v>47</v>
      </c>
      <c r="T801" s="9" t="s">
        <v>44</v>
      </c>
      <c r="U801" s="9" t="s">
        <v>44</v>
      </c>
      <c r="V801" s="11">
        <v>67.79</v>
      </c>
      <c r="W801" s="11">
        <v>1.0</v>
      </c>
      <c r="X801" s="9" t="s">
        <v>48</v>
      </c>
      <c r="Y801" s="9" t="s">
        <v>1006</v>
      </c>
      <c r="Z801" s="12"/>
      <c r="AA801" s="9">
        <v>1306384.0</v>
      </c>
      <c r="AB801" s="12"/>
      <c r="AC801" s="9" t="s">
        <v>50</v>
      </c>
    </row>
    <row r="802">
      <c r="A802" s="9" t="s">
        <v>33</v>
      </c>
      <c r="B802" s="11">
        <v>6.0</v>
      </c>
      <c r="C802" s="9" t="s">
        <v>43</v>
      </c>
      <c r="D802" s="9" t="s">
        <v>55</v>
      </c>
      <c r="E802" s="9" t="s">
        <v>56</v>
      </c>
      <c r="F802" s="9" t="s">
        <v>45</v>
      </c>
      <c r="G802" s="9" t="s">
        <v>46</v>
      </c>
      <c r="H802" s="9" t="s">
        <v>68</v>
      </c>
      <c r="I802" s="11">
        <v>8177571.0</v>
      </c>
      <c r="J802" s="11">
        <v>2.66840159E8</v>
      </c>
      <c r="K802" s="13">
        <v>46304.0</v>
      </c>
      <c r="L802" s="14">
        <v>46316.0</v>
      </c>
      <c r="M802" s="12"/>
      <c r="N802" s="9">
        <v>90.0</v>
      </c>
      <c r="O802" s="11">
        <v>7.0</v>
      </c>
      <c r="P802" s="9" t="s">
        <v>44</v>
      </c>
      <c r="Q802" s="12"/>
      <c r="R802" s="12"/>
      <c r="S802" s="9" t="s">
        <v>47</v>
      </c>
      <c r="T802" s="9" t="s">
        <v>44</v>
      </c>
      <c r="U802" s="9" t="s">
        <v>44</v>
      </c>
      <c r="V802" s="11">
        <v>144.64</v>
      </c>
      <c r="W802" s="11">
        <v>7.0</v>
      </c>
      <c r="X802" s="9" t="s">
        <v>48</v>
      </c>
      <c r="Y802" s="9" t="s">
        <v>1007</v>
      </c>
      <c r="Z802" s="12"/>
      <c r="AA802" s="9">
        <v>1306540.0</v>
      </c>
      <c r="AB802" s="12"/>
      <c r="AC802" s="9" t="s">
        <v>50</v>
      </c>
    </row>
    <row r="803">
      <c r="A803" s="9" t="s">
        <v>33</v>
      </c>
      <c r="B803" s="11">
        <v>6.0</v>
      </c>
      <c r="C803" s="9" t="s">
        <v>43</v>
      </c>
      <c r="D803" s="9" t="s">
        <v>55</v>
      </c>
      <c r="E803" s="9" t="s">
        <v>56</v>
      </c>
      <c r="F803" s="9" t="s">
        <v>45</v>
      </c>
      <c r="G803" s="9" t="s">
        <v>46</v>
      </c>
      <c r="H803" s="9" t="s">
        <v>68</v>
      </c>
      <c r="I803" s="11">
        <v>8177415.0</v>
      </c>
      <c r="J803" s="11">
        <v>2.6684016E8</v>
      </c>
      <c r="K803" s="13">
        <v>46304.0</v>
      </c>
      <c r="L803" s="14">
        <v>46316.0</v>
      </c>
      <c r="M803" s="12"/>
      <c r="N803" s="9">
        <v>10.0</v>
      </c>
      <c r="O803" s="11">
        <v>7.0</v>
      </c>
      <c r="P803" s="9" t="s">
        <v>44</v>
      </c>
      <c r="Q803" s="12"/>
      <c r="R803" s="12"/>
      <c r="S803" s="9" t="s">
        <v>47</v>
      </c>
      <c r="T803" s="9" t="s">
        <v>44</v>
      </c>
      <c r="U803" s="9" t="s">
        <v>44</v>
      </c>
      <c r="V803" s="11">
        <v>67.86</v>
      </c>
      <c r="W803" s="11">
        <v>1.0</v>
      </c>
      <c r="X803" s="9" t="s">
        <v>48</v>
      </c>
      <c r="Y803" s="9" t="s">
        <v>230</v>
      </c>
      <c r="Z803" s="12"/>
      <c r="AA803" s="9">
        <v>1306454.0</v>
      </c>
      <c r="AB803" s="12"/>
      <c r="AC803" s="9" t="s">
        <v>50</v>
      </c>
    </row>
    <row r="804">
      <c r="A804" s="9" t="s">
        <v>33</v>
      </c>
      <c r="B804" s="11">
        <v>6.0</v>
      </c>
      <c r="C804" s="9" t="s">
        <v>43</v>
      </c>
      <c r="D804" s="9" t="s">
        <v>55</v>
      </c>
      <c r="E804" s="9" t="s">
        <v>56</v>
      </c>
      <c r="F804" s="9" t="s">
        <v>45</v>
      </c>
      <c r="G804" s="9" t="s">
        <v>46</v>
      </c>
      <c r="H804" s="9" t="s">
        <v>233</v>
      </c>
      <c r="I804" s="11">
        <v>8177467.0</v>
      </c>
      <c r="J804" s="11">
        <v>2.66840163E8</v>
      </c>
      <c r="K804" s="13">
        <v>46304.0</v>
      </c>
      <c r="L804" s="14">
        <v>46316.0</v>
      </c>
      <c r="M804" s="12"/>
      <c r="N804" s="9">
        <v>81.0</v>
      </c>
      <c r="O804" s="11">
        <v>7.0</v>
      </c>
      <c r="P804" s="9" t="s">
        <v>44</v>
      </c>
      <c r="Q804" s="12"/>
      <c r="R804" s="12"/>
      <c r="S804" s="9" t="s">
        <v>47</v>
      </c>
      <c r="T804" s="9" t="s">
        <v>44</v>
      </c>
      <c r="U804" s="9" t="s">
        <v>44</v>
      </c>
      <c r="V804" s="11">
        <v>68.49</v>
      </c>
      <c r="W804" s="11">
        <v>1.0</v>
      </c>
      <c r="X804" s="9" t="s">
        <v>48</v>
      </c>
      <c r="Y804" s="9" t="s">
        <v>1008</v>
      </c>
      <c r="Z804" s="12"/>
      <c r="AA804" s="9">
        <v>1306431.0</v>
      </c>
      <c r="AB804" s="12"/>
      <c r="AC804" s="9" t="s">
        <v>50</v>
      </c>
    </row>
    <row r="805">
      <c r="A805" s="9" t="s">
        <v>33</v>
      </c>
      <c r="B805" s="11">
        <v>6.0</v>
      </c>
      <c r="C805" s="9" t="s">
        <v>43</v>
      </c>
      <c r="D805" s="9" t="s">
        <v>55</v>
      </c>
      <c r="E805" s="9" t="s">
        <v>56</v>
      </c>
      <c r="F805" s="9" t="s">
        <v>45</v>
      </c>
      <c r="G805" s="9" t="s">
        <v>46</v>
      </c>
      <c r="H805" s="9" t="s">
        <v>222</v>
      </c>
      <c r="I805" s="11">
        <v>8177443.0</v>
      </c>
      <c r="J805" s="11">
        <v>2.66840165E8</v>
      </c>
      <c r="K805" s="13">
        <v>46304.0</v>
      </c>
      <c r="L805" s="14">
        <v>46316.0</v>
      </c>
      <c r="M805" s="12"/>
      <c r="N805" s="9">
        <v>2707.0</v>
      </c>
      <c r="O805" s="11">
        <v>7.0</v>
      </c>
      <c r="P805" s="9" t="s">
        <v>44</v>
      </c>
      <c r="Q805" s="12"/>
      <c r="R805" s="9" t="s">
        <v>52</v>
      </c>
      <c r="S805" s="9" t="s">
        <v>47</v>
      </c>
      <c r="T805" s="9" t="s">
        <v>44</v>
      </c>
      <c r="U805" s="9" t="s">
        <v>44</v>
      </c>
      <c r="V805" s="11">
        <v>51.48</v>
      </c>
      <c r="W805" s="11">
        <v>4.0</v>
      </c>
      <c r="X805" s="9" t="s">
        <v>48</v>
      </c>
      <c r="Y805" s="9" t="s">
        <v>1009</v>
      </c>
      <c r="Z805" s="12"/>
      <c r="AA805" s="9">
        <v>1306342.0</v>
      </c>
      <c r="AB805" s="12"/>
      <c r="AC805" s="9" t="s">
        <v>50</v>
      </c>
    </row>
    <row r="806">
      <c r="A806" s="9" t="s">
        <v>33</v>
      </c>
      <c r="B806" s="11">
        <v>6.0</v>
      </c>
      <c r="C806" s="9" t="s">
        <v>43</v>
      </c>
      <c r="D806" s="9" t="s">
        <v>55</v>
      </c>
      <c r="E806" s="9" t="s">
        <v>56</v>
      </c>
      <c r="F806" s="9" t="s">
        <v>45</v>
      </c>
      <c r="G806" s="9" t="s">
        <v>46</v>
      </c>
      <c r="H806" s="9" t="s">
        <v>247</v>
      </c>
      <c r="I806" s="11">
        <v>8177516.0</v>
      </c>
      <c r="J806" s="11">
        <v>2.66840167E8</v>
      </c>
      <c r="K806" s="13">
        <v>46304.0</v>
      </c>
      <c r="L806" s="14">
        <v>46317.0</v>
      </c>
      <c r="M806" s="12"/>
      <c r="N806" s="9">
        <v>107.0</v>
      </c>
      <c r="O806" s="11">
        <v>8.0</v>
      </c>
      <c r="P806" s="9" t="s">
        <v>44</v>
      </c>
      <c r="Q806" s="12"/>
      <c r="R806" s="12"/>
      <c r="S806" s="9" t="s">
        <v>47</v>
      </c>
      <c r="T806" s="9" t="s">
        <v>44</v>
      </c>
      <c r="U806" s="9" t="s">
        <v>44</v>
      </c>
      <c r="V806" s="11">
        <v>58.93</v>
      </c>
      <c r="W806" s="11">
        <v>1.0</v>
      </c>
      <c r="X806" s="9" t="s">
        <v>48</v>
      </c>
      <c r="Y806" s="9" t="s">
        <v>1010</v>
      </c>
      <c r="Z806" s="12"/>
      <c r="AA806" s="9">
        <v>1306260.0</v>
      </c>
      <c r="AB806" s="12"/>
      <c r="AC806" s="9" t="s">
        <v>50</v>
      </c>
    </row>
    <row r="807">
      <c r="A807" s="9" t="s">
        <v>33</v>
      </c>
      <c r="B807" s="11">
        <v>6.0</v>
      </c>
      <c r="C807" s="9" t="s">
        <v>43</v>
      </c>
      <c r="D807" s="9" t="s">
        <v>55</v>
      </c>
      <c r="E807" s="9" t="s">
        <v>389</v>
      </c>
      <c r="F807" s="9" t="s">
        <v>45</v>
      </c>
      <c r="G807" s="9" t="s">
        <v>46</v>
      </c>
      <c r="H807" s="9" t="s">
        <v>1011</v>
      </c>
      <c r="I807" s="11">
        <v>8177561.0</v>
      </c>
      <c r="J807" s="11">
        <v>2.66840171E8</v>
      </c>
      <c r="K807" s="13">
        <v>46304.0</v>
      </c>
      <c r="L807" s="14">
        <v>46317.0</v>
      </c>
      <c r="M807" s="12"/>
      <c r="N807" s="12"/>
      <c r="O807" s="11">
        <v>8.0</v>
      </c>
      <c r="P807" s="9" t="s">
        <v>44</v>
      </c>
      <c r="Q807" s="12"/>
      <c r="R807" s="12"/>
      <c r="S807" s="9" t="s">
        <v>47</v>
      </c>
      <c r="T807" s="9" t="s">
        <v>44</v>
      </c>
      <c r="U807" s="9" t="s">
        <v>44</v>
      </c>
      <c r="V807" s="11">
        <v>58.93</v>
      </c>
      <c r="W807" s="11">
        <v>1.0</v>
      </c>
      <c r="X807" s="9" t="s">
        <v>48</v>
      </c>
      <c r="Y807" s="9" t="s">
        <v>1012</v>
      </c>
      <c r="Z807" s="12"/>
      <c r="AA807" s="9">
        <v>1306277.0</v>
      </c>
      <c r="AB807" s="12"/>
      <c r="AC807" s="9" t="s">
        <v>50</v>
      </c>
    </row>
    <row r="808">
      <c r="A808" s="9" t="s">
        <v>33</v>
      </c>
      <c r="B808" s="11">
        <v>6.0</v>
      </c>
      <c r="C808" s="9" t="s">
        <v>43</v>
      </c>
      <c r="D808" s="9" t="s">
        <v>55</v>
      </c>
      <c r="E808" s="9" t="s">
        <v>56</v>
      </c>
      <c r="F808" s="9" t="s">
        <v>45</v>
      </c>
      <c r="G808" s="9" t="s">
        <v>46</v>
      </c>
      <c r="H808" s="9" t="s">
        <v>259</v>
      </c>
      <c r="I808" s="11">
        <v>8177517.0</v>
      </c>
      <c r="J808" s="11">
        <v>2.66840175E8</v>
      </c>
      <c r="K808" s="13">
        <v>46304.0</v>
      </c>
      <c r="L808" s="14">
        <v>46316.0</v>
      </c>
      <c r="M808" s="12"/>
      <c r="N808" s="9">
        <v>60.0</v>
      </c>
      <c r="O808" s="11">
        <v>7.0</v>
      </c>
      <c r="P808" s="9" t="s">
        <v>44</v>
      </c>
      <c r="Q808" s="12"/>
      <c r="R808" s="12"/>
      <c r="S808" s="9" t="s">
        <v>47</v>
      </c>
      <c r="T808" s="9" t="s">
        <v>44</v>
      </c>
      <c r="U808" s="9" t="s">
        <v>44</v>
      </c>
      <c r="V808" s="11">
        <v>44.77</v>
      </c>
      <c r="W808" s="11">
        <v>1.0</v>
      </c>
      <c r="X808" s="9" t="s">
        <v>48</v>
      </c>
      <c r="Y808" s="9" t="s">
        <v>1013</v>
      </c>
      <c r="Z808" s="12"/>
      <c r="AA808" s="9">
        <v>1306069.0</v>
      </c>
      <c r="AB808" s="12"/>
      <c r="AC808" s="9" t="s">
        <v>50</v>
      </c>
    </row>
    <row r="809">
      <c r="A809" s="9" t="s">
        <v>33</v>
      </c>
      <c r="B809" s="11">
        <v>6.0</v>
      </c>
      <c r="C809" s="9" t="s">
        <v>43</v>
      </c>
      <c r="D809" s="9" t="s">
        <v>55</v>
      </c>
      <c r="E809" s="9" t="s">
        <v>56</v>
      </c>
      <c r="F809" s="9" t="s">
        <v>45</v>
      </c>
      <c r="G809" s="9" t="s">
        <v>46</v>
      </c>
      <c r="H809" s="9" t="s">
        <v>259</v>
      </c>
      <c r="I809" s="11">
        <v>8177468.0</v>
      </c>
      <c r="J809" s="11">
        <v>2.66840177E8</v>
      </c>
      <c r="K809" s="13">
        <v>46304.0</v>
      </c>
      <c r="L809" s="14">
        <v>46316.0</v>
      </c>
      <c r="M809" s="12"/>
      <c r="N809" s="9">
        <v>56.0</v>
      </c>
      <c r="O809" s="11">
        <v>7.0</v>
      </c>
      <c r="P809" s="9" t="s">
        <v>44</v>
      </c>
      <c r="Q809" s="12"/>
      <c r="R809" s="12"/>
      <c r="S809" s="9" t="s">
        <v>47</v>
      </c>
      <c r="T809" s="9" t="s">
        <v>44</v>
      </c>
      <c r="U809" s="9" t="s">
        <v>44</v>
      </c>
      <c r="V809" s="11">
        <v>44.77</v>
      </c>
      <c r="W809" s="11">
        <v>1.0</v>
      </c>
      <c r="X809" s="9" t="s">
        <v>48</v>
      </c>
      <c r="Y809" s="9" t="s">
        <v>1014</v>
      </c>
      <c r="Z809" s="12"/>
      <c r="AA809" s="9">
        <v>1306284.0</v>
      </c>
      <c r="AB809" s="12"/>
      <c r="AC809" s="9" t="s">
        <v>50</v>
      </c>
    </row>
    <row r="810">
      <c r="A810" s="9" t="s">
        <v>33</v>
      </c>
      <c r="B810" s="11">
        <v>6.0</v>
      </c>
      <c r="C810" s="9" t="s">
        <v>43</v>
      </c>
      <c r="D810" s="9" t="s">
        <v>55</v>
      </c>
      <c r="E810" s="9" t="s">
        <v>56</v>
      </c>
      <c r="F810" s="9" t="s">
        <v>45</v>
      </c>
      <c r="G810" s="9" t="s">
        <v>46</v>
      </c>
      <c r="H810" s="9" t="s">
        <v>222</v>
      </c>
      <c r="I810" s="11">
        <v>8177518.0</v>
      </c>
      <c r="J810" s="11">
        <v>2.66840179E8</v>
      </c>
      <c r="K810" s="13">
        <v>46304.0</v>
      </c>
      <c r="L810" s="14">
        <v>46316.0</v>
      </c>
      <c r="M810" s="12"/>
      <c r="N810" s="9">
        <v>2321.0</v>
      </c>
      <c r="O810" s="11">
        <v>7.0</v>
      </c>
      <c r="P810" s="9" t="s">
        <v>44</v>
      </c>
      <c r="Q810" s="12"/>
      <c r="R810" s="9" t="s">
        <v>52</v>
      </c>
      <c r="S810" s="9" t="s">
        <v>47</v>
      </c>
      <c r="T810" s="9" t="s">
        <v>44</v>
      </c>
      <c r="U810" s="9" t="s">
        <v>44</v>
      </c>
      <c r="V810" s="11">
        <v>45.49</v>
      </c>
      <c r="W810" s="11">
        <v>1.0</v>
      </c>
      <c r="X810" s="9" t="s">
        <v>48</v>
      </c>
      <c r="Y810" s="9" t="s">
        <v>1015</v>
      </c>
      <c r="Z810" s="12"/>
      <c r="AA810" s="9">
        <v>1306206.0</v>
      </c>
      <c r="AB810" s="12"/>
      <c r="AC810" s="9" t="s">
        <v>50</v>
      </c>
    </row>
    <row r="811">
      <c r="A811" s="9" t="s">
        <v>33</v>
      </c>
      <c r="B811" s="11">
        <v>6.0</v>
      </c>
      <c r="C811" s="9" t="s">
        <v>43</v>
      </c>
      <c r="D811" s="9" t="s">
        <v>55</v>
      </c>
      <c r="E811" s="9" t="s">
        <v>56</v>
      </c>
      <c r="F811" s="9" t="s">
        <v>45</v>
      </c>
      <c r="G811" s="9" t="s">
        <v>46</v>
      </c>
      <c r="H811" s="9" t="s">
        <v>72</v>
      </c>
      <c r="I811" s="11">
        <v>8177416.0</v>
      </c>
      <c r="J811" s="11">
        <v>2.66840182E8</v>
      </c>
      <c r="K811" s="13">
        <v>46304.0</v>
      </c>
      <c r="L811" s="14">
        <v>46317.0</v>
      </c>
      <c r="M811" s="12"/>
      <c r="N811" s="9">
        <v>125.0</v>
      </c>
      <c r="O811" s="11">
        <v>8.0</v>
      </c>
      <c r="P811" s="9" t="s">
        <v>44</v>
      </c>
      <c r="Q811" s="12"/>
      <c r="R811" s="12"/>
      <c r="S811" s="9" t="s">
        <v>47</v>
      </c>
      <c r="T811" s="9" t="s">
        <v>44</v>
      </c>
      <c r="U811" s="9" t="s">
        <v>44</v>
      </c>
      <c r="V811" s="11">
        <v>51.62</v>
      </c>
      <c r="W811" s="11">
        <v>1.0</v>
      </c>
      <c r="X811" s="9" t="s">
        <v>48</v>
      </c>
      <c r="Y811" s="9" t="s">
        <v>1016</v>
      </c>
      <c r="Z811" s="12"/>
      <c r="AA811" s="9">
        <v>1306308.0</v>
      </c>
      <c r="AB811" s="12"/>
      <c r="AC811" s="9" t="s">
        <v>50</v>
      </c>
    </row>
    <row r="812">
      <c r="A812" s="9" t="s">
        <v>33</v>
      </c>
      <c r="B812" s="11">
        <v>6.0</v>
      </c>
      <c r="C812" s="9" t="s">
        <v>43</v>
      </c>
      <c r="D812" s="9" t="s">
        <v>55</v>
      </c>
      <c r="E812" s="9" t="s">
        <v>56</v>
      </c>
      <c r="F812" s="9" t="s">
        <v>45</v>
      </c>
      <c r="G812" s="9" t="s">
        <v>46</v>
      </c>
      <c r="H812" s="9" t="s">
        <v>222</v>
      </c>
      <c r="I812" s="11">
        <v>8177417.0</v>
      </c>
      <c r="J812" s="11">
        <v>2.66840185E8</v>
      </c>
      <c r="K812" s="13">
        <v>46304.0</v>
      </c>
      <c r="L812" s="14">
        <v>46316.0</v>
      </c>
      <c r="M812" s="12"/>
      <c r="N812" s="9">
        <v>2330.0</v>
      </c>
      <c r="O812" s="11">
        <v>7.0</v>
      </c>
      <c r="P812" s="9" t="s">
        <v>44</v>
      </c>
      <c r="Q812" s="12"/>
      <c r="R812" s="9" t="s">
        <v>52</v>
      </c>
      <c r="S812" s="9" t="s">
        <v>47</v>
      </c>
      <c r="T812" s="9" t="s">
        <v>44</v>
      </c>
      <c r="U812" s="9" t="s">
        <v>44</v>
      </c>
      <c r="V812" s="11">
        <v>45.49</v>
      </c>
      <c r="W812" s="11">
        <v>3.0</v>
      </c>
      <c r="X812" s="9" t="s">
        <v>48</v>
      </c>
      <c r="Y812" s="9" t="s">
        <v>1017</v>
      </c>
      <c r="Z812" s="12"/>
      <c r="AA812" s="9">
        <v>1306520.0</v>
      </c>
      <c r="AB812" s="12"/>
      <c r="AC812" s="9" t="s">
        <v>50</v>
      </c>
    </row>
    <row r="813">
      <c r="A813" s="9" t="s">
        <v>33</v>
      </c>
      <c r="B813" s="11">
        <v>6.0</v>
      </c>
      <c r="C813" s="9" t="s">
        <v>43</v>
      </c>
      <c r="D813" s="9" t="s">
        <v>55</v>
      </c>
      <c r="E813" s="9" t="s">
        <v>56</v>
      </c>
      <c r="F813" s="9" t="s">
        <v>45</v>
      </c>
      <c r="G813" s="9" t="s">
        <v>46</v>
      </c>
      <c r="H813" s="9" t="s">
        <v>222</v>
      </c>
      <c r="I813" s="11">
        <v>8177519.0</v>
      </c>
      <c r="J813" s="11">
        <v>2.66840187E8</v>
      </c>
      <c r="K813" s="13">
        <v>46304.0</v>
      </c>
      <c r="L813" s="14">
        <v>46316.0</v>
      </c>
      <c r="M813" s="12"/>
      <c r="N813" s="9">
        <v>2330.0</v>
      </c>
      <c r="O813" s="11">
        <v>7.0</v>
      </c>
      <c r="P813" s="9" t="s">
        <v>44</v>
      </c>
      <c r="Q813" s="12"/>
      <c r="R813" s="12"/>
      <c r="S813" s="9" t="s">
        <v>47</v>
      </c>
      <c r="T813" s="9" t="s">
        <v>44</v>
      </c>
      <c r="U813" s="9" t="s">
        <v>44</v>
      </c>
      <c r="V813" s="11">
        <v>45.49</v>
      </c>
      <c r="W813" s="11">
        <v>1.0</v>
      </c>
      <c r="X813" s="9" t="s">
        <v>48</v>
      </c>
      <c r="Y813" s="9" t="s">
        <v>1018</v>
      </c>
      <c r="Z813" s="12"/>
      <c r="AA813" s="9">
        <v>1306379.0</v>
      </c>
      <c r="AB813" s="12"/>
      <c r="AC813" s="9" t="s">
        <v>50</v>
      </c>
    </row>
    <row r="814">
      <c r="A814" s="9" t="s">
        <v>33</v>
      </c>
      <c r="B814" s="11">
        <v>6.0</v>
      </c>
      <c r="C814" s="9" t="s">
        <v>43</v>
      </c>
      <c r="D814" s="9" t="s">
        <v>55</v>
      </c>
      <c r="E814" s="9" t="s">
        <v>56</v>
      </c>
      <c r="F814" s="9" t="s">
        <v>45</v>
      </c>
      <c r="G814" s="9" t="s">
        <v>46</v>
      </c>
      <c r="H814" s="9" t="s">
        <v>281</v>
      </c>
      <c r="I814" s="11">
        <v>8177469.0</v>
      </c>
      <c r="J814" s="11">
        <v>2.66840189E8</v>
      </c>
      <c r="K814" s="13">
        <v>46304.0</v>
      </c>
      <c r="L814" s="14">
        <v>46316.0</v>
      </c>
      <c r="M814" s="12"/>
      <c r="N814" s="9">
        <v>1.0</v>
      </c>
      <c r="O814" s="11">
        <v>7.0</v>
      </c>
      <c r="P814" s="9" t="s">
        <v>44</v>
      </c>
      <c r="Q814" s="12"/>
      <c r="R814" s="12"/>
      <c r="S814" s="9" t="s">
        <v>47</v>
      </c>
      <c r="T814" s="9" t="s">
        <v>44</v>
      </c>
      <c r="U814" s="9" t="s">
        <v>44</v>
      </c>
      <c r="V814" s="11">
        <v>44.59</v>
      </c>
      <c r="W814" s="11">
        <v>1.0</v>
      </c>
      <c r="X814" s="9" t="s">
        <v>48</v>
      </c>
      <c r="Y814" s="9" t="s">
        <v>1019</v>
      </c>
      <c r="Z814" s="12"/>
      <c r="AA814" s="9">
        <v>1306299.0</v>
      </c>
      <c r="AB814" s="12"/>
      <c r="AC814" s="9" t="s">
        <v>50</v>
      </c>
    </row>
    <row r="815">
      <c r="A815" s="9" t="s">
        <v>33</v>
      </c>
      <c r="B815" s="11">
        <v>6.0</v>
      </c>
      <c r="C815" s="9" t="s">
        <v>43</v>
      </c>
      <c r="D815" s="9" t="s">
        <v>55</v>
      </c>
      <c r="E815" s="9" t="s">
        <v>56</v>
      </c>
      <c r="F815" s="9" t="s">
        <v>45</v>
      </c>
      <c r="G815" s="9" t="s">
        <v>46</v>
      </c>
      <c r="H815" s="9" t="s">
        <v>281</v>
      </c>
      <c r="I815" s="11">
        <v>8177520.0</v>
      </c>
      <c r="J815" s="11">
        <v>2.66840191E8</v>
      </c>
      <c r="K815" s="13">
        <v>46304.0</v>
      </c>
      <c r="L815" s="14">
        <v>46316.0</v>
      </c>
      <c r="M815" s="12"/>
      <c r="N815" s="9">
        <v>2.0</v>
      </c>
      <c r="O815" s="11">
        <v>7.0</v>
      </c>
      <c r="P815" s="9" t="s">
        <v>44</v>
      </c>
      <c r="Q815" s="12"/>
      <c r="R815" s="12"/>
      <c r="S815" s="9" t="s">
        <v>47</v>
      </c>
      <c r="T815" s="9" t="s">
        <v>44</v>
      </c>
      <c r="U815" s="9" t="s">
        <v>44</v>
      </c>
      <c r="V815" s="11">
        <v>44.59</v>
      </c>
      <c r="W815" s="11">
        <v>1.0</v>
      </c>
      <c r="X815" s="9" t="s">
        <v>48</v>
      </c>
      <c r="Y815" s="9" t="s">
        <v>1020</v>
      </c>
      <c r="Z815" s="12"/>
      <c r="AA815" s="9">
        <v>1306180.0</v>
      </c>
      <c r="AB815" s="12"/>
      <c r="AC815" s="9" t="s">
        <v>50</v>
      </c>
    </row>
    <row r="816">
      <c r="A816" s="9" t="s">
        <v>33</v>
      </c>
      <c r="B816" s="11">
        <v>6.0</v>
      </c>
      <c r="C816" s="9" t="s">
        <v>43</v>
      </c>
      <c r="D816" s="9" t="s">
        <v>55</v>
      </c>
      <c r="E816" s="9" t="s">
        <v>56</v>
      </c>
      <c r="F816" s="9" t="s">
        <v>45</v>
      </c>
      <c r="G816" s="9" t="s">
        <v>46</v>
      </c>
      <c r="H816" s="9" t="s">
        <v>72</v>
      </c>
      <c r="I816" s="11">
        <v>8177418.0</v>
      </c>
      <c r="J816" s="11">
        <v>2.66840193E8</v>
      </c>
      <c r="K816" s="13">
        <v>46304.0</v>
      </c>
      <c r="L816" s="14">
        <v>46317.0</v>
      </c>
      <c r="M816" s="12"/>
      <c r="N816" s="9">
        <v>113.0</v>
      </c>
      <c r="O816" s="11">
        <v>8.0</v>
      </c>
      <c r="P816" s="9" t="s">
        <v>44</v>
      </c>
      <c r="Q816" s="12"/>
      <c r="R816" s="12"/>
      <c r="S816" s="9" t="s">
        <v>47</v>
      </c>
      <c r="T816" s="9" t="s">
        <v>44</v>
      </c>
      <c r="U816" s="9" t="s">
        <v>44</v>
      </c>
      <c r="V816" s="11">
        <v>51.62</v>
      </c>
      <c r="W816" s="11">
        <v>1.0</v>
      </c>
      <c r="X816" s="9" t="s">
        <v>48</v>
      </c>
      <c r="Y816" s="9" t="s">
        <v>1021</v>
      </c>
      <c r="Z816" s="12"/>
      <c r="AA816" s="9">
        <v>1306320.0</v>
      </c>
      <c r="AB816" s="12"/>
      <c r="AC816" s="9" t="s">
        <v>50</v>
      </c>
    </row>
    <row r="817">
      <c r="A817" s="9" t="s">
        <v>33</v>
      </c>
      <c r="B817" s="11">
        <v>6.0</v>
      </c>
      <c r="C817" s="9" t="s">
        <v>43</v>
      </c>
      <c r="D817" s="9" t="s">
        <v>55</v>
      </c>
      <c r="E817" s="9" t="s">
        <v>56</v>
      </c>
      <c r="F817" s="9" t="s">
        <v>45</v>
      </c>
      <c r="G817" s="9" t="s">
        <v>46</v>
      </c>
      <c r="H817" s="9" t="s">
        <v>74</v>
      </c>
      <c r="I817" s="11">
        <v>8177444.0</v>
      </c>
      <c r="J817" s="11">
        <v>2.66840195E8</v>
      </c>
      <c r="K817" s="13">
        <v>46304.0</v>
      </c>
      <c r="L817" s="14">
        <v>46317.0</v>
      </c>
      <c r="M817" s="12"/>
      <c r="N817" s="9">
        <v>98.0</v>
      </c>
      <c r="O817" s="11">
        <v>8.0</v>
      </c>
      <c r="P817" s="9" t="s">
        <v>44</v>
      </c>
      <c r="Q817" s="12"/>
      <c r="R817" s="12"/>
      <c r="S817" s="9" t="s">
        <v>47</v>
      </c>
      <c r="T817" s="9" t="s">
        <v>44</v>
      </c>
      <c r="U817" s="9" t="s">
        <v>44</v>
      </c>
      <c r="V817" s="11">
        <v>44.59</v>
      </c>
      <c r="W817" s="11">
        <v>1.0</v>
      </c>
      <c r="X817" s="9" t="s">
        <v>48</v>
      </c>
      <c r="Y817" s="9" t="s">
        <v>237</v>
      </c>
      <c r="Z817" s="12"/>
      <c r="AA817" s="9">
        <v>1306094.0</v>
      </c>
      <c r="AB817" s="12"/>
      <c r="AC817" s="9" t="s">
        <v>50</v>
      </c>
    </row>
    <row r="818">
      <c r="A818" s="9" t="s">
        <v>33</v>
      </c>
      <c r="B818" s="11">
        <v>6.0</v>
      </c>
      <c r="C818" s="9" t="s">
        <v>43</v>
      </c>
      <c r="D818" s="9" t="s">
        <v>55</v>
      </c>
      <c r="E818" s="9" t="s">
        <v>56</v>
      </c>
      <c r="F818" s="9" t="s">
        <v>45</v>
      </c>
      <c r="G818" s="9" t="s">
        <v>46</v>
      </c>
      <c r="H818" s="9" t="s">
        <v>72</v>
      </c>
      <c r="I818" s="11">
        <v>8177445.0</v>
      </c>
      <c r="J818" s="11">
        <v>2.66840197E8</v>
      </c>
      <c r="K818" s="13">
        <v>46304.0</v>
      </c>
      <c r="L818" s="14">
        <v>46318.0</v>
      </c>
      <c r="M818" s="12"/>
      <c r="N818" s="9">
        <v>103.0</v>
      </c>
      <c r="O818" s="11">
        <v>9.0</v>
      </c>
      <c r="P818" s="9" t="s">
        <v>44</v>
      </c>
      <c r="Q818" s="12"/>
      <c r="R818" s="12"/>
      <c r="S818" s="9" t="s">
        <v>47</v>
      </c>
      <c r="T818" s="9" t="s">
        <v>44</v>
      </c>
      <c r="U818" s="9" t="s">
        <v>44</v>
      </c>
      <c r="V818" s="11">
        <v>56.46</v>
      </c>
      <c r="W818" s="11">
        <v>1.0</v>
      </c>
      <c r="X818" s="9" t="s">
        <v>48</v>
      </c>
      <c r="Y818" s="9" t="s">
        <v>1022</v>
      </c>
      <c r="Z818" s="12"/>
      <c r="AA818" s="9">
        <v>1306389.0</v>
      </c>
      <c r="AB818" s="12"/>
      <c r="AC818" s="9" t="s">
        <v>50</v>
      </c>
    </row>
    <row r="819">
      <c r="A819" s="9" t="s">
        <v>33</v>
      </c>
      <c r="B819" s="11">
        <v>6.0</v>
      </c>
      <c r="C819" s="9" t="s">
        <v>43</v>
      </c>
      <c r="D819" s="9" t="s">
        <v>55</v>
      </c>
      <c r="E819" s="9" t="s">
        <v>56</v>
      </c>
      <c r="F819" s="9" t="s">
        <v>45</v>
      </c>
      <c r="G819" s="9" t="s">
        <v>46</v>
      </c>
      <c r="H819" s="9" t="s">
        <v>74</v>
      </c>
      <c r="I819" s="11">
        <v>8177446.0</v>
      </c>
      <c r="J819" s="11">
        <v>2.66840199E8</v>
      </c>
      <c r="K819" s="13">
        <v>46304.0</v>
      </c>
      <c r="L819" s="14">
        <v>46323.0</v>
      </c>
      <c r="M819" s="12"/>
      <c r="N819" s="9">
        <v>110.0</v>
      </c>
      <c r="O819" s="11">
        <v>12.0</v>
      </c>
      <c r="P819" s="9" t="s">
        <v>44</v>
      </c>
      <c r="Q819" s="12"/>
      <c r="R819" s="12"/>
      <c r="S819" s="9" t="s">
        <v>47</v>
      </c>
      <c r="T819" s="9" t="s">
        <v>44</v>
      </c>
      <c r="U819" s="9" t="s">
        <v>44</v>
      </c>
      <c r="V819" s="11">
        <v>49.43</v>
      </c>
      <c r="W819" s="11">
        <v>1.0</v>
      </c>
      <c r="X819" s="9" t="s">
        <v>48</v>
      </c>
      <c r="Y819" s="9" t="s">
        <v>1023</v>
      </c>
      <c r="Z819" s="12"/>
      <c r="AA819" s="9">
        <v>1306066.0</v>
      </c>
      <c r="AB819" s="12"/>
      <c r="AC819" s="9" t="s">
        <v>50</v>
      </c>
    </row>
    <row r="820">
      <c r="A820" s="9" t="s">
        <v>33</v>
      </c>
      <c r="B820" s="11">
        <v>6.0</v>
      </c>
      <c r="C820" s="9" t="s">
        <v>43</v>
      </c>
      <c r="D820" s="9" t="s">
        <v>55</v>
      </c>
      <c r="E820" s="9" t="s">
        <v>56</v>
      </c>
      <c r="F820" s="9" t="s">
        <v>45</v>
      </c>
      <c r="G820" s="9" t="s">
        <v>46</v>
      </c>
      <c r="H820" s="9" t="s">
        <v>298</v>
      </c>
      <c r="I820" s="11">
        <v>8177521.0</v>
      </c>
      <c r="J820" s="11">
        <v>2.66840201E8</v>
      </c>
      <c r="K820" s="13">
        <v>46304.0</v>
      </c>
      <c r="L820" s="14">
        <v>46321.0</v>
      </c>
      <c r="M820" s="12"/>
      <c r="N820" s="9">
        <v>103.0</v>
      </c>
      <c r="O820" s="11">
        <v>10.0</v>
      </c>
      <c r="P820" s="9" t="s">
        <v>44</v>
      </c>
      <c r="Q820" s="12"/>
      <c r="R820" s="12"/>
      <c r="S820" s="9" t="s">
        <v>47</v>
      </c>
      <c r="T820" s="9" t="s">
        <v>44</v>
      </c>
      <c r="U820" s="9" t="s">
        <v>44</v>
      </c>
      <c r="V820" s="11">
        <v>49.43</v>
      </c>
      <c r="W820" s="11">
        <v>1.0</v>
      </c>
      <c r="X820" s="9" t="s">
        <v>48</v>
      </c>
      <c r="Y820" s="9" t="s">
        <v>1024</v>
      </c>
      <c r="Z820" s="12"/>
      <c r="AA820" s="9">
        <v>1306481.0</v>
      </c>
      <c r="AB820" s="12"/>
      <c r="AC820" s="9" t="s">
        <v>50</v>
      </c>
    </row>
    <row r="821">
      <c r="A821" s="9" t="s">
        <v>33</v>
      </c>
      <c r="B821" s="11">
        <v>6.0</v>
      </c>
      <c r="C821" s="9" t="s">
        <v>43</v>
      </c>
      <c r="D821" s="9" t="s">
        <v>55</v>
      </c>
      <c r="E821" s="9" t="s">
        <v>56</v>
      </c>
      <c r="F821" s="9" t="s">
        <v>45</v>
      </c>
      <c r="G821" s="9" t="s">
        <v>46</v>
      </c>
      <c r="H821" s="9" t="s">
        <v>298</v>
      </c>
      <c r="I821" s="11">
        <v>8177419.0</v>
      </c>
      <c r="J821" s="11">
        <v>2.66840202E8</v>
      </c>
      <c r="K821" s="13">
        <v>46304.0</v>
      </c>
      <c r="L821" s="14">
        <v>46318.0</v>
      </c>
      <c r="M821" s="12"/>
      <c r="N821" s="9">
        <v>103.0</v>
      </c>
      <c r="O821" s="11">
        <v>9.0</v>
      </c>
      <c r="P821" s="9" t="s">
        <v>44</v>
      </c>
      <c r="Q821" s="12"/>
      <c r="R821" s="12"/>
      <c r="S821" s="9" t="s">
        <v>47</v>
      </c>
      <c r="T821" s="9" t="s">
        <v>44</v>
      </c>
      <c r="U821" s="9" t="s">
        <v>44</v>
      </c>
      <c r="V821" s="11">
        <v>49.43</v>
      </c>
      <c r="W821" s="11">
        <v>1.0</v>
      </c>
      <c r="X821" s="9" t="s">
        <v>48</v>
      </c>
      <c r="Y821" s="9" t="s">
        <v>1025</v>
      </c>
      <c r="Z821" s="12"/>
      <c r="AA821" s="9">
        <v>1306084.0</v>
      </c>
      <c r="AB821" s="12"/>
      <c r="AC821" s="9" t="s">
        <v>50</v>
      </c>
    </row>
    <row r="822">
      <c r="A822" s="9" t="s">
        <v>33</v>
      </c>
      <c r="B822" s="11">
        <v>6.0</v>
      </c>
      <c r="C822" s="9" t="s">
        <v>43</v>
      </c>
      <c r="D822" s="9" t="s">
        <v>55</v>
      </c>
      <c r="E822" s="9" t="s">
        <v>56</v>
      </c>
      <c r="F822" s="9" t="s">
        <v>45</v>
      </c>
      <c r="G822" s="9" t="s">
        <v>46</v>
      </c>
      <c r="H822" s="9" t="s">
        <v>305</v>
      </c>
      <c r="I822" s="11">
        <v>8177406.0</v>
      </c>
      <c r="J822" s="11">
        <v>2.66840203E8</v>
      </c>
      <c r="K822" s="13">
        <v>46304.0</v>
      </c>
      <c r="L822" s="14">
        <v>46322.0</v>
      </c>
      <c r="M822" s="12"/>
      <c r="N822" s="9">
        <v>109.0</v>
      </c>
      <c r="O822" s="11">
        <v>10.0</v>
      </c>
      <c r="P822" s="9" t="s">
        <v>44</v>
      </c>
      <c r="Q822" s="12"/>
      <c r="R822" s="12"/>
      <c r="S822" s="9" t="s">
        <v>47</v>
      </c>
      <c r="T822" s="9" t="s">
        <v>44</v>
      </c>
      <c r="U822" s="9" t="s">
        <v>44</v>
      </c>
      <c r="V822" s="11">
        <v>49.43</v>
      </c>
      <c r="W822" s="11">
        <v>1.0</v>
      </c>
      <c r="X822" s="9" t="s">
        <v>48</v>
      </c>
      <c r="Y822" s="9" t="s">
        <v>1026</v>
      </c>
      <c r="Z822" s="12"/>
      <c r="AA822" s="9">
        <v>1306594.0</v>
      </c>
      <c r="AB822" s="12"/>
      <c r="AC822" s="9" t="s">
        <v>50</v>
      </c>
    </row>
    <row r="823">
      <c r="A823" s="9" t="s">
        <v>33</v>
      </c>
      <c r="B823" s="11">
        <v>6.0</v>
      </c>
      <c r="C823" s="9" t="s">
        <v>43</v>
      </c>
      <c r="D823" s="9" t="s">
        <v>55</v>
      </c>
      <c r="E823" s="9" t="s">
        <v>56</v>
      </c>
      <c r="F823" s="9" t="s">
        <v>45</v>
      </c>
      <c r="G823" s="9" t="s">
        <v>46</v>
      </c>
      <c r="H823" s="9" t="s">
        <v>281</v>
      </c>
      <c r="I823" s="11">
        <v>8177420.0</v>
      </c>
      <c r="J823" s="11">
        <v>2.66840204E8</v>
      </c>
      <c r="K823" s="13">
        <v>46304.0</v>
      </c>
      <c r="L823" s="14">
        <v>46323.0</v>
      </c>
      <c r="M823" s="12"/>
      <c r="N823" s="9">
        <v>108.0</v>
      </c>
      <c r="O823" s="11">
        <v>12.0</v>
      </c>
      <c r="P823" s="9" t="s">
        <v>44</v>
      </c>
      <c r="Q823" s="12"/>
      <c r="R823" s="12"/>
      <c r="S823" s="9" t="s">
        <v>47</v>
      </c>
      <c r="T823" s="9" t="s">
        <v>44</v>
      </c>
      <c r="U823" s="9" t="s">
        <v>44</v>
      </c>
      <c r="V823" s="11">
        <v>49.43</v>
      </c>
      <c r="W823" s="11">
        <v>1.0</v>
      </c>
      <c r="X823" s="9" t="s">
        <v>48</v>
      </c>
      <c r="Y823" s="9" t="s">
        <v>1027</v>
      </c>
      <c r="Z823" s="12"/>
      <c r="AA823" s="9">
        <v>1306108.0</v>
      </c>
      <c r="AB823" s="12"/>
      <c r="AC823" s="9" t="s">
        <v>50</v>
      </c>
    </row>
    <row r="824">
      <c r="A824" s="9" t="s">
        <v>33</v>
      </c>
      <c r="B824" s="11">
        <v>6.0</v>
      </c>
      <c r="C824" s="9" t="s">
        <v>43</v>
      </c>
      <c r="D824" s="9" t="s">
        <v>55</v>
      </c>
      <c r="E824" s="9" t="s">
        <v>56</v>
      </c>
      <c r="F824" s="9" t="s">
        <v>45</v>
      </c>
      <c r="G824" s="9" t="s">
        <v>46</v>
      </c>
      <c r="H824" s="9" t="s">
        <v>308</v>
      </c>
      <c r="I824" s="11">
        <v>8177470.0</v>
      </c>
      <c r="J824" s="11">
        <v>2.66840205E8</v>
      </c>
      <c r="K824" s="13">
        <v>46304.0</v>
      </c>
      <c r="L824" s="14">
        <v>46316.0</v>
      </c>
      <c r="M824" s="12"/>
      <c r="N824" s="9">
        <v>5.0</v>
      </c>
      <c r="O824" s="11">
        <v>7.0</v>
      </c>
      <c r="P824" s="9" t="s">
        <v>44</v>
      </c>
      <c r="Q824" s="12"/>
      <c r="R824" s="12"/>
      <c r="S824" s="9" t="s">
        <v>47</v>
      </c>
      <c r="T824" s="9" t="s">
        <v>44</v>
      </c>
      <c r="U824" s="9" t="s">
        <v>44</v>
      </c>
      <c r="V824" s="11">
        <v>44.59</v>
      </c>
      <c r="W824" s="11">
        <v>1.0</v>
      </c>
      <c r="X824" s="9" t="s">
        <v>48</v>
      </c>
      <c r="Y824" s="9" t="s">
        <v>1028</v>
      </c>
      <c r="Z824" s="12"/>
      <c r="AA824" s="9">
        <v>1306293.0</v>
      </c>
      <c r="AB824" s="12"/>
      <c r="AC824" s="9" t="s">
        <v>50</v>
      </c>
    </row>
    <row r="825">
      <c r="A825" s="9" t="s">
        <v>33</v>
      </c>
      <c r="B825" s="11">
        <v>6.0</v>
      </c>
      <c r="C825" s="9" t="s">
        <v>43</v>
      </c>
      <c r="D825" s="9" t="s">
        <v>55</v>
      </c>
      <c r="E825" s="9" t="s">
        <v>56</v>
      </c>
      <c r="F825" s="9" t="s">
        <v>45</v>
      </c>
      <c r="G825" s="9" t="s">
        <v>46</v>
      </c>
      <c r="H825" s="9" t="s">
        <v>308</v>
      </c>
      <c r="I825" s="11">
        <v>8177522.0</v>
      </c>
      <c r="J825" s="11">
        <v>2.66840206E8</v>
      </c>
      <c r="K825" s="13">
        <v>46304.0</v>
      </c>
      <c r="L825" s="14">
        <v>46316.0</v>
      </c>
      <c r="M825" s="12"/>
      <c r="N825" s="9">
        <v>3.0</v>
      </c>
      <c r="O825" s="11">
        <v>7.0</v>
      </c>
      <c r="P825" s="9" t="s">
        <v>44</v>
      </c>
      <c r="Q825" s="12"/>
      <c r="R825" s="12"/>
      <c r="S825" s="9" t="s">
        <v>47</v>
      </c>
      <c r="T825" s="9" t="s">
        <v>44</v>
      </c>
      <c r="U825" s="9" t="s">
        <v>44</v>
      </c>
      <c r="V825" s="11">
        <v>44.59</v>
      </c>
      <c r="W825" s="11">
        <v>1.0</v>
      </c>
      <c r="X825" s="9" t="s">
        <v>48</v>
      </c>
      <c r="Y825" s="9" t="s">
        <v>1029</v>
      </c>
      <c r="Z825" s="12"/>
      <c r="AA825" s="9">
        <v>1306297.0</v>
      </c>
      <c r="AB825" s="12"/>
      <c r="AC825" s="9" t="s">
        <v>50</v>
      </c>
    </row>
    <row r="826">
      <c r="A826" s="9" t="s">
        <v>33</v>
      </c>
      <c r="B826" s="11">
        <v>6.0</v>
      </c>
      <c r="C826" s="9" t="s">
        <v>43</v>
      </c>
      <c r="D826" s="9" t="s">
        <v>55</v>
      </c>
      <c r="E826" s="9" t="s">
        <v>56</v>
      </c>
      <c r="F826" s="9" t="s">
        <v>45</v>
      </c>
      <c r="G826" s="9" t="s">
        <v>46</v>
      </c>
      <c r="H826" s="9" t="s">
        <v>311</v>
      </c>
      <c r="I826" s="11">
        <v>8177523.0</v>
      </c>
      <c r="J826" s="11">
        <v>2.66840207E8</v>
      </c>
      <c r="K826" s="13">
        <v>46304.0</v>
      </c>
      <c r="L826" s="14">
        <v>46318.0</v>
      </c>
      <c r="M826" s="12"/>
      <c r="N826" s="9">
        <v>104.0</v>
      </c>
      <c r="O826" s="11">
        <v>9.0</v>
      </c>
      <c r="P826" s="9" t="s">
        <v>44</v>
      </c>
      <c r="Q826" s="12"/>
      <c r="R826" s="12"/>
      <c r="S826" s="9" t="s">
        <v>47</v>
      </c>
      <c r="T826" s="9" t="s">
        <v>44</v>
      </c>
      <c r="U826" s="9" t="s">
        <v>44</v>
      </c>
      <c r="V826" s="11">
        <v>49.43</v>
      </c>
      <c r="W826" s="11">
        <v>1.0</v>
      </c>
      <c r="X826" s="9" t="s">
        <v>48</v>
      </c>
      <c r="Y826" s="9" t="s">
        <v>1030</v>
      </c>
      <c r="Z826" s="12"/>
      <c r="AA826" s="9">
        <v>1306158.0</v>
      </c>
      <c r="AB826" s="12"/>
      <c r="AC826" s="9" t="s">
        <v>50</v>
      </c>
    </row>
    <row r="827">
      <c r="A827" s="9" t="s">
        <v>33</v>
      </c>
      <c r="B827" s="11">
        <v>6.0</v>
      </c>
      <c r="C827" s="9" t="s">
        <v>43</v>
      </c>
      <c r="D827" s="9" t="s">
        <v>55</v>
      </c>
      <c r="E827" s="9" t="s">
        <v>56</v>
      </c>
      <c r="F827" s="9" t="s">
        <v>45</v>
      </c>
      <c r="G827" s="9" t="s">
        <v>46</v>
      </c>
      <c r="H827" s="9" t="s">
        <v>318</v>
      </c>
      <c r="I827" s="11">
        <v>8177447.0</v>
      </c>
      <c r="J827" s="11">
        <v>2.66840208E8</v>
      </c>
      <c r="K827" s="13">
        <v>46304.0</v>
      </c>
      <c r="L827" s="14">
        <v>46316.0</v>
      </c>
      <c r="M827" s="12"/>
      <c r="N827" s="9">
        <v>1.0</v>
      </c>
      <c r="O827" s="11">
        <v>7.0</v>
      </c>
      <c r="P827" s="9" t="s">
        <v>44</v>
      </c>
      <c r="Q827" s="12"/>
      <c r="R827" s="12"/>
      <c r="S827" s="9" t="s">
        <v>47</v>
      </c>
      <c r="T827" s="9" t="s">
        <v>44</v>
      </c>
      <c r="U827" s="9" t="s">
        <v>44</v>
      </c>
      <c r="V827" s="11">
        <v>44.59</v>
      </c>
      <c r="W827" s="11">
        <v>1.0</v>
      </c>
      <c r="X827" s="9" t="s">
        <v>48</v>
      </c>
      <c r="Y827" s="9" t="s">
        <v>1031</v>
      </c>
      <c r="Z827" s="12"/>
      <c r="AA827" s="9">
        <v>1306301.0</v>
      </c>
      <c r="AB827" s="12"/>
      <c r="AC827" s="9" t="s">
        <v>50</v>
      </c>
    </row>
    <row r="828">
      <c r="A828" s="9" t="s">
        <v>33</v>
      </c>
      <c r="B828" s="11">
        <v>6.0</v>
      </c>
      <c r="C828" s="9" t="s">
        <v>43</v>
      </c>
      <c r="D828" s="9" t="s">
        <v>55</v>
      </c>
      <c r="E828" s="9" t="s">
        <v>56</v>
      </c>
      <c r="F828" s="9" t="s">
        <v>45</v>
      </c>
      <c r="G828" s="9" t="s">
        <v>46</v>
      </c>
      <c r="H828" s="9" t="s">
        <v>318</v>
      </c>
      <c r="I828" s="11">
        <v>8177421.0</v>
      </c>
      <c r="J828" s="11">
        <v>2.66840209E8</v>
      </c>
      <c r="K828" s="13">
        <v>46304.0</v>
      </c>
      <c r="L828" s="14">
        <v>46316.0</v>
      </c>
      <c r="M828" s="12"/>
      <c r="N828" s="9">
        <v>3.0</v>
      </c>
      <c r="O828" s="11">
        <v>7.0</v>
      </c>
      <c r="P828" s="9" t="s">
        <v>44</v>
      </c>
      <c r="Q828" s="12"/>
      <c r="R828" s="12"/>
      <c r="S828" s="9" t="s">
        <v>47</v>
      </c>
      <c r="T828" s="9" t="s">
        <v>44</v>
      </c>
      <c r="U828" s="9" t="s">
        <v>44</v>
      </c>
      <c r="V828" s="11">
        <v>44.59</v>
      </c>
      <c r="W828" s="11">
        <v>2.0</v>
      </c>
      <c r="X828" s="9" t="s">
        <v>48</v>
      </c>
      <c r="Y828" s="9" t="s">
        <v>1032</v>
      </c>
      <c r="Z828" s="12"/>
      <c r="AA828" s="9">
        <v>1306529.0</v>
      </c>
      <c r="AB828" s="12"/>
      <c r="AC828" s="9" t="s">
        <v>50</v>
      </c>
    </row>
    <row r="829">
      <c r="A829" s="9" t="s">
        <v>33</v>
      </c>
      <c r="B829" s="11">
        <v>6.0</v>
      </c>
      <c r="C829" s="9" t="s">
        <v>43</v>
      </c>
      <c r="D829" s="9" t="s">
        <v>55</v>
      </c>
      <c r="E829" s="9" t="s">
        <v>56</v>
      </c>
      <c r="F829" s="9" t="s">
        <v>45</v>
      </c>
      <c r="G829" s="9" t="s">
        <v>46</v>
      </c>
      <c r="H829" s="9" t="s">
        <v>78</v>
      </c>
      <c r="I829" s="11">
        <v>8177471.0</v>
      </c>
      <c r="J829" s="11">
        <v>2.6684021E8</v>
      </c>
      <c r="K829" s="13">
        <v>46304.0</v>
      </c>
      <c r="L829" s="14">
        <v>46323.0</v>
      </c>
      <c r="M829" s="12"/>
      <c r="N829" s="9">
        <v>102.0</v>
      </c>
      <c r="O829" s="11">
        <v>12.0</v>
      </c>
      <c r="P829" s="9" t="s">
        <v>44</v>
      </c>
      <c r="Q829" s="12"/>
      <c r="R829" s="12"/>
      <c r="S829" s="9" t="s">
        <v>47</v>
      </c>
      <c r="T829" s="9" t="s">
        <v>44</v>
      </c>
      <c r="U829" s="9" t="s">
        <v>44</v>
      </c>
      <c r="V829" s="11">
        <v>66.39</v>
      </c>
      <c r="W829" s="11">
        <v>8.0</v>
      </c>
      <c r="X829" s="9" t="s">
        <v>48</v>
      </c>
      <c r="Y829" s="9" t="s">
        <v>1033</v>
      </c>
      <c r="Z829" s="12"/>
      <c r="AA829" s="9">
        <v>1306225.0</v>
      </c>
      <c r="AB829" s="12"/>
      <c r="AC829" s="9" t="s">
        <v>50</v>
      </c>
    </row>
    <row r="830">
      <c r="A830" s="9" t="s">
        <v>33</v>
      </c>
      <c r="B830" s="11">
        <v>6.0</v>
      </c>
      <c r="C830" s="9" t="s">
        <v>43</v>
      </c>
      <c r="D830" s="9" t="s">
        <v>55</v>
      </c>
      <c r="E830" s="9" t="s">
        <v>56</v>
      </c>
      <c r="F830" s="9" t="s">
        <v>45</v>
      </c>
      <c r="G830" s="9" t="s">
        <v>46</v>
      </c>
      <c r="H830" s="9" t="s">
        <v>222</v>
      </c>
      <c r="I830" s="11">
        <v>8177422.0</v>
      </c>
      <c r="J830" s="11">
        <v>2.66840211E8</v>
      </c>
      <c r="K830" s="13">
        <v>46304.0</v>
      </c>
      <c r="L830" s="14">
        <v>46316.0</v>
      </c>
      <c r="M830" s="12"/>
      <c r="N830" s="9">
        <v>2321.0</v>
      </c>
      <c r="O830" s="11">
        <v>7.0</v>
      </c>
      <c r="P830" s="9" t="s">
        <v>44</v>
      </c>
      <c r="Q830" s="12"/>
      <c r="R830" s="9" t="s">
        <v>52</v>
      </c>
      <c r="S830" s="9" t="s">
        <v>47</v>
      </c>
      <c r="T830" s="9" t="s">
        <v>44</v>
      </c>
      <c r="U830" s="9" t="s">
        <v>44</v>
      </c>
      <c r="V830" s="11">
        <v>45.49</v>
      </c>
      <c r="W830" s="11">
        <v>1.0</v>
      </c>
      <c r="X830" s="9" t="s">
        <v>48</v>
      </c>
      <c r="Y830" s="9" t="s">
        <v>1034</v>
      </c>
      <c r="Z830" s="12"/>
      <c r="AA830" s="9">
        <v>1306589.0</v>
      </c>
      <c r="AB830" s="12"/>
      <c r="AC830" s="9" t="s">
        <v>50</v>
      </c>
    </row>
    <row r="831">
      <c r="A831" s="9" t="s">
        <v>33</v>
      </c>
      <c r="B831" s="11">
        <v>6.0</v>
      </c>
      <c r="C831" s="9" t="s">
        <v>43</v>
      </c>
      <c r="D831" s="9" t="s">
        <v>55</v>
      </c>
      <c r="E831" s="9" t="s">
        <v>56</v>
      </c>
      <c r="F831" s="9" t="s">
        <v>45</v>
      </c>
      <c r="G831" s="9" t="s">
        <v>46</v>
      </c>
      <c r="H831" s="9" t="s">
        <v>324</v>
      </c>
      <c r="I831" s="11">
        <v>8177423.0</v>
      </c>
      <c r="J831" s="11">
        <v>2.66840212E8</v>
      </c>
      <c r="K831" s="13">
        <v>46304.0</v>
      </c>
      <c r="L831" s="14">
        <v>46314.0</v>
      </c>
      <c r="M831" s="12"/>
      <c r="N831" s="9">
        <v>101.0</v>
      </c>
      <c r="O831" s="11">
        <v>5.0</v>
      </c>
      <c r="P831" s="9" t="s">
        <v>44</v>
      </c>
      <c r="Q831" s="12"/>
      <c r="R831" s="9" t="s">
        <v>90</v>
      </c>
      <c r="S831" s="9" t="s">
        <v>47</v>
      </c>
      <c r="T831" s="9" t="s">
        <v>44</v>
      </c>
      <c r="U831" s="9" t="s">
        <v>44</v>
      </c>
      <c r="V831" s="11">
        <v>37.78</v>
      </c>
      <c r="W831" s="11">
        <v>1.0</v>
      </c>
      <c r="X831" s="9" t="s">
        <v>48</v>
      </c>
      <c r="Y831" s="9" t="s">
        <v>1035</v>
      </c>
      <c r="Z831" s="12"/>
      <c r="AA831" s="9">
        <v>1306456.0</v>
      </c>
      <c r="AB831" s="12"/>
      <c r="AC831" s="9" t="s">
        <v>50</v>
      </c>
    </row>
    <row r="832">
      <c r="A832" s="9" t="s">
        <v>33</v>
      </c>
      <c r="B832" s="11">
        <v>6.0</v>
      </c>
      <c r="C832" s="9" t="s">
        <v>43</v>
      </c>
      <c r="D832" s="9" t="s">
        <v>55</v>
      </c>
      <c r="E832" s="9" t="s">
        <v>56</v>
      </c>
      <c r="F832" s="9" t="s">
        <v>45</v>
      </c>
      <c r="G832" s="9" t="s">
        <v>46</v>
      </c>
      <c r="H832" s="9" t="s">
        <v>324</v>
      </c>
      <c r="I832" s="11">
        <v>8177424.0</v>
      </c>
      <c r="J832" s="11">
        <v>2.66840213E8</v>
      </c>
      <c r="K832" s="13">
        <v>46304.0</v>
      </c>
      <c r="L832" s="14">
        <v>46314.0</v>
      </c>
      <c r="M832" s="12"/>
      <c r="N832" s="9">
        <v>106.0</v>
      </c>
      <c r="O832" s="11">
        <v>5.0</v>
      </c>
      <c r="P832" s="9" t="s">
        <v>44</v>
      </c>
      <c r="Q832" s="12"/>
      <c r="R832" s="9" t="s">
        <v>90</v>
      </c>
      <c r="S832" s="9" t="s">
        <v>47</v>
      </c>
      <c r="T832" s="9" t="s">
        <v>44</v>
      </c>
      <c r="U832" s="9" t="s">
        <v>44</v>
      </c>
      <c r="V832" s="11">
        <v>47.8</v>
      </c>
      <c r="W832" s="11">
        <v>6.0</v>
      </c>
      <c r="X832" s="9" t="s">
        <v>48</v>
      </c>
      <c r="Y832" s="9" t="s">
        <v>682</v>
      </c>
      <c r="Z832" s="12"/>
      <c r="AA832" s="9">
        <v>1306556.0</v>
      </c>
      <c r="AB832" s="12"/>
      <c r="AC832" s="9" t="s">
        <v>50</v>
      </c>
    </row>
    <row r="833">
      <c r="A833" s="9" t="s">
        <v>33</v>
      </c>
      <c r="B833" s="11">
        <v>6.0</v>
      </c>
      <c r="C833" s="9" t="s">
        <v>43</v>
      </c>
      <c r="D833" s="9" t="s">
        <v>55</v>
      </c>
      <c r="E833" s="9" t="s">
        <v>56</v>
      </c>
      <c r="F833" s="9" t="s">
        <v>45</v>
      </c>
      <c r="G833" s="9" t="s">
        <v>46</v>
      </c>
      <c r="H833" s="9" t="s">
        <v>80</v>
      </c>
      <c r="I833" s="11">
        <v>8177425.0</v>
      </c>
      <c r="J833" s="11">
        <v>2.66840214E8</v>
      </c>
      <c r="K833" s="13">
        <v>46304.0</v>
      </c>
      <c r="L833" s="14">
        <v>46314.0</v>
      </c>
      <c r="M833" s="12"/>
      <c r="N833" s="9">
        <v>22.0</v>
      </c>
      <c r="O833" s="11">
        <v>5.0</v>
      </c>
      <c r="P833" s="9" t="s">
        <v>44</v>
      </c>
      <c r="Q833" s="12"/>
      <c r="R833" s="12"/>
      <c r="S833" s="9" t="s">
        <v>47</v>
      </c>
      <c r="T833" s="9" t="s">
        <v>44</v>
      </c>
      <c r="U833" s="9" t="s">
        <v>44</v>
      </c>
      <c r="V833" s="11">
        <v>31.77</v>
      </c>
      <c r="W833" s="11">
        <v>2.0</v>
      </c>
      <c r="X833" s="9" t="s">
        <v>48</v>
      </c>
      <c r="Y833" s="9" t="s">
        <v>1036</v>
      </c>
      <c r="Z833" s="12"/>
      <c r="AA833" s="9">
        <v>1306542.0</v>
      </c>
      <c r="AB833" s="12"/>
      <c r="AC833" s="9" t="s">
        <v>50</v>
      </c>
    </row>
    <row r="834">
      <c r="A834" s="9" t="s">
        <v>33</v>
      </c>
      <c r="B834" s="11">
        <v>6.0</v>
      </c>
      <c r="C834" s="9" t="s">
        <v>43</v>
      </c>
      <c r="D834" s="9" t="s">
        <v>55</v>
      </c>
      <c r="E834" s="9" t="s">
        <v>56</v>
      </c>
      <c r="F834" s="9" t="s">
        <v>45</v>
      </c>
      <c r="G834" s="9" t="s">
        <v>46</v>
      </c>
      <c r="H834" s="9" t="s">
        <v>80</v>
      </c>
      <c r="I834" s="11">
        <v>8177426.0</v>
      </c>
      <c r="J834" s="11">
        <v>2.66840215E8</v>
      </c>
      <c r="K834" s="13">
        <v>46304.0</v>
      </c>
      <c r="L834" s="14">
        <v>46314.0</v>
      </c>
      <c r="M834" s="12"/>
      <c r="N834" s="9">
        <v>1.0</v>
      </c>
      <c r="O834" s="11">
        <v>5.0</v>
      </c>
      <c r="P834" s="9" t="s">
        <v>44</v>
      </c>
      <c r="Q834" s="12"/>
      <c r="R834" s="12"/>
      <c r="S834" s="9" t="s">
        <v>47</v>
      </c>
      <c r="T834" s="9" t="s">
        <v>44</v>
      </c>
      <c r="U834" s="9" t="s">
        <v>44</v>
      </c>
      <c r="V834" s="11">
        <v>36.71</v>
      </c>
      <c r="W834" s="11">
        <v>2.0</v>
      </c>
      <c r="X834" s="9" t="s">
        <v>48</v>
      </c>
      <c r="Y834" s="9" t="s">
        <v>1037</v>
      </c>
      <c r="Z834" s="12"/>
      <c r="AA834" s="9">
        <v>1306567.0</v>
      </c>
      <c r="AB834" s="12"/>
      <c r="AC834" s="9" t="s">
        <v>50</v>
      </c>
    </row>
    <row r="835">
      <c r="A835" s="9" t="s">
        <v>33</v>
      </c>
      <c r="B835" s="11">
        <v>6.0</v>
      </c>
      <c r="C835" s="9" t="s">
        <v>43</v>
      </c>
      <c r="D835" s="9" t="s">
        <v>55</v>
      </c>
      <c r="E835" s="9" t="s">
        <v>56</v>
      </c>
      <c r="F835" s="9" t="s">
        <v>45</v>
      </c>
      <c r="G835" s="9" t="s">
        <v>46</v>
      </c>
      <c r="H835" s="9" t="s">
        <v>80</v>
      </c>
      <c r="I835" s="11">
        <v>8177407.0</v>
      </c>
      <c r="J835" s="11">
        <v>2.66840216E8</v>
      </c>
      <c r="K835" s="13">
        <v>46304.0</v>
      </c>
      <c r="L835" s="14">
        <v>46314.0</v>
      </c>
      <c r="M835" s="12"/>
      <c r="N835" s="9">
        <v>6.0</v>
      </c>
      <c r="O835" s="11">
        <v>5.0</v>
      </c>
      <c r="P835" s="9" t="s">
        <v>44</v>
      </c>
      <c r="Q835" s="12"/>
      <c r="R835" s="12"/>
      <c r="S835" s="9" t="s">
        <v>47</v>
      </c>
      <c r="T835" s="9" t="s">
        <v>44</v>
      </c>
      <c r="U835" s="9" t="s">
        <v>44</v>
      </c>
      <c r="V835" s="11">
        <v>43.26</v>
      </c>
      <c r="W835" s="11">
        <v>9.0</v>
      </c>
      <c r="X835" s="9" t="s">
        <v>48</v>
      </c>
      <c r="Y835" s="9" t="s">
        <v>1038</v>
      </c>
      <c r="Z835" s="12"/>
      <c r="AA835" s="9">
        <v>1306508.0</v>
      </c>
      <c r="AB835" s="12"/>
      <c r="AC835" s="9" t="s">
        <v>50</v>
      </c>
    </row>
    <row r="836">
      <c r="A836" s="9" t="s">
        <v>33</v>
      </c>
      <c r="B836" s="11">
        <v>6.0</v>
      </c>
      <c r="C836" s="9" t="s">
        <v>43</v>
      </c>
      <c r="D836" s="9" t="s">
        <v>55</v>
      </c>
      <c r="E836" s="9" t="s">
        <v>56</v>
      </c>
      <c r="F836" s="9" t="s">
        <v>45</v>
      </c>
      <c r="G836" s="9" t="s">
        <v>46</v>
      </c>
      <c r="H836" s="9" t="s">
        <v>1039</v>
      </c>
      <c r="I836" s="11">
        <v>8177472.0</v>
      </c>
      <c r="J836" s="11">
        <v>2.66840217E8</v>
      </c>
      <c r="K836" s="13">
        <v>46304.0</v>
      </c>
      <c r="L836" s="14">
        <v>46323.0</v>
      </c>
      <c r="M836" s="12"/>
      <c r="N836" s="9">
        <v>1.0</v>
      </c>
      <c r="O836" s="11">
        <v>12.0</v>
      </c>
      <c r="P836" s="9" t="s">
        <v>44</v>
      </c>
      <c r="Q836" s="12"/>
      <c r="R836" s="9" t="s">
        <v>90</v>
      </c>
      <c r="S836" s="9" t="s">
        <v>47</v>
      </c>
      <c r="T836" s="9" t="s">
        <v>44</v>
      </c>
      <c r="U836" s="9" t="s">
        <v>44</v>
      </c>
      <c r="V836" s="11">
        <v>37.78</v>
      </c>
      <c r="W836" s="11">
        <v>1.0</v>
      </c>
      <c r="X836" s="9" t="s">
        <v>48</v>
      </c>
      <c r="Y836" s="9" t="s">
        <v>1040</v>
      </c>
      <c r="Z836" s="12"/>
      <c r="AA836" s="9">
        <v>1306202.0</v>
      </c>
      <c r="AB836" s="12"/>
      <c r="AC836" s="9" t="s">
        <v>50</v>
      </c>
    </row>
    <row r="837">
      <c r="A837" s="9" t="s">
        <v>33</v>
      </c>
      <c r="B837" s="11">
        <v>6.0</v>
      </c>
      <c r="C837" s="9" t="s">
        <v>43</v>
      </c>
      <c r="D837" s="9" t="s">
        <v>55</v>
      </c>
      <c r="E837" s="9" t="s">
        <v>56</v>
      </c>
      <c r="F837" s="9" t="s">
        <v>45</v>
      </c>
      <c r="G837" s="9" t="s">
        <v>46</v>
      </c>
      <c r="H837" s="9" t="s">
        <v>348</v>
      </c>
      <c r="I837" s="11">
        <v>8177524.0</v>
      </c>
      <c r="J837" s="11">
        <v>2.66840218E8</v>
      </c>
      <c r="K837" s="13">
        <v>46304.0</v>
      </c>
      <c r="L837" s="14">
        <v>46316.0</v>
      </c>
      <c r="M837" s="12"/>
      <c r="N837" s="9">
        <v>102.0</v>
      </c>
      <c r="O837" s="11">
        <v>7.0</v>
      </c>
      <c r="P837" s="9" t="s">
        <v>44</v>
      </c>
      <c r="Q837" s="12"/>
      <c r="R837" s="9" t="s">
        <v>90</v>
      </c>
      <c r="S837" s="9" t="s">
        <v>47</v>
      </c>
      <c r="T837" s="9" t="s">
        <v>44</v>
      </c>
      <c r="U837" s="9" t="s">
        <v>44</v>
      </c>
      <c r="V837" s="11">
        <v>80.65</v>
      </c>
      <c r="W837" s="11">
        <v>1.0</v>
      </c>
      <c r="X837" s="9" t="s">
        <v>48</v>
      </c>
      <c r="Y837" s="9" t="s">
        <v>1041</v>
      </c>
      <c r="Z837" s="12"/>
      <c r="AA837" s="9">
        <v>1305734.0</v>
      </c>
      <c r="AB837" s="12"/>
      <c r="AC837" s="9" t="s">
        <v>50</v>
      </c>
    </row>
    <row r="838">
      <c r="A838" s="9" t="s">
        <v>33</v>
      </c>
      <c r="B838" s="11">
        <v>6.0</v>
      </c>
      <c r="C838" s="9" t="s">
        <v>43</v>
      </c>
      <c r="D838" s="9" t="s">
        <v>55</v>
      </c>
      <c r="E838" s="9" t="s">
        <v>56</v>
      </c>
      <c r="F838" s="9" t="s">
        <v>45</v>
      </c>
      <c r="G838" s="9" t="s">
        <v>46</v>
      </c>
      <c r="H838" s="9" t="s">
        <v>348</v>
      </c>
      <c r="I838" s="11">
        <v>8177473.0</v>
      </c>
      <c r="J838" s="11">
        <v>2.66840219E8</v>
      </c>
      <c r="K838" s="13">
        <v>46304.0</v>
      </c>
      <c r="L838" s="14">
        <v>46316.0</v>
      </c>
      <c r="M838" s="12"/>
      <c r="N838" s="9">
        <v>102.0</v>
      </c>
      <c r="O838" s="11">
        <v>7.0</v>
      </c>
      <c r="P838" s="9" t="s">
        <v>44</v>
      </c>
      <c r="Q838" s="12"/>
      <c r="R838" s="9" t="s">
        <v>90</v>
      </c>
      <c r="S838" s="9" t="s">
        <v>47</v>
      </c>
      <c r="T838" s="9" t="s">
        <v>44</v>
      </c>
      <c r="U838" s="9" t="s">
        <v>44</v>
      </c>
      <c r="V838" s="11">
        <v>80.65</v>
      </c>
      <c r="W838" s="11">
        <v>1.0</v>
      </c>
      <c r="X838" s="9" t="s">
        <v>48</v>
      </c>
      <c r="Y838" s="9" t="s">
        <v>1042</v>
      </c>
      <c r="Z838" s="12"/>
      <c r="AA838" s="9">
        <v>1306161.0</v>
      </c>
      <c r="AB838" s="12"/>
      <c r="AC838" s="9" t="s">
        <v>50</v>
      </c>
    </row>
    <row r="839">
      <c r="A839" s="9" t="s">
        <v>33</v>
      </c>
      <c r="B839" s="11">
        <v>6.0</v>
      </c>
      <c r="C839" s="9" t="s">
        <v>43</v>
      </c>
      <c r="D839" s="9" t="s">
        <v>55</v>
      </c>
      <c r="E839" s="9" t="s">
        <v>56</v>
      </c>
      <c r="F839" s="9" t="s">
        <v>45</v>
      </c>
      <c r="G839" s="9" t="s">
        <v>46</v>
      </c>
      <c r="H839" s="9" t="s">
        <v>348</v>
      </c>
      <c r="I839" s="11">
        <v>8177474.0</v>
      </c>
      <c r="J839" s="11">
        <v>2.6684022E8</v>
      </c>
      <c r="K839" s="13">
        <v>46304.0</v>
      </c>
      <c r="L839" s="14">
        <v>46316.0</v>
      </c>
      <c r="M839" s="12"/>
      <c r="N839" s="9">
        <v>103.0</v>
      </c>
      <c r="O839" s="11">
        <v>7.0</v>
      </c>
      <c r="P839" s="9" t="s">
        <v>44</v>
      </c>
      <c r="Q839" s="12"/>
      <c r="R839" s="9" t="s">
        <v>90</v>
      </c>
      <c r="S839" s="9" t="s">
        <v>47</v>
      </c>
      <c r="T839" s="9" t="s">
        <v>44</v>
      </c>
      <c r="U839" s="9" t="s">
        <v>44</v>
      </c>
      <c r="V839" s="11">
        <v>80.65</v>
      </c>
      <c r="W839" s="11">
        <v>1.0</v>
      </c>
      <c r="X839" s="9" t="s">
        <v>48</v>
      </c>
      <c r="Y839" s="9" t="s">
        <v>1043</v>
      </c>
      <c r="Z839" s="12"/>
      <c r="AA839" s="9">
        <v>1306221.0</v>
      </c>
      <c r="AB839" s="12"/>
      <c r="AC839" s="9" t="s">
        <v>50</v>
      </c>
    </row>
    <row r="840">
      <c r="A840" s="9" t="s">
        <v>33</v>
      </c>
      <c r="B840" s="11">
        <v>6.0</v>
      </c>
      <c r="C840" s="9" t="s">
        <v>43</v>
      </c>
      <c r="D840" s="9" t="s">
        <v>55</v>
      </c>
      <c r="E840" s="9" t="s">
        <v>56</v>
      </c>
      <c r="F840" s="9" t="s">
        <v>45</v>
      </c>
      <c r="G840" s="9" t="s">
        <v>46</v>
      </c>
      <c r="H840" s="9" t="s">
        <v>359</v>
      </c>
      <c r="I840" s="11">
        <v>8177475.0</v>
      </c>
      <c r="J840" s="11">
        <v>2.66840221E8</v>
      </c>
      <c r="K840" s="13">
        <v>46304.0</v>
      </c>
      <c r="L840" s="14">
        <v>46316.0</v>
      </c>
      <c r="M840" s="12"/>
      <c r="N840" s="9">
        <v>2706.0</v>
      </c>
      <c r="O840" s="11">
        <v>7.0</v>
      </c>
      <c r="P840" s="9" t="s">
        <v>44</v>
      </c>
      <c r="Q840" s="12"/>
      <c r="R840" s="12"/>
      <c r="S840" s="9" t="s">
        <v>47</v>
      </c>
      <c r="T840" s="9" t="s">
        <v>44</v>
      </c>
      <c r="U840" s="9" t="s">
        <v>44</v>
      </c>
      <c r="V840" s="11">
        <v>45.49</v>
      </c>
      <c r="W840" s="11">
        <v>1.0</v>
      </c>
      <c r="X840" s="9" t="s">
        <v>48</v>
      </c>
      <c r="Y840" s="9" t="s">
        <v>1044</v>
      </c>
      <c r="Z840" s="12"/>
      <c r="AA840" s="9">
        <v>1306317.0</v>
      </c>
      <c r="AB840" s="12"/>
      <c r="AC840" s="9" t="s">
        <v>50</v>
      </c>
    </row>
    <row r="841">
      <c r="A841" s="9" t="s">
        <v>33</v>
      </c>
      <c r="B841" s="11">
        <v>6.0</v>
      </c>
      <c r="C841" s="9" t="s">
        <v>43</v>
      </c>
      <c r="D841" s="9" t="s">
        <v>55</v>
      </c>
      <c r="E841" s="9" t="s">
        <v>56</v>
      </c>
      <c r="F841" s="9" t="s">
        <v>45</v>
      </c>
      <c r="G841" s="9" t="s">
        <v>46</v>
      </c>
      <c r="H841" s="9" t="s">
        <v>87</v>
      </c>
      <c r="I841" s="11">
        <v>8177476.0</v>
      </c>
      <c r="J841" s="11">
        <v>2.66840222E8</v>
      </c>
      <c r="K841" s="13">
        <v>46304.0</v>
      </c>
      <c r="L841" s="14">
        <v>46316.0</v>
      </c>
      <c r="M841" s="12"/>
      <c r="N841" s="9">
        <v>2.0</v>
      </c>
      <c r="O841" s="11">
        <v>7.0</v>
      </c>
      <c r="P841" s="9" t="s">
        <v>44</v>
      </c>
      <c r="Q841" s="12"/>
      <c r="R841" s="9" t="s">
        <v>90</v>
      </c>
      <c r="S841" s="9" t="s">
        <v>47</v>
      </c>
      <c r="T841" s="9" t="s">
        <v>44</v>
      </c>
      <c r="U841" s="9" t="s">
        <v>44</v>
      </c>
      <c r="V841" s="11">
        <v>56.59</v>
      </c>
      <c r="W841" s="11">
        <v>3.0</v>
      </c>
      <c r="X841" s="9" t="s">
        <v>48</v>
      </c>
      <c r="Y841" s="9" t="s">
        <v>1045</v>
      </c>
      <c r="Z841" s="12"/>
      <c r="AA841" s="9">
        <v>1306334.0</v>
      </c>
      <c r="AB841" s="12"/>
      <c r="AC841" s="9" t="s">
        <v>50</v>
      </c>
    </row>
    <row r="842">
      <c r="A842" s="9" t="s">
        <v>33</v>
      </c>
      <c r="B842" s="11">
        <v>6.0</v>
      </c>
      <c r="C842" s="9" t="s">
        <v>43</v>
      </c>
      <c r="D842" s="9" t="s">
        <v>55</v>
      </c>
      <c r="E842" s="9" t="s">
        <v>56</v>
      </c>
      <c r="F842" s="9" t="s">
        <v>45</v>
      </c>
      <c r="G842" s="9" t="s">
        <v>46</v>
      </c>
      <c r="H842" s="9" t="s">
        <v>191</v>
      </c>
      <c r="I842" s="11">
        <v>8177525.0</v>
      </c>
      <c r="J842" s="11">
        <v>2.66840223E8</v>
      </c>
      <c r="K842" s="13">
        <v>46304.0</v>
      </c>
      <c r="L842" s="14">
        <v>46316.0</v>
      </c>
      <c r="M842" s="12"/>
      <c r="N842" s="9">
        <v>542.0</v>
      </c>
      <c r="O842" s="11">
        <v>7.0</v>
      </c>
      <c r="P842" s="9" t="s">
        <v>44</v>
      </c>
      <c r="Q842" s="12"/>
      <c r="R842" s="9" t="s">
        <v>52</v>
      </c>
      <c r="S842" s="9" t="s">
        <v>47</v>
      </c>
      <c r="T842" s="9" t="s">
        <v>44</v>
      </c>
      <c r="U842" s="9" t="s">
        <v>44</v>
      </c>
      <c r="V842" s="11">
        <v>45.49</v>
      </c>
      <c r="W842" s="11">
        <v>1.0</v>
      </c>
      <c r="X842" s="9" t="s">
        <v>48</v>
      </c>
      <c r="Y842" s="9" t="s">
        <v>1046</v>
      </c>
      <c r="Z842" s="12"/>
      <c r="AA842" s="9">
        <v>1306234.0</v>
      </c>
      <c r="AB842" s="12"/>
      <c r="AC842" s="9" t="s">
        <v>50</v>
      </c>
    </row>
    <row r="843">
      <c r="A843" s="9" t="s">
        <v>33</v>
      </c>
      <c r="B843" s="11">
        <v>6.0</v>
      </c>
      <c r="C843" s="9" t="s">
        <v>43</v>
      </c>
      <c r="D843" s="9" t="s">
        <v>55</v>
      </c>
      <c r="E843" s="9" t="s">
        <v>56</v>
      </c>
      <c r="F843" s="9" t="s">
        <v>45</v>
      </c>
      <c r="G843" s="9" t="s">
        <v>46</v>
      </c>
      <c r="H843" s="9" t="s">
        <v>191</v>
      </c>
      <c r="I843" s="11">
        <v>8177477.0</v>
      </c>
      <c r="J843" s="11">
        <v>2.66840224E8</v>
      </c>
      <c r="K843" s="13">
        <v>46304.0</v>
      </c>
      <c r="L843" s="14">
        <v>46316.0</v>
      </c>
      <c r="M843" s="12"/>
      <c r="N843" s="9">
        <v>542.0</v>
      </c>
      <c r="O843" s="11">
        <v>7.0</v>
      </c>
      <c r="P843" s="9" t="s">
        <v>44</v>
      </c>
      <c r="Q843" s="12"/>
      <c r="R843" s="9" t="s">
        <v>90</v>
      </c>
      <c r="S843" s="9" t="s">
        <v>47</v>
      </c>
      <c r="T843" s="9" t="s">
        <v>44</v>
      </c>
      <c r="U843" s="9" t="s">
        <v>44</v>
      </c>
      <c r="V843" s="11">
        <v>45.49</v>
      </c>
      <c r="W843" s="11">
        <v>1.0</v>
      </c>
      <c r="X843" s="9" t="s">
        <v>48</v>
      </c>
      <c r="Y843" s="9" t="s">
        <v>1047</v>
      </c>
      <c r="Z843" s="12"/>
      <c r="AA843" s="9">
        <v>1306386.0</v>
      </c>
      <c r="AB843" s="12"/>
      <c r="AC843" s="9" t="s">
        <v>50</v>
      </c>
    </row>
    <row r="844">
      <c r="A844" s="9" t="s">
        <v>33</v>
      </c>
      <c r="B844" s="11">
        <v>6.0</v>
      </c>
      <c r="C844" s="9" t="s">
        <v>43</v>
      </c>
      <c r="D844" s="9" t="s">
        <v>55</v>
      </c>
      <c r="E844" s="9" t="s">
        <v>56</v>
      </c>
      <c r="F844" s="9" t="s">
        <v>45</v>
      </c>
      <c r="G844" s="9" t="s">
        <v>46</v>
      </c>
      <c r="H844" s="9" t="s">
        <v>87</v>
      </c>
      <c r="I844" s="11">
        <v>8177448.0</v>
      </c>
      <c r="J844" s="11">
        <v>2.66840225E8</v>
      </c>
      <c r="K844" s="13">
        <v>46304.0</v>
      </c>
      <c r="L844" s="14">
        <v>46321.0</v>
      </c>
      <c r="M844" s="12"/>
      <c r="N844" s="9">
        <v>105.0</v>
      </c>
      <c r="O844" s="11">
        <v>10.0</v>
      </c>
      <c r="P844" s="9" t="s">
        <v>44</v>
      </c>
      <c r="Q844" s="12"/>
      <c r="R844" s="9" t="s">
        <v>90</v>
      </c>
      <c r="S844" s="9" t="s">
        <v>47</v>
      </c>
      <c r="T844" s="9" t="s">
        <v>44</v>
      </c>
      <c r="U844" s="9" t="s">
        <v>44</v>
      </c>
      <c r="V844" s="11">
        <v>56.59</v>
      </c>
      <c r="W844" s="11">
        <v>2.0</v>
      </c>
      <c r="X844" s="9" t="s">
        <v>48</v>
      </c>
      <c r="Y844" s="9" t="s">
        <v>1048</v>
      </c>
      <c r="Z844" s="12"/>
      <c r="AA844" s="9">
        <v>1305659.0</v>
      </c>
      <c r="AB844" s="12"/>
      <c r="AC844" s="9" t="s">
        <v>50</v>
      </c>
    </row>
    <row r="845">
      <c r="A845" s="9" t="s">
        <v>33</v>
      </c>
      <c r="B845" s="11">
        <v>6.0</v>
      </c>
      <c r="C845" s="9" t="s">
        <v>43</v>
      </c>
      <c r="D845" s="9" t="s">
        <v>55</v>
      </c>
      <c r="E845" s="9" t="s">
        <v>56</v>
      </c>
      <c r="F845" s="9" t="s">
        <v>45</v>
      </c>
      <c r="G845" s="9" t="s">
        <v>46</v>
      </c>
      <c r="H845" s="9" t="s">
        <v>363</v>
      </c>
      <c r="I845" s="11">
        <v>8177526.0</v>
      </c>
      <c r="J845" s="11">
        <v>2.66840226E8</v>
      </c>
      <c r="K845" s="13">
        <v>46304.0</v>
      </c>
      <c r="L845" s="14">
        <v>46318.0</v>
      </c>
      <c r="M845" s="12"/>
      <c r="N845" s="9">
        <v>2.0</v>
      </c>
      <c r="O845" s="11">
        <v>9.0</v>
      </c>
      <c r="P845" s="9" t="s">
        <v>44</v>
      </c>
      <c r="Q845" s="12"/>
      <c r="R845" s="9" t="s">
        <v>90</v>
      </c>
      <c r="S845" s="9" t="s">
        <v>47</v>
      </c>
      <c r="T845" s="9" t="s">
        <v>44</v>
      </c>
      <c r="U845" s="9" t="s">
        <v>44</v>
      </c>
      <c r="V845" s="11">
        <v>63.12</v>
      </c>
      <c r="W845" s="11">
        <v>1.0</v>
      </c>
      <c r="X845" s="9" t="s">
        <v>48</v>
      </c>
      <c r="Y845" s="9" t="s">
        <v>1049</v>
      </c>
      <c r="Z845" s="12"/>
      <c r="AA845" s="9">
        <v>1306474.0</v>
      </c>
      <c r="AB845" s="12"/>
      <c r="AC845" s="9" t="s">
        <v>50</v>
      </c>
    </row>
    <row r="846">
      <c r="A846" s="9" t="s">
        <v>33</v>
      </c>
      <c r="B846" s="11">
        <v>6.0</v>
      </c>
      <c r="C846" s="9" t="s">
        <v>43</v>
      </c>
      <c r="D846" s="9" t="s">
        <v>55</v>
      </c>
      <c r="E846" s="9" t="s">
        <v>56</v>
      </c>
      <c r="F846" s="9" t="s">
        <v>45</v>
      </c>
      <c r="G846" s="9" t="s">
        <v>46</v>
      </c>
      <c r="H846" s="9" t="s">
        <v>704</v>
      </c>
      <c r="I846" s="11">
        <v>8177449.0</v>
      </c>
      <c r="J846" s="11">
        <v>2.66840227E8</v>
      </c>
      <c r="K846" s="13">
        <v>46304.0</v>
      </c>
      <c r="L846" s="14">
        <v>46318.0</v>
      </c>
      <c r="M846" s="12"/>
      <c r="N846" s="9">
        <v>106.0</v>
      </c>
      <c r="O846" s="11">
        <v>9.0</v>
      </c>
      <c r="P846" s="9" t="s">
        <v>44</v>
      </c>
      <c r="Q846" s="12"/>
      <c r="R846" s="9" t="s">
        <v>90</v>
      </c>
      <c r="S846" s="9" t="s">
        <v>47</v>
      </c>
      <c r="T846" s="9" t="s">
        <v>44</v>
      </c>
      <c r="U846" s="9" t="s">
        <v>44</v>
      </c>
      <c r="V846" s="11">
        <v>63.12</v>
      </c>
      <c r="W846" s="11">
        <v>2.0</v>
      </c>
      <c r="X846" s="9" t="s">
        <v>48</v>
      </c>
      <c r="Y846" s="9" t="s">
        <v>1050</v>
      </c>
      <c r="Z846" s="12"/>
      <c r="AA846" s="9">
        <v>1306311.0</v>
      </c>
      <c r="AB846" s="12"/>
      <c r="AC846" s="9" t="s">
        <v>50</v>
      </c>
    </row>
    <row r="847">
      <c r="A847" s="9" t="s">
        <v>33</v>
      </c>
      <c r="B847" s="11">
        <v>6.0</v>
      </c>
      <c r="C847" s="9" t="s">
        <v>43</v>
      </c>
      <c r="D847" s="9" t="s">
        <v>55</v>
      </c>
      <c r="E847" s="9" t="s">
        <v>56</v>
      </c>
      <c r="F847" s="9" t="s">
        <v>45</v>
      </c>
      <c r="G847" s="9" t="s">
        <v>46</v>
      </c>
      <c r="H847" s="9" t="s">
        <v>370</v>
      </c>
      <c r="I847" s="11">
        <v>8177478.0</v>
      </c>
      <c r="J847" s="11">
        <v>2.66840228E8</v>
      </c>
      <c r="K847" s="13">
        <v>46304.0</v>
      </c>
      <c r="L847" s="14">
        <v>46323.0</v>
      </c>
      <c r="M847" s="12"/>
      <c r="N847" s="9">
        <v>4.0</v>
      </c>
      <c r="O847" s="11">
        <v>12.0</v>
      </c>
      <c r="P847" s="9" t="s">
        <v>44</v>
      </c>
      <c r="Q847" s="12"/>
      <c r="R847" s="9" t="s">
        <v>90</v>
      </c>
      <c r="S847" s="9" t="s">
        <v>47</v>
      </c>
      <c r="T847" s="9" t="s">
        <v>44</v>
      </c>
      <c r="U847" s="9" t="s">
        <v>44</v>
      </c>
      <c r="V847" s="11">
        <v>63.12</v>
      </c>
      <c r="W847" s="11">
        <v>1.0</v>
      </c>
      <c r="X847" s="9" t="s">
        <v>48</v>
      </c>
      <c r="Y847" s="9" t="s">
        <v>1051</v>
      </c>
      <c r="Z847" s="12"/>
      <c r="AA847" s="9">
        <v>1306228.0</v>
      </c>
      <c r="AB847" s="12"/>
      <c r="AC847" s="9" t="s">
        <v>50</v>
      </c>
    </row>
    <row r="848">
      <c r="A848" s="9" t="s">
        <v>33</v>
      </c>
      <c r="B848" s="11">
        <v>6.0</v>
      </c>
      <c r="C848" s="9" t="s">
        <v>43</v>
      </c>
      <c r="D848" s="9" t="s">
        <v>55</v>
      </c>
      <c r="E848" s="9" t="s">
        <v>56</v>
      </c>
      <c r="F848" s="9" t="s">
        <v>45</v>
      </c>
      <c r="G848" s="9" t="s">
        <v>46</v>
      </c>
      <c r="H848" s="9" t="s">
        <v>344</v>
      </c>
      <c r="I848" s="11">
        <v>8177427.0</v>
      </c>
      <c r="J848" s="11">
        <v>2.66840229E8</v>
      </c>
      <c r="K848" s="13">
        <v>46304.0</v>
      </c>
      <c r="L848" s="14">
        <v>46318.0</v>
      </c>
      <c r="M848" s="12"/>
      <c r="N848" s="9">
        <v>1.0</v>
      </c>
      <c r="O848" s="11">
        <v>9.0</v>
      </c>
      <c r="P848" s="9" t="s">
        <v>44</v>
      </c>
      <c r="Q848" s="12"/>
      <c r="R848" s="9" t="s">
        <v>90</v>
      </c>
      <c r="S848" s="9" t="s">
        <v>47</v>
      </c>
      <c r="T848" s="9" t="s">
        <v>44</v>
      </c>
      <c r="U848" s="9" t="s">
        <v>44</v>
      </c>
      <c r="V848" s="11">
        <v>65.16</v>
      </c>
      <c r="W848" s="11">
        <v>5.0</v>
      </c>
      <c r="X848" s="9" t="s">
        <v>48</v>
      </c>
      <c r="Y848" s="9" t="s">
        <v>1052</v>
      </c>
      <c r="Z848" s="12"/>
      <c r="AA848" s="9">
        <v>1306335.0</v>
      </c>
      <c r="AB848" s="12"/>
      <c r="AC848" s="9" t="s">
        <v>50</v>
      </c>
    </row>
    <row r="849">
      <c r="A849" s="9" t="s">
        <v>33</v>
      </c>
      <c r="B849" s="11">
        <v>6.0</v>
      </c>
      <c r="C849" s="9" t="s">
        <v>43</v>
      </c>
      <c r="D849" s="9" t="s">
        <v>55</v>
      </c>
      <c r="E849" s="9" t="s">
        <v>56</v>
      </c>
      <c r="F849" s="9" t="s">
        <v>45</v>
      </c>
      <c r="G849" s="9" t="s">
        <v>46</v>
      </c>
      <c r="H849" s="9" t="s">
        <v>704</v>
      </c>
      <c r="I849" s="11">
        <v>8177527.0</v>
      </c>
      <c r="J849" s="11">
        <v>2.6684023E8</v>
      </c>
      <c r="K849" s="13">
        <v>46304.0</v>
      </c>
      <c r="L849" s="14">
        <v>46321.0</v>
      </c>
      <c r="M849" s="12"/>
      <c r="N849" s="9">
        <v>102.0</v>
      </c>
      <c r="O849" s="11">
        <v>10.0</v>
      </c>
      <c r="P849" s="9" t="s">
        <v>44</v>
      </c>
      <c r="Q849" s="12"/>
      <c r="R849" s="9" t="s">
        <v>90</v>
      </c>
      <c r="S849" s="9" t="s">
        <v>47</v>
      </c>
      <c r="T849" s="9" t="s">
        <v>44</v>
      </c>
      <c r="U849" s="9" t="s">
        <v>44</v>
      </c>
      <c r="V849" s="11">
        <v>63.12</v>
      </c>
      <c r="W849" s="11">
        <v>1.0</v>
      </c>
      <c r="X849" s="9" t="s">
        <v>48</v>
      </c>
      <c r="Y849" s="9" t="s">
        <v>1053</v>
      </c>
      <c r="Z849" s="12"/>
      <c r="AA849" s="9">
        <v>1306275.0</v>
      </c>
      <c r="AB849" s="12"/>
      <c r="AC849" s="9" t="s">
        <v>50</v>
      </c>
    </row>
    <row r="850">
      <c r="A850" s="9" t="s">
        <v>33</v>
      </c>
      <c r="B850" s="11">
        <v>6.0</v>
      </c>
      <c r="C850" s="9" t="s">
        <v>43</v>
      </c>
      <c r="D850" s="9" t="s">
        <v>55</v>
      </c>
      <c r="E850" s="9" t="s">
        <v>56</v>
      </c>
      <c r="F850" s="9" t="s">
        <v>45</v>
      </c>
      <c r="G850" s="9" t="s">
        <v>46</v>
      </c>
      <c r="H850" s="9" t="s">
        <v>704</v>
      </c>
      <c r="I850" s="11">
        <v>8177528.0</v>
      </c>
      <c r="J850" s="11">
        <v>2.66840231E8</v>
      </c>
      <c r="K850" s="13">
        <v>46304.0</v>
      </c>
      <c r="L850" s="14">
        <v>46321.0</v>
      </c>
      <c r="M850" s="12"/>
      <c r="N850" s="9">
        <v>102.0</v>
      </c>
      <c r="O850" s="11">
        <v>10.0</v>
      </c>
      <c r="P850" s="9" t="s">
        <v>44</v>
      </c>
      <c r="Q850" s="12"/>
      <c r="R850" s="9" t="s">
        <v>90</v>
      </c>
      <c r="S850" s="9" t="s">
        <v>47</v>
      </c>
      <c r="T850" s="9" t="s">
        <v>44</v>
      </c>
      <c r="U850" s="9" t="s">
        <v>44</v>
      </c>
      <c r="V850" s="11">
        <v>63.12</v>
      </c>
      <c r="W850" s="11">
        <v>1.0</v>
      </c>
      <c r="X850" s="9" t="s">
        <v>48</v>
      </c>
      <c r="Y850" s="9" t="s">
        <v>1054</v>
      </c>
      <c r="Z850" s="12"/>
      <c r="AA850" s="9">
        <v>1306250.0</v>
      </c>
      <c r="AB850" s="12"/>
      <c r="AC850" s="9" t="s">
        <v>50</v>
      </c>
    </row>
    <row r="851">
      <c r="A851" s="9" t="s">
        <v>33</v>
      </c>
      <c r="B851" s="11">
        <v>6.0</v>
      </c>
      <c r="C851" s="9" t="s">
        <v>43</v>
      </c>
      <c r="D851" s="9" t="s">
        <v>55</v>
      </c>
      <c r="E851" s="9" t="s">
        <v>56</v>
      </c>
      <c r="F851" s="9" t="s">
        <v>45</v>
      </c>
      <c r="G851" s="9" t="s">
        <v>46</v>
      </c>
      <c r="H851" s="9" t="s">
        <v>99</v>
      </c>
      <c r="I851" s="11">
        <v>8177562.0</v>
      </c>
      <c r="J851" s="11">
        <v>2.66840232E8</v>
      </c>
      <c r="K851" s="13">
        <v>46304.0</v>
      </c>
      <c r="L851" s="14">
        <v>46318.0</v>
      </c>
      <c r="M851" s="12"/>
      <c r="N851" s="9">
        <v>103.0</v>
      </c>
      <c r="O851" s="11">
        <v>9.0</v>
      </c>
      <c r="P851" s="9" t="s">
        <v>44</v>
      </c>
      <c r="Q851" s="12"/>
      <c r="R851" s="9" t="s">
        <v>90</v>
      </c>
      <c r="S851" s="9" t="s">
        <v>47</v>
      </c>
      <c r="T851" s="9" t="s">
        <v>44</v>
      </c>
      <c r="U851" s="9" t="s">
        <v>44</v>
      </c>
      <c r="V851" s="11">
        <v>57.25</v>
      </c>
      <c r="W851" s="11">
        <v>1.0</v>
      </c>
      <c r="X851" s="9" t="s">
        <v>48</v>
      </c>
      <c r="Y851" s="9" t="s">
        <v>1055</v>
      </c>
      <c r="Z851" s="12"/>
      <c r="AA851" s="9">
        <v>1306207.0</v>
      </c>
      <c r="AB851" s="12"/>
      <c r="AC851" s="9" t="s">
        <v>50</v>
      </c>
    </row>
    <row r="852">
      <c r="A852" s="9" t="s">
        <v>33</v>
      </c>
      <c r="B852" s="11">
        <v>6.0</v>
      </c>
      <c r="C852" s="9" t="s">
        <v>43</v>
      </c>
      <c r="D852" s="9" t="s">
        <v>55</v>
      </c>
      <c r="E852" s="9" t="s">
        <v>56</v>
      </c>
      <c r="F852" s="9" t="s">
        <v>45</v>
      </c>
      <c r="G852" s="9" t="s">
        <v>46</v>
      </c>
      <c r="H852" s="9" t="s">
        <v>375</v>
      </c>
      <c r="I852" s="11">
        <v>8177450.0</v>
      </c>
      <c r="J852" s="11">
        <v>2.66840234E8</v>
      </c>
      <c r="K852" s="13">
        <v>46304.0</v>
      </c>
      <c r="L852" s="14">
        <v>46316.0</v>
      </c>
      <c r="M852" s="12"/>
      <c r="N852" s="9">
        <v>1.0</v>
      </c>
      <c r="O852" s="11">
        <v>7.0</v>
      </c>
      <c r="P852" s="9" t="s">
        <v>44</v>
      </c>
      <c r="Q852" s="12"/>
      <c r="R852" s="9" t="s">
        <v>90</v>
      </c>
      <c r="S852" s="9" t="s">
        <v>47</v>
      </c>
      <c r="T852" s="9" t="s">
        <v>44</v>
      </c>
      <c r="U852" s="9" t="s">
        <v>44</v>
      </c>
      <c r="V852" s="11">
        <v>70.83</v>
      </c>
      <c r="W852" s="11">
        <v>4.0</v>
      </c>
      <c r="X852" s="9" t="s">
        <v>48</v>
      </c>
      <c r="Y852" s="9" t="s">
        <v>1056</v>
      </c>
      <c r="Z852" s="12"/>
      <c r="AA852" s="9">
        <v>1306358.0</v>
      </c>
      <c r="AB852" s="12"/>
      <c r="AC852" s="9" t="s">
        <v>50</v>
      </c>
    </row>
    <row r="853">
      <c r="A853" s="9" t="s">
        <v>33</v>
      </c>
      <c r="B853" s="11">
        <v>6.0</v>
      </c>
      <c r="C853" s="9" t="s">
        <v>43</v>
      </c>
      <c r="D853" s="9" t="s">
        <v>55</v>
      </c>
      <c r="E853" s="9" t="s">
        <v>56</v>
      </c>
      <c r="F853" s="9" t="s">
        <v>45</v>
      </c>
      <c r="G853" s="9" t="s">
        <v>46</v>
      </c>
      <c r="H853" s="9" t="s">
        <v>377</v>
      </c>
      <c r="I853" s="11">
        <v>8177529.0</v>
      </c>
      <c r="J853" s="11">
        <v>2.66840236E8</v>
      </c>
      <c r="K853" s="13">
        <v>46304.0</v>
      </c>
      <c r="L853" s="14">
        <v>46324.0</v>
      </c>
      <c r="M853" s="12"/>
      <c r="N853" s="9">
        <v>1.0</v>
      </c>
      <c r="O853" s="11">
        <v>13.0</v>
      </c>
      <c r="P853" s="9" t="s">
        <v>44</v>
      </c>
      <c r="Q853" s="12"/>
      <c r="R853" s="9" t="s">
        <v>90</v>
      </c>
      <c r="S853" s="9" t="s">
        <v>47</v>
      </c>
      <c r="T853" s="9" t="s">
        <v>44</v>
      </c>
      <c r="U853" s="9" t="s">
        <v>44</v>
      </c>
      <c r="V853" s="11">
        <v>71.9</v>
      </c>
      <c r="W853" s="11">
        <v>1.0</v>
      </c>
      <c r="X853" s="9" t="s">
        <v>48</v>
      </c>
      <c r="Y853" s="9" t="s">
        <v>1057</v>
      </c>
      <c r="Z853" s="12"/>
      <c r="AA853" s="9">
        <v>1305908.0</v>
      </c>
      <c r="AB853" s="12"/>
      <c r="AC853" s="9" t="s">
        <v>50</v>
      </c>
    </row>
    <row r="854">
      <c r="A854" s="9" t="s">
        <v>33</v>
      </c>
      <c r="B854" s="11">
        <v>6.0</v>
      </c>
      <c r="C854" s="9" t="s">
        <v>43</v>
      </c>
      <c r="D854" s="9" t="s">
        <v>55</v>
      </c>
      <c r="E854" s="9" t="s">
        <v>56</v>
      </c>
      <c r="F854" s="9" t="s">
        <v>45</v>
      </c>
      <c r="G854" s="9" t="s">
        <v>46</v>
      </c>
      <c r="H854" s="9" t="s">
        <v>387</v>
      </c>
      <c r="I854" s="11">
        <v>8177530.0</v>
      </c>
      <c r="J854" s="11">
        <v>2.66840238E8</v>
      </c>
      <c r="K854" s="13">
        <v>46304.0</v>
      </c>
      <c r="L854" s="14">
        <v>46322.0</v>
      </c>
      <c r="M854" s="12"/>
      <c r="N854" s="12"/>
      <c r="O854" s="11">
        <v>11.0</v>
      </c>
      <c r="P854" s="9" t="s">
        <v>44</v>
      </c>
      <c r="Q854" s="12"/>
      <c r="R854" s="9" t="s">
        <v>90</v>
      </c>
      <c r="S854" s="9" t="s">
        <v>47</v>
      </c>
      <c r="T854" s="9" t="s">
        <v>44</v>
      </c>
      <c r="U854" s="9" t="s">
        <v>44</v>
      </c>
      <c r="V854" s="11">
        <v>71.9</v>
      </c>
      <c r="W854" s="11">
        <v>1.0</v>
      </c>
      <c r="X854" s="9" t="s">
        <v>48</v>
      </c>
      <c r="Y854" s="9" t="s">
        <v>1058</v>
      </c>
      <c r="Z854" s="12"/>
      <c r="AA854" s="9">
        <v>1306315.0</v>
      </c>
      <c r="AB854" s="12"/>
      <c r="AC854" s="9" t="s">
        <v>50</v>
      </c>
    </row>
    <row r="855">
      <c r="A855" s="9" t="s">
        <v>33</v>
      </c>
      <c r="B855" s="11">
        <v>6.0</v>
      </c>
      <c r="C855" s="9" t="s">
        <v>43</v>
      </c>
      <c r="D855" s="9" t="s">
        <v>55</v>
      </c>
      <c r="E855" s="9" t="s">
        <v>56</v>
      </c>
      <c r="F855" s="9" t="s">
        <v>45</v>
      </c>
      <c r="G855" s="9" t="s">
        <v>46</v>
      </c>
      <c r="H855" s="9" t="s">
        <v>107</v>
      </c>
      <c r="I855" s="11">
        <v>8177531.0</v>
      </c>
      <c r="J855" s="11">
        <v>2.66840239E8</v>
      </c>
      <c r="K855" s="13">
        <v>46304.0</v>
      </c>
      <c r="L855" s="14">
        <v>46321.0</v>
      </c>
      <c r="M855" s="12"/>
      <c r="N855" s="9">
        <v>101.0</v>
      </c>
      <c r="O855" s="11">
        <v>10.0</v>
      </c>
      <c r="P855" s="9" t="s">
        <v>44</v>
      </c>
      <c r="Q855" s="12"/>
      <c r="R855" s="9" t="s">
        <v>90</v>
      </c>
      <c r="S855" s="9" t="s">
        <v>47</v>
      </c>
      <c r="T855" s="9" t="s">
        <v>44</v>
      </c>
      <c r="U855" s="9" t="s">
        <v>44</v>
      </c>
      <c r="V855" s="11">
        <v>64.23</v>
      </c>
      <c r="W855" s="11">
        <v>1.0</v>
      </c>
      <c r="X855" s="9" t="s">
        <v>48</v>
      </c>
      <c r="Y855" s="9" t="s">
        <v>1059</v>
      </c>
      <c r="Z855" s="12"/>
      <c r="AA855" s="9">
        <v>1306212.0</v>
      </c>
      <c r="AB855" s="12"/>
      <c r="AC855" s="9" t="s">
        <v>50</v>
      </c>
    </row>
    <row r="856">
      <c r="A856" s="9" t="s">
        <v>33</v>
      </c>
      <c r="B856" s="11">
        <v>6.0</v>
      </c>
      <c r="C856" s="9" t="s">
        <v>43</v>
      </c>
      <c r="D856" s="9" t="s">
        <v>55</v>
      </c>
      <c r="E856" s="9" t="s">
        <v>56</v>
      </c>
      <c r="F856" s="9" t="s">
        <v>45</v>
      </c>
      <c r="G856" s="9" t="s">
        <v>46</v>
      </c>
      <c r="H856" s="9" t="s">
        <v>414</v>
      </c>
      <c r="I856" s="11">
        <v>8177479.0</v>
      </c>
      <c r="J856" s="11">
        <v>2.6684024E8</v>
      </c>
      <c r="K856" s="13">
        <v>46304.0</v>
      </c>
      <c r="L856" s="14">
        <v>46324.0</v>
      </c>
      <c r="M856" s="12"/>
      <c r="N856" s="9" t="s">
        <v>729</v>
      </c>
      <c r="O856" s="11">
        <v>13.0</v>
      </c>
      <c r="P856" s="9" t="s">
        <v>44</v>
      </c>
      <c r="Q856" s="12"/>
      <c r="R856" s="9" t="s">
        <v>90</v>
      </c>
      <c r="S856" s="9" t="s">
        <v>47</v>
      </c>
      <c r="T856" s="9" t="s">
        <v>44</v>
      </c>
      <c r="U856" s="9" t="s">
        <v>44</v>
      </c>
      <c r="V856" s="11">
        <v>71.9</v>
      </c>
      <c r="W856" s="11">
        <v>1.0</v>
      </c>
      <c r="X856" s="9" t="s">
        <v>48</v>
      </c>
      <c r="Y856" s="9" t="s">
        <v>1060</v>
      </c>
      <c r="Z856" s="12"/>
      <c r="AA856" s="9">
        <v>1306186.0</v>
      </c>
      <c r="AB856" s="12"/>
      <c r="AC856" s="9" t="s">
        <v>50</v>
      </c>
    </row>
    <row r="857">
      <c r="A857" s="9" t="s">
        <v>33</v>
      </c>
      <c r="B857" s="11">
        <v>6.0</v>
      </c>
      <c r="C857" s="9" t="s">
        <v>43</v>
      </c>
      <c r="D857" s="9" t="s">
        <v>55</v>
      </c>
      <c r="E857" s="9" t="s">
        <v>56</v>
      </c>
      <c r="F857" s="9" t="s">
        <v>45</v>
      </c>
      <c r="G857" s="9" t="s">
        <v>46</v>
      </c>
      <c r="H857" s="9" t="s">
        <v>420</v>
      </c>
      <c r="I857" s="11">
        <v>8177428.0</v>
      </c>
      <c r="J857" s="11">
        <v>2.66840241E8</v>
      </c>
      <c r="K857" s="13">
        <v>46304.0</v>
      </c>
      <c r="L857" s="13">
        <v>46330.0</v>
      </c>
      <c r="M857" s="12"/>
      <c r="N857" s="9">
        <v>102.0</v>
      </c>
      <c r="O857" s="11">
        <v>16.0</v>
      </c>
      <c r="P857" s="9" t="s">
        <v>44</v>
      </c>
      <c r="Q857" s="12"/>
      <c r="R857" s="9" t="s">
        <v>90</v>
      </c>
      <c r="S857" s="9" t="s">
        <v>47</v>
      </c>
      <c r="T857" s="9" t="s">
        <v>44</v>
      </c>
      <c r="U857" s="9" t="s">
        <v>44</v>
      </c>
      <c r="V857" s="11">
        <v>83.69</v>
      </c>
      <c r="W857" s="11">
        <v>5.0</v>
      </c>
      <c r="X857" s="9" t="s">
        <v>48</v>
      </c>
      <c r="Y857" s="9" t="s">
        <v>1061</v>
      </c>
      <c r="Z857" s="12"/>
      <c r="AA857" s="9">
        <v>1306576.0</v>
      </c>
      <c r="AB857" s="12"/>
      <c r="AC857" s="9" t="s">
        <v>50</v>
      </c>
    </row>
    <row r="858">
      <c r="A858" s="9" t="s">
        <v>33</v>
      </c>
      <c r="B858" s="11">
        <v>6.0</v>
      </c>
      <c r="C858" s="9" t="s">
        <v>43</v>
      </c>
      <c r="D858" s="9" t="s">
        <v>55</v>
      </c>
      <c r="E858" s="9" t="s">
        <v>56</v>
      </c>
      <c r="F858" s="9" t="s">
        <v>45</v>
      </c>
      <c r="G858" s="9" t="s">
        <v>46</v>
      </c>
      <c r="H858" s="9" t="s">
        <v>422</v>
      </c>
      <c r="I858" s="11">
        <v>8177408.0</v>
      </c>
      <c r="J858" s="11">
        <v>2.66840242E8</v>
      </c>
      <c r="K858" s="13">
        <v>46304.0</v>
      </c>
      <c r="L858" s="13">
        <v>46330.0</v>
      </c>
      <c r="M858" s="12"/>
      <c r="N858" s="9">
        <v>400.0</v>
      </c>
      <c r="O858" s="11">
        <v>15.0</v>
      </c>
      <c r="P858" s="9" t="s">
        <v>44</v>
      </c>
      <c r="Q858" s="12"/>
      <c r="R858" s="9" t="s">
        <v>52</v>
      </c>
      <c r="S858" s="9" t="s">
        <v>47</v>
      </c>
      <c r="T858" s="9" t="s">
        <v>44</v>
      </c>
      <c r="U858" s="9" t="s">
        <v>44</v>
      </c>
      <c r="V858" s="11">
        <v>91.11</v>
      </c>
      <c r="W858" s="11">
        <v>6.0</v>
      </c>
      <c r="X858" s="9" t="s">
        <v>48</v>
      </c>
      <c r="Y858" s="9" t="s">
        <v>1062</v>
      </c>
      <c r="Z858" s="12"/>
      <c r="AA858" s="9">
        <v>1306591.0</v>
      </c>
      <c r="AB858" s="12"/>
      <c r="AC858" s="9" t="s">
        <v>50</v>
      </c>
    </row>
    <row r="859">
      <c r="A859" s="9" t="s">
        <v>33</v>
      </c>
      <c r="B859" s="11">
        <v>6.0</v>
      </c>
      <c r="C859" s="9" t="s">
        <v>43</v>
      </c>
      <c r="D859" s="9" t="s">
        <v>55</v>
      </c>
      <c r="E859" s="9" t="s">
        <v>56</v>
      </c>
      <c r="F859" s="9" t="s">
        <v>45</v>
      </c>
      <c r="G859" s="9" t="s">
        <v>46</v>
      </c>
      <c r="H859" s="9" t="s">
        <v>422</v>
      </c>
      <c r="I859" s="11">
        <v>8177429.0</v>
      </c>
      <c r="J859" s="11">
        <v>2.66840243E8</v>
      </c>
      <c r="K859" s="13">
        <v>46304.0</v>
      </c>
      <c r="L859" s="14">
        <v>46321.0</v>
      </c>
      <c r="M859" s="12"/>
      <c r="N859" s="9">
        <v>1.0</v>
      </c>
      <c r="O859" s="11">
        <v>9.0</v>
      </c>
      <c r="P859" s="9" t="s">
        <v>44</v>
      </c>
      <c r="Q859" s="12"/>
      <c r="R859" s="9" t="s">
        <v>52</v>
      </c>
      <c r="S859" s="9" t="s">
        <v>47</v>
      </c>
      <c r="T859" s="9" t="s">
        <v>44</v>
      </c>
      <c r="U859" s="9" t="s">
        <v>44</v>
      </c>
      <c r="V859" s="11">
        <v>64.23</v>
      </c>
      <c r="W859" s="11">
        <v>1.0</v>
      </c>
      <c r="X859" s="9" t="s">
        <v>48</v>
      </c>
      <c r="Y859" s="9" t="s">
        <v>1063</v>
      </c>
      <c r="Z859" s="12"/>
      <c r="AA859" s="9">
        <v>1306071.0</v>
      </c>
      <c r="AB859" s="12"/>
      <c r="AC859" s="9" t="s">
        <v>50</v>
      </c>
    </row>
    <row r="860">
      <c r="A860" s="9" t="s">
        <v>33</v>
      </c>
      <c r="B860" s="11">
        <v>6.0</v>
      </c>
      <c r="C860" s="9" t="s">
        <v>43</v>
      </c>
      <c r="D860" s="9" t="s">
        <v>55</v>
      </c>
      <c r="E860" s="9" t="s">
        <v>56</v>
      </c>
      <c r="F860" s="9" t="s">
        <v>45</v>
      </c>
      <c r="G860" s="9" t="s">
        <v>46</v>
      </c>
      <c r="H860" s="9" t="s">
        <v>422</v>
      </c>
      <c r="I860" s="11">
        <v>8177451.0</v>
      </c>
      <c r="J860" s="11">
        <v>2.66840244E8</v>
      </c>
      <c r="K860" s="13">
        <v>46304.0</v>
      </c>
      <c r="L860" s="14">
        <v>46338.0</v>
      </c>
      <c r="M860" s="12"/>
      <c r="N860" s="9">
        <v>300.0</v>
      </c>
      <c r="O860" s="11">
        <v>21.0</v>
      </c>
      <c r="P860" s="9" t="s">
        <v>44</v>
      </c>
      <c r="Q860" s="12"/>
      <c r="R860" s="9" t="s">
        <v>52</v>
      </c>
      <c r="S860" s="9" t="s">
        <v>47</v>
      </c>
      <c r="T860" s="9" t="s">
        <v>44</v>
      </c>
      <c r="U860" s="9" t="s">
        <v>44</v>
      </c>
      <c r="V860" s="11">
        <v>83.69</v>
      </c>
      <c r="W860" s="11">
        <v>5.0</v>
      </c>
      <c r="X860" s="9" t="s">
        <v>48</v>
      </c>
      <c r="Y860" s="9" t="s">
        <v>1064</v>
      </c>
      <c r="Z860" s="12"/>
      <c r="AA860" s="9">
        <v>1305869.0</v>
      </c>
      <c r="AB860" s="12"/>
      <c r="AC860" s="9" t="s">
        <v>50</v>
      </c>
    </row>
    <row r="861">
      <c r="A861" s="9" t="s">
        <v>33</v>
      </c>
      <c r="B861" s="11">
        <v>6.0</v>
      </c>
      <c r="C861" s="9" t="s">
        <v>43</v>
      </c>
      <c r="D861" s="9" t="s">
        <v>55</v>
      </c>
      <c r="E861" s="9" t="s">
        <v>56</v>
      </c>
      <c r="F861" s="9" t="s">
        <v>45</v>
      </c>
      <c r="G861" s="9" t="s">
        <v>46</v>
      </c>
      <c r="H861" s="9" t="s">
        <v>117</v>
      </c>
      <c r="I861" s="11">
        <v>8177532.0</v>
      </c>
      <c r="J861" s="11">
        <v>2.66840245E8</v>
      </c>
      <c r="K861" s="13">
        <v>46304.0</v>
      </c>
      <c r="L861" s="13">
        <v>46331.0</v>
      </c>
      <c r="M861" s="12"/>
      <c r="N861" s="9">
        <v>800.0</v>
      </c>
      <c r="O861" s="11">
        <v>17.0</v>
      </c>
      <c r="P861" s="9" t="s">
        <v>44</v>
      </c>
      <c r="Q861" s="12"/>
      <c r="R861" s="9" t="s">
        <v>90</v>
      </c>
      <c r="S861" s="9" t="s">
        <v>47</v>
      </c>
      <c r="T861" s="9" t="s">
        <v>44</v>
      </c>
      <c r="U861" s="9" t="s">
        <v>44</v>
      </c>
      <c r="V861" s="11">
        <v>71.87</v>
      </c>
      <c r="W861" s="11">
        <v>1.0</v>
      </c>
      <c r="X861" s="9" t="s">
        <v>48</v>
      </c>
      <c r="Y861" s="9" t="s">
        <v>741</v>
      </c>
      <c r="Z861" s="12"/>
      <c r="AA861" s="9">
        <v>1305874.0</v>
      </c>
      <c r="AB861" s="12"/>
      <c r="AC861" s="9" t="s">
        <v>50</v>
      </c>
    </row>
    <row r="862">
      <c r="A862" s="9" t="s">
        <v>33</v>
      </c>
      <c r="B862" s="11">
        <v>6.0</v>
      </c>
      <c r="C862" s="9" t="s">
        <v>43</v>
      </c>
      <c r="D862" s="9" t="s">
        <v>55</v>
      </c>
      <c r="E862" s="9" t="s">
        <v>56</v>
      </c>
      <c r="F862" s="9" t="s">
        <v>45</v>
      </c>
      <c r="G862" s="9" t="s">
        <v>46</v>
      </c>
      <c r="H862" s="9" t="s">
        <v>119</v>
      </c>
      <c r="I862" s="11">
        <v>8177563.0</v>
      </c>
      <c r="J862" s="11">
        <v>2.66840246E8</v>
      </c>
      <c r="K862" s="13">
        <v>46304.0</v>
      </c>
      <c r="L862" s="13">
        <v>46330.0</v>
      </c>
      <c r="M862" s="12"/>
      <c r="N862" s="9">
        <v>200.0</v>
      </c>
      <c r="O862" s="11">
        <v>16.0</v>
      </c>
      <c r="P862" s="9" t="s">
        <v>44</v>
      </c>
      <c r="Q862" s="12"/>
      <c r="R862" s="9" t="s">
        <v>90</v>
      </c>
      <c r="S862" s="9" t="s">
        <v>47</v>
      </c>
      <c r="T862" s="9" t="s">
        <v>44</v>
      </c>
      <c r="U862" s="9" t="s">
        <v>44</v>
      </c>
      <c r="V862" s="11">
        <v>71.87</v>
      </c>
      <c r="W862" s="11">
        <v>1.0</v>
      </c>
      <c r="X862" s="9" t="s">
        <v>48</v>
      </c>
      <c r="Y862" s="9" t="s">
        <v>1065</v>
      </c>
      <c r="Z862" s="12"/>
      <c r="AA862" s="9">
        <v>1306176.0</v>
      </c>
      <c r="AB862" s="12"/>
      <c r="AC862" s="9" t="s">
        <v>50</v>
      </c>
    </row>
    <row r="863">
      <c r="A863" s="9" t="s">
        <v>33</v>
      </c>
      <c r="B863" s="11">
        <v>6.0</v>
      </c>
      <c r="C863" s="9" t="s">
        <v>43</v>
      </c>
      <c r="D863" s="9" t="s">
        <v>55</v>
      </c>
      <c r="E863" s="9" t="s">
        <v>56</v>
      </c>
      <c r="F863" s="9" t="s">
        <v>45</v>
      </c>
      <c r="G863" s="9" t="s">
        <v>46</v>
      </c>
      <c r="H863" s="9" t="s">
        <v>119</v>
      </c>
      <c r="I863" s="11">
        <v>8177409.0</v>
      </c>
      <c r="J863" s="11">
        <v>2.66840247E8</v>
      </c>
      <c r="K863" s="13">
        <v>46304.0</v>
      </c>
      <c r="L863" s="13">
        <v>46332.0</v>
      </c>
      <c r="M863" s="12"/>
      <c r="N863" s="9">
        <v>902.0</v>
      </c>
      <c r="O863" s="11">
        <v>18.0</v>
      </c>
      <c r="P863" s="9" t="s">
        <v>44</v>
      </c>
      <c r="Q863" s="12"/>
      <c r="R863" s="9" t="s">
        <v>90</v>
      </c>
      <c r="S863" s="9" t="s">
        <v>47</v>
      </c>
      <c r="T863" s="9" t="s">
        <v>44</v>
      </c>
      <c r="U863" s="9" t="s">
        <v>44</v>
      </c>
      <c r="V863" s="11">
        <v>203.43</v>
      </c>
      <c r="W863" s="11">
        <v>2.0</v>
      </c>
      <c r="X863" s="9" t="s">
        <v>48</v>
      </c>
      <c r="Y863" s="9" t="s">
        <v>1066</v>
      </c>
      <c r="Z863" s="12"/>
      <c r="AA863" s="9">
        <v>1298312.0</v>
      </c>
      <c r="AB863" s="12"/>
      <c r="AC863" s="9" t="s">
        <v>50</v>
      </c>
    </row>
    <row r="864">
      <c r="A864" s="9" t="s">
        <v>33</v>
      </c>
      <c r="B864" s="11">
        <v>6.0</v>
      </c>
      <c r="C864" s="9" t="s">
        <v>43</v>
      </c>
      <c r="D864" s="9" t="s">
        <v>55</v>
      </c>
      <c r="E864" s="9" t="s">
        <v>56</v>
      </c>
      <c r="F864" s="9" t="s">
        <v>45</v>
      </c>
      <c r="G864" s="9" t="s">
        <v>46</v>
      </c>
      <c r="H864" s="9" t="s">
        <v>441</v>
      </c>
      <c r="I864" s="11">
        <v>8177430.0</v>
      </c>
      <c r="J864" s="11">
        <v>2.66840248E8</v>
      </c>
      <c r="K864" s="13">
        <v>46304.0</v>
      </c>
      <c r="L864" s="13">
        <v>46360.0</v>
      </c>
      <c r="M864" s="12"/>
      <c r="N864" s="9">
        <v>103.0</v>
      </c>
      <c r="O864" s="11">
        <v>37.0</v>
      </c>
      <c r="P864" s="9" t="s">
        <v>44</v>
      </c>
      <c r="Q864" s="12"/>
      <c r="R864" s="9" t="s">
        <v>52</v>
      </c>
      <c r="S864" s="9" t="s">
        <v>47</v>
      </c>
      <c r="T864" s="9" t="s">
        <v>44</v>
      </c>
      <c r="U864" s="9" t="s">
        <v>44</v>
      </c>
      <c r="V864" s="11">
        <v>283.48</v>
      </c>
      <c r="W864" s="11">
        <v>4.0</v>
      </c>
      <c r="X864" s="9" t="s">
        <v>48</v>
      </c>
      <c r="Y864" s="9" t="s">
        <v>1067</v>
      </c>
      <c r="Z864" s="12"/>
      <c r="AA864" s="9">
        <v>1306077.0</v>
      </c>
      <c r="AB864" s="12"/>
      <c r="AC864" s="9" t="s">
        <v>50</v>
      </c>
    </row>
    <row r="865">
      <c r="A865" s="9" t="s">
        <v>33</v>
      </c>
      <c r="B865" s="11">
        <v>6.0</v>
      </c>
      <c r="C865" s="9" t="s">
        <v>43</v>
      </c>
      <c r="D865" s="9" t="s">
        <v>55</v>
      </c>
      <c r="E865" s="9" t="s">
        <v>56</v>
      </c>
      <c r="F865" s="9" t="s">
        <v>45</v>
      </c>
      <c r="G865" s="9" t="s">
        <v>46</v>
      </c>
      <c r="H865" s="9" t="s">
        <v>444</v>
      </c>
      <c r="I865" s="11">
        <v>8177431.0</v>
      </c>
      <c r="J865" s="11">
        <v>2.66840249E8</v>
      </c>
      <c r="K865" s="13">
        <v>46304.0</v>
      </c>
      <c r="L865" s="14">
        <v>46316.0</v>
      </c>
      <c r="M865" s="12"/>
      <c r="N865" s="9">
        <v>11.0</v>
      </c>
      <c r="O865" s="11">
        <v>7.0</v>
      </c>
      <c r="P865" s="9" t="s">
        <v>44</v>
      </c>
      <c r="Q865" s="12"/>
      <c r="R865" s="9" t="s">
        <v>52</v>
      </c>
      <c r="S865" s="9" t="s">
        <v>47</v>
      </c>
      <c r="T865" s="9" t="s">
        <v>44</v>
      </c>
      <c r="U865" s="9" t="s">
        <v>44</v>
      </c>
      <c r="V865" s="11">
        <v>51.54</v>
      </c>
      <c r="W865" s="11">
        <v>3.0</v>
      </c>
      <c r="X865" s="9" t="s">
        <v>48</v>
      </c>
      <c r="Y865" s="9" t="s">
        <v>1068</v>
      </c>
      <c r="Z865" s="12"/>
      <c r="AA865" s="9">
        <v>1306570.0</v>
      </c>
      <c r="AB865" s="12"/>
      <c r="AC865" s="9" t="s">
        <v>50</v>
      </c>
    </row>
    <row r="866">
      <c r="A866" s="9" t="s">
        <v>33</v>
      </c>
      <c r="B866" s="11">
        <v>6.0</v>
      </c>
      <c r="C866" s="9" t="s">
        <v>43</v>
      </c>
      <c r="D866" s="9" t="s">
        <v>55</v>
      </c>
      <c r="E866" s="9" t="s">
        <v>56</v>
      </c>
      <c r="F866" s="9" t="s">
        <v>45</v>
      </c>
      <c r="G866" s="9" t="s">
        <v>46</v>
      </c>
      <c r="H866" s="9" t="s">
        <v>454</v>
      </c>
      <c r="I866" s="11">
        <v>8177533.0</v>
      </c>
      <c r="J866" s="11">
        <v>2.6684025E8</v>
      </c>
      <c r="K866" s="13">
        <v>46304.0</v>
      </c>
      <c r="L866" s="14">
        <v>46321.0</v>
      </c>
      <c r="M866" s="12"/>
      <c r="N866" s="9">
        <v>320.0</v>
      </c>
      <c r="O866" s="11">
        <v>10.0</v>
      </c>
      <c r="P866" s="9" t="s">
        <v>44</v>
      </c>
      <c r="Q866" s="12"/>
      <c r="R866" s="12"/>
      <c r="S866" s="9" t="s">
        <v>47</v>
      </c>
      <c r="T866" s="9" t="s">
        <v>44</v>
      </c>
      <c r="U866" s="9" t="s">
        <v>44</v>
      </c>
      <c r="V866" s="11">
        <v>63.12</v>
      </c>
      <c r="W866" s="11">
        <v>1.0</v>
      </c>
      <c r="X866" s="9" t="s">
        <v>48</v>
      </c>
      <c r="Y866" s="9" t="s">
        <v>1069</v>
      </c>
      <c r="Z866" s="12"/>
      <c r="AA866" s="9">
        <v>1306321.0</v>
      </c>
      <c r="AB866" s="12"/>
      <c r="AC866" s="9" t="s">
        <v>50</v>
      </c>
    </row>
    <row r="867">
      <c r="A867" s="9" t="s">
        <v>33</v>
      </c>
      <c r="B867" s="11">
        <v>6.0</v>
      </c>
      <c r="C867" s="9" t="s">
        <v>43</v>
      </c>
      <c r="D867" s="9" t="s">
        <v>55</v>
      </c>
      <c r="E867" s="9" t="s">
        <v>56</v>
      </c>
      <c r="F867" s="9" t="s">
        <v>45</v>
      </c>
      <c r="G867" s="9" t="s">
        <v>46</v>
      </c>
      <c r="H867" s="9" t="s">
        <v>456</v>
      </c>
      <c r="I867" s="11">
        <v>8177452.0</v>
      </c>
      <c r="J867" s="11">
        <v>2.66840251E8</v>
      </c>
      <c r="K867" s="13">
        <v>46304.0</v>
      </c>
      <c r="L867" s="14">
        <v>46316.0</v>
      </c>
      <c r="M867" s="12"/>
      <c r="N867" s="9">
        <v>11.0</v>
      </c>
      <c r="O867" s="11">
        <v>7.0</v>
      </c>
      <c r="P867" s="9" t="s">
        <v>44</v>
      </c>
      <c r="Q867" s="12"/>
      <c r="R867" s="9" t="s">
        <v>52</v>
      </c>
      <c r="S867" s="9" t="s">
        <v>47</v>
      </c>
      <c r="T867" s="9" t="s">
        <v>44</v>
      </c>
      <c r="U867" s="9" t="s">
        <v>44</v>
      </c>
      <c r="V867" s="11">
        <v>56.59</v>
      </c>
      <c r="W867" s="11">
        <v>1.0</v>
      </c>
      <c r="X867" s="9" t="s">
        <v>48</v>
      </c>
      <c r="Y867" s="9" t="s">
        <v>1070</v>
      </c>
      <c r="Z867" s="12"/>
      <c r="AA867" s="9">
        <v>1306083.0</v>
      </c>
      <c r="AB867" s="12"/>
      <c r="AC867" s="9" t="s">
        <v>50</v>
      </c>
    </row>
    <row r="868">
      <c r="A868" s="9" t="s">
        <v>33</v>
      </c>
      <c r="B868" s="11">
        <v>6.0</v>
      </c>
      <c r="C868" s="9" t="s">
        <v>43</v>
      </c>
      <c r="D868" s="9" t="s">
        <v>55</v>
      </c>
      <c r="E868" s="9" t="s">
        <v>56</v>
      </c>
      <c r="F868" s="9" t="s">
        <v>45</v>
      </c>
      <c r="G868" s="9" t="s">
        <v>46</v>
      </c>
      <c r="H868" s="9" t="s">
        <v>456</v>
      </c>
      <c r="I868" s="11">
        <v>8177453.0</v>
      </c>
      <c r="J868" s="11">
        <v>2.66840252E8</v>
      </c>
      <c r="K868" s="13">
        <v>46304.0</v>
      </c>
      <c r="L868" s="14">
        <v>46316.0</v>
      </c>
      <c r="M868" s="12"/>
      <c r="N868" s="9">
        <v>4.0</v>
      </c>
      <c r="O868" s="11">
        <v>7.0</v>
      </c>
      <c r="P868" s="9" t="s">
        <v>44</v>
      </c>
      <c r="Q868" s="12"/>
      <c r="R868" s="9" t="s">
        <v>52</v>
      </c>
      <c r="S868" s="9" t="s">
        <v>47</v>
      </c>
      <c r="T868" s="9" t="s">
        <v>44</v>
      </c>
      <c r="U868" s="9" t="s">
        <v>44</v>
      </c>
      <c r="V868" s="11">
        <v>70.83</v>
      </c>
      <c r="W868" s="11">
        <v>5.0</v>
      </c>
      <c r="X868" s="9" t="s">
        <v>48</v>
      </c>
      <c r="Y868" s="9" t="s">
        <v>1071</v>
      </c>
      <c r="Z868" s="12"/>
      <c r="AA868" s="9">
        <v>1305645.0</v>
      </c>
      <c r="AB868" s="12"/>
      <c r="AC868" s="9" t="s">
        <v>50</v>
      </c>
    </row>
    <row r="869">
      <c r="A869" s="9" t="s">
        <v>33</v>
      </c>
      <c r="B869" s="11">
        <v>6.0</v>
      </c>
      <c r="C869" s="9" t="s">
        <v>43</v>
      </c>
      <c r="D869" s="9" t="s">
        <v>55</v>
      </c>
      <c r="E869" s="9" t="s">
        <v>56</v>
      </c>
      <c r="F869" s="9" t="s">
        <v>45</v>
      </c>
      <c r="G869" s="9" t="s">
        <v>46</v>
      </c>
      <c r="H869" s="9" t="s">
        <v>456</v>
      </c>
      <c r="I869" s="11">
        <v>8177534.0</v>
      </c>
      <c r="J869" s="11">
        <v>2.66840253E8</v>
      </c>
      <c r="K869" s="13">
        <v>46304.0</v>
      </c>
      <c r="L869" s="14">
        <v>46316.0</v>
      </c>
      <c r="M869" s="12"/>
      <c r="N869" s="9">
        <v>14.0</v>
      </c>
      <c r="O869" s="11">
        <v>7.0</v>
      </c>
      <c r="P869" s="9" t="s">
        <v>44</v>
      </c>
      <c r="Q869" s="12"/>
      <c r="R869" s="9" t="s">
        <v>52</v>
      </c>
      <c r="S869" s="9" t="s">
        <v>47</v>
      </c>
      <c r="T869" s="9" t="s">
        <v>44</v>
      </c>
      <c r="U869" s="9" t="s">
        <v>44</v>
      </c>
      <c r="V869" s="11">
        <v>56.59</v>
      </c>
      <c r="W869" s="11">
        <v>1.0</v>
      </c>
      <c r="X869" s="9" t="s">
        <v>48</v>
      </c>
      <c r="Y869" s="9" t="s">
        <v>1072</v>
      </c>
      <c r="Z869" s="12"/>
      <c r="AA869" s="9">
        <v>1306086.0</v>
      </c>
      <c r="AB869" s="12"/>
      <c r="AC869" s="9" t="s">
        <v>50</v>
      </c>
    </row>
    <row r="870">
      <c r="A870" s="9" t="s">
        <v>33</v>
      </c>
      <c r="B870" s="11">
        <v>6.0</v>
      </c>
      <c r="C870" s="9" t="s">
        <v>43</v>
      </c>
      <c r="D870" s="9" t="s">
        <v>55</v>
      </c>
      <c r="E870" s="9" t="s">
        <v>56</v>
      </c>
      <c r="F870" s="9" t="s">
        <v>45</v>
      </c>
      <c r="G870" s="9" t="s">
        <v>46</v>
      </c>
      <c r="H870" s="9" t="s">
        <v>454</v>
      </c>
      <c r="I870" s="11">
        <v>8177480.0</v>
      </c>
      <c r="J870" s="11">
        <v>2.66840254E8</v>
      </c>
      <c r="K870" s="13">
        <v>46304.0</v>
      </c>
      <c r="L870" s="14">
        <v>46317.0</v>
      </c>
      <c r="M870" s="12"/>
      <c r="N870" s="9">
        <v>32.0</v>
      </c>
      <c r="O870" s="11">
        <v>8.0</v>
      </c>
      <c r="P870" s="9" t="s">
        <v>44</v>
      </c>
      <c r="Q870" s="12"/>
      <c r="R870" s="12"/>
      <c r="S870" s="9" t="s">
        <v>47</v>
      </c>
      <c r="T870" s="9" t="s">
        <v>44</v>
      </c>
      <c r="U870" s="9" t="s">
        <v>44</v>
      </c>
      <c r="V870" s="11">
        <v>56.59</v>
      </c>
      <c r="W870" s="11">
        <v>1.0</v>
      </c>
      <c r="X870" s="9" t="s">
        <v>48</v>
      </c>
      <c r="Y870" s="9" t="s">
        <v>1073</v>
      </c>
      <c r="Z870" s="12"/>
      <c r="AA870" s="9">
        <v>1306280.0</v>
      </c>
      <c r="AB870" s="12"/>
      <c r="AC870" s="9" t="s">
        <v>50</v>
      </c>
    </row>
    <row r="871">
      <c r="A871" s="9" t="s">
        <v>33</v>
      </c>
      <c r="B871" s="11">
        <v>6.0</v>
      </c>
      <c r="C871" s="9" t="s">
        <v>43</v>
      </c>
      <c r="D871" s="9" t="s">
        <v>55</v>
      </c>
      <c r="E871" s="9" t="s">
        <v>56</v>
      </c>
      <c r="F871" s="9" t="s">
        <v>45</v>
      </c>
      <c r="G871" s="9" t="s">
        <v>46</v>
      </c>
      <c r="H871" s="9" t="s">
        <v>454</v>
      </c>
      <c r="I871" s="11">
        <v>8177481.0</v>
      </c>
      <c r="J871" s="11">
        <v>2.66840256E8</v>
      </c>
      <c r="K871" s="13">
        <v>46304.0</v>
      </c>
      <c r="L871" s="14">
        <v>46318.0</v>
      </c>
      <c r="M871" s="12"/>
      <c r="N871" s="9">
        <v>320.0</v>
      </c>
      <c r="O871" s="11">
        <v>9.0</v>
      </c>
      <c r="P871" s="9" t="s">
        <v>44</v>
      </c>
      <c r="Q871" s="12"/>
      <c r="R871" s="12"/>
      <c r="S871" s="9" t="s">
        <v>47</v>
      </c>
      <c r="T871" s="9" t="s">
        <v>44</v>
      </c>
      <c r="U871" s="9" t="s">
        <v>44</v>
      </c>
      <c r="V871" s="11">
        <v>56.59</v>
      </c>
      <c r="W871" s="11">
        <v>1.0</v>
      </c>
      <c r="X871" s="9" t="s">
        <v>48</v>
      </c>
      <c r="Y871" s="9" t="s">
        <v>1074</v>
      </c>
      <c r="Z871" s="12"/>
      <c r="AA871" s="9">
        <v>1306302.0</v>
      </c>
      <c r="AB871" s="12"/>
      <c r="AC871" s="9" t="s">
        <v>50</v>
      </c>
    </row>
    <row r="872">
      <c r="A872" s="9" t="s">
        <v>33</v>
      </c>
      <c r="B872" s="11">
        <v>6.0</v>
      </c>
      <c r="C872" s="9" t="s">
        <v>43</v>
      </c>
      <c r="D872" s="9" t="s">
        <v>55</v>
      </c>
      <c r="E872" s="9" t="s">
        <v>56</v>
      </c>
      <c r="F872" s="9" t="s">
        <v>45</v>
      </c>
      <c r="G872" s="9" t="s">
        <v>46</v>
      </c>
      <c r="H872" s="9" t="s">
        <v>454</v>
      </c>
      <c r="I872" s="11">
        <v>8177454.0</v>
      </c>
      <c r="J872" s="11">
        <v>2.66840257E8</v>
      </c>
      <c r="K872" s="13">
        <v>46304.0</v>
      </c>
      <c r="L872" s="14">
        <v>46321.0</v>
      </c>
      <c r="M872" s="12"/>
      <c r="N872" s="9">
        <v>390.0</v>
      </c>
      <c r="O872" s="11">
        <v>10.0</v>
      </c>
      <c r="P872" s="9" t="s">
        <v>44</v>
      </c>
      <c r="Q872" s="12"/>
      <c r="R872" s="12"/>
      <c r="S872" s="9" t="s">
        <v>47</v>
      </c>
      <c r="T872" s="9" t="s">
        <v>44</v>
      </c>
      <c r="U872" s="9" t="s">
        <v>44</v>
      </c>
      <c r="V872" s="11">
        <v>63.12</v>
      </c>
      <c r="W872" s="11">
        <v>1.0</v>
      </c>
      <c r="X872" s="9" t="s">
        <v>48</v>
      </c>
      <c r="Y872" s="9" t="s">
        <v>1075</v>
      </c>
      <c r="Z872" s="12"/>
      <c r="AA872" s="9">
        <v>1306475.0</v>
      </c>
      <c r="AB872" s="12"/>
      <c r="AC872" s="9" t="s">
        <v>50</v>
      </c>
    </row>
    <row r="873">
      <c r="A873" s="9" t="s">
        <v>33</v>
      </c>
      <c r="B873" s="11">
        <v>6.0</v>
      </c>
      <c r="C873" s="9" t="s">
        <v>43</v>
      </c>
      <c r="D873" s="9" t="s">
        <v>55</v>
      </c>
      <c r="E873" s="9" t="s">
        <v>56</v>
      </c>
      <c r="F873" s="9" t="s">
        <v>45</v>
      </c>
      <c r="G873" s="9" t="s">
        <v>46</v>
      </c>
      <c r="H873" s="9" t="s">
        <v>469</v>
      </c>
      <c r="I873" s="11">
        <v>8177535.0</v>
      </c>
      <c r="J873" s="11">
        <v>2.66840258E8</v>
      </c>
      <c r="K873" s="13">
        <v>46304.0</v>
      </c>
      <c r="L873" s="14">
        <v>46322.0</v>
      </c>
      <c r="M873" s="12"/>
      <c r="N873" s="9">
        <v>102.0</v>
      </c>
      <c r="O873" s="11">
        <v>11.0</v>
      </c>
      <c r="P873" s="9" t="s">
        <v>44</v>
      </c>
      <c r="Q873" s="12"/>
      <c r="R873" s="12"/>
      <c r="S873" s="9" t="s">
        <v>47</v>
      </c>
      <c r="T873" s="9" t="s">
        <v>44</v>
      </c>
      <c r="U873" s="9" t="s">
        <v>44</v>
      </c>
      <c r="V873" s="11">
        <v>63.12</v>
      </c>
      <c r="W873" s="11">
        <v>1.0</v>
      </c>
      <c r="X873" s="9" t="s">
        <v>48</v>
      </c>
      <c r="Y873" s="9" t="s">
        <v>1076</v>
      </c>
      <c r="Z873" s="12"/>
      <c r="AA873" s="9">
        <v>1306466.0</v>
      </c>
      <c r="AB873" s="12"/>
      <c r="AC873" s="9" t="s">
        <v>50</v>
      </c>
    </row>
    <row r="874">
      <c r="A874" s="9" t="s">
        <v>33</v>
      </c>
      <c r="B874" s="11">
        <v>6.0</v>
      </c>
      <c r="C874" s="9" t="s">
        <v>43</v>
      </c>
      <c r="D874" s="9" t="s">
        <v>55</v>
      </c>
      <c r="E874" s="9" t="s">
        <v>56</v>
      </c>
      <c r="F874" s="9" t="s">
        <v>45</v>
      </c>
      <c r="G874" s="9" t="s">
        <v>46</v>
      </c>
      <c r="H874" s="9" t="s">
        <v>469</v>
      </c>
      <c r="I874" s="11">
        <v>8177536.0</v>
      </c>
      <c r="J874" s="11">
        <v>2.6684026E8</v>
      </c>
      <c r="K874" s="13">
        <v>46304.0</v>
      </c>
      <c r="L874" s="14">
        <v>46324.0</v>
      </c>
      <c r="M874" s="12"/>
      <c r="N874" s="9">
        <v>107.0</v>
      </c>
      <c r="O874" s="11">
        <v>13.0</v>
      </c>
      <c r="P874" s="9" t="s">
        <v>44</v>
      </c>
      <c r="Q874" s="12"/>
      <c r="R874" s="9" t="s">
        <v>52</v>
      </c>
      <c r="S874" s="9" t="s">
        <v>47</v>
      </c>
      <c r="T874" s="9" t="s">
        <v>44</v>
      </c>
      <c r="U874" s="9" t="s">
        <v>44</v>
      </c>
      <c r="V874" s="11">
        <v>63.12</v>
      </c>
      <c r="W874" s="11">
        <v>1.0</v>
      </c>
      <c r="X874" s="9" t="s">
        <v>48</v>
      </c>
      <c r="Y874" s="9" t="s">
        <v>1077</v>
      </c>
      <c r="Z874" s="12"/>
      <c r="AA874" s="9">
        <v>1306239.0</v>
      </c>
      <c r="AB874" s="12"/>
      <c r="AC874" s="9" t="s">
        <v>50</v>
      </c>
    </row>
    <row r="875">
      <c r="A875" s="9" t="s">
        <v>33</v>
      </c>
      <c r="B875" s="11">
        <v>6.0</v>
      </c>
      <c r="C875" s="9" t="s">
        <v>43</v>
      </c>
      <c r="D875" s="9" t="s">
        <v>55</v>
      </c>
      <c r="E875" s="9" t="s">
        <v>56</v>
      </c>
      <c r="F875" s="9" t="s">
        <v>45</v>
      </c>
      <c r="G875" s="9" t="s">
        <v>46</v>
      </c>
      <c r="H875" s="9" t="s">
        <v>469</v>
      </c>
      <c r="I875" s="11">
        <v>8177482.0</v>
      </c>
      <c r="J875" s="11">
        <v>2.66840261E8</v>
      </c>
      <c r="K875" s="13">
        <v>46304.0</v>
      </c>
      <c r="L875" s="14">
        <v>46324.0</v>
      </c>
      <c r="M875" s="12"/>
      <c r="N875" s="9">
        <v>103.0</v>
      </c>
      <c r="O875" s="11">
        <v>13.0</v>
      </c>
      <c r="P875" s="9" t="s">
        <v>44</v>
      </c>
      <c r="Q875" s="12"/>
      <c r="R875" s="12"/>
      <c r="S875" s="9" t="s">
        <v>47</v>
      </c>
      <c r="T875" s="9" t="s">
        <v>44</v>
      </c>
      <c r="U875" s="9" t="s">
        <v>44</v>
      </c>
      <c r="V875" s="11">
        <v>63.12</v>
      </c>
      <c r="W875" s="11">
        <v>1.0</v>
      </c>
      <c r="X875" s="9" t="s">
        <v>48</v>
      </c>
      <c r="Y875" s="9" t="s">
        <v>1078</v>
      </c>
      <c r="Z875" s="12"/>
      <c r="AA875" s="9">
        <v>1306368.0</v>
      </c>
      <c r="AB875" s="12"/>
      <c r="AC875" s="9" t="s">
        <v>50</v>
      </c>
    </row>
    <row r="876">
      <c r="A876" s="9" t="s">
        <v>33</v>
      </c>
      <c r="B876" s="11">
        <v>6.0</v>
      </c>
      <c r="C876" s="9" t="s">
        <v>43</v>
      </c>
      <c r="D876" s="9" t="s">
        <v>55</v>
      </c>
      <c r="E876" s="9" t="s">
        <v>56</v>
      </c>
      <c r="F876" s="9" t="s">
        <v>45</v>
      </c>
      <c r="G876" s="9" t="s">
        <v>46</v>
      </c>
      <c r="H876" s="9" t="s">
        <v>454</v>
      </c>
      <c r="I876" s="11">
        <v>8177537.0</v>
      </c>
      <c r="J876" s="11">
        <v>2.66840262E8</v>
      </c>
      <c r="K876" s="13">
        <v>46304.0</v>
      </c>
      <c r="L876" s="14">
        <v>46321.0</v>
      </c>
      <c r="M876" s="12"/>
      <c r="N876" s="9">
        <v>320.0</v>
      </c>
      <c r="O876" s="11">
        <v>10.0</v>
      </c>
      <c r="P876" s="9" t="s">
        <v>44</v>
      </c>
      <c r="Q876" s="12"/>
      <c r="R876" s="12"/>
      <c r="S876" s="9" t="s">
        <v>47</v>
      </c>
      <c r="T876" s="9" t="s">
        <v>44</v>
      </c>
      <c r="U876" s="9" t="s">
        <v>44</v>
      </c>
      <c r="V876" s="11">
        <v>63.12</v>
      </c>
      <c r="W876" s="11">
        <v>1.0</v>
      </c>
      <c r="X876" s="9" t="s">
        <v>48</v>
      </c>
      <c r="Y876" s="9" t="s">
        <v>1079</v>
      </c>
      <c r="Z876" s="12"/>
      <c r="AA876" s="9">
        <v>1306204.0</v>
      </c>
      <c r="AB876" s="12"/>
      <c r="AC876" s="9" t="s">
        <v>50</v>
      </c>
    </row>
    <row r="877">
      <c r="A877" s="9" t="s">
        <v>33</v>
      </c>
      <c r="B877" s="11">
        <v>6.0</v>
      </c>
      <c r="C877" s="9" t="s">
        <v>43</v>
      </c>
      <c r="D877" s="9" t="s">
        <v>55</v>
      </c>
      <c r="E877" s="9" t="s">
        <v>56</v>
      </c>
      <c r="F877" s="9" t="s">
        <v>45</v>
      </c>
      <c r="G877" s="9" t="s">
        <v>46</v>
      </c>
      <c r="H877" s="9" t="s">
        <v>454</v>
      </c>
      <c r="I877" s="11">
        <v>8177455.0</v>
      </c>
      <c r="J877" s="11">
        <v>2.66840264E8</v>
      </c>
      <c r="K877" s="13">
        <v>46304.0</v>
      </c>
      <c r="L877" s="14">
        <v>46322.0</v>
      </c>
      <c r="M877" s="12"/>
      <c r="N877" s="9">
        <v>340.0</v>
      </c>
      <c r="O877" s="11">
        <v>11.0</v>
      </c>
      <c r="P877" s="9" t="s">
        <v>44</v>
      </c>
      <c r="Q877" s="12"/>
      <c r="R877" s="12"/>
      <c r="S877" s="9" t="s">
        <v>47</v>
      </c>
      <c r="T877" s="9" t="s">
        <v>44</v>
      </c>
      <c r="U877" s="9" t="s">
        <v>44</v>
      </c>
      <c r="V877" s="11">
        <v>63.12</v>
      </c>
      <c r="W877" s="11">
        <v>1.0</v>
      </c>
      <c r="X877" s="9" t="s">
        <v>48</v>
      </c>
      <c r="Y877" s="9" t="s">
        <v>1080</v>
      </c>
      <c r="Z877" s="12"/>
      <c r="AA877" s="9">
        <v>1306324.0</v>
      </c>
      <c r="AB877" s="12"/>
      <c r="AC877" s="9" t="s">
        <v>50</v>
      </c>
    </row>
    <row r="878">
      <c r="A878" s="9" t="s">
        <v>33</v>
      </c>
      <c r="B878" s="11">
        <v>6.0</v>
      </c>
      <c r="C878" s="9" t="s">
        <v>43</v>
      </c>
      <c r="D878" s="9" t="s">
        <v>55</v>
      </c>
      <c r="E878" s="9" t="s">
        <v>56</v>
      </c>
      <c r="F878" s="9" t="s">
        <v>45</v>
      </c>
      <c r="G878" s="9" t="s">
        <v>46</v>
      </c>
      <c r="H878" s="9" t="s">
        <v>475</v>
      </c>
      <c r="I878" s="11">
        <v>8177432.0</v>
      </c>
      <c r="J878" s="11">
        <v>2.66840265E8</v>
      </c>
      <c r="K878" s="13">
        <v>46304.0</v>
      </c>
      <c r="L878" s="14">
        <v>46342.0</v>
      </c>
      <c r="M878" s="12"/>
      <c r="N878" s="9">
        <v>1.0</v>
      </c>
      <c r="O878" s="11">
        <v>24.0</v>
      </c>
      <c r="P878" s="9" t="s">
        <v>44</v>
      </c>
      <c r="Q878" s="12"/>
      <c r="R878" s="12"/>
      <c r="S878" s="9" t="s">
        <v>47</v>
      </c>
      <c r="T878" s="9" t="s">
        <v>44</v>
      </c>
      <c r="U878" s="9" t="s">
        <v>44</v>
      </c>
      <c r="V878" s="11">
        <v>119.2</v>
      </c>
      <c r="W878" s="11">
        <v>1.0</v>
      </c>
      <c r="X878" s="9" t="s">
        <v>48</v>
      </c>
      <c r="Y878" s="9" t="s">
        <v>1081</v>
      </c>
      <c r="Z878" s="12"/>
      <c r="AA878" s="9">
        <v>1306219.0</v>
      </c>
      <c r="AB878" s="12"/>
      <c r="AC878" s="9" t="s">
        <v>50</v>
      </c>
    </row>
    <row r="879">
      <c r="A879" s="9" t="s">
        <v>33</v>
      </c>
      <c r="B879" s="11">
        <v>6.0</v>
      </c>
      <c r="C879" s="9" t="s">
        <v>43</v>
      </c>
      <c r="D879" s="9" t="s">
        <v>55</v>
      </c>
      <c r="E879" s="9" t="s">
        <v>56</v>
      </c>
      <c r="F879" s="9" t="s">
        <v>45</v>
      </c>
      <c r="G879" s="9" t="s">
        <v>46</v>
      </c>
      <c r="H879" s="9" t="s">
        <v>475</v>
      </c>
      <c r="I879" s="11">
        <v>8177456.0</v>
      </c>
      <c r="J879" s="11">
        <v>2.66840267E8</v>
      </c>
      <c r="K879" s="13">
        <v>46304.0</v>
      </c>
      <c r="L879" s="14">
        <v>46342.0</v>
      </c>
      <c r="M879" s="12"/>
      <c r="N879" s="9">
        <v>1.0</v>
      </c>
      <c r="O879" s="11">
        <v>24.0</v>
      </c>
      <c r="P879" s="9" t="s">
        <v>44</v>
      </c>
      <c r="Q879" s="12"/>
      <c r="R879" s="12"/>
      <c r="S879" s="9" t="s">
        <v>47</v>
      </c>
      <c r="T879" s="9" t="s">
        <v>44</v>
      </c>
      <c r="U879" s="9" t="s">
        <v>44</v>
      </c>
      <c r="V879" s="11">
        <v>119.2</v>
      </c>
      <c r="W879" s="11">
        <v>1.0</v>
      </c>
      <c r="X879" s="9" t="s">
        <v>48</v>
      </c>
      <c r="Y879" s="9" t="s">
        <v>1082</v>
      </c>
      <c r="Z879" s="12"/>
      <c r="AA879" s="9">
        <v>1306441.0</v>
      </c>
      <c r="AB879" s="12"/>
      <c r="AC879" s="9" t="s">
        <v>50</v>
      </c>
    </row>
    <row r="880">
      <c r="A880" s="9" t="s">
        <v>33</v>
      </c>
      <c r="B880" s="11">
        <v>6.0</v>
      </c>
      <c r="C880" s="9" t="s">
        <v>43</v>
      </c>
      <c r="D880" s="9" t="s">
        <v>55</v>
      </c>
      <c r="E880" s="9" t="s">
        <v>56</v>
      </c>
      <c r="F880" s="9" t="s">
        <v>45</v>
      </c>
      <c r="G880" s="9" t="s">
        <v>46</v>
      </c>
      <c r="H880" s="9" t="s">
        <v>482</v>
      </c>
      <c r="I880" s="11">
        <v>8177538.0</v>
      </c>
      <c r="J880" s="11">
        <v>2.66840269E8</v>
      </c>
      <c r="K880" s="13">
        <v>46304.0</v>
      </c>
      <c r="L880" s="13">
        <v>46331.0</v>
      </c>
      <c r="M880" s="12"/>
      <c r="N880" s="9">
        <v>108.0</v>
      </c>
      <c r="O880" s="11">
        <v>17.0</v>
      </c>
      <c r="P880" s="9" t="s">
        <v>44</v>
      </c>
      <c r="Q880" s="12"/>
      <c r="R880" s="12"/>
      <c r="S880" s="9" t="s">
        <v>47</v>
      </c>
      <c r="T880" s="9" t="s">
        <v>44</v>
      </c>
      <c r="U880" s="9" t="s">
        <v>44</v>
      </c>
      <c r="V880" s="11">
        <v>63.12</v>
      </c>
      <c r="W880" s="11">
        <v>1.0</v>
      </c>
      <c r="X880" s="9" t="s">
        <v>48</v>
      </c>
      <c r="Y880" s="9" t="s">
        <v>1083</v>
      </c>
      <c r="Z880" s="12"/>
      <c r="AA880" s="9">
        <v>1306385.0</v>
      </c>
      <c r="AB880" s="12"/>
      <c r="AC880" s="9" t="s">
        <v>50</v>
      </c>
    </row>
    <row r="881">
      <c r="A881" s="9" t="s">
        <v>33</v>
      </c>
      <c r="B881" s="11">
        <v>6.0</v>
      </c>
      <c r="C881" s="9" t="s">
        <v>43</v>
      </c>
      <c r="D881" s="9" t="s">
        <v>55</v>
      </c>
      <c r="E881" s="9" t="s">
        <v>56</v>
      </c>
      <c r="F881" s="9" t="s">
        <v>45</v>
      </c>
      <c r="G881" s="9" t="s">
        <v>46</v>
      </c>
      <c r="H881" s="9" t="s">
        <v>482</v>
      </c>
      <c r="I881" s="11">
        <v>8177433.0</v>
      </c>
      <c r="J881" s="11">
        <v>2.66840271E8</v>
      </c>
      <c r="K881" s="13">
        <v>46304.0</v>
      </c>
      <c r="L881" s="13">
        <v>46331.0</v>
      </c>
      <c r="M881" s="12"/>
      <c r="N881" s="9">
        <v>108.0</v>
      </c>
      <c r="O881" s="11">
        <v>17.0</v>
      </c>
      <c r="P881" s="9" t="s">
        <v>44</v>
      </c>
      <c r="Q881" s="12"/>
      <c r="R881" s="9" t="s">
        <v>52</v>
      </c>
      <c r="S881" s="9" t="s">
        <v>47</v>
      </c>
      <c r="T881" s="9" t="s">
        <v>44</v>
      </c>
      <c r="U881" s="9" t="s">
        <v>44</v>
      </c>
      <c r="V881" s="11">
        <v>63.12</v>
      </c>
      <c r="W881" s="11">
        <v>2.0</v>
      </c>
      <c r="X881" s="9" t="s">
        <v>48</v>
      </c>
      <c r="Y881" s="9" t="s">
        <v>1084</v>
      </c>
      <c r="Z881" s="12"/>
      <c r="AA881" s="9">
        <v>1306547.0</v>
      </c>
      <c r="AB881" s="12"/>
      <c r="AC881" s="9" t="s">
        <v>50</v>
      </c>
    </row>
    <row r="882">
      <c r="A882" s="9" t="s">
        <v>33</v>
      </c>
      <c r="B882" s="11">
        <v>6.0</v>
      </c>
      <c r="C882" s="9" t="s">
        <v>43</v>
      </c>
      <c r="D882" s="9" t="s">
        <v>55</v>
      </c>
      <c r="E882" s="9" t="s">
        <v>56</v>
      </c>
      <c r="F882" s="9" t="s">
        <v>45</v>
      </c>
      <c r="G882" s="9" t="s">
        <v>46</v>
      </c>
      <c r="H882" s="9" t="s">
        <v>482</v>
      </c>
      <c r="I882" s="11">
        <v>8177539.0</v>
      </c>
      <c r="J882" s="11">
        <v>2.66840273E8</v>
      </c>
      <c r="K882" s="13">
        <v>46304.0</v>
      </c>
      <c r="L882" s="14">
        <v>46324.0</v>
      </c>
      <c r="M882" s="12"/>
      <c r="N882" s="9">
        <v>102.0</v>
      </c>
      <c r="O882" s="11">
        <v>13.0</v>
      </c>
      <c r="P882" s="9" t="s">
        <v>44</v>
      </c>
      <c r="Q882" s="12"/>
      <c r="R882" s="9" t="s">
        <v>52</v>
      </c>
      <c r="S882" s="9" t="s">
        <v>47</v>
      </c>
      <c r="T882" s="9" t="s">
        <v>44</v>
      </c>
      <c r="U882" s="9" t="s">
        <v>44</v>
      </c>
      <c r="V882" s="11">
        <v>63.12</v>
      </c>
      <c r="W882" s="11">
        <v>1.0</v>
      </c>
      <c r="X882" s="9" t="s">
        <v>48</v>
      </c>
      <c r="Y882" s="9" t="s">
        <v>1085</v>
      </c>
      <c r="Z882" s="12"/>
      <c r="AA882" s="9">
        <v>1306257.0</v>
      </c>
      <c r="AB882" s="12"/>
      <c r="AC882" s="9" t="s">
        <v>50</v>
      </c>
    </row>
    <row r="883">
      <c r="A883" s="9" t="s">
        <v>33</v>
      </c>
      <c r="B883" s="11">
        <v>6.0</v>
      </c>
      <c r="C883" s="9" t="s">
        <v>43</v>
      </c>
      <c r="D883" s="9" t="s">
        <v>55</v>
      </c>
      <c r="E883" s="9" t="s">
        <v>56</v>
      </c>
      <c r="F883" s="9" t="s">
        <v>45</v>
      </c>
      <c r="G883" s="9" t="s">
        <v>46</v>
      </c>
      <c r="H883" s="9" t="s">
        <v>491</v>
      </c>
      <c r="I883" s="11">
        <v>8177483.0</v>
      </c>
      <c r="J883" s="11">
        <v>2.66840275E8</v>
      </c>
      <c r="K883" s="13">
        <v>46304.0</v>
      </c>
      <c r="L883" s="14">
        <v>46325.0</v>
      </c>
      <c r="M883" s="12"/>
      <c r="N883" s="9">
        <v>101.0</v>
      </c>
      <c r="O883" s="11">
        <v>14.0</v>
      </c>
      <c r="P883" s="9" t="s">
        <v>44</v>
      </c>
      <c r="Q883" s="12"/>
      <c r="R883" s="12"/>
      <c r="S883" s="9" t="s">
        <v>47</v>
      </c>
      <c r="T883" s="9" t="s">
        <v>44</v>
      </c>
      <c r="U883" s="9" t="s">
        <v>44</v>
      </c>
      <c r="V883" s="11">
        <v>68.09</v>
      </c>
      <c r="W883" s="11">
        <v>1.0</v>
      </c>
      <c r="X883" s="9" t="s">
        <v>48</v>
      </c>
      <c r="Y883" s="9" t="s">
        <v>1086</v>
      </c>
      <c r="Z883" s="12"/>
      <c r="AA883" s="9">
        <v>1306294.0</v>
      </c>
      <c r="AB883" s="12"/>
      <c r="AC883" s="9" t="s">
        <v>50</v>
      </c>
    </row>
    <row r="884">
      <c r="A884" s="9" t="s">
        <v>33</v>
      </c>
      <c r="B884" s="11">
        <v>6.0</v>
      </c>
      <c r="C884" s="9" t="s">
        <v>43</v>
      </c>
      <c r="D884" s="9" t="s">
        <v>55</v>
      </c>
      <c r="E884" s="9" t="s">
        <v>56</v>
      </c>
      <c r="F884" s="9" t="s">
        <v>45</v>
      </c>
      <c r="G884" s="9" t="s">
        <v>46</v>
      </c>
      <c r="H884" s="9" t="s">
        <v>491</v>
      </c>
      <c r="I884" s="11">
        <v>8177484.0</v>
      </c>
      <c r="J884" s="11">
        <v>2.66840276E8</v>
      </c>
      <c r="K884" s="13">
        <v>46304.0</v>
      </c>
      <c r="L884" s="14">
        <v>46323.0</v>
      </c>
      <c r="M884" s="12"/>
      <c r="N884" s="9">
        <v>301.0</v>
      </c>
      <c r="O884" s="11">
        <v>12.0</v>
      </c>
      <c r="P884" s="9" t="s">
        <v>44</v>
      </c>
      <c r="Q884" s="12"/>
      <c r="R884" s="12"/>
      <c r="S884" s="9" t="s">
        <v>47</v>
      </c>
      <c r="T884" s="9" t="s">
        <v>44</v>
      </c>
      <c r="U884" s="9" t="s">
        <v>44</v>
      </c>
      <c r="V884" s="11">
        <v>68.09</v>
      </c>
      <c r="W884" s="11">
        <v>1.0</v>
      </c>
      <c r="X884" s="9" t="s">
        <v>48</v>
      </c>
      <c r="Y884" s="9" t="s">
        <v>1087</v>
      </c>
      <c r="Z884" s="12"/>
      <c r="AA884" s="9">
        <v>1306265.0</v>
      </c>
      <c r="AB884" s="12"/>
      <c r="AC884" s="9" t="s">
        <v>50</v>
      </c>
    </row>
    <row r="885">
      <c r="A885" s="9" t="s">
        <v>33</v>
      </c>
      <c r="B885" s="11">
        <v>6.0</v>
      </c>
      <c r="C885" s="9" t="s">
        <v>43</v>
      </c>
      <c r="D885" s="9" t="s">
        <v>55</v>
      </c>
      <c r="E885" s="9" t="s">
        <v>56</v>
      </c>
      <c r="F885" s="9" t="s">
        <v>45</v>
      </c>
      <c r="G885" s="9" t="s">
        <v>46</v>
      </c>
      <c r="H885" s="9" t="s">
        <v>491</v>
      </c>
      <c r="I885" s="11">
        <v>8177540.0</v>
      </c>
      <c r="J885" s="11">
        <v>2.66840277E8</v>
      </c>
      <c r="K885" s="13">
        <v>46304.0</v>
      </c>
      <c r="L885" s="14">
        <v>46323.0</v>
      </c>
      <c r="M885" s="12"/>
      <c r="N885" s="9">
        <v>101.0</v>
      </c>
      <c r="O885" s="11">
        <v>12.0</v>
      </c>
      <c r="P885" s="9" t="s">
        <v>44</v>
      </c>
      <c r="Q885" s="12"/>
      <c r="R885" s="12"/>
      <c r="S885" s="9" t="s">
        <v>47</v>
      </c>
      <c r="T885" s="9" t="s">
        <v>44</v>
      </c>
      <c r="U885" s="9" t="s">
        <v>44</v>
      </c>
      <c r="V885" s="11">
        <v>68.09</v>
      </c>
      <c r="W885" s="11">
        <v>1.0</v>
      </c>
      <c r="X885" s="9" t="s">
        <v>48</v>
      </c>
      <c r="Y885" s="9" t="s">
        <v>1088</v>
      </c>
      <c r="Z885" s="12"/>
      <c r="AA885" s="9">
        <v>1306318.0</v>
      </c>
      <c r="AB885" s="12"/>
      <c r="AC885" s="9" t="s">
        <v>50</v>
      </c>
    </row>
    <row r="886">
      <c r="A886" s="9" t="s">
        <v>33</v>
      </c>
      <c r="B886" s="11">
        <v>6.0</v>
      </c>
      <c r="C886" s="9" t="s">
        <v>43</v>
      </c>
      <c r="D886" s="9" t="s">
        <v>55</v>
      </c>
      <c r="E886" s="9" t="s">
        <v>56</v>
      </c>
      <c r="F886" s="9" t="s">
        <v>45</v>
      </c>
      <c r="G886" s="9" t="s">
        <v>46</v>
      </c>
      <c r="H886" s="9" t="s">
        <v>491</v>
      </c>
      <c r="I886" s="11">
        <v>8177410.0</v>
      </c>
      <c r="J886" s="11">
        <v>2.66840278E8</v>
      </c>
      <c r="K886" s="13">
        <v>46304.0</v>
      </c>
      <c r="L886" s="14">
        <v>46325.0</v>
      </c>
      <c r="M886" s="12"/>
      <c r="N886" s="9">
        <v>101.0</v>
      </c>
      <c r="O886" s="11">
        <v>14.0</v>
      </c>
      <c r="P886" s="9" t="s">
        <v>44</v>
      </c>
      <c r="Q886" s="12"/>
      <c r="R886" s="9" t="s">
        <v>52</v>
      </c>
      <c r="S886" s="9" t="s">
        <v>47</v>
      </c>
      <c r="T886" s="9" t="s">
        <v>44</v>
      </c>
      <c r="U886" s="9" t="s">
        <v>44</v>
      </c>
      <c r="V886" s="11">
        <v>68.09</v>
      </c>
      <c r="W886" s="11">
        <v>3.0</v>
      </c>
      <c r="X886" s="9" t="s">
        <v>48</v>
      </c>
      <c r="Y886" s="9" t="s">
        <v>1089</v>
      </c>
      <c r="Z886" s="12"/>
      <c r="AA886" s="9">
        <v>1306599.0</v>
      </c>
      <c r="AB886" s="12"/>
      <c r="AC886" s="9" t="s">
        <v>50</v>
      </c>
    </row>
    <row r="887">
      <c r="A887" s="9" t="s">
        <v>33</v>
      </c>
      <c r="B887" s="11">
        <v>6.0</v>
      </c>
      <c r="C887" s="9" t="s">
        <v>43</v>
      </c>
      <c r="D887" s="9" t="s">
        <v>55</v>
      </c>
      <c r="E887" s="9" t="s">
        <v>56</v>
      </c>
      <c r="F887" s="9" t="s">
        <v>45</v>
      </c>
      <c r="G887" s="9" t="s">
        <v>46</v>
      </c>
      <c r="H887" s="9" t="s">
        <v>495</v>
      </c>
      <c r="I887" s="11">
        <v>8177541.0</v>
      </c>
      <c r="J887" s="11">
        <v>2.66840279E8</v>
      </c>
      <c r="K887" s="13">
        <v>46304.0</v>
      </c>
      <c r="L887" s="14">
        <v>46323.0</v>
      </c>
      <c r="M887" s="12"/>
      <c r="N887" s="9">
        <v>503.0</v>
      </c>
      <c r="O887" s="11">
        <v>12.0</v>
      </c>
      <c r="P887" s="9" t="s">
        <v>44</v>
      </c>
      <c r="Q887" s="12"/>
      <c r="R887" s="9" t="s">
        <v>52</v>
      </c>
      <c r="S887" s="9" t="s">
        <v>47</v>
      </c>
      <c r="T887" s="9" t="s">
        <v>44</v>
      </c>
      <c r="U887" s="9" t="s">
        <v>44</v>
      </c>
      <c r="V887" s="11">
        <v>68.09</v>
      </c>
      <c r="W887" s="11">
        <v>1.0</v>
      </c>
      <c r="X887" s="9" t="s">
        <v>48</v>
      </c>
      <c r="Y887" s="9" t="s">
        <v>1090</v>
      </c>
      <c r="Z887" s="12"/>
      <c r="AA887" s="9">
        <v>1306350.0</v>
      </c>
      <c r="AB887" s="12"/>
      <c r="AC887" s="9" t="s">
        <v>50</v>
      </c>
    </row>
    <row r="888">
      <c r="A888" s="9" t="s">
        <v>33</v>
      </c>
      <c r="B888" s="11">
        <v>6.0</v>
      </c>
      <c r="C888" s="9" t="s">
        <v>43</v>
      </c>
      <c r="D888" s="9" t="s">
        <v>55</v>
      </c>
      <c r="E888" s="9" t="s">
        <v>56</v>
      </c>
      <c r="F888" s="9" t="s">
        <v>45</v>
      </c>
      <c r="G888" s="9" t="s">
        <v>46</v>
      </c>
      <c r="H888" s="9" t="s">
        <v>495</v>
      </c>
      <c r="I888" s="11">
        <v>8177542.0</v>
      </c>
      <c r="J888" s="11">
        <v>2.66840281E8</v>
      </c>
      <c r="K888" s="13">
        <v>46304.0</v>
      </c>
      <c r="L888" s="14">
        <v>46323.0</v>
      </c>
      <c r="M888" s="12"/>
      <c r="N888" s="9">
        <v>600.0</v>
      </c>
      <c r="O888" s="11">
        <v>12.0</v>
      </c>
      <c r="P888" s="9" t="s">
        <v>44</v>
      </c>
      <c r="Q888" s="12"/>
      <c r="R888" s="12"/>
      <c r="S888" s="9" t="s">
        <v>47</v>
      </c>
      <c r="T888" s="9" t="s">
        <v>44</v>
      </c>
      <c r="U888" s="9" t="s">
        <v>44</v>
      </c>
      <c r="V888" s="11">
        <v>68.09</v>
      </c>
      <c r="W888" s="11">
        <v>1.0</v>
      </c>
      <c r="X888" s="9" t="s">
        <v>48</v>
      </c>
      <c r="Y888" s="9" t="s">
        <v>1091</v>
      </c>
      <c r="Z888" s="12"/>
      <c r="AA888" s="9">
        <v>1306471.0</v>
      </c>
      <c r="AB888" s="12"/>
      <c r="AC888" s="9" t="s">
        <v>50</v>
      </c>
    </row>
    <row r="889">
      <c r="A889" s="9" t="s">
        <v>33</v>
      </c>
      <c r="B889" s="11">
        <v>6.0</v>
      </c>
      <c r="C889" s="9" t="s">
        <v>43</v>
      </c>
      <c r="D889" s="9" t="s">
        <v>55</v>
      </c>
      <c r="E889" s="9" t="s">
        <v>56</v>
      </c>
      <c r="F889" s="9" t="s">
        <v>45</v>
      </c>
      <c r="G889" s="9" t="s">
        <v>46</v>
      </c>
      <c r="H889" s="9" t="s">
        <v>1092</v>
      </c>
      <c r="I889" s="11">
        <v>8177485.0</v>
      </c>
      <c r="J889" s="11">
        <v>2.66840282E8</v>
      </c>
      <c r="K889" s="13">
        <v>46304.0</v>
      </c>
      <c r="L889" s="14">
        <v>46325.0</v>
      </c>
      <c r="M889" s="12"/>
      <c r="N889" s="9">
        <v>100.0</v>
      </c>
      <c r="O889" s="11">
        <v>14.0</v>
      </c>
      <c r="P889" s="9" t="s">
        <v>44</v>
      </c>
      <c r="Q889" s="12"/>
      <c r="R889" s="12"/>
      <c r="S889" s="9" t="s">
        <v>47</v>
      </c>
      <c r="T889" s="9" t="s">
        <v>44</v>
      </c>
      <c r="U889" s="9" t="s">
        <v>44</v>
      </c>
      <c r="V889" s="11">
        <v>68.09</v>
      </c>
      <c r="W889" s="11">
        <v>1.0</v>
      </c>
      <c r="X889" s="9" t="s">
        <v>48</v>
      </c>
      <c r="Y889" s="9" t="s">
        <v>1093</v>
      </c>
      <c r="Z889" s="12"/>
      <c r="AA889" s="9">
        <v>1306261.0</v>
      </c>
      <c r="AB889" s="12"/>
      <c r="AC889" s="9" t="s">
        <v>50</v>
      </c>
    </row>
    <row r="890">
      <c r="A890" s="9" t="s">
        <v>33</v>
      </c>
      <c r="B890" s="11">
        <v>6.0</v>
      </c>
      <c r="C890" s="9" t="s">
        <v>43</v>
      </c>
      <c r="D890" s="9" t="s">
        <v>55</v>
      </c>
      <c r="E890" s="9" t="s">
        <v>56</v>
      </c>
      <c r="F890" s="9" t="s">
        <v>45</v>
      </c>
      <c r="G890" s="9" t="s">
        <v>46</v>
      </c>
      <c r="H890" s="9" t="s">
        <v>495</v>
      </c>
      <c r="I890" s="11">
        <v>8177543.0</v>
      </c>
      <c r="J890" s="11">
        <v>2.66840283E8</v>
      </c>
      <c r="K890" s="13">
        <v>46304.0</v>
      </c>
      <c r="L890" s="14">
        <v>46323.0</v>
      </c>
      <c r="M890" s="12"/>
      <c r="N890" s="9">
        <v>501.0</v>
      </c>
      <c r="O890" s="11">
        <v>12.0</v>
      </c>
      <c r="P890" s="9" t="s">
        <v>44</v>
      </c>
      <c r="Q890" s="12"/>
      <c r="R890" s="12"/>
      <c r="S890" s="9" t="s">
        <v>47</v>
      </c>
      <c r="T890" s="9" t="s">
        <v>44</v>
      </c>
      <c r="U890" s="9" t="s">
        <v>44</v>
      </c>
      <c r="V890" s="11">
        <v>68.09</v>
      </c>
      <c r="W890" s="11">
        <v>1.0</v>
      </c>
      <c r="X890" s="9" t="s">
        <v>48</v>
      </c>
      <c r="Y890" s="9" t="s">
        <v>1094</v>
      </c>
      <c r="Z890" s="12"/>
      <c r="AA890" s="9">
        <v>1306366.0</v>
      </c>
      <c r="AB890" s="12"/>
      <c r="AC890" s="9" t="s">
        <v>50</v>
      </c>
    </row>
    <row r="891">
      <c r="A891" s="9" t="s">
        <v>33</v>
      </c>
      <c r="B891" s="11">
        <v>6.0</v>
      </c>
      <c r="C891" s="9" t="s">
        <v>43</v>
      </c>
      <c r="D891" s="9" t="s">
        <v>55</v>
      </c>
      <c r="E891" s="9" t="s">
        <v>56</v>
      </c>
      <c r="F891" s="9" t="s">
        <v>45</v>
      </c>
      <c r="G891" s="9" t="s">
        <v>46</v>
      </c>
      <c r="H891" s="9" t="s">
        <v>133</v>
      </c>
      <c r="I891" s="11">
        <v>8177572.0</v>
      </c>
      <c r="J891" s="11">
        <v>2.66840284E8</v>
      </c>
      <c r="K891" s="13">
        <v>46304.0</v>
      </c>
      <c r="L891" s="14">
        <v>46316.0</v>
      </c>
      <c r="M891" s="12"/>
      <c r="N891" s="9">
        <v>20.0</v>
      </c>
      <c r="O891" s="11">
        <v>7.0</v>
      </c>
      <c r="P891" s="9" t="s">
        <v>44</v>
      </c>
      <c r="Q891" s="12"/>
      <c r="R891" s="12"/>
      <c r="S891" s="9" t="s">
        <v>47</v>
      </c>
      <c r="T891" s="9" t="s">
        <v>44</v>
      </c>
      <c r="U891" s="9" t="s">
        <v>44</v>
      </c>
      <c r="V891" s="11">
        <v>47.89</v>
      </c>
      <c r="W891" s="11">
        <v>1.0</v>
      </c>
      <c r="X891" s="9" t="s">
        <v>48</v>
      </c>
      <c r="Y891" s="9" t="s">
        <v>1095</v>
      </c>
      <c r="Z891" s="12"/>
      <c r="AA891" s="9">
        <v>1306325.0</v>
      </c>
      <c r="AB891" s="12"/>
      <c r="AC891" s="9" t="s">
        <v>50</v>
      </c>
    </row>
    <row r="892">
      <c r="A892" s="9" t="s">
        <v>33</v>
      </c>
      <c r="B892" s="11">
        <v>6.0</v>
      </c>
      <c r="C892" s="9" t="s">
        <v>43</v>
      </c>
      <c r="D892" s="9" t="s">
        <v>55</v>
      </c>
      <c r="E892" s="9" t="s">
        <v>56</v>
      </c>
      <c r="F892" s="9" t="s">
        <v>45</v>
      </c>
      <c r="G892" s="9" t="s">
        <v>46</v>
      </c>
      <c r="H892" s="9" t="s">
        <v>222</v>
      </c>
      <c r="I892" s="11">
        <v>8177486.0</v>
      </c>
      <c r="J892" s="11">
        <v>2.66840285E8</v>
      </c>
      <c r="K892" s="13">
        <v>46304.0</v>
      </c>
      <c r="L892" s="14">
        <v>46316.0</v>
      </c>
      <c r="M892" s="12"/>
      <c r="N892" s="9">
        <v>2810.0</v>
      </c>
      <c r="O892" s="11">
        <v>7.0</v>
      </c>
      <c r="P892" s="9" t="s">
        <v>44</v>
      </c>
      <c r="Q892" s="12"/>
      <c r="R892" s="12"/>
      <c r="S892" s="9" t="s">
        <v>47</v>
      </c>
      <c r="T892" s="9" t="s">
        <v>44</v>
      </c>
      <c r="U892" s="9" t="s">
        <v>44</v>
      </c>
      <c r="V892" s="11">
        <v>45.49</v>
      </c>
      <c r="W892" s="11">
        <v>1.0</v>
      </c>
      <c r="X892" s="9" t="s">
        <v>48</v>
      </c>
      <c r="Y892" s="9" t="s">
        <v>1096</v>
      </c>
      <c r="Z892" s="12"/>
      <c r="AA892" s="9">
        <v>1306155.0</v>
      </c>
      <c r="AB892" s="12"/>
      <c r="AC892" s="9" t="s">
        <v>50</v>
      </c>
    </row>
    <row r="893">
      <c r="A893" s="9" t="s">
        <v>33</v>
      </c>
      <c r="B893" s="11">
        <v>6.0</v>
      </c>
      <c r="C893" s="9" t="s">
        <v>43</v>
      </c>
      <c r="D893" s="9" t="s">
        <v>55</v>
      </c>
      <c r="E893" s="9" t="s">
        <v>56</v>
      </c>
      <c r="F893" s="9" t="s">
        <v>45</v>
      </c>
      <c r="G893" s="9" t="s">
        <v>46</v>
      </c>
      <c r="H893" s="9" t="s">
        <v>133</v>
      </c>
      <c r="I893" s="11">
        <v>8177544.0</v>
      </c>
      <c r="J893" s="11">
        <v>2.66840286E8</v>
      </c>
      <c r="K893" s="13">
        <v>46304.0</v>
      </c>
      <c r="L893" s="14">
        <v>46316.0</v>
      </c>
      <c r="M893" s="12"/>
      <c r="N893" s="9">
        <v>19.0</v>
      </c>
      <c r="O893" s="11">
        <v>7.0</v>
      </c>
      <c r="P893" s="9" t="s">
        <v>44</v>
      </c>
      <c r="Q893" s="12"/>
      <c r="R893" s="9" t="s">
        <v>90</v>
      </c>
      <c r="S893" s="9" t="s">
        <v>47</v>
      </c>
      <c r="T893" s="9" t="s">
        <v>44</v>
      </c>
      <c r="U893" s="9" t="s">
        <v>44</v>
      </c>
      <c r="V893" s="11">
        <v>47.89</v>
      </c>
      <c r="W893" s="11">
        <v>1.0</v>
      </c>
      <c r="X893" s="9" t="s">
        <v>48</v>
      </c>
      <c r="Y893" s="9" t="s">
        <v>1097</v>
      </c>
      <c r="Z893" s="12"/>
      <c r="AA893" s="9">
        <v>1306382.0</v>
      </c>
      <c r="AB893" s="12"/>
      <c r="AC893" s="9" t="s">
        <v>50</v>
      </c>
    </row>
    <row r="894">
      <c r="A894" s="9" t="s">
        <v>33</v>
      </c>
      <c r="B894" s="11">
        <v>6.0</v>
      </c>
      <c r="C894" s="9" t="s">
        <v>43</v>
      </c>
      <c r="D894" s="9" t="s">
        <v>55</v>
      </c>
      <c r="E894" s="9" t="s">
        <v>56</v>
      </c>
      <c r="F894" s="9" t="s">
        <v>45</v>
      </c>
      <c r="G894" s="9" t="s">
        <v>46</v>
      </c>
      <c r="H894" s="9" t="s">
        <v>133</v>
      </c>
      <c r="I894" s="11">
        <v>8177487.0</v>
      </c>
      <c r="J894" s="11">
        <v>2.66840287E8</v>
      </c>
      <c r="K894" s="13">
        <v>46304.0</v>
      </c>
      <c r="L894" s="14">
        <v>46316.0</v>
      </c>
      <c r="M894" s="12"/>
      <c r="N894" s="9">
        <v>8.0</v>
      </c>
      <c r="O894" s="11">
        <v>7.0</v>
      </c>
      <c r="P894" s="9" t="s">
        <v>44</v>
      </c>
      <c r="Q894" s="12"/>
      <c r="R894" s="9" t="s">
        <v>90</v>
      </c>
      <c r="S894" s="9" t="s">
        <v>47</v>
      </c>
      <c r="T894" s="9" t="s">
        <v>44</v>
      </c>
      <c r="U894" s="9" t="s">
        <v>44</v>
      </c>
      <c r="V894" s="11">
        <v>47.89</v>
      </c>
      <c r="W894" s="11">
        <v>1.0</v>
      </c>
      <c r="X894" s="9" t="s">
        <v>48</v>
      </c>
      <c r="Y894" s="9" t="s">
        <v>1098</v>
      </c>
      <c r="Z894" s="12"/>
      <c r="AA894" s="9">
        <v>1306119.0</v>
      </c>
      <c r="AB894" s="12"/>
      <c r="AC894" s="9" t="s">
        <v>50</v>
      </c>
    </row>
    <row r="895">
      <c r="A895" s="9" t="s">
        <v>33</v>
      </c>
      <c r="B895" s="11">
        <v>6.0</v>
      </c>
      <c r="C895" s="9" t="s">
        <v>43</v>
      </c>
      <c r="D895" s="9" t="s">
        <v>55</v>
      </c>
      <c r="E895" s="9" t="s">
        <v>56</v>
      </c>
      <c r="F895" s="9" t="s">
        <v>45</v>
      </c>
      <c r="G895" s="9" t="s">
        <v>46</v>
      </c>
      <c r="H895" s="9" t="s">
        <v>222</v>
      </c>
      <c r="I895" s="11">
        <v>8177457.0</v>
      </c>
      <c r="J895" s="11">
        <v>2.66840288E8</v>
      </c>
      <c r="K895" s="13">
        <v>46304.0</v>
      </c>
      <c r="L895" s="14">
        <v>46316.0</v>
      </c>
      <c r="M895" s="12"/>
      <c r="N895" s="9">
        <v>821.0</v>
      </c>
      <c r="O895" s="11">
        <v>7.0</v>
      </c>
      <c r="P895" s="9" t="s">
        <v>44</v>
      </c>
      <c r="Q895" s="12"/>
      <c r="R895" s="12"/>
      <c r="S895" s="9" t="s">
        <v>47</v>
      </c>
      <c r="T895" s="9" t="s">
        <v>44</v>
      </c>
      <c r="U895" s="9" t="s">
        <v>44</v>
      </c>
      <c r="V895" s="11">
        <v>45.49</v>
      </c>
      <c r="W895" s="11">
        <v>1.0</v>
      </c>
      <c r="X895" s="9" t="s">
        <v>48</v>
      </c>
      <c r="Y895" s="9" t="s">
        <v>507</v>
      </c>
      <c r="Z895" s="12"/>
      <c r="AA895" s="9">
        <v>1306507.0</v>
      </c>
      <c r="AB895" s="12"/>
      <c r="AC895" s="9" t="s">
        <v>50</v>
      </c>
    </row>
    <row r="896">
      <c r="A896" s="9" t="s">
        <v>33</v>
      </c>
      <c r="B896" s="11">
        <v>6.0</v>
      </c>
      <c r="C896" s="9" t="s">
        <v>43</v>
      </c>
      <c r="D896" s="9" t="s">
        <v>55</v>
      </c>
      <c r="E896" s="9" t="s">
        <v>56</v>
      </c>
      <c r="F896" s="9" t="s">
        <v>45</v>
      </c>
      <c r="G896" s="9" t="s">
        <v>46</v>
      </c>
      <c r="H896" s="9" t="s">
        <v>133</v>
      </c>
      <c r="I896" s="11">
        <v>8177545.0</v>
      </c>
      <c r="J896" s="11">
        <v>2.66840289E8</v>
      </c>
      <c r="K896" s="13">
        <v>46304.0</v>
      </c>
      <c r="L896" s="14">
        <v>46318.0</v>
      </c>
      <c r="M896" s="12"/>
      <c r="N896" s="9">
        <v>104.0</v>
      </c>
      <c r="O896" s="11">
        <v>9.0</v>
      </c>
      <c r="P896" s="9" t="s">
        <v>44</v>
      </c>
      <c r="Q896" s="12"/>
      <c r="R896" s="9" t="s">
        <v>90</v>
      </c>
      <c r="S896" s="9" t="s">
        <v>47</v>
      </c>
      <c r="T896" s="9" t="s">
        <v>44</v>
      </c>
      <c r="U896" s="9" t="s">
        <v>44</v>
      </c>
      <c r="V896" s="11">
        <v>60.6</v>
      </c>
      <c r="W896" s="11">
        <v>6.0</v>
      </c>
      <c r="X896" s="9" t="s">
        <v>48</v>
      </c>
      <c r="Y896" s="9" t="s">
        <v>1099</v>
      </c>
      <c r="Z896" s="12"/>
      <c r="AA896" s="9" t="s">
        <v>1100</v>
      </c>
      <c r="AB896" s="12"/>
      <c r="AC896" s="9" t="s">
        <v>50</v>
      </c>
    </row>
    <row r="897">
      <c r="A897" s="9" t="s">
        <v>33</v>
      </c>
      <c r="B897" s="11">
        <v>6.0</v>
      </c>
      <c r="C897" s="9" t="s">
        <v>43</v>
      </c>
      <c r="D897" s="9" t="s">
        <v>55</v>
      </c>
      <c r="E897" s="9" t="s">
        <v>56</v>
      </c>
      <c r="F897" s="9" t="s">
        <v>45</v>
      </c>
      <c r="G897" s="9" t="s">
        <v>46</v>
      </c>
      <c r="H897" s="9" t="s">
        <v>515</v>
      </c>
      <c r="I897" s="11">
        <v>8177546.0</v>
      </c>
      <c r="J897" s="11">
        <v>2.6684029E8</v>
      </c>
      <c r="K897" s="13">
        <v>46304.0</v>
      </c>
      <c r="L897" s="14">
        <v>46323.0</v>
      </c>
      <c r="M897" s="12"/>
      <c r="N897" s="9">
        <v>104.0</v>
      </c>
      <c r="O897" s="11">
        <v>12.0</v>
      </c>
      <c r="P897" s="9" t="s">
        <v>44</v>
      </c>
      <c r="Q897" s="12"/>
      <c r="R897" s="9" t="s">
        <v>90</v>
      </c>
      <c r="S897" s="9" t="s">
        <v>47</v>
      </c>
      <c r="T897" s="9" t="s">
        <v>44</v>
      </c>
      <c r="U897" s="9" t="s">
        <v>44</v>
      </c>
      <c r="V897" s="11">
        <v>53.7</v>
      </c>
      <c r="W897" s="11">
        <v>1.0</v>
      </c>
      <c r="X897" s="9" t="s">
        <v>48</v>
      </c>
      <c r="Y897" s="9" t="s">
        <v>1101</v>
      </c>
      <c r="Z897" s="12"/>
      <c r="AA897" s="9">
        <v>1306243.0</v>
      </c>
      <c r="AB897" s="12"/>
      <c r="AC897" s="9" t="s">
        <v>50</v>
      </c>
    </row>
    <row r="898">
      <c r="A898" s="9" t="s">
        <v>33</v>
      </c>
      <c r="B898" s="11">
        <v>6.0</v>
      </c>
      <c r="C898" s="9" t="s">
        <v>43</v>
      </c>
      <c r="D898" s="9" t="s">
        <v>55</v>
      </c>
      <c r="E898" s="9" t="s">
        <v>389</v>
      </c>
      <c r="F898" s="9" t="s">
        <v>45</v>
      </c>
      <c r="G898" s="9" t="s">
        <v>46</v>
      </c>
      <c r="H898" s="9" t="s">
        <v>522</v>
      </c>
      <c r="I898" s="11">
        <v>8177488.0</v>
      </c>
      <c r="J898" s="11">
        <v>2.66840291E8</v>
      </c>
      <c r="K898" s="13">
        <v>46304.0</v>
      </c>
      <c r="L898" s="14">
        <v>46323.0</v>
      </c>
      <c r="M898" s="12"/>
      <c r="N898" s="9">
        <v>106.0</v>
      </c>
      <c r="O898" s="11">
        <v>12.0</v>
      </c>
      <c r="P898" s="9" t="s">
        <v>44</v>
      </c>
      <c r="Q898" s="12"/>
      <c r="R898" s="9" t="s">
        <v>90</v>
      </c>
      <c r="S898" s="9" t="s">
        <v>47</v>
      </c>
      <c r="T898" s="9" t="s">
        <v>44</v>
      </c>
      <c r="U898" s="9" t="s">
        <v>44</v>
      </c>
      <c r="V898" s="11">
        <v>53.7</v>
      </c>
      <c r="W898" s="11">
        <v>1.0</v>
      </c>
      <c r="X898" s="9" t="s">
        <v>48</v>
      </c>
      <c r="Y898" s="9" t="s">
        <v>1102</v>
      </c>
      <c r="Z898" s="12"/>
      <c r="AA898" s="9">
        <v>1306144.0</v>
      </c>
      <c r="AB898" s="12"/>
      <c r="AC898" s="9" t="s">
        <v>50</v>
      </c>
    </row>
    <row r="899">
      <c r="A899" s="9" t="s">
        <v>33</v>
      </c>
      <c r="B899" s="11">
        <v>6.0</v>
      </c>
      <c r="C899" s="9" t="s">
        <v>43</v>
      </c>
      <c r="D899" s="9" t="s">
        <v>55</v>
      </c>
      <c r="E899" s="9" t="s">
        <v>56</v>
      </c>
      <c r="F899" s="9" t="s">
        <v>45</v>
      </c>
      <c r="G899" s="9" t="s">
        <v>46</v>
      </c>
      <c r="H899" s="9" t="s">
        <v>792</v>
      </c>
      <c r="I899" s="11">
        <v>8177489.0</v>
      </c>
      <c r="J899" s="11">
        <v>2.66840292E8</v>
      </c>
      <c r="K899" s="13">
        <v>46304.0</v>
      </c>
      <c r="L899" s="14">
        <v>46322.0</v>
      </c>
      <c r="M899" s="12"/>
      <c r="N899" s="9">
        <v>1021.0</v>
      </c>
      <c r="O899" s="11">
        <v>11.0</v>
      </c>
      <c r="P899" s="9" t="s">
        <v>44</v>
      </c>
      <c r="Q899" s="12"/>
      <c r="R899" s="12"/>
      <c r="S899" s="9" t="s">
        <v>47</v>
      </c>
      <c r="T899" s="9" t="s">
        <v>44</v>
      </c>
      <c r="U899" s="9" t="s">
        <v>44</v>
      </c>
      <c r="V899" s="11">
        <v>53.7</v>
      </c>
      <c r="W899" s="11">
        <v>1.0</v>
      </c>
      <c r="X899" s="9" t="s">
        <v>48</v>
      </c>
      <c r="Y899" s="9" t="s">
        <v>1103</v>
      </c>
      <c r="Z899" s="12"/>
      <c r="AA899" s="9">
        <v>1306244.0</v>
      </c>
      <c r="AB899" s="12"/>
      <c r="AC899" s="9" t="s">
        <v>50</v>
      </c>
    </row>
    <row r="900">
      <c r="A900" s="9" t="s">
        <v>33</v>
      </c>
      <c r="B900" s="11">
        <v>6.0</v>
      </c>
      <c r="C900" s="9" t="s">
        <v>43</v>
      </c>
      <c r="D900" s="9" t="s">
        <v>55</v>
      </c>
      <c r="E900" s="9" t="s">
        <v>56</v>
      </c>
      <c r="F900" s="9" t="s">
        <v>45</v>
      </c>
      <c r="G900" s="9" t="s">
        <v>46</v>
      </c>
      <c r="H900" s="9" t="s">
        <v>529</v>
      </c>
      <c r="I900" s="11">
        <v>8177490.0</v>
      </c>
      <c r="J900" s="11">
        <v>2.66840294E8</v>
      </c>
      <c r="K900" s="13">
        <v>46304.0</v>
      </c>
      <c r="L900" s="14">
        <v>46321.0</v>
      </c>
      <c r="M900" s="12"/>
      <c r="N900" s="9">
        <v>105.0</v>
      </c>
      <c r="O900" s="11">
        <v>10.0</v>
      </c>
      <c r="P900" s="9" t="s">
        <v>44</v>
      </c>
      <c r="Q900" s="12"/>
      <c r="R900" s="9" t="s">
        <v>52</v>
      </c>
      <c r="S900" s="9" t="s">
        <v>47</v>
      </c>
      <c r="T900" s="9" t="s">
        <v>44</v>
      </c>
      <c r="U900" s="9" t="s">
        <v>44</v>
      </c>
      <c r="V900" s="11">
        <v>53.7</v>
      </c>
      <c r="W900" s="11">
        <v>2.0</v>
      </c>
      <c r="X900" s="9" t="s">
        <v>48</v>
      </c>
      <c r="Y900" s="9" t="s">
        <v>807</v>
      </c>
      <c r="Z900" s="12"/>
      <c r="AA900" s="9">
        <v>1306136.0</v>
      </c>
      <c r="AB900" s="12"/>
      <c r="AC900" s="9" t="s">
        <v>50</v>
      </c>
    </row>
    <row r="901">
      <c r="A901" s="9" t="s">
        <v>33</v>
      </c>
      <c r="B901" s="11">
        <v>6.0</v>
      </c>
      <c r="C901" s="9" t="s">
        <v>43</v>
      </c>
      <c r="D901" s="9" t="s">
        <v>55</v>
      </c>
      <c r="E901" s="9" t="s">
        <v>56</v>
      </c>
      <c r="F901" s="9" t="s">
        <v>45</v>
      </c>
      <c r="G901" s="9" t="s">
        <v>46</v>
      </c>
      <c r="H901" s="9" t="s">
        <v>813</v>
      </c>
      <c r="I901" s="11">
        <v>8177411.0</v>
      </c>
      <c r="J901" s="11">
        <v>2.66840296E8</v>
      </c>
      <c r="K901" s="13">
        <v>46304.0</v>
      </c>
      <c r="L901" s="14">
        <v>46321.0</v>
      </c>
      <c r="M901" s="12"/>
      <c r="N901" s="9">
        <v>106.0</v>
      </c>
      <c r="O901" s="11">
        <v>10.0</v>
      </c>
      <c r="P901" s="9" t="s">
        <v>44</v>
      </c>
      <c r="Q901" s="12"/>
      <c r="R901" s="9" t="s">
        <v>90</v>
      </c>
      <c r="S901" s="9" t="s">
        <v>47</v>
      </c>
      <c r="T901" s="9" t="s">
        <v>44</v>
      </c>
      <c r="U901" s="9" t="s">
        <v>44</v>
      </c>
      <c r="V901" s="11">
        <v>60.93</v>
      </c>
      <c r="W901" s="11">
        <v>1.0</v>
      </c>
      <c r="X901" s="9" t="s">
        <v>48</v>
      </c>
      <c r="Y901" s="9" t="s">
        <v>1104</v>
      </c>
      <c r="Z901" s="12"/>
      <c r="AA901" s="9">
        <v>1306503.0</v>
      </c>
      <c r="AB901" s="12"/>
      <c r="AC901" s="9" t="s">
        <v>50</v>
      </c>
    </row>
    <row r="902">
      <c r="A902" s="9" t="s">
        <v>33</v>
      </c>
      <c r="B902" s="11">
        <v>6.0</v>
      </c>
      <c r="C902" s="9" t="s">
        <v>43</v>
      </c>
      <c r="D902" s="9" t="s">
        <v>55</v>
      </c>
      <c r="E902" s="9" t="s">
        <v>56</v>
      </c>
      <c r="F902" s="9" t="s">
        <v>45</v>
      </c>
      <c r="G902" s="9" t="s">
        <v>46</v>
      </c>
      <c r="H902" s="9" t="s">
        <v>547</v>
      </c>
      <c r="I902" s="11">
        <v>8177412.0</v>
      </c>
      <c r="J902" s="11">
        <v>2.66840297E8</v>
      </c>
      <c r="K902" s="13">
        <v>46304.0</v>
      </c>
      <c r="L902" s="14">
        <v>46321.0</v>
      </c>
      <c r="M902" s="12"/>
      <c r="N902" s="9">
        <v>103.0</v>
      </c>
      <c r="O902" s="11">
        <v>10.0</v>
      </c>
      <c r="P902" s="9" t="s">
        <v>44</v>
      </c>
      <c r="Q902" s="12"/>
      <c r="R902" s="9" t="s">
        <v>90</v>
      </c>
      <c r="S902" s="9" t="s">
        <v>47</v>
      </c>
      <c r="T902" s="9" t="s">
        <v>44</v>
      </c>
      <c r="U902" s="9" t="s">
        <v>44</v>
      </c>
      <c r="V902" s="11">
        <v>60.93</v>
      </c>
      <c r="W902" s="11">
        <v>1.0</v>
      </c>
      <c r="X902" s="9" t="s">
        <v>48</v>
      </c>
      <c r="Y902" s="9" t="s">
        <v>1105</v>
      </c>
      <c r="Z902" s="12"/>
      <c r="AA902" s="9">
        <v>1306480.0</v>
      </c>
      <c r="AB902" s="12"/>
      <c r="AC902" s="9" t="s">
        <v>50</v>
      </c>
    </row>
    <row r="903">
      <c r="A903" s="9" t="s">
        <v>33</v>
      </c>
      <c r="B903" s="11">
        <v>6.0</v>
      </c>
      <c r="C903" s="9" t="s">
        <v>43</v>
      </c>
      <c r="D903" s="9" t="s">
        <v>55</v>
      </c>
      <c r="E903" s="9" t="s">
        <v>56</v>
      </c>
      <c r="F903" s="9" t="s">
        <v>45</v>
      </c>
      <c r="G903" s="9" t="s">
        <v>46</v>
      </c>
      <c r="H903" s="9" t="s">
        <v>547</v>
      </c>
      <c r="I903" s="11">
        <v>8177547.0</v>
      </c>
      <c r="J903" s="11">
        <v>2.66840299E8</v>
      </c>
      <c r="K903" s="13">
        <v>46304.0</v>
      </c>
      <c r="L903" s="14">
        <v>46318.0</v>
      </c>
      <c r="M903" s="12"/>
      <c r="N903" s="9">
        <v>2.0</v>
      </c>
      <c r="O903" s="11">
        <v>9.0</v>
      </c>
      <c r="P903" s="9" t="s">
        <v>44</v>
      </c>
      <c r="Q903" s="12"/>
      <c r="R903" s="9" t="s">
        <v>90</v>
      </c>
      <c r="S903" s="9" t="s">
        <v>47</v>
      </c>
      <c r="T903" s="9" t="s">
        <v>44</v>
      </c>
      <c r="U903" s="9" t="s">
        <v>44</v>
      </c>
      <c r="V903" s="11">
        <v>54.19</v>
      </c>
      <c r="W903" s="11">
        <v>1.0</v>
      </c>
      <c r="X903" s="9" t="s">
        <v>48</v>
      </c>
      <c r="Y903" s="9" t="s">
        <v>1106</v>
      </c>
      <c r="Z903" s="12"/>
      <c r="AA903" s="9">
        <v>1306397.0</v>
      </c>
      <c r="AB903" s="12"/>
      <c r="AC903" s="9" t="s">
        <v>50</v>
      </c>
    </row>
    <row r="904">
      <c r="A904" s="9" t="s">
        <v>33</v>
      </c>
      <c r="B904" s="11">
        <v>6.0</v>
      </c>
      <c r="C904" s="9" t="s">
        <v>43</v>
      </c>
      <c r="D904" s="9" t="s">
        <v>55</v>
      </c>
      <c r="E904" s="9" t="s">
        <v>56</v>
      </c>
      <c r="F904" s="9" t="s">
        <v>45</v>
      </c>
      <c r="G904" s="9" t="s">
        <v>46</v>
      </c>
      <c r="H904" s="9" t="s">
        <v>547</v>
      </c>
      <c r="I904" s="11">
        <v>8177564.0</v>
      </c>
      <c r="J904" s="11">
        <v>2.66840302E8</v>
      </c>
      <c r="K904" s="13">
        <v>46304.0</v>
      </c>
      <c r="L904" s="14">
        <v>46321.0</v>
      </c>
      <c r="M904" s="12"/>
      <c r="N904" s="9">
        <v>107.0</v>
      </c>
      <c r="O904" s="11">
        <v>10.0</v>
      </c>
      <c r="P904" s="9" t="s">
        <v>44</v>
      </c>
      <c r="Q904" s="12"/>
      <c r="R904" s="9" t="s">
        <v>52</v>
      </c>
      <c r="S904" s="9" t="s">
        <v>47</v>
      </c>
      <c r="T904" s="9" t="s">
        <v>44</v>
      </c>
      <c r="U904" s="9" t="s">
        <v>44</v>
      </c>
      <c r="V904" s="11">
        <v>60.93</v>
      </c>
      <c r="W904" s="11">
        <v>1.0</v>
      </c>
      <c r="X904" s="9" t="s">
        <v>48</v>
      </c>
      <c r="Y904" s="9" t="s">
        <v>1107</v>
      </c>
      <c r="Z904" s="12"/>
      <c r="AA904" s="9">
        <v>1306426.0</v>
      </c>
      <c r="AB904" s="12"/>
      <c r="AC904" s="9" t="s">
        <v>50</v>
      </c>
    </row>
    <row r="905">
      <c r="A905" s="9" t="s">
        <v>33</v>
      </c>
      <c r="B905" s="11">
        <v>6.0</v>
      </c>
      <c r="C905" s="9" t="s">
        <v>43</v>
      </c>
      <c r="D905" s="9" t="s">
        <v>55</v>
      </c>
      <c r="E905" s="9" t="s">
        <v>56</v>
      </c>
      <c r="F905" s="9" t="s">
        <v>45</v>
      </c>
      <c r="G905" s="9" t="s">
        <v>46</v>
      </c>
      <c r="H905" s="9" t="s">
        <v>549</v>
      </c>
      <c r="I905" s="11">
        <v>8177491.0</v>
      </c>
      <c r="J905" s="11">
        <v>2.66840305E8</v>
      </c>
      <c r="K905" s="13">
        <v>46304.0</v>
      </c>
      <c r="L905" s="14">
        <v>46317.0</v>
      </c>
      <c r="M905" s="12"/>
      <c r="N905" s="9">
        <v>10.0</v>
      </c>
      <c r="O905" s="11">
        <v>8.0</v>
      </c>
      <c r="P905" s="9" t="s">
        <v>44</v>
      </c>
      <c r="Q905" s="12"/>
      <c r="R905" s="9" t="s">
        <v>90</v>
      </c>
      <c r="S905" s="9" t="s">
        <v>47</v>
      </c>
      <c r="T905" s="9" t="s">
        <v>44</v>
      </c>
      <c r="U905" s="9" t="s">
        <v>44</v>
      </c>
      <c r="V905" s="11">
        <v>60.93</v>
      </c>
      <c r="W905" s="11">
        <v>1.0</v>
      </c>
      <c r="X905" s="9" t="s">
        <v>48</v>
      </c>
      <c r="Y905" s="9" t="s">
        <v>1108</v>
      </c>
      <c r="Z905" s="12"/>
      <c r="AA905" s="9">
        <v>1306245.0</v>
      </c>
      <c r="AB905" s="12"/>
      <c r="AC905" s="9" t="s">
        <v>50</v>
      </c>
    </row>
    <row r="906">
      <c r="A906" s="9" t="s">
        <v>33</v>
      </c>
      <c r="B906" s="11">
        <v>6.0</v>
      </c>
      <c r="C906" s="9" t="s">
        <v>43</v>
      </c>
      <c r="D906" s="9" t="s">
        <v>55</v>
      </c>
      <c r="E906" s="9" t="s">
        <v>56</v>
      </c>
      <c r="F906" s="9" t="s">
        <v>45</v>
      </c>
      <c r="G906" s="9" t="s">
        <v>46</v>
      </c>
      <c r="H906" s="9" t="s">
        <v>549</v>
      </c>
      <c r="I906" s="11">
        <v>8177458.0</v>
      </c>
      <c r="J906" s="11">
        <v>2.66840308E8</v>
      </c>
      <c r="K906" s="13">
        <v>46304.0</v>
      </c>
      <c r="L906" s="14">
        <v>46317.0</v>
      </c>
      <c r="M906" s="12"/>
      <c r="N906" s="9">
        <v>18.0</v>
      </c>
      <c r="O906" s="11">
        <v>8.0</v>
      </c>
      <c r="P906" s="9" t="s">
        <v>44</v>
      </c>
      <c r="Q906" s="12"/>
      <c r="R906" s="12"/>
      <c r="S906" s="9" t="s">
        <v>47</v>
      </c>
      <c r="T906" s="9" t="s">
        <v>44</v>
      </c>
      <c r="U906" s="9" t="s">
        <v>44</v>
      </c>
      <c r="V906" s="11">
        <v>60.93</v>
      </c>
      <c r="W906" s="11">
        <v>1.0</v>
      </c>
      <c r="X906" s="9" t="s">
        <v>48</v>
      </c>
      <c r="Y906" s="9" t="s">
        <v>1109</v>
      </c>
      <c r="Z906" s="12"/>
      <c r="AA906" s="9">
        <v>1306401.0</v>
      </c>
      <c r="AB906" s="12"/>
      <c r="AC906" s="9" t="s">
        <v>50</v>
      </c>
    </row>
    <row r="907">
      <c r="A907" s="9" t="s">
        <v>33</v>
      </c>
      <c r="B907" s="11">
        <v>6.0</v>
      </c>
      <c r="C907" s="9" t="s">
        <v>43</v>
      </c>
      <c r="D907" s="9" t="s">
        <v>55</v>
      </c>
      <c r="E907" s="9" t="s">
        <v>56</v>
      </c>
      <c r="F907" s="9" t="s">
        <v>45</v>
      </c>
      <c r="G907" s="9" t="s">
        <v>46</v>
      </c>
      <c r="H907" s="9" t="s">
        <v>138</v>
      </c>
      <c r="I907" s="11">
        <v>8177565.0</v>
      </c>
      <c r="J907" s="11">
        <v>2.66840311E8</v>
      </c>
      <c r="K907" s="13">
        <v>46304.0</v>
      </c>
      <c r="L907" s="14">
        <v>46318.0</v>
      </c>
      <c r="M907" s="12"/>
      <c r="N907" s="9">
        <v>2.0</v>
      </c>
      <c r="O907" s="11">
        <v>9.0</v>
      </c>
      <c r="P907" s="9" t="s">
        <v>44</v>
      </c>
      <c r="Q907" s="12"/>
      <c r="R907" s="9" t="s">
        <v>90</v>
      </c>
      <c r="S907" s="9" t="s">
        <v>47</v>
      </c>
      <c r="T907" s="9" t="s">
        <v>44</v>
      </c>
      <c r="U907" s="9" t="s">
        <v>44</v>
      </c>
      <c r="V907" s="11">
        <v>54.19</v>
      </c>
      <c r="W907" s="11">
        <v>1.0</v>
      </c>
      <c r="X907" s="9" t="s">
        <v>48</v>
      </c>
      <c r="Y907" s="9" t="s">
        <v>1110</v>
      </c>
      <c r="Z907" s="12"/>
      <c r="AA907" s="9">
        <v>1306145.0</v>
      </c>
      <c r="AB907" s="12"/>
      <c r="AC907" s="9" t="s">
        <v>50</v>
      </c>
    </row>
    <row r="908">
      <c r="A908" s="9" t="s">
        <v>33</v>
      </c>
      <c r="B908" s="11">
        <v>6.0</v>
      </c>
      <c r="C908" s="9" t="s">
        <v>43</v>
      </c>
      <c r="D908" s="9" t="s">
        <v>55</v>
      </c>
      <c r="E908" s="9" t="s">
        <v>56</v>
      </c>
      <c r="F908" s="9" t="s">
        <v>45</v>
      </c>
      <c r="G908" s="9" t="s">
        <v>46</v>
      </c>
      <c r="H908" s="9" t="s">
        <v>559</v>
      </c>
      <c r="I908" s="11">
        <v>8177434.0</v>
      </c>
      <c r="J908" s="11">
        <v>2.66840315E8</v>
      </c>
      <c r="K908" s="13">
        <v>46304.0</v>
      </c>
      <c r="L908" s="14">
        <v>46322.0</v>
      </c>
      <c r="M908" s="12"/>
      <c r="N908" s="9">
        <v>101.0</v>
      </c>
      <c r="O908" s="11">
        <v>11.0</v>
      </c>
      <c r="P908" s="9" t="s">
        <v>44</v>
      </c>
      <c r="Q908" s="12"/>
      <c r="R908" s="9" t="s">
        <v>90</v>
      </c>
      <c r="S908" s="9" t="s">
        <v>47</v>
      </c>
      <c r="T908" s="9" t="s">
        <v>44</v>
      </c>
      <c r="U908" s="9" t="s">
        <v>44</v>
      </c>
      <c r="V908" s="11">
        <v>60.93</v>
      </c>
      <c r="W908" s="11">
        <v>1.0</v>
      </c>
      <c r="X908" s="9" t="s">
        <v>48</v>
      </c>
      <c r="Y908" s="9" t="s">
        <v>1111</v>
      </c>
      <c r="Z908" s="12"/>
      <c r="AA908" s="9">
        <v>1306217.0</v>
      </c>
      <c r="AB908" s="12"/>
      <c r="AC908" s="9" t="s">
        <v>50</v>
      </c>
    </row>
    <row r="909">
      <c r="A909" s="9" t="s">
        <v>33</v>
      </c>
      <c r="B909" s="11">
        <v>6.0</v>
      </c>
      <c r="C909" s="9" t="s">
        <v>43</v>
      </c>
      <c r="D909" s="9" t="s">
        <v>55</v>
      </c>
      <c r="E909" s="9" t="s">
        <v>56</v>
      </c>
      <c r="F909" s="9" t="s">
        <v>45</v>
      </c>
      <c r="G909" s="9" t="s">
        <v>46</v>
      </c>
      <c r="H909" s="9" t="s">
        <v>559</v>
      </c>
      <c r="I909" s="11">
        <v>8177492.0</v>
      </c>
      <c r="J909" s="11">
        <v>2.66840316E8</v>
      </c>
      <c r="K909" s="13">
        <v>46304.0</v>
      </c>
      <c r="L909" s="14">
        <v>46321.0</v>
      </c>
      <c r="M909" s="12"/>
      <c r="N909" s="9">
        <v>101.0</v>
      </c>
      <c r="O909" s="11">
        <v>10.0</v>
      </c>
      <c r="P909" s="9" t="s">
        <v>44</v>
      </c>
      <c r="Q909" s="12"/>
      <c r="R909" s="9" t="s">
        <v>90</v>
      </c>
      <c r="S909" s="9" t="s">
        <v>47</v>
      </c>
      <c r="T909" s="9" t="s">
        <v>44</v>
      </c>
      <c r="U909" s="9" t="s">
        <v>44</v>
      </c>
      <c r="V909" s="11">
        <v>60.93</v>
      </c>
      <c r="W909" s="11">
        <v>1.0</v>
      </c>
      <c r="X909" s="9" t="s">
        <v>48</v>
      </c>
      <c r="Y909" s="9" t="s">
        <v>1112</v>
      </c>
      <c r="Z909" s="12"/>
      <c r="AA909" s="9">
        <v>1306306.0</v>
      </c>
      <c r="AB909" s="12"/>
      <c r="AC909" s="9" t="s">
        <v>50</v>
      </c>
    </row>
    <row r="910">
      <c r="A910" s="9" t="s">
        <v>33</v>
      </c>
      <c r="B910" s="11">
        <v>6.0</v>
      </c>
      <c r="C910" s="9" t="s">
        <v>43</v>
      </c>
      <c r="D910" s="9" t="s">
        <v>55</v>
      </c>
      <c r="E910" s="9" t="s">
        <v>56</v>
      </c>
      <c r="F910" s="9" t="s">
        <v>45</v>
      </c>
      <c r="G910" s="9" t="s">
        <v>46</v>
      </c>
      <c r="H910" s="9" t="s">
        <v>140</v>
      </c>
      <c r="I910" s="11">
        <v>8177493.0</v>
      </c>
      <c r="J910" s="11">
        <v>2.66840317E8</v>
      </c>
      <c r="K910" s="13">
        <v>46304.0</v>
      </c>
      <c r="L910" s="14">
        <v>46321.0</v>
      </c>
      <c r="M910" s="12"/>
      <c r="N910" s="9">
        <v>25.0</v>
      </c>
      <c r="O910" s="11">
        <v>10.0</v>
      </c>
      <c r="P910" s="9" t="s">
        <v>44</v>
      </c>
      <c r="Q910" s="12"/>
      <c r="R910" s="9" t="s">
        <v>90</v>
      </c>
      <c r="S910" s="9" t="s">
        <v>47</v>
      </c>
      <c r="T910" s="9" t="s">
        <v>44</v>
      </c>
      <c r="U910" s="9" t="s">
        <v>44</v>
      </c>
      <c r="V910" s="11">
        <v>60.04</v>
      </c>
      <c r="W910" s="11">
        <v>1.0</v>
      </c>
      <c r="X910" s="9" t="s">
        <v>48</v>
      </c>
      <c r="Y910" s="9" t="s">
        <v>1113</v>
      </c>
      <c r="Z910" s="12"/>
      <c r="AA910" s="9">
        <v>1306255.0</v>
      </c>
      <c r="AB910" s="12"/>
      <c r="AC910" s="9" t="s">
        <v>50</v>
      </c>
    </row>
    <row r="911">
      <c r="A911" s="9" t="s">
        <v>33</v>
      </c>
      <c r="B911" s="11">
        <v>6.0</v>
      </c>
      <c r="C911" s="9" t="s">
        <v>43</v>
      </c>
      <c r="D911" s="9" t="s">
        <v>55</v>
      </c>
      <c r="E911" s="9" t="s">
        <v>56</v>
      </c>
      <c r="F911" s="9" t="s">
        <v>45</v>
      </c>
      <c r="G911" s="9" t="s">
        <v>46</v>
      </c>
      <c r="H911" s="9" t="s">
        <v>147</v>
      </c>
      <c r="I911" s="11">
        <v>8177494.0</v>
      </c>
      <c r="J911" s="11">
        <v>2.66840318E8</v>
      </c>
      <c r="K911" s="13">
        <v>46304.0</v>
      </c>
      <c r="L911" s="14">
        <v>46318.0</v>
      </c>
      <c r="M911" s="12"/>
      <c r="N911" s="9">
        <v>101.0</v>
      </c>
      <c r="O911" s="11">
        <v>9.0</v>
      </c>
      <c r="P911" s="9" t="s">
        <v>44</v>
      </c>
      <c r="Q911" s="12"/>
      <c r="R911" s="9" t="s">
        <v>90</v>
      </c>
      <c r="S911" s="9" t="s">
        <v>47</v>
      </c>
      <c r="T911" s="9" t="s">
        <v>44</v>
      </c>
      <c r="U911" s="9" t="s">
        <v>44</v>
      </c>
      <c r="V911" s="11">
        <v>67.68</v>
      </c>
      <c r="W911" s="11">
        <v>1.0</v>
      </c>
      <c r="X911" s="9" t="s">
        <v>48</v>
      </c>
      <c r="Y911" s="9" t="s">
        <v>1114</v>
      </c>
      <c r="Z911" s="12"/>
      <c r="AA911" s="9">
        <v>1306256.0</v>
      </c>
      <c r="AB911" s="12"/>
      <c r="AC911" s="9" t="s">
        <v>50</v>
      </c>
    </row>
    <row r="912">
      <c r="A912" s="9" t="s">
        <v>33</v>
      </c>
      <c r="B912" s="11">
        <v>6.0</v>
      </c>
      <c r="C912" s="9" t="s">
        <v>43</v>
      </c>
      <c r="D912" s="9" t="s">
        <v>55</v>
      </c>
      <c r="E912" s="9" t="s">
        <v>56</v>
      </c>
      <c r="F912" s="9" t="s">
        <v>45</v>
      </c>
      <c r="G912" s="9" t="s">
        <v>46</v>
      </c>
      <c r="H912" s="9" t="s">
        <v>147</v>
      </c>
      <c r="I912" s="11">
        <v>8177495.0</v>
      </c>
      <c r="J912" s="11">
        <v>2.66840319E8</v>
      </c>
      <c r="K912" s="13">
        <v>46304.0</v>
      </c>
      <c r="L912" s="14">
        <v>46322.0</v>
      </c>
      <c r="M912" s="12"/>
      <c r="N912" s="9">
        <v>500.0</v>
      </c>
      <c r="O912" s="11">
        <v>11.0</v>
      </c>
      <c r="P912" s="9" t="s">
        <v>44</v>
      </c>
      <c r="Q912" s="12"/>
      <c r="R912" s="9" t="s">
        <v>90</v>
      </c>
      <c r="S912" s="9" t="s">
        <v>47</v>
      </c>
      <c r="T912" s="9" t="s">
        <v>44</v>
      </c>
      <c r="U912" s="9" t="s">
        <v>44</v>
      </c>
      <c r="V912" s="11">
        <v>67.68</v>
      </c>
      <c r="W912" s="11">
        <v>1.0</v>
      </c>
      <c r="X912" s="9" t="s">
        <v>48</v>
      </c>
      <c r="Y912" s="9" t="s">
        <v>1115</v>
      </c>
      <c r="Z912" s="12"/>
      <c r="AA912" s="9">
        <v>1306413.0</v>
      </c>
      <c r="AB912" s="12"/>
      <c r="AC912" s="9" t="s">
        <v>50</v>
      </c>
    </row>
    <row r="913">
      <c r="A913" s="9" t="s">
        <v>33</v>
      </c>
      <c r="B913" s="11">
        <v>6.0</v>
      </c>
      <c r="C913" s="9" t="s">
        <v>43</v>
      </c>
      <c r="D913" s="9" t="s">
        <v>55</v>
      </c>
      <c r="E913" s="9" t="s">
        <v>56</v>
      </c>
      <c r="F913" s="9" t="s">
        <v>45</v>
      </c>
      <c r="G913" s="9" t="s">
        <v>46</v>
      </c>
      <c r="H913" s="9" t="s">
        <v>573</v>
      </c>
      <c r="I913" s="11">
        <v>8177566.0</v>
      </c>
      <c r="J913" s="11">
        <v>2.6684032E8</v>
      </c>
      <c r="K913" s="13">
        <v>46304.0</v>
      </c>
      <c r="L913" s="14">
        <v>46321.0</v>
      </c>
      <c r="M913" s="12"/>
      <c r="N913" s="9">
        <v>116.0</v>
      </c>
      <c r="O913" s="11">
        <v>10.0</v>
      </c>
      <c r="P913" s="9" t="s">
        <v>44</v>
      </c>
      <c r="Q913" s="12"/>
      <c r="R913" s="9" t="s">
        <v>90</v>
      </c>
      <c r="S913" s="9" t="s">
        <v>47</v>
      </c>
      <c r="T913" s="9" t="s">
        <v>44</v>
      </c>
      <c r="U913" s="9" t="s">
        <v>44</v>
      </c>
      <c r="V913" s="11">
        <v>67.68</v>
      </c>
      <c r="W913" s="11">
        <v>1.0</v>
      </c>
      <c r="X913" s="9" t="s">
        <v>48</v>
      </c>
      <c r="Y913" s="9" t="s">
        <v>1116</v>
      </c>
      <c r="Z913" s="12"/>
      <c r="AA913" s="9">
        <v>1306237.0</v>
      </c>
      <c r="AB913" s="12"/>
      <c r="AC913" s="9" t="s">
        <v>50</v>
      </c>
    </row>
    <row r="914">
      <c r="A914" s="9" t="s">
        <v>33</v>
      </c>
      <c r="B914" s="11">
        <v>6.0</v>
      </c>
      <c r="C914" s="9" t="s">
        <v>43</v>
      </c>
      <c r="D914" s="9" t="s">
        <v>55</v>
      </c>
      <c r="E914" s="9" t="s">
        <v>56</v>
      </c>
      <c r="F914" s="9" t="s">
        <v>45</v>
      </c>
      <c r="G914" s="9" t="s">
        <v>46</v>
      </c>
      <c r="H914" s="9" t="s">
        <v>145</v>
      </c>
      <c r="I914" s="11">
        <v>8177496.0</v>
      </c>
      <c r="J914" s="11">
        <v>2.66840321E8</v>
      </c>
      <c r="K914" s="13">
        <v>46304.0</v>
      </c>
      <c r="L914" s="14">
        <v>46317.0</v>
      </c>
      <c r="M914" s="12"/>
      <c r="N914" s="9">
        <v>110.0</v>
      </c>
      <c r="O914" s="11">
        <v>8.0</v>
      </c>
      <c r="P914" s="9" t="s">
        <v>44</v>
      </c>
      <c r="Q914" s="12"/>
      <c r="R914" s="9" t="s">
        <v>90</v>
      </c>
      <c r="S914" s="9" t="s">
        <v>47</v>
      </c>
      <c r="T914" s="9" t="s">
        <v>44</v>
      </c>
      <c r="U914" s="9" t="s">
        <v>44</v>
      </c>
      <c r="V914" s="11">
        <v>60.04</v>
      </c>
      <c r="W914" s="11">
        <v>1.0</v>
      </c>
      <c r="X914" s="9" t="s">
        <v>48</v>
      </c>
      <c r="Y914" s="9" t="s">
        <v>1117</v>
      </c>
      <c r="Z914" s="12"/>
      <c r="AA914" s="9">
        <v>1306327.0</v>
      </c>
      <c r="AB914" s="12"/>
      <c r="AC914" s="9" t="s">
        <v>50</v>
      </c>
    </row>
    <row r="915">
      <c r="A915" s="9" t="s">
        <v>33</v>
      </c>
      <c r="B915" s="11">
        <v>6.0</v>
      </c>
      <c r="C915" s="9" t="s">
        <v>43</v>
      </c>
      <c r="D915" s="9" t="s">
        <v>55</v>
      </c>
      <c r="E915" s="9" t="s">
        <v>56</v>
      </c>
      <c r="F915" s="9" t="s">
        <v>45</v>
      </c>
      <c r="G915" s="9" t="s">
        <v>46</v>
      </c>
      <c r="H915" s="9" t="s">
        <v>145</v>
      </c>
      <c r="I915" s="11">
        <v>8177567.0</v>
      </c>
      <c r="J915" s="11">
        <v>2.66840322E8</v>
      </c>
      <c r="K915" s="13">
        <v>46304.0</v>
      </c>
      <c r="L915" s="14">
        <v>46317.0</v>
      </c>
      <c r="M915" s="12"/>
      <c r="N915" s="9">
        <v>102.0</v>
      </c>
      <c r="O915" s="11">
        <v>8.0</v>
      </c>
      <c r="P915" s="9" t="s">
        <v>44</v>
      </c>
      <c r="Q915" s="12"/>
      <c r="R915" s="9" t="s">
        <v>90</v>
      </c>
      <c r="S915" s="9" t="s">
        <v>47</v>
      </c>
      <c r="T915" s="9" t="s">
        <v>44</v>
      </c>
      <c r="U915" s="9" t="s">
        <v>44</v>
      </c>
      <c r="V915" s="11">
        <v>67.68</v>
      </c>
      <c r="W915" s="11">
        <v>2.0</v>
      </c>
      <c r="X915" s="9" t="s">
        <v>48</v>
      </c>
      <c r="Y915" s="9" t="s">
        <v>1118</v>
      </c>
      <c r="Z915" s="12"/>
      <c r="AA915" s="9">
        <v>1306363.0</v>
      </c>
      <c r="AB915" s="12"/>
      <c r="AC915" s="9" t="s">
        <v>50</v>
      </c>
    </row>
    <row r="916">
      <c r="A916" s="9" t="s">
        <v>33</v>
      </c>
      <c r="B916" s="11">
        <v>6.0</v>
      </c>
      <c r="C916" s="9" t="s">
        <v>43</v>
      </c>
      <c r="D916" s="9" t="s">
        <v>55</v>
      </c>
      <c r="E916" s="9" t="s">
        <v>56</v>
      </c>
      <c r="F916" s="9" t="s">
        <v>45</v>
      </c>
      <c r="G916" s="9" t="s">
        <v>46</v>
      </c>
      <c r="H916" s="9" t="s">
        <v>145</v>
      </c>
      <c r="I916" s="11">
        <v>8177548.0</v>
      </c>
      <c r="J916" s="11">
        <v>2.66840323E8</v>
      </c>
      <c r="K916" s="13">
        <v>46304.0</v>
      </c>
      <c r="L916" s="14">
        <v>46317.0</v>
      </c>
      <c r="M916" s="12"/>
      <c r="N916" s="9">
        <v>109.0</v>
      </c>
      <c r="O916" s="11">
        <v>8.0</v>
      </c>
      <c r="P916" s="9" t="s">
        <v>44</v>
      </c>
      <c r="Q916" s="12"/>
      <c r="R916" s="9" t="s">
        <v>90</v>
      </c>
      <c r="S916" s="9" t="s">
        <v>47</v>
      </c>
      <c r="T916" s="9" t="s">
        <v>44</v>
      </c>
      <c r="U916" s="9" t="s">
        <v>44</v>
      </c>
      <c r="V916" s="11">
        <v>67.68</v>
      </c>
      <c r="W916" s="11">
        <v>1.0</v>
      </c>
      <c r="X916" s="9" t="s">
        <v>48</v>
      </c>
      <c r="Y916" s="9" t="s">
        <v>1119</v>
      </c>
      <c r="Z916" s="12"/>
      <c r="AA916" s="9">
        <v>1305802.0</v>
      </c>
      <c r="AB916" s="12"/>
      <c r="AC916" s="9" t="s">
        <v>50</v>
      </c>
    </row>
    <row r="917">
      <c r="A917" s="9" t="s">
        <v>33</v>
      </c>
      <c r="B917" s="11">
        <v>6.0</v>
      </c>
      <c r="C917" s="9" t="s">
        <v>43</v>
      </c>
      <c r="D917" s="9" t="s">
        <v>55</v>
      </c>
      <c r="E917" s="9" t="s">
        <v>56</v>
      </c>
      <c r="F917" s="9" t="s">
        <v>45</v>
      </c>
      <c r="G917" s="9" t="s">
        <v>46</v>
      </c>
      <c r="H917" s="9" t="s">
        <v>326</v>
      </c>
      <c r="I917" s="11">
        <v>8177549.0</v>
      </c>
      <c r="J917" s="11">
        <v>2.66840324E8</v>
      </c>
      <c r="K917" s="13">
        <v>46304.0</v>
      </c>
      <c r="L917" s="14">
        <v>46316.0</v>
      </c>
      <c r="M917" s="12"/>
      <c r="N917" s="9">
        <v>930.0</v>
      </c>
      <c r="O917" s="11">
        <v>7.0</v>
      </c>
      <c r="P917" s="9" t="s">
        <v>44</v>
      </c>
      <c r="Q917" s="12"/>
      <c r="R917" s="12"/>
      <c r="S917" s="9" t="s">
        <v>47</v>
      </c>
      <c r="T917" s="9" t="s">
        <v>44</v>
      </c>
      <c r="U917" s="9" t="s">
        <v>44</v>
      </c>
      <c r="V917" s="11">
        <v>45.49</v>
      </c>
      <c r="W917" s="11">
        <v>1.0</v>
      </c>
      <c r="X917" s="9" t="s">
        <v>48</v>
      </c>
      <c r="Y917" s="9" t="s">
        <v>1120</v>
      </c>
      <c r="Z917" s="12"/>
      <c r="AA917" s="9">
        <v>1305824.0</v>
      </c>
      <c r="AB917" s="12"/>
      <c r="AC917" s="9" t="s">
        <v>50</v>
      </c>
    </row>
    <row r="918">
      <c r="A918" s="9" t="s">
        <v>33</v>
      </c>
      <c r="B918" s="11">
        <v>6.0</v>
      </c>
      <c r="C918" s="9" t="s">
        <v>43</v>
      </c>
      <c r="D918" s="9" t="s">
        <v>55</v>
      </c>
      <c r="E918" s="9" t="s">
        <v>56</v>
      </c>
      <c r="F918" s="9" t="s">
        <v>45</v>
      </c>
      <c r="G918" s="9" t="s">
        <v>46</v>
      </c>
      <c r="H918" s="9" t="s">
        <v>575</v>
      </c>
      <c r="I918" s="11">
        <v>8177497.0</v>
      </c>
      <c r="J918" s="11">
        <v>2.66840325E8</v>
      </c>
      <c r="K918" s="13">
        <v>46304.0</v>
      </c>
      <c r="L918" s="14">
        <v>46318.0</v>
      </c>
      <c r="M918" s="12"/>
      <c r="N918" s="9">
        <v>1.0</v>
      </c>
      <c r="O918" s="11">
        <v>9.0</v>
      </c>
      <c r="P918" s="9" t="s">
        <v>44</v>
      </c>
      <c r="Q918" s="12"/>
      <c r="R918" s="9" t="s">
        <v>90</v>
      </c>
      <c r="S918" s="9" t="s">
        <v>47</v>
      </c>
      <c r="T918" s="9" t="s">
        <v>44</v>
      </c>
      <c r="U918" s="9" t="s">
        <v>44</v>
      </c>
      <c r="V918" s="11">
        <v>60.04</v>
      </c>
      <c r="W918" s="11">
        <v>1.0</v>
      </c>
      <c r="X918" s="9" t="s">
        <v>48</v>
      </c>
      <c r="Y918" s="9" t="s">
        <v>1121</v>
      </c>
      <c r="Z918" s="12"/>
      <c r="AA918" s="9">
        <v>1306416.0</v>
      </c>
      <c r="AB918" s="12"/>
      <c r="AC918" s="9" t="s">
        <v>50</v>
      </c>
    </row>
    <row r="919">
      <c r="A919" s="9" t="s">
        <v>33</v>
      </c>
      <c r="B919" s="11">
        <v>6.0</v>
      </c>
      <c r="C919" s="9" t="s">
        <v>43</v>
      </c>
      <c r="D919" s="9" t="s">
        <v>55</v>
      </c>
      <c r="E919" s="9" t="s">
        <v>56</v>
      </c>
      <c r="F919" s="9" t="s">
        <v>45</v>
      </c>
      <c r="G919" s="9" t="s">
        <v>46</v>
      </c>
      <c r="H919" s="9" t="s">
        <v>577</v>
      </c>
      <c r="I919" s="11">
        <v>8177498.0</v>
      </c>
      <c r="J919" s="11">
        <v>2.66840326E8</v>
      </c>
      <c r="K919" s="13">
        <v>46304.0</v>
      </c>
      <c r="L919" s="14">
        <v>46321.0</v>
      </c>
      <c r="M919" s="12"/>
      <c r="N919" s="9">
        <v>107.0</v>
      </c>
      <c r="O919" s="11">
        <v>10.0</v>
      </c>
      <c r="P919" s="9" t="s">
        <v>44</v>
      </c>
      <c r="Q919" s="12"/>
      <c r="R919" s="12"/>
      <c r="S919" s="9" t="s">
        <v>47</v>
      </c>
      <c r="T919" s="9" t="s">
        <v>44</v>
      </c>
      <c r="U919" s="9" t="s">
        <v>44</v>
      </c>
      <c r="V919" s="11">
        <v>67.68</v>
      </c>
      <c r="W919" s="11">
        <v>1.0</v>
      </c>
      <c r="X919" s="9" t="s">
        <v>48</v>
      </c>
      <c r="Y919" s="9" t="s">
        <v>1122</v>
      </c>
      <c r="Z919" s="12"/>
      <c r="AA919" s="9">
        <v>1306276.0</v>
      </c>
      <c r="AB919" s="12"/>
      <c r="AC919" s="9" t="s">
        <v>50</v>
      </c>
    </row>
    <row r="920">
      <c r="A920" s="9" t="s">
        <v>33</v>
      </c>
      <c r="B920" s="11">
        <v>6.0</v>
      </c>
      <c r="C920" s="9" t="s">
        <v>43</v>
      </c>
      <c r="D920" s="9" t="s">
        <v>55</v>
      </c>
      <c r="E920" s="9" t="s">
        <v>56</v>
      </c>
      <c r="F920" s="9" t="s">
        <v>45</v>
      </c>
      <c r="G920" s="9" t="s">
        <v>46</v>
      </c>
      <c r="H920" s="9" t="s">
        <v>140</v>
      </c>
      <c r="I920" s="11">
        <v>8177568.0</v>
      </c>
      <c r="J920" s="11">
        <v>2.66840327E8</v>
      </c>
      <c r="K920" s="13">
        <v>46304.0</v>
      </c>
      <c r="L920" s="14">
        <v>46322.0</v>
      </c>
      <c r="M920" s="12"/>
      <c r="N920" s="9">
        <v>101.0</v>
      </c>
      <c r="O920" s="11">
        <v>11.0</v>
      </c>
      <c r="P920" s="9" t="s">
        <v>44</v>
      </c>
      <c r="Q920" s="12"/>
      <c r="R920" s="9" t="s">
        <v>90</v>
      </c>
      <c r="S920" s="9" t="s">
        <v>47</v>
      </c>
      <c r="T920" s="9" t="s">
        <v>44</v>
      </c>
      <c r="U920" s="9" t="s">
        <v>44</v>
      </c>
      <c r="V920" s="11">
        <v>67.68</v>
      </c>
      <c r="W920" s="11">
        <v>1.0</v>
      </c>
      <c r="X920" s="9" t="s">
        <v>48</v>
      </c>
      <c r="Y920" s="9" t="s">
        <v>1123</v>
      </c>
      <c r="Z920" s="12"/>
      <c r="AA920" s="9">
        <v>1306455.0</v>
      </c>
      <c r="AB920" s="12"/>
      <c r="AC920" s="9" t="s">
        <v>50</v>
      </c>
    </row>
    <row r="921">
      <c r="A921" s="9" t="s">
        <v>33</v>
      </c>
      <c r="B921" s="11">
        <v>6.0</v>
      </c>
      <c r="C921" s="9" t="s">
        <v>43</v>
      </c>
      <c r="D921" s="9" t="s">
        <v>55</v>
      </c>
      <c r="E921" s="9" t="s">
        <v>56</v>
      </c>
      <c r="F921" s="9" t="s">
        <v>45</v>
      </c>
      <c r="G921" s="9" t="s">
        <v>46</v>
      </c>
      <c r="H921" s="9" t="s">
        <v>580</v>
      </c>
      <c r="I921" s="11">
        <v>8177597.0</v>
      </c>
      <c r="J921" s="11">
        <v>2.66840328E8</v>
      </c>
      <c r="K921" s="13">
        <v>46304.0</v>
      </c>
      <c r="L921" s="14">
        <v>46318.0</v>
      </c>
      <c r="M921" s="12"/>
      <c r="N921" s="9">
        <v>1.0</v>
      </c>
      <c r="O921" s="11">
        <v>9.0</v>
      </c>
      <c r="P921" s="9" t="s">
        <v>44</v>
      </c>
      <c r="Q921" s="12"/>
      <c r="R921" s="9" t="s">
        <v>90</v>
      </c>
      <c r="S921" s="9" t="s">
        <v>47</v>
      </c>
      <c r="T921" s="9" t="s">
        <v>44</v>
      </c>
      <c r="U921" s="9" t="s">
        <v>44</v>
      </c>
      <c r="V921" s="11">
        <v>60.04</v>
      </c>
      <c r="W921" s="11">
        <v>2.0</v>
      </c>
      <c r="X921" s="9" t="s">
        <v>48</v>
      </c>
      <c r="Y921" s="9" t="s">
        <v>1124</v>
      </c>
      <c r="Z921" s="12"/>
      <c r="AA921" s="9">
        <v>1303832.0</v>
      </c>
      <c r="AB921" s="12"/>
      <c r="AC921" s="9" t="s">
        <v>50</v>
      </c>
    </row>
    <row r="922">
      <c r="A922" s="9" t="s">
        <v>33</v>
      </c>
      <c r="B922" s="11">
        <v>6.0</v>
      </c>
      <c r="C922" s="9" t="s">
        <v>43</v>
      </c>
      <c r="D922" s="9" t="s">
        <v>55</v>
      </c>
      <c r="E922" s="9" t="s">
        <v>56</v>
      </c>
      <c r="F922" s="9" t="s">
        <v>45</v>
      </c>
      <c r="G922" s="9" t="s">
        <v>46</v>
      </c>
      <c r="H922" s="9" t="s">
        <v>577</v>
      </c>
      <c r="I922" s="11">
        <v>8177550.0</v>
      </c>
      <c r="J922" s="11">
        <v>2.66840329E8</v>
      </c>
      <c r="K922" s="13">
        <v>46304.0</v>
      </c>
      <c r="L922" s="14">
        <v>46322.0</v>
      </c>
      <c r="M922" s="12"/>
      <c r="N922" s="9">
        <v>106.0</v>
      </c>
      <c r="O922" s="11">
        <v>11.0</v>
      </c>
      <c r="P922" s="9" t="s">
        <v>44</v>
      </c>
      <c r="Q922" s="12"/>
      <c r="R922" s="9" t="s">
        <v>52</v>
      </c>
      <c r="S922" s="9" t="s">
        <v>47</v>
      </c>
      <c r="T922" s="9" t="s">
        <v>44</v>
      </c>
      <c r="U922" s="9" t="s">
        <v>44</v>
      </c>
      <c r="V922" s="11">
        <v>67.68</v>
      </c>
      <c r="W922" s="11">
        <v>1.0</v>
      </c>
      <c r="X922" s="9" t="s">
        <v>48</v>
      </c>
      <c r="Y922" s="9" t="s">
        <v>1125</v>
      </c>
      <c r="Z922" s="12"/>
      <c r="AA922" s="9">
        <v>1306252.0</v>
      </c>
      <c r="AB922" s="12"/>
      <c r="AC922" s="9" t="s">
        <v>50</v>
      </c>
    </row>
    <row r="923">
      <c r="A923" s="9" t="s">
        <v>33</v>
      </c>
      <c r="B923" s="11">
        <v>6.0</v>
      </c>
      <c r="C923" s="9" t="s">
        <v>43</v>
      </c>
      <c r="D923" s="9" t="s">
        <v>55</v>
      </c>
      <c r="E923" s="9" t="s">
        <v>56</v>
      </c>
      <c r="F923" s="9" t="s">
        <v>45</v>
      </c>
      <c r="G923" s="9" t="s">
        <v>46</v>
      </c>
      <c r="H923" s="9" t="s">
        <v>577</v>
      </c>
      <c r="I923" s="11">
        <v>8177551.0</v>
      </c>
      <c r="J923" s="11">
        <v>2.6684033E8</v>
      </c>
      <c r="K923" s="13">
        <v>46304.0</v>
      </c>
      <c r="L923" s="14">
        <v>46322.0</v>
      </c>
      <c r="M923" s="12"/>
      <c r="N923" s="9">
        <v>110.0</v>
      </c>
      <c r="O923" s="11">
        <v>11.0</v>
      </c>
      <c r="P923" s="9" t="s">
        <v>44</v>
      </c>
      <c r="Q923" s="12"/>
      <c r="R923" s="12"/>
      <c r="S923" s="9" t="s">
        <v>47</v>
      </c>
      <c r="T923" s="9" t="s">
        <v>44</v>
      </c>
      <c r="U923" s="9" t="s">
        <v>44</v>
      </c>
      <c r="V923" s="11">
        <v>67.68</v>
      </c>
      <c r="W923" s="11">
        <v>1.0</v>
      </c>
      <c r="X923" s="9" t="s">
        <v>48</v>
      </c>
      <c r="Y923" s="9" t="s">
        <v>1126</v>
      </c>
      <c r="Z923" s="12"/>
      <c r="AA923" s="9">
        <v>1306227.0</v>
      </c>
      <c r="AB923" s="12"/>
      <c r="AC923" s="9" t="s">
        <v>50</v>
      </c>
    </row>
    <row r="924">
      <c r="A924" s="9" t="s">
        <v>33</v>
      </c>
      <c r="B924" s="11">
        <v>6.0</v>
      </c>
      <c r="C924" s="9" t="s">
        <v>43</v>
      </c>
      <c r="D924" s="9" t="s">
        <v>55</v>
      </c>
      <c r="E924" s="9" t="s">
        <v>56</v>
      </c>
      <c r="F924" s="9" t="s">
        <v>45</v>
      </c>
      <c r="G924" s="9" t="s">
        <v>46</v>
      </c>
      <c r="H924" s="9" t="s">
        <v>591</v>
      </c>
      <c r="I924" s="11">
        <v>8177552.0</v>
      </c>
      <c r="J924" s="11">
        <v>2.66840331E8</v>
      </c>
      <c r="K924" s="13">
        <v>46304.0</v>
      </c>
      <c r="L924" s="14">
        <v>46318.0</v>
      </c>
      <c r="M924" s="12"/>
      <c r="N924" s="9">
        <v>1.0</v>
      </c>
      <c r="O924" s="11">
        <v>9.0</v>
      </c>
      <c r="P924" s="9" t="s">
        <v>44</v>
      </c>
      <c r="Q924" s="12"/>
      <c r="R924" s="9" t="s">
        <v>90</v>
      </c>
      <c r="S924" s="9" t="s">
        <v>47</v>
      </c>
      <c r="T924" s="9" t="s">
        <v>44</v>
      </c>
      <c r="U924" s="9" t="s">
        <v>44</v>
      </c>
      <c r="V924" s="11">
        <v>60.04</v>
      </c>
      <c r="W924" s="11">
        <v>1.0</v>
      </c>
      <c r="X924" s="9" t="s">
        <v>48</v>
      </c>
      <c r="Y924" s="9" t="s">
        <v>1127</v>
      </c>
      <c r="Z924" s="12"/>
      <c r="AA924" s="9">
        <v>1306215.0</v>
      </c>
      <c r="AB924" s="12"/>
      <c r="AC924" s="9" t="s">
        <v>50</v>
      </c>
    </row>
    <row r="925">
      <c r="A925" s="9" t="s">
        <v>33</v>
      </c>
      <c r="B925" s="11">
        <v>6.0</v>
      </c>
      <c r="C925" s="9" t="s">
        <v>43</v>
      </c>
      <c r="D925" s="9" t="s">
        <v>55</v>
      </c>
      <c r="E925" s="9" t="s">
        <v>56</v>
      </c>
      <c r="F925" s="9" t="s">
        <v>45</v>
      </c>
      <c r="G925" s="9" t="s">
        <v>46</v>
      </c>
      <c r="H925" s="9" t="s">
        <v>591</v>
      </c>
      <c r="I925" s="11">
        <v>8177569.0</v>
      </c>
      <c r="J925" s="11">
        <v>2.66840332E8</v>
      </c>
      <c r="K925" s="13">
        <v>46304.0</v>
      </c>
      <c r="L925" s="14">
        <v>46321.0</v>
      </c>
      <c r="M925" s="12"/>
      <c r="N925" s="9">
        <v>104.0</v>
      </c>
      <c r="O925" s="11">
        <v>10.0</v>
      </c>
      <c r="P925" s="9" t="s">
        <v>44</v>
      </c>
      <c r="Q925" s="12"/>
      <c r="R925" s="9" t="s">
        <v>90</v>
      </c>
      <c r="S925" s="9" t="s">
        <v>47</v>
      </c>
      <c r="T925" s="9" t="s">
        <v>44</v>
      </c>
      <c r="U925" s="9" t="s">
        <v>44</v>
      </c>
      <c r="V925" s="11">
        <v>67.68</v>
      </c>
      <c r="W925" s="11">
        <v>1.0</v>
      </c>
      <c r="X925" s="9" t="s">
        <v>48</v>
      </c>
      <c r="Y925" s="9" t="s">
        <v>598</v>
      </c>
      <c r="Z925" s="12"/>
      <c r="AA925" s="9">
        <v>1306157.0</v>
      </c>
      <c r="AB925" s="12"/>
      <c r="AC925" s="9" t="s">
        <v>50</v>
      </c>
    </row>
    <row r="926">
      <c r="A926" s="9" t="s">
        <v>33</v>
      </c>
      <c r="B926" s="11">
        <v>6.0</v>
      </c>
      <c r="C926" s="9" t="s">
        <v>43</v>
      </c>
      <c r="D926" s="9" t="s">
        <v>55</v>
      </c>
      <c r="E926" s="9" t="s">
        <v>56</v>
      </c>
      <c r="F926" s="9" t="s">
        <v>45</v>
      </c>
      <c r="G926" s="9" t="s">
        <v>46</v>
      </c>
      <c r="H926" s="9" t="s">
        <v>594</v>
      </c>
      <c r="I926" s="11">
        <v>8177553.0</v>
      </c>
      <c r="J926" s="11">
        <v>2.66840334E8</v>
      </c>
      <c r="K926" s="13">
        <v>46304.0</v>
      </c>
      <c r="L926" s="14">
        <v>46325.0</v>
      </c>
      <c r="M926" s="12"/>
      <c r="N926" s="9">
        <v>115.0</v>
      </c>
      <c r="O926" s="11">
        <v>14.0</v>
      </c>
      <c r="P926" s="9" t="s">
        <v>44</v>
      </c>
      <c r="Q926" s="12"/>
      <c r="R926" s="9" t="s">
        <v>90</v>
      </c>
      <c r="S926" s="9" t="s">
        <v>47</v>
      </c>
      <c r="T926" s="9" t="s">
        <v>44</v>
      </c>
      <c r="U926" s="9" t="s">
        <v>44</v>
      </c>
      <c r="V926" s="11">
        <v>67.68</v>
      </c>
      <c r="W926" s="11">
        <v>1.0</v>
      </c>
      <c r="X926" s="9" t="s">
        <v>48</v>
      </c>
      <c r="Y926" s="9" t="s">
        <v>1128</v>
      </c>
      <c r="Z926" s="12"/>
      <c r="AA926" s="9">
        <v>1306388.0</v>
      </c>
      <c r="AB926" s="12"/>
      <c r="AC926" s="9" t="s">
        <v>50</v>
      </c>
    </row>
    <row r="927">
      <c r="A927" s="9" t="s">
        <v>33</v>
      </c>
      <c r="B927" s="11">
        <v>6.0</v>
      </c>
      <c r="C927" s="9" t="s">
        <v>43</v>
      </c>
      <c r="D927" s="9" t="s">
        <v>55</v>
      </c>
      <c r="E927" s="9" t="s">
        <v>56</v>
      </c>
      <c r="F927" s="9" t="s">
        <v>45</v>
      </c>
      <c r="G927" s="9" t="s">
        <v>46</v>
      </c>
      <c r="H927" s="9" t="s">
        <v>594</v>
      </c>
      <c r="I927" s="11">
        <v>8177570.0</v>
      </c>
      <c r="J927" s="11">
        <v>2.66840335E8</v>
      </c>
      <c r="K927" s="13">
        <v>46304.0</v>
      </c>
      <c r="L927" s="14">
        <v>46324.0</v>
      </c>
      <c r="M927" s="12"/>
      <c r="N927" s="9">
        <v>102.0</v>
      </c>
      <c r="O927" s="11">
        <v>13.0</v>
      </c>
      <c r="P927" s="9" t="s">
        <v>44</v>
      </c>
      <c r="Q927" s="12"/>
      <c r="R927" s="9" t="s">
        <v>90</v>
      </c>
      <c r="S927" s="9" t="s">
        <v>47</v>
      </c>
      <c r="T927" s="9" t="s">
        <v>44</v>
      </c>
      <c r="U927" s="9" t="s">
        <v>44</v>
      </c>
      <c r="V927" s="11">
        <v>67.68</v>
      </c>
      <c r="W927" s="11">
        <v>1.0</v>
      </c>
      <c r="X927" s="9" t="s">
        <v>48</v>
      </c>
      <c r="Y927" s="9" t="s">
        <v>1129</v>
      </c>
      <c r="Z927" s="12"/>
      <c r="AA927" s="9">
        <v>1306296.0</v>
      </c>
      <c r="AB927" s="12"/>
      <c r="AC927" s="9" t="s">
        <v>50</v>
      </c>
    </row>
    <row r="928">
      <c r="A928" s="9" t="s">
        <v>33</v>
      </c>
      <c r="B928" s="11">
        <v>6.0</v>
      </c>
      <c r="C928" s="9" t="s">
        <v>43</v>
      </c>
      <c r="D928" s="9" t="s">
        <v>55</v>
      </c>
      <c r="E928" s="9" t="s">
        <v>56</v>
      </c>
      <c r="F928" s="9" t="s">
        <v>45</v>
      </c>
      <c r="G928" s="9" t="s">
        <v>46</v>
      </c>
      <c r="H928" s="9" t="s">
        <v>594</v>
      </c>
      <c r="I928" s="11">
        <v>8177554.0</v>
      </c>
      <c r="J928" s="11">
        <v>2.66840337E8</v>
      </c>
      <c r="K928" s="13">
        <v>46304.0</v>
      </c>
      <c r="L928" s="14">
        <v>46324.0</v>
      </c>
      <c r="M928" s="12"/>
      <c r="N928" s="9">
        <v>103.0</v>
      </c>
      <c r="O928" s="11">
        <v>13.0</v>
      </c>
      <c r="P928" s="9" t="s">
        <v>44</v>
      </c>
      <c r="Q928" s="12"/>
      <c r="R928" s="9" t="s">
        <v>90</v>
      </c>
      <c r="S928" s="9" t="s">
        <v>47</v>
      </c>
      <c r="T928" s="9" t="s">
        <v>44</v>
      </c>
      <c r="U928" s="9" t="s">
        <v>44</v>
      </c>
      <c r="V928" s="11">
        <v>67.68</v>
      </c>
      <c r="W928" s="11">
        <v>1.0</v>
      </c>
      <c r="X928" s="9" t="s">
        <v>48</v>
      </c>
      <c r="Y928" s="9" t="s">
        <v>1130</v>
      </c>
      <c r="Z928" s="12"/>
      <c r="AA928" s="9">
        <v>1306307.0</v>
      </c>
      <c r="AB928" s="12"/>
      <c r="AC928" s="9" t="s">
        <v>50</v>
      </c>
    </row>
    <row r="929">
      <c r="A929" s="9" t="s">
        <v>33</v>
      </c>
      <c r="B929" s="11">
        <v>6.0</v>
      </c>
      <c r="C929" s="9" t="s">
        <v>43</v>
      </c>
      <c r="D929" s="9" t="s">
        <v>44</v>
      </c>
      <c r="E929" s="12"/>
      <c r="F929" s="9" t="s">
        <v>45</v>
      </c>
      <c r="G929" s="9" t="s">
        <v>46</v>
      </c>
      <c r="H929" s="9" t="s">
        <v>68</v>
      </c>
      <c r="I929" s="11">
        <v>0.0</v>
      </c>
      <c r="J929" s="11">
        <v>2.66854912E8</v>
      </c>
      <c r="K929" s="13">
        <v>46304.0</v>
      </c>
      <c r="L929" s="14">
        <v>46314.0</v>
      </c>
      <c r="M929" s="12"/>
      <c r="N929" s="9">
        <v>117.0</v>
      </c>
      <c r="O929" s="11">
        <v>5.0</v>
      </c>
      <c r="P929" s="9" t="s">
        <v>44</v>
      </c>
      <c r="Q929" s="12"/>
      <c r="R929" s="12"/>
      <c r="S929" s="9" t="s">
        <v>47</v>
      </c>
      <c r="T929" s="9" t="s">
        <v>44</v>
      </c>
      <c r="U929" s="9" t="s">
        <v>44</v>
      </c>
      <c r="V929" s="11">
        <v>104.55</v>
      </c>
      <c r="W929" s="11">
        <v>1.0</v>
      </c>
      <c r="X929" s="9" t="s">
        <v>1131</v>
      </c>
      <c r="Y929" s="9" t="s">
        <v>1132</v>
      </c>
      <c r="Z929" s="12"/>
      <c r="AA929" s="9">
        <v>2636.0</v>
      </c>
      <c r="AB929" s="12"/>
      <c r="AC929" s="12"/>
    </row>
    <row r="930">
      <c r="A930" s="9" t="s">
        <v>33</v>
      </c>
      <c r="B930" s="11">
        <v>6.0</v>
      </c>
      <c r="C930" s="9" t="s">
        <v>43</v>
      </c>
      <c r="D930" s="9" t="s">
        <v>44</v>
      </c>
      <c r="E930" s="12"/>
      <c r="F930" s="9" t="s">
        <v>45</v>
      </c>
      <c r="G930" s="9" t="s">
        <v>46</v>
      </c>
      <c r="H930" s="9" t="s">
        <v>222</v>
      </c>
      <c r="I930" s="11">
        <v>0.0</v>
      </c>
      <c r="J930" s="11">
        <v>2.66854914E8</v>
      </c>
      <c r="K930" s="13">
        <v>46304.0</v>
      </c>
      <c r="L930" s="14">
        <v>46314.0</v>
      </c>
      <c r="M930" s="12"/>
      <c r="N930" s="9">
        <v>2350.0</v>
      </c>
      <c r="O930" s="11">
        <v>5.0</v>
      </c>
      <c r="P930" s="9" t="s">
        <v>44</v>
      </c>
      <c r="Q930" s="12"/>
      <c r="R930" s="12"/>
      <c r="S930" s="9" t="s">
        <v>47</v>
      </c>
      <c r="T930" s="9" t="s">
        <v>44</v>
      </c>
      <c r="U930" s="9" t="s">
        <v>44</v>
      </c>
      <c r="V930" s="11">
        <v>124.44</v>
      </c>
      <c r="W930" s="11">
        <v>1.0</v>
      </c>
      <c r="X930" s="9" t="s">
        <v>1131</v>
      </c>
      <c r="Y930" s="9" t="s">
        <v>1133</v>
      </c>
      <c r="Z930" s="12"/>
      <c r="AA930" s="9">
        <v>2634.0</v>
      </c>
      <c r="AB930" s="12"/>
      <c r="AC930" s="12"/>
    </row>
    <row r="931">
      <c r="A931" s="9" t="s">
        <v>33</v>
      </c>
      <c r="B931" s="11">
        <v>6.0</v>
      </c>
      <c r="C931" s="9" t="s">
        <v>43</v>
      </c>
      <c r="D931" s="9" t="s">
        <v>44</v>
      </c>
      <c r="E931" s="12"/>
      <c r="F931" s="9" t="s">
        <v>45</v>
      </c>
      <c r="G931" s="9" t="s">
        <v>46</v>
      </c>
      <c r="H931" s="9" t="s">
        <v>495</v>
      </c>
      <c r="I931" s="11">
        <v>0.0</v>
      </c>
      <c r="J931" s="11">
        <v>2.66854917E8</v>
      </c>
      <c r="K931" s="13">
        <v>46304.0</v>
      </c>
      <c r="L931" s="14">
        <v>46321.0</v>
      </c>
      <c r="M931" s="12"/>
      <c r="N931" s="9">
        <v>503.0</v>
      </c>
      <c r="O931" s="11">
        <v>10.0</v>
      </c>
      <c r="P931" s="9" t="s">
        <v>44</v>
      </c>
      <c r="Q931" s="12"/>
      <c r="R931" s="12"/>
      <c r="S931" s="9" t="s">
        <v>47</v>
      </c>
      <c r="T931" s="9" t="s">
        <v>44</v>
      </c>
      <c r="U931" s="9" t="s">
        <v>44</v>
      </c>
      <c r="V931" s="11">
        <v>178.85</v>
      </c>
      <c r="W931" s="11">
        <v>1.0</v>
      </c>
      <c r="X931" s="9" t="s">
        <v>1131</v>
      </c>
      <c r="Y931" s="9" t="s">
        <v>1134</v>
      </c>
      <c r="Z931" s="12"/>
      <c r="AA931" s="9">
        <v>2635.0</v>
      </c>
      <c r="AB931" s="12"/>
      <c r="AC931" s="12"/>
    </row>
    <row r="932">
      <c r="A932" s="9" t="s">
        <v>33</v>
      </c>
      <c r="B932" s="11">
        <v>6.0</v>
      </c>
      <c r="C932" s="9" t="s">
        <v>43</v>
      </c>
      <c r="D932" s="9" t="s">
        <v>44</v>
      </c>
      <c r="E932" s="12"/>
      <c r="F932" s="9" t="s">
        <v>45</v>
      </c>
      <c r="G932" s="9" t="s">
        <v>46</v>
      </c>
      <c r="H932" s="9" t="s">
        <v>444</v>
      </c>
      <c r="I932" s="11">
        <v>0.0</v>
      </c>
      <c r="J932" s="11">
        <v>2.66854919E8</v>
      </c>
      <c r="K932" s="13">
        <v>46304.0</v>
      </c>
      <c r="L932" s="14">
        <v>46314.0</v>
      </c>
      <c r="M932" s="12"/>
      <c r="N932" s="9">
        <v>21.0</v>
      </c>
      <c r="O932" s="11">
        <v>5.0</v>
      </c>
      <c r="P932" s="9" t="s">
        <v>44</v>
      </c>
      <c r="Q932" s="12"/>
      <c r="R932" s="12"/>
      <c r="S932" s="9" t="s">
        <v>851</v>
      </c>
      <c r="T932" s="9" t="s">
        <v>44</v>
      </c>
      <c r="U932" s="9" t="s">
        <v>44</v>
      </c>
      <c r="V932" s="11">
        <v>675.27</v>
      </c>
      <c r="W932" s="11">
        <v>16.0</v>
      </c>
      <c r="X932" s="9" t="s">
        <v>1131</v>
      </c>
      <c r="Y932" s="9" t="s">
        <v>1135</v>
      </c>
      <c r="Z932" s="12"/>
      <c r="AA932" s="9">
        <v>2613.0</v>
      </c>
      <c r="AB932" s="12"/>
      <c r="AC932" s="12"/>
    </row>
    <row r="933">
      <c r="A933" s="9" t="s">
        <v>33</v>
      </c>
      <c r="B933" s="11">
        <v>6.0</v>
      </c>
      <c r="C933" s="9" t="s">
        <v>43</v>
      </c>
      <c r="D933" s="9" t="s">
        <v>44</v>
      </c>
      <c r="E933" s="12"/>
      <c r="F933" s="9" t="s">
        <v>45</v>
      </c>
      <c r="G933" s="9" t="s">
        <v>46</v>
      </c>
      <c r="H933" s="9" t="s">
        <v>779</v>
      </c>
      <c r="I933" s="11">
        <v>0.0</v>
      </c>
      <c r="J933" s="11">
        <v>2.66854921E8</v>
      </c>
      <c r="K933" s="13">
        <v>46304.0</v>
      </c>
      <c r="L933" s="14">
        <v>46324.0</v>
      </c>
      <c r="M933" s="12"/>
      <c r="N933" s="9">
        <v>100.0</v>
      </c>
      <c r="O933" s="11">
        <v>13.0</v>
      </c>
      <c r="P933" s="9" t="s">
        <v>44</v>
      </c>
      <c r="Q933" s="12"/>
      <c r="R933" s="12"/>
      <c r="S933" s="9" t="s">
        <v>851</v>
      </c>
      <c r="T933" s="9" t="s">
        <v>44</v>
      </c>
      <c r="U933" s="9" t="s">
        <v>44</v>
      </c>
      <c r="V933" s="11">
        <v>509.16</v>
      </c>
      <c r="W933" s="11">
        <v>14.0</v>
      </c>
      <c r="X933" s="9" t="s">
        <v>1131</v>
      </c>
      <c r="Y933" s="9" t="s">
        <v>1135</v>
      </c>
      <c r="Z933" s="12"/>
      <c r="AA933" s="9">
        <v>2564.0</v>
      </c>
      <c r="AB933" s="12"/>
      <c r="AC933" s="12"/>
    </row>
    <row r="934">
      <c r="A934" s="9" t="s">
        <v>33</v>
      </c>
      <c r="B934" s="11">
        <v>6.0</v>
      </c>
      <c r="C934" s="9" t="s">
        <v>43</v>
      </c>
      <c r="D934" s="9" t="s">
        <v>44</v>
      </c>
      <c r="E934" s="12"/>
      <c r="F934" s="9" t="s">
        <v>45</v>
      </c>
      <c r="G934" s="9" t="s">
        <v>46</v>
      </c>
      <c r="H934" s="9" t="s">
        <v>444</v>
      </c>
      <c r="I934" s="11">
        <v>0.0</v>
      </c>
      <c r="J934" s="11">
        <v>2.66854923E8</v>
      </c>
      <c r="K934" s="13">
        <v>46304.0</v>
      </c>
      <c r="L934" s="14">
        <v>46314.0</v>
      </c>
      <c r="M934" s="12"/>
      <c r="N934" s="9">
        <v>20.0</v>
      </c>
      <c r="O934" s="11">
        <v>5.0</v>
      </c>
      <c r="P934" s="9" t="s">
        <v>44</v>
      </c>
      <c r="Q934" s="12"/>
      <c r="R934" s="12"/>
      <c r="S934" s="9" t="s">
        <v>851</v>
      </c>
      <c r="T934" s="9" t="s">
        <v>44</v>
      </c>
      <c r="U934" s="9" t="s">
        <v>44</v>
      </c>
      <c r="V934" s="11">
        <v>1203.12</v>
      </c>
      <c r="W934" s="11">
        <v>25.0</v>
      </c>
      <c r="X934" s="9" t="s">
        <v>1131</v>
      </c>
      <c r="Y934" s="9" t="s">
        <v>1136</v>
      </c>
      <c r="Z934" s="12"/>
      <c r="AA934" s="9">
        <v>2631.0</v>
      </c>
      <c r="AB934" s="12"/>
      <c r="AC934" s="12"/>
    </row>
    <row r="935">
      <c r="A935" s="9" t="s">
        <v>33</v>
      </c>
      <c r="B935" s="11">
        <v>6.0</v>
      </c>
      <c r="C935" s="9" t="s">
        <v>43</v>
      </c>
      <c r="D935" s="9" t="s">
        <v>44</v>
      </c>
      <c r="E935" s="12"/>
      <c r="F935" s="9" t="s">
        <v>45</v>
      </c>
      <c r="G935" s="9" t="s">
        <v>46</v>
      </c>
      <c r="H935" s="9" t="s">
        <v>444</v>
      </c>
      <c r="I935" s="11">
        <v>0.0</v>
      </c>
      <c r="J935" s="11">
        <v>2.66854925E8</v>
      </c>
      <c r="K935" s="13">
        <v>46304.0</v>
      </c>
      <c r="L935" s="14">
        <v>46314.0</v>
      </c>
      <c r="M935" s="12"/>
      <c r="N935" s="9">
        <v>7.0</v>
      </c>
      <c r="O935" s="11">
        <v>5.0</v>
      </c>
      <c r="P935" s="9" t="s">
        <v>44</v>
      </c>
      <c r="Q935" s="12"/>
      <c r="R935" s="12"/>
      <c r="S935" s="9" t="s">
        <v>851</v>
      </c>
      <c r="T935" s="9" t="s">
        <v>44</v>
      </c>
      <c r="U935" s="9" t="s">
        <v>44</v>
      </c>
      <c r="V935" s="11">
        <v>541.82</v>
      </c>
      <c r="W935" s="11">
        <v>22.0</v>
      </c>
      <c r="X935" s="9" t="s">
        <v>1131</v>
      </c>
      <c r="Y935" s="9" t="s">
        <v>1137</v>
      </c>
      <c r="Z935" s="12"/>
      <c r="AA935" s="9">
        <v>2701.0</v>
      </c>
      <c r="AB935" s="12"/>
      <c r="AC935" s="12"/>
    </row>
    <row r="936">
      <c r="A936" s="9" t="s">
        <v>33</v>
      </c>
      <c r="B936" s="11">
        <v>6.0</v>
      </c>
      <c r="C936" s="9" t="s">
        <v>43</v>
      </c>
      <c r="D936" s="9" t="s">
        <v>44</v>
      </c>
      <c r="E936" s="12"/>
      <c r="F936" s="9" t="s">
        <v>45</v>
      </c>
      <c r="G936" s="9" t="s">
        <v>46</v>
      </c>
      <c r="H936" s="9" t="s">
        <v>779</v>
      </c>
      <c r="I936" s="11">
        <v>0.0</v>
      </c>
      <c r="J936" s="11">
        <v>2.66854928E8</v>
      </c>
      <c r="K936" s="13">
        <v>46304.0</v>
      </c>
      <c r="L936" s="14">
        <v>46316.0</v>
      </c>
      <c r="M936" s="12"/>
      <c r="N936" s="9">
        <v>2.0</v>
      </c>
      <c r="O936" s="11">
        <v>7.0</v>
      </c>
      <c r="P936" s="9" t="s">
        <v>44</v>
      </c>
      <c r="Q936" s="12"/>
      <c r="R936" s="12"/>
      <c r="S936" s="9" t="s">
        <v>851</v>
      </c>
      <c r="T936" s="9" t="s">
        <v>44</v>
      </c>
      <c r="U936" s="9" t="s">
        <v>44</v>
      </c>
      <c r="V936" s="11">
        <v>284.91</v>
      </c>
      <c r="W936" s="11">
        <v>6.0</v>
      </c>
      <c r="X936" s="9" t="s">
        <v>1131</v>
      </c>
      <c r="Y936" s="9" t="s">
        <v>1135</v>
      </c>
      <c r="Z936" s="12"/>
      <c r="AA936" s="9">
        <v>2690.0</v>
      </c>
      <c r="AB936" s="12"/>
      <c r="AC936" s="12"/>
    </row>
    <row r="937">
      <c r="A937" s="9" t="s">
        <v>33</v>
      </c>
      <c r="B937" s="11">
        <v>6.0</v>
      </c>
      <c r="C937" s="9" t="s">
        <v>43</v>
      </c>
      <c r="D937" s="9" t="s">
        <v>44</v>
      </c>
      <c r="E937" s="12"/>
      <c r="F937" s="9" t="s">
        <v>45</v>
      </c>
      <c r="G937" s="9" t="s">
        <v>46</v>
      </c>
      <c r="H937" s="9" t="s">
        <v>99</v>
      </c>
      <c r="I937" s="11">
        <v>0.0</v>
      </c>
      <c r="J937" s="11">
        <v>2.6685493E8</v>
      </c>
      <c r="K937" s="13">
        <v>46304.0</v>
      </c>
      <c r="L937" s="14">
        <v>46314.0</v>
      </c>
      <c r="M937" s="12"/>
      <c r="N937" s="9">
        <v>107.0</v>
      </c>
      <c r="O937" s="11">
        <v>5.0</v>
      </c>
      <c r="P937" s="9" t="s">
        <v>44</v>
      </c>
      <c r="Q937" s="12"/>
      <c r="R937" s="12"/>
      <c r="S937" s="9" t="s">
        <v>851</v>
      </c>
      <c r="T937" s="9" t="s">
        <v>44</v>
      </c>
      <c r="U937" s="9" t="s">
        <v>44</v>
      </c>
      <c r="V937" s="11">
        <v>597.67</v>
      </c>
      <c r="W937" s="11">
        <v>23.0</v>
      </c>
      <c r="X937" s="9" t="s">
        <v>1131</v>
      </c>
      <c r="Y937" s="9" t="s">
        <v>1138</v>
      </c>
      <c r="Z937" s="12"/>
      <c r="AA937" s="9">
        <v>2658.0</v>
      </c>
      <c r="AB937" s="12"/>
      <c r="AC937" s="12"/>
    </row>
    <row r="938">
      <c r="A938" s="9" t="s">
        <v>33</v>
      </c>
      <c r="B938" s="11">
        <v>6.0</v>
      </c>
      <c r="C938" s="9" t="s">
        <v>43</v>
      </c>
      <c r="D938" s="9" t="s">
        <v>44</v>
      </c>
      <c r="E938" s="12"/>
      <c r="F938" s="9" t="s">
        <v>45</v>
      </c>
      <c r="G938" s="9" t="s">
        <v>46</v>
      </c>
      <c r="H938" s="9" t="s">
        <v>381</v>
      </c>
      <c r="I938" s="11">
        <v>0.0</v>
      </c>
      <c r="J938" s="11">
        <v>2.66854932E8</v>
      </c>
      <c r="K938" s="13">
        <v>46304.0</v>
      </c>
      <c r="L938" s="14">
        <v>46314.0</v>
      </c>
      <c r="M938" s="12"/>
      <c r="N938" s="9">
        <v>5.0</v>
      </c>
      <c r="O938" s="11">
        <v>5.0</v>
      </c>
      <c r="P938" s="9" t="s">
        <v>44</v>
      </c>
      <c r="Q938" s="12"/>
      <c r="R938" s="12"/>
      <c r="S938" s="9" t="s">
        <v>851</v>
      </c>
      <c r="T938" s="9" t="s">
        <v>44</v>
      </c>
      <c r="U938" s="9" t="s">
        <v>44</v>
      </c>
      <c r="V938" s="11">
        <v>1947.22</v>
      </c>
      <c r="W938" s="11">
        <v>28.0</v>
      </c>
      <c r="X938" s="9" t="s">
        <v>1131</v>
      </c>
      <c r="Y938" s="9" t="s">
        <v>1139</v>
      </c>
      <c r="Z938" s="12"/>
      <c r="AA938" s="9">
        <v>2633.0</v>
      </c>
      <c r="AB938" s="12"/>
      <c r="AC938" s="12"/>
    </row>
    <row r="939">
      <c r="A939" s="9" t="s">
        <v>33</v>
      </c>
      <c r="B939" s="11">
        <v>6.0</v>
      </c>
      <c r="C939" s="9" t="s">
        <v>43</v>
      </c>
      <c r="D939" s="9" t="s">
        <v>44</v>
      </c>
      <c r="E939" s="12"/>
      <c r="F939" s="9" t="s">
        <v>45</v>
      </c>
      <c r="G939" s="9" t="s">
        <v>46</v>
      </c>
      <c r="H939" s="9" t="s">
        <v>491</v>
      </c>
      <c r="I939" s="11">
        <v>0.0</v>
      </c>
      <c r="J939" s="11">
        <v>2.66854934E8</v>
      </c>
      <c r="K939" s="13">
        <v>46304.0</v>
      </c>
      <c r="L939" s="14">
        <v>46322.0</v>
      </c>
      <c r="M939" s="12"/>
      <c r="N939" s="9">
        <v>301.0</v>
      </c>
      <c r="O939" s="11">
        <v>11.0</v>
      </c>
      <c r="P939" s="9" t="s">
        <v>44</v>
      </c>
      <c r="Q939" s="12"/>
      <c r="R939" s="12"/>
      <c r="S939" s="9" t="s">
        <v>851</v>
      </c>
      <c r="T939" s="9" t="s">
        <v>44</v>
      </c>
      <c r="U939" s="9" t="s">
        <v>44</v>
      </c>
      <c r="V939" s="11">
        <v>1203.07</v>
      </c>
      <c r="W939" s="11">
        <v>30.0</v>
      </c>
      <c r="X939" s="9" t="s">
        <v>1131</v>
      </c>
      <c r="Y939" s="9" t="s">
        <v>1135</v>
      </c>
      <c r="Z939" s="12"/>
      <c r="AA939" s="9">
        <v>2562.0</v>
      </c>
      <c r="AB939" s="12"/>
      <c r="AC939" s="12"/>
    </row>
    <row r="940">
      <c r="A940" s="9" t="s">
        <v>33</v>
      </c>
      <c r="B940" s="11">
        <v>6.0</v>
      </c>
      <c r="C940" s="9" t="s">
        <v>43</v>
      </c>
      <c r="D940" s="9" t="s">
        <v>55</v>
      </c>
      <c r="E940" s="9" t="s">
        <v>56</v>
      </c>
      <c r="F940" s="9" t="s">
        <v>45</v>
      </c>
      <c r="G940" s="9" t="s">
        <v>46</v>
      </c>
      <c r="H940" s="9" t="s">
        <v>779</v>
      </c>
      <c r="I940" s="11">
        <v>8177632.0</v>
      </c>
      <c r="J940" s="11">
        <v>2.66857867E8</v>
      </c>
      <c r="K940" s="13">
        <v>46304.0</v>
      </c>
      <c r="L940" s="14">
        <v>46316.0</v>
      </c>
      <c r="M940" s="12"/>
      <c r="N940" s="9">
        <v>2.0</v>
      </c>
      <c r="O940" s="11">
        <v>7.0</v>
      </c>
      <c r="P940" s="9" t="s">
        <v>44</v>
      </c>
      <c r="Q940" s="12"/>
      <c r="R940" s="12"/>
      <c r="S940" s="9" t="s">
        <v>851</v>
      </c>
      <c r="T940" s="9" t="s">
        <v>44</v>
      </c>
      <c r="U940" s="9" t="s">
        <v>44</v>
      </c>
      <c r="V940" s="11">
        <v>2028.08</v>
      </c>
      <c r="W940" s="11">
        <v>2.0</v>
      </c>
      <c r="X940" s="9" t="s">
        <v>1131</v>
      </c>
      <c r="Y940" s="9" t="s">
        <v>1135</v>
      </c>
      <c r="Z940" s="12"/>
      <c r="AA940" s="9">
        <v>2667.0</v>
      </c>
      <c r="AB940" s="12"/>
      <c r="AC940" s="12"/>
    </row>
    <row r="941">
      <c r="A941" s="9" t="s">
        <v>33</v>
      </c>
      <c r="B941" s="11">
        <v>6.0</v>
      </c>
      <c r="C941" s="9" t="s">
        <v>43</v>
      </c>
      <c r="D941" s="9" t="s">
        <v>55</v>
      </c>
      <c r="E941" s="9" t="s">
        <v>56</v>
      </c>
      <c r="F941" s="9" t="s">
        <v>45</v>
      </c>
      <c r="G941" s="9" t="s">
        <v>46</v>
      </c>
      <c r="H941" s="9" t="s">
        <v>488</v>
      </c>
      <c r="I941" s="11">
        <v>8177638.0</v>
      </c>
      <c r="J941" s="11">
        <v>2.66857868E8</v>
      </c>
      <c r="K941" s="13">
        <v>46304.0</v>
      </c>
      <c r="L941" s="14">
        <v>46315.0</v>
      </c>
      <c r="M941" s="12"/>
      <c r="N941" s="9">
        <v>3.0</v>
      </c>
      <c r="O941" s="11">
        <v>6.0</v>
      </c>
      <c r="P941" s="9" t="s">
        <v>44</v>
      </c>
      <c r="Q941" s="12"/>
      <c r="R941" s="12"/>
      <c r="S941" s="9" t="s">
        <v>851</v>
      </c>
      <c r="T941" s="9" t="s">
        <v>44</v>
      </c>
      <c r="U941" s="9" t="s">
        <v>44</v>
      </c>
      <c r="V941" s="11">
        <v>1922.0</v>
      </c>
      <c r="W941" s="11">
        <v>2.0</v>
      </c>
      <c r="X941" s="9" t="s">
        <v>1131</v>
      </c>
      <c r="Y941" s="9" t="s">
        <v>1135</v>
      </c>
      <c r="Z941" s="12"/>
      <c r="AA941" s="9">
        <v>2571.0</v>
      </c>
      <c r="AB941" s="12"/>
      <c r="AC941" s="12"/>
    </row>
    <row r="942">
      <c r="A942" s="9" t="s">
        <v>33</v>
      </c>
      <c r="B942" s="11">
        <v>6.0</v>
      </c>
      <c r="C942" s="9" t="s">
        <v>43</v>
      </c>
      <c r="D942" s="9" t="s">
        <v>55</v>
      </c>
      <c r="E942" s="9" t="s">
        <v>56</v>
      </c>
      <c r="F942" s="9" t="s">
        <v>45</v>
      </c>
      <c r="G942" s="9" t="s">
        <v>46</v>
      </c>
      <c r="H942" s="9" t="s">
        <v>434</v>
      </c>
      <c r="I942" s="11">
        <v>8177636.0</v>
      </c>
      <c r="J942" s="11">
        <v>2.66857869E8</v>
      </c>
      <c r="K942" s="13">
        <v>46304.0</v>
      </c>
      <c r="L942" s="14">
        <v>46322.0</v>
      </c>
      <c r="M942" s="12"/>
      <c r="N942" s="9">
        <v>100.0</v>
      </c>
      <c r="O942" s="11">
        <v>11.0</v>
      </c>
      <c r="P942" s="9" t="s">
        <v>44</v>
      </c>
      <c r="Q942" s="12"/>
      <c r="R942" s="12"/>
      <c r="S942" s="9" t="s">
        <v>851</v>
      </c>
      <c r="T942" s="9" t="s">
        <v>44</v>
      </c>
      <c r="U942" s="9" t="s">
        <v>44</v>
      </c>
      <c r="V942" s="11">
        <v>1984.85</v>
      </c>
      <c r="W942" s="11">
        <v>1.0</v>
      </c>
      <c r="X942" s="9" t="s">
        <v>1131</v>
      </c>
      <c r="Y942" s="9" t="s">
        <v>1135</v>
      </c>
      <c r="Z942" s="12"/>
      <c r="AA942" s="9">
        <v>2606.0</v>
      </c>
      <c r="AB942" s="12"/>
      <c r="AC942" s="12"/>
    </row>
    <row r="943">
      <c r="A943" s="9" t="s">
        <v>33</v>
      </c>
      <c r="B943" s="11">
        <v>6.0</v>
      </c>
      <c r="C943" s="9" t="s">
        <v>43</v>
      </c>
      <c r="D943" s="9" t="s">
        <v>55</v>
      </c>
      <c r="E943" s="9" t="s">
        <v>56</v>
      </c>
      <c r="F943" s="9" t="s">
        <v>45</v>
      </c>
      <c r="G943" s="9" t="s">
        <v>46</v>
      </c>
      <c r="H943" s="9" t="s">
        <v>711</v>
      </c>
      <c r="I943" s="11">
        <v>8177637.0</v>
      </c>
      <c r="J943" s="11">
        <v>2.6685787E8</v>
      </c>
      <c r="K943" s="13">
        <v>46304.0</v>
      </c>
      <c r="L943" s="14">
        <v>46314.0</v>
      </c>
      <c r="M943" s="12"/>
      <c r="N943" s="9">
        <v>6.0</v>
      </c>
      <c r="O943" s="11">
        <v>5.0</v>
      </c>
      <c r="P943" s="9" t="s">
        <v>44</v>
      </c>
      <c r="Q943" s="12"/>
      <c r="R943" s="12"/>
      <c r="S943" s="9" t="s">
        <v>851</v>
      </c>
      <c r="T943" s="9" t="s">
        <v>44</v>
      </c>
      <c r="U943" s="9" t="s">
        <v>44</v>
      </c>
      <c r="V943" s="11">
        <v>782.15</v>
      </c>
      <c r="W943" s="11">
        <v>1.0</v>
      </c>
      <c r="X943" s="9" t="s">
        <v>1131</v>
      </c>
      <c r="Y943" s="9" t="s">
        <v>1141</v>
      </c>
      <c r="Z943" s="12"/>
      <c r="AA943" s="9">
        <v>2672.0</v>
      </c>
      <c r="AB943" s="12"/>
      <c r="AC943" s="12"/>
    </row>
    <row r="944">
      <c r="A944" s="9" t="s">
        <v>33</v>
      </c>
      <c r="B944" s="11">
        <v>6.0</v>
      </c>
      <c r="C944" s="9" t="s">
        <v>43</v>
      </c>
      <c r="D944" s="9" t="s">
        <v>55</v>
      </c>
      <c r="E944" s="9" t="s">
        <v>56</v>
      </c>
      <c r="F944" s="9" t="s">
        <v>45</v>
      </c>
      <c r="G944" s="9" t="s">
        <v>46</v>
      </c>
      <c r="H944" s="9" t="s">
        <v>444</v>
      </c>
      <c r="I944" s="11">
        <v>8177633.0</v>
      </c>
      <c r="J944" s="11">
        <v>2.66858695E8</v>
      </c>
      <c r="K944" s="13">
        <v>46304.0</v>
      </c>
      <c r="L944" s="14">
        <v>46314.0</v>
      </c>
      <c r="M944" s="12"/>
      <c r="N944" s="9">
        <v>19.0</v>
      </c>
      <c r="O944" s="11">
        <v>5.0</v>
      </c>
      <c r="P944" s="9" t="s">
        <v>44</v>
      </c>
      <c r="Q944" s="12"/>
      <c r="R944" s="12"/>
      <c r="S944" s="9" t="s">
        <v>851</v>
      </c>
      <c r="T944" s="9" t="s">
        <v>44</v>
      </c>
      <c r="U944" s="9" t="s">
        <v>44</v>
      </c>
      <c r="V944" s="11">
        <v>1440.4</v>
      </c>
      <c r="W944" s="11">
        <v>1.0</v>
      </c>
      <c r="X944" s="9" t="s">
        <v>1131</v>
      </c>
      <c r="Y944" s="9" t="s">
        <v>1135</v>
      </c>
      <c r="Z944" s="12"/>
      <c r="AA944" s="9">
        <v>2611.0</v>
      </c>
      <c r="AB944" s="12"/>
      <c r="AC944" s="12"/>
    </row>
    <row r="945">
      <c r="A945" s="9" t="s">
        <v>33</v>
      </c>
      <c r="B945" s="11">
        <v>6.0</v>
      </c>
      <c r="C945" s="9" t="s">
        <v>43</v>
      </c>
      <c r="D945" s="9" t="s">
        <v>55</v>
      </c>
      <c r="E945" s="9" t="s">
        <v>56</v>
      </c>
      <c r="F945" s="9" t="s">
        <v>45</v>
      </c>
      <c r="G945" s="9" t="s">
        <v>46</v>
      </c>
      <c r="H945" s="9" t="s">
        <v>434</v>
      </c>
      <c r="I945" s="11">
        <v>8177634.0</v>
      </c>
      <c r="J945" s="11">
        <v>2.66858696E8</v>
      </c>
      <c r="K945" s="13">
        <v>46304.0</v>
      </c>
      <c r="L945" s="14">
        <v>46321.0</v>
      </c>
      <c r="M945" s="12"/>
      <c r="N945" s="9">
        <v>100.0</v>
      </c>
      <c r="O945" s="11">
        <v>10.0</v>
      </c>
      <c r="P945" s="9" t="s">
        <v>44</v>
      </c>
      <c r="Q945" s="12"/>
      <c r="R945" s="12"/>
      <c r="S945" s="9" t="s">
        <v>851</v>
      </c>
      <c r="T945" s="9" t="s">
        <v>44</v>
      </c>
      <c r="U945" s="9" t="s">
        <v>44</v>
      </c>
      <c r="V945" s="11">
        <v>1704.34</v>
      </c>
      <c r="W945" s="11">
        <v>1.0</v>
      </c>
      <c r="X945" s="9" t="s">
        <v>1131</v>
      </c>
      <c r="Y945" s="9" t="s">
        <v>1135</v>
      </c>
      <c r="Z945" s="12"/>
      <c r="AA945" s="9">
        <v>2607.0</v>
      </c>
      <c r="AB945" s="12"/>
      <c r="AC945" s="12"/>
    </row>
    <row r="946">
      <c r="A946" s="9" t="s">
        <v>33</v>
      </c>
      <c r="B946" s="11">
        <v>6.0</v>
      </c>
      <c r="C946" s="9" t="s">
        <v>43</v>
      </c>
      <c r="D946" s="9" t="s">
        <v>55</v>
      </c>
      <c r="E946" s="9" t="s">
        <v>56</v>
      </c>
      <c r="F946" s="9" t="s">
        <v>45</v>
      </c>
      <c r="G946" s="9" t="s">
        <v>46</v>
      </c>
      <c r="H946" s="9" t="s">
        <v>444</v>
      </c>
      <c r="I946" s="11">
        <v>8177635.0</v>
      </c>
      <c r="J946" s="11">
        <v>2.66858697E8</v>
      </c>
      <c r="K946" s="13">
        <v>46304.0</v>
      </c>
      <c r="L946" s="14">
        <v>46314.0</v>
      </c>
      <c r="M946" s="12"/>
      <c r="N946" s="9">
        <v>20.0</v>
      </c>
      <c r="O946" s="11">
        <v>5.0</v>
      </c>
      <c r="P946" s="9" t="s">
        <v>44</v>
      </c>
      <c r="Q946" s="12"/>
      <c r="R946" s="12"/>
      <c r="S946" s="9" t="s">
        <v>851</v>
      </c>
      <c r="T946" s="9" t="s">
        <v>44</v>
      </c>
      <c r="U946" s="9" t="s">
        <v>44</v>
      </c>
      <c r="V946" s="11">
        <v>4989.75</v>
      </c>
      <c r="W946" s="11">
        <v>2.0</v>
      </c>
      <c r="X946" s="9" t="s">
        <v>1131</v>
      </c>
      <c r="Y946" s="9" t="s">
        <v>1136</v>
      </c>
      <c r="Z946" s="12"/>
      <c r="AA946" s="9">
        <v>2577.0</v>
      </c>
      <c r="AB946" s="12"/>
      <c r="AC946" s="12"/>
    </row>
    <row r="947">
      <c r="A947" s="9" t="s">
        <v>33</v>
      </c>
      <c r="B947" s="11">
        <v>6.0</v>
      </c>
      <c r="C947" s="9" t="s">
        <v>43</v>
      </c>
      <c r="D947" s="9" t="s">
        <v>55</v>
      </c>
      <c r="E947" s="9" t="s">
        <v>56</v>
      </c>
      <c r="F947" s="9" t="s">
        <v>45</v>
      </c>
      <c r="G947" s="9" t="s">
        <v>46</v>
      </c>
      <c r="H947" s="9" t="s">
        <v>779</v>
      </c>
      <c r="I947" s="11">
        <v>8177640.0</v>
      </c>
      <c r="J947" s="11">
        <v>2.66859016E8</v>
      </c>
      <c r="K947" s="13">
        <v>46304.0</v>
      </c>
      <c r="L947" s="14">
        <v>46316.0</v>
      </c>
      <c r="M947" s="12"/>
      <c r="N947" s="9">
        <v>1.0</v>
      </c>
      <c r="O947" s="11">
        <v>7.0</v>
      </c>
      <c r="P947" s="9" t="s">
        <v>44</v>
      </c>
      <c r="Q947" s="12"/>
      <c r="R947" s="12"/>
      <c r="S947" s="9" t="s">
        <v>851</v>
      </c>
      <c r="T947" s="9" t="s">
        <v>44</v>
      </c>
      <c r="U947" s="9" t="s">
        <v>44</v>
      </c>
      <c r="V947" s="11">
        <v>1631.3</v>
      </c>
      <c r="W947" s="11">
        <v>1.0</v>
      </c>
      <c r="X947" s="9" t="s">
        <v>1131</v>
      </c>
      <c r="Y947" s="9" t="s">
        <v>1135</v>
      </c>
      <c r="Z947" s="12"/>
      <c r="AA947" s="9">
        <v>2573.0</v>
      </c>
      <c r="AB947" s="12"/>
      <c r="AC947" s="12"/>
    </row>
    <row r="948">
      <c r="A948" s="9" t="s">
        <v>33</v>
      </c>
      <c r="B948" s="11">
        <v>6.0</v>
      </c>
      <c r="C948" s="9" t="s">
        <v>43</v>
      </c>
      <c r="D948" s="9" t="s">
        <v>55</v>
      </c>
      <c r="E948" s="9" t="s">
        <v>56</v>
      </c>
      <c r="F948" s="9" t="s">
        <v>45</v>
      </c>
      <c r="G948" s="9" t="s">
        <v>46</v>
      </c>
      <c r="H948" s="9" t="s">
        <v>444</v>
      </c>
      <c r="I948" s="11">
        <v>8177641.0</v>
      </c>
      <c r="J948" s="11">
        <v>2.66859017E8</v>
      </c>
      <c r="K948" s="13">
        <v>46304.0</v>
      </c>
      <c r="L948" s="14">
        <v>46314.0</v>
      </c>
      <c r="M948" s="12"/>
      <c r="N948" s="9">
        <v>21.0</v>
      </c>
      <c r="O948" s="11">
        <v>5.0</v>
      </c>
      <c r="P948" s="9" t="s">
        <v>44</v>
      </c>
      <c r="Q948" s="12"/>
      <c r="R948" s="12"/>
      <c r="S948" s="9" t="s">
        <v>851</v>
      </c>
      <c r="T948" s="9" t="s">
        <v>44</v>
      </c>
      <c r="U948" s="9" t="s">
        <v>44</v>
      </c>
      <c r="V948" s="11">
        <v>3680.69</v>
      </c>
      <c r="W948" s="11">
        <v>2.0</v>
      </c>
      <c r="X948" s="9" t="s">
        <v>1131</v>
      </c>
      <c r="Y948" s="9" t="s">
        <v>1135</v>
      </c>
      <c r="Z948" s="12"/>
      <c r="AA948" s="9">
        <v>2579.0</v>
      </c>
      <c r="AB948" s="12"/>
      <c r="AC948" s="12"/>
    </row>
    <row r="949">
      <c r="A949" s="9" t="s">
        <v>33</v>
      </c>
      <c r="B949" s="11">
        <v>6.0</v>
      </c>
      <c r="C949" s="9" t="s">
        <v>43</v>
      </c>
      <c r="D949" s="9" t="s">
        <v>55</v>
      </c>
      <c r="E949" s="9" t="s">
        <v>56</v>
      </c>
      <c r="F949" s="9" t="s">
        <v>45</v>
      </c>
      <c r="G949" s="9" t="s">
        <v>46</v>
      </c>
      <c r="H949" s="9" t="s">
        <v>444</v>
      </c>
      <c r="I949" s="11">
        <v>8177642.0</v>
      </c>
      <c r="J949" s="11">
        <v>2.66859018E8</v>
      </c>
      <c r="K949" s="13">
        <v>46304.0</v>
      </c>
      <c r="L949" s="14">
        <v>46314.0</v>
      </c>
      <c r="M949" s="12"/>
      <c r="N949" s="9">
        <v>7.0</v>
      </c>
      <c r="O949" s="11">
        <v>5.0</v>
      </c>
      <c r="P949" s="9" t="s">
        <v>44</v>
      </c>
      <c r="Q949" s="12"/>
      <c r="R949" s="12"/>
      <c r="S949" s="9" t="s">
        <v>851</v>
      </c>
      <c r="T949" s="9" t="s">
        <v>44</v>
      </c>
      <c r="U949" s="9" t="s">
        <v>44</v>
      </c>
      <c r="V949" s="11">
        <v>2634.89</v>
      </c>
      <c r="W949" s="11">
        <v>2.0</v>
      </c>
      <c r="X949" s="9" t="s">
        <v>1131</v>
      </c>
      <c r="Y949" s="9" t="s">
        <v>1137</v>
      </c>
      <c r="Z949" s="12"/>
      <c r="AA949" s="9">
        <v>2581.0</v>
      </c>
      <c r="AB949" s="12"/>
      <c r="AC949" s="12"/>
    </row>
    <row r="950">
      <c r="A950" s="9" t="s">
        <v>33</v>
      </c>
      <c r="B950" s="11">
        <v>6.0</v>
      </c>
      <c r="C950" s="9" t="s">
        <v>43</v>
      </c>
      <c r="D950" s="9" t="s">
        <v>55</v>
      </c>
      <c r="E950" s="9" t="s">
        <v>56</v>
      </c>
      <c r="F950" s="9" t="s">
        <v>45</v>
      </c>
      <c r="G950" s="9" t="s">
        <v>46</v>
      </c>
      <c r="H950" s="9" t="s">
        <v>488</v>
      </c>
      <c r="I950" s="11">
        <v>8177643.0</v>
      </c>
      <c r="J950" s="11">
        <v>2.66859142E8</v>
      </c>
      <c r="K950" s="13">
        <v>46304.0</v>
      </c>
      <c r="L950" s="14">
        <v>46315.0</v>
      </c>
      <c r="M950" s="12"/>
      <c r="N950" s="9">
        <v>4.0</v>
      </c>
      <c r="O950" s="11">
        <v>6.0</v>
      </c>
      <c r="P950" s="9" t="s">
        <v>44</v>
      </c>
      <c r="Q950" s="12"/>
      <c r="R950" s="12"/>
      <c r="S950" s="9" t="s">
        <v>47</v>
      </c>
      <c r="T950" s="9" t="s">
        <v>44</v>
      </c>
      <c r="U950" s="9" t="s">
        <v>44</v>
      </c>
      <c r="V950" s="11">
        <v>1371.08</v>
      </c>
      <c r="W950" s="11">
        <v>2.0</v>
      </c>
      <c r="X950" s="9" t="s">
        <v>1131</v>
      </c>
      <c r="Y950" s="9" t="s">
        <v>1142</v>
      </c>
      <c r="Z950" s="12"/>
      <c r="AA950" s="9">
        <v>2574.0</v>
      </c>
      <c r="AB950" s="12"/>
      <c r="AC950" s="12"/>
    </row>
    <row r="951">
      <c r="A951" s="9" t="s">
        <v>33</v>
      </c>
      <c r="B951" s="11">
        <v>6.0</v>
      </c>
      <c r="C951" s="9" t="s">
        <v>43</v>
      </c>
      <c r="D951" s="9" t="s">
        <v>55</v>
      </c>
      <c r="E951" s="9" t="s">
        <v>56</v>
      </c>
      <c r="F951" s="9" t="s">
        <v>45</v>
      </c>
      <c r="G951" s="9" t="s">
        <v>46</v>
      </c>
      <c r="H951" s="9" t="s">
        <v>444</v>
      </c>
      <c r="I951" s="11">
        <v>8177639.0</v>
      </c>
      <c r="J951" s="11">
        <v>2.66859172E8</v>
      </c>
      <c r="K951" s="13">
        <v>46304.0</v>
      </c>
      <c r="L951" s="14">
        <v>46314.0</v>
      </c>
      <c r="M951" s="12"/>
      <c r="N951" s="9">
        <v>19.0</v>
      </c>
      <c r="O951" s="11">
        <v>5.0</v>
      </c>
      <c r="P951" s="9" t="s">
        <v>44</v>
      </c>
      <c r="Q951" s="12"/>
      <c r="R951" s="12"/>
      <c r="S951" s="9" t="s">
        <v>47</v>
      </c>
      <c r="T951" s="9" t="s">
        <v>44</v>
      </c>
      <c r="U951" s="9" t="s">
        <v>44</v>
      </c>
      <c r="V951" s="11">
        <v>2583.17</v>
      </c>
      <c r="W951" s="11">
        <v>3.0</v>
      </c>
      <c r="X951" s="9" t="s">
        <v>1131</v>
      </c>
      <c r="Y951" s="9" t="s">
        <v>1135</v>
      </c>
      <c r="Z951" s="12"/>
      <c r="AA951" s="9">
        <v>2569.0</v>
      </c>
      <c r="AB951" s="12"/>
      <c r="AC951" s="12"/>
    </row>
    <row r="952">
      <c r="A952" s="9" t="s">
        <v>33</v>
      </c>
      <c r="B952" s="11">
        <v>6.0</v>
      </c>
      <c r="C952" s="9" t="s">
        <v>43</v>
      </c>
      <c r="D952" s="9" t="s">
        <v>44</v>
      </c>
      <c r="E952" s="12"/>
      <c r="F952" s="9" t="s">
        <v>45</v>
      </c>
      <c r="G952" s="9" t="s">
        <v>46</v>
      </c>
      <c r="H952" s="9" t="s">
        <v>119</v>
      </c>
      <c r="I952" s="11">
        <v>0.0</v>
      </c>
      <c r="J952" s="11">
        <v>2.66864503E8</v>
      </c>
      <c r="K952" s="14">
        <v>46305.0</v>
      </c>
      <c r="L952" s="13">
        <v>46330.0</v>
      </c>
      <c r="M952" s="12"/>
      <c r="N952" s="9">
        <v>100.0</v>
      </c>
      <c r="O952" s="11">
        <v>16.0</v>
      </c>
      <c r="P952" s="9" t="s">
        <v>44</v>
      </c>
      <c r="Q952" s="12"/>
      <c r="R952" s="12"/>
      <c r="S952" s="9" t="s">
        <v>47</v>
      </c>
      <c r="T952" s="9" t="s">
        <v>44</v>
      </c>
      <c r="U952" s="9" t="s">
        <v>44</v>
      </c>
      <c r="V952" s="11">
        <v>515.8</v>
      </c>
      <c r="W952" s="11">
        <v>14.0</v>
      </c>
      <c r="X952" s="9" t="s">
        <v>1143</v>
      </c>
      <c r="Y952" s="9" t="s">
        <v>1144</v>
      </c>
      <c r="Z952" s="12"/>
      <c r="AA952" s="9">
        <v>12133.0</v>
      </c>
      <c r="AB952" s="12"/>
      <c r="AC952" s="12"/>
    </row>
    <row r="953">
      <c r="A953" s="9" t="s">
        <v>33</v>
      </c>
      <c r="B953" s="11">
        <v>6.0</v>
      </c>
      <c r="C953" s="9" t="s">
        <v>43</v>
      </c>
      <c r="D953" s="9" t="s">
        <v>44</v>
      </c>
      <c r="E953" s="12"/>
      <c r="F953" s="9" t="s">
        <v>45</v>
      </c>
      <c r="G953" s="9" t="s">
        <v>46</v>
      </c>
      <c r="H953" s="9" t="s">
        <v>99</v>
      </c>
      <c r="I953" s="11">
        <v>0.0</v>
      </c>
      <c r="J953" s="11">
        <v>2.66864504E8</v>
      </c>
      <c r="K953" s="14">
        <v>46305.0</v>
      </c>
      <c r="L953" s="14">
        <v>46317.0</v>
      </c>
      <c r="M953" s="12"/>
      <c r="N953" s="9">
        <v>105.0</v>
      </c>
      <c r="O953" s="11">
        <v>8.0</v>
      </c>
      <c r="P953" s="9" t="s">
        <v>44</v>
      </c>
      <c r="Q953" s="12"/>
      <c r="R953" s="12"/>
      <c r="S953" s="9" t="s">
        <v>47</v>
      </c>
      <c r="T953" s="9" t="s">
        <v>44</v>
      </c>
      <c r="U953" s="9" t="s">
        <v>44</v>
      </c>
      <c r="V953" s="11">
        <v>356.94</v>
      </c>
      <c r="W953" s="11">
        <v>10.0</v>
      </c>
      <c r="X953" s="9" t="s">
        <v>1145</v>
      </c>
      <c r="Y953" s="9" t="s">
        <v>1146</v>
      </c>
      <c r="Z953" s="12"/>
      <c r="AA953" s="9">
        <v>3113.0</v>
      </c>
      <c r="AB953" s="12"/>
      <c r="AC953" s="12"/>
    </row>
    <row r="954">
      <c r="A954" s="9" t="s">
        <v>33</v>
      </c>
      <c r="B954" s="11">
        <v>6.0</v>
      </c>
      <c r="C954" s="9" t="s">
        <v>43</v>
      </c>
      <c r="D954" s="9" t="s">
        <v>44</v>
      </c>
      <c r="E954" s="12"/>
      <c r="F954" s="9" t="s">
        <v>45</v>
      </c>
      <c r="G954" s="9" t="s">
        <v>46</v>
      </c>
      <c r="H954" s="9" t="s">
        <v>113</v>
      </c>
      <c r="I954" s="11">
        <v>0.0</v>
      </c>
      <c r="J954" s="11">
        <v>2.66864505E8</v>
      </c>
      <c r="K954" s="14">
        <v>46305.0</v>
      </c>
      <c r="L954" s="14">
        <v>46314.0</v>
      </c>
      <c r="M954" s="12"/>
      <c r="N954" s="9">
        <v>4.0</v>
      </c>
      <c r="O954" s="11">
        <v>5.0</v>
      </c>
      <c r="P954" s="9" t="s">
        <v>44</v>
      </c>
      <c r="Q954" s="12"/>
      <c r="R954" s="12"/>
      <c r="S954" s="9" t="s">
        <v>47</v>
      </c>
      <c r="T954" s="9" t="s">
        <v>44</v>
      </c>
      <c r="U954" s="9" t="s">
        <v>44</v>
      </c>
      <c r="V954" s="11">
        <v>353.07</v>
      </c>
      <c r="W954" s="11">
        <v>12.0</v>
      </c>
      <c r="X954" s="9" t="s">
        <v>1145</v>
      </c>
      <c r="Y954" s="9" t="s">
        <v>1147</v>
      </c>
      <c r="Z954" s="12"/>
      <c r="AA954" s="9">
        <v>3114.0</v>
      </c>
      <c r="AB954" s="12"/>
      <c r="AC954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2.63"/>
  </cols>
  <sheetData>
    <row r="1">
      <c r="A1" s="5" t="s">
        <v>2</v>
      </c>
    </row>
    <row r="2">
      <c r="A2" s="6"/>
    </row>
    <row r="3">
      <c r="A3" s="7" t="s">
        <v>28</v>
      </c>
    </row>
    <row r="4">
      <c r="A4" s="8" t="s">
        <v>32</v>
      </c>
    </row>
    <row r="5">
      <c r="A5" s="8" t="s">
        <v>34</v>
      </c>
    </row>
    <row r="6">
      <c r="A6" s="8" t="s">
        <v>35</v>
      </c>
    </row>
    <row r="7">
      <c r="A7" s="6"/>
    </row>
    <row r="8">
      <c r="A8" s="7" t="s">
        <v>36</v>
      </c>
    </row>
    <row r="9">
      <c r="A9" s="8" t="s">
        <v>37</v>
      </c>
    </row>
    <row r="10">
      <c r="A10" s="8" t="s">
        <v>38</v>
      </c>
    </row>
    <row r="11">
      <c r="A11" s="8" t="s">
        <v>39</v>
      </c>
    </row>
    <row r="12">
      <c r="A12" s="8" t="s">
        <v>40</v>
      </c>
    </row>
    <row r="13">
      <c r="A13" s="8" t="s">
        <v>41</v>
      </c>
    </row>
    <row r="14">
      <c r="A14" s="8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81</v>
      </c>
      <c r="B1" s="18" t="s">
        <v>83</v>
      </c>
      <c r="C1" s="18" t="s">
        <v>84</v>
      </c>
      <c r="D1" s="18" t="s">
        <v>85</v>
      </c>
      <c r="E1" s="18" t="s">
        <v>86</v>
      </c>
      <c r="F1" s="18" t="s">
        <v>88</v>
      </c>
      <c r="G1" s="18" t="s">
        <v>12</v>
      </c>
      <c r="H1" s="18" t="s">
        <v>89</v>
      </c>
      <c r="I1" s="18" t="s">
        <v>11</v>
      </c>
      <c r="J1" s="18" t="s">
        <v>91</v>
      </c>
      <c r="K1" s="18" t="s">
        <v>92</v>
      </c>
      <c r="L1" s="18" t="s">
        <v>93</v>
      </c>
      <c r="M1" s="18" t="s">
        <v>95</v>
      </c>
      <c r="N1" s="18" t="s">
        <v>96</v>
      </c>
      <c r="O1" s="18" t="s">
        <v>97</v>
      </c>
      <c r="P1" s="18" t="s">
        <v>98</v>
      </c>
      <c r="Q1" s="18" t="s">
        <v>100</v>
      </c>
      <c r="R1" s="18" t="s">
        <v>0</v>
      </c>
      <c r="S1" s="18" t="s">
        <v>101</v>
      </c>
      <c r="T1" s="18" t="s">
        <v>103</v>
      </c>
      <c r="U1" s="18" t="s">
        <v>104</v>
      </c>
      <c r="V1" s="18" t="s">
        <v>105</v>
      </c>
      <c r="X1" s="4" t="s">
        <v>106</v>
      </c>
    </row>
    <row r="2">
      <c r="A2" s="19">
        <f>IFERROR(__xludf.DUMMYFUNCTION("IFERROR(FILTER(ARRAYFORMULA(IFERROR(IF(ISNUMBER(BASE!$K$2:$K$5001),INT(BASE!$K$2:$K$5001),DATEVALUE(BASE!$K$2:$K$5001)),"""")),BASE!$J$2:$J$5001&lt;&gt;""""),"""")"),46304.0)</f>
        <v>46304</v>
      </c>
      <c r="B2" s="19">
        <f>IFERROR(__xludf.DUMMYFUNCTION("IFERROR(FILTER(ARRAYFORMULA(IFERROR(IF(ISNUMBER(BASE!$L$2:$L$5001),INT(BASE!$L$2:$L$5001),DATEVALUE(BASE!$L$2:$L$5001)),"""")),BASE!$J$2:$J$5001&lt;&gt;""""),"""")"),46314.0)</f>
        <v>46314</v>
      </c>
      <c r="C2" s="15">
        <f>IFERROR(__xludf.DUMMYFUNCTION("IFERROR(FILTER(ARRAYFORMULA(IF(BASE!$O$2:$O$5001="""","""",IFERROR(VALUE(BASE!$O$2:$O$5001),""""))),BASE!$J$2:$J$5001&lt;&gt;""""),"""")"),5.0)</f>
        <v>5</v>
      </c>
      <c r="D2" s="15" t="str">
        <f>IFERROR(__xludf.DUMMYFUNCTION("IFERROR(FILTER(ARRAYFORMULA(TRIM(BASE!$H$2:$H$5001&amp;"""")),BASE!$J$2:$J$5001&lt;&gt;""""),"""")"),"ITN")</f>
        <v>ITN</v>
      </c>
      <c r="E2" s="15" t="str">
        <f>IFERROR(__xludf.DUMMYFUNCTION("IFERROR(FILTER(ARRAYFORMULA(TRIM(BASE!$Y$2:$Y$5001&amp;"""")),BASE!$J$2:$J$5001&lt;&gt;""""),"""")"),"JAM E JÚ CINQUENTENARIO")</f>
        <v>JAM E JÚ CINQUENTENARIO</v>
      </c>
      <c r="F2" s="15" t="str">
        <f>IFERROR(__xludf.DUMMYFUNCTION("IFERROR(FILTER(ARRAYFORMULA(TRIM(BASE!$X$2:$X$5001&amp;"""")),BASE!$J$2:$J$5001&lt;&gt;""""),"""")"),"TRIFIL")</f>
        <v>TRIFIL</v>
      </c>
      <c r="G2" s="15" t="str">
        <f>IFERROR(__xludf.DUMMYFUNCTION("IFERROR(FILTER(ARRAYFORMULA(TRIM(BASE!$J$2:$J$5001&amp;"""")),BASE!$J$2:$J$5001&lt;&gt;""""),"""")"),"266801541")</f>
        <v>266801541</v>
      </c>
      <c r="H2" s="15" t="str">
        <f>IFERROR(__xludf.DUMMYFUNCTION("IFERROR(FILTER(ARRAYFORMULA(REGEXREPLACE(TRIM(BASE!$AA$2:$AA$5001&amp;""""),""[,;\s]+$"","""")),BASE!$J$2:$J$5001&lt;&gt;""""),"""")"),"1302858")</f>
        <v>1302858</v>
      </c>
      <c r="I2" s="15" t="str">
        <f>IFERROR(__xludf.DUMMYFUNCTION("IFERROR(FILTER(ARRAYFORMULA(TRIM(BASE!$I$2:$I$5001&amp;"""")),BASE!$J$2:$J$5001&lt;&gt;""""),"""")"),"946")</f>
        <v>946</v>
      </c>
      <c r="J2" s="15" t="str">
        <f>IFERROR(__xludf.DUMMYFUNCTION("IFERROR(FILTER(ARRAYFORMULA(TRIM(BASE!$S$2:$S$5001&amp;"""")),BASE!$J$2:$J$5001&lt;&gt;""""),"""")"),"CIF")</f>
        <v>CIF</v>
      </c>
      <c r="K2" s="15" t="str">
        <f>IFERROR(__xludf.DUMMYFUNCTION("IFERROR(FILTER(ARRAYFORMULA(IF(BASE!$R$2:$R$5001="""",""(sem célula)"",TRIM(BASE!$R$2:$R$5001&amp;""""))),BASE!$J$2:$J$5001&lt;&gt;""""),"""")"),"(sem célula)")</f>
        <v>(sem célula)</v>
      </c>
      <c r="L2" s="15" t="str">
        <f>IFERROR(__xludf.DUMMYFUNCTION("IFERROR(FILTER(ARRAYFORMULA(IF(BASE!$E$2:$E$5001&lt;&gt;"""",UPPER(TRIM(BASE!$E$2:$E$5001&amp;"""")),IF(BASE!$D$2:$D$5001=""N"",""SEM CT-E"",""SEM RETORNO""))),BASE!$J$2:$J$5001&lt;&gt;""""),"""")"),"SEM CT-E")</f>
        <v>SEM CT-E</v>
      </c>
      <c r="M2" s="15" t="str">
        <f>IFERROR(__xludf.DUMMYFUNCTION("IFERROR(FILTER(ARRAYFORMULA(TRIM(BASE!$C$2:$C$5001&amp;"""")),BASE!$J$2:$J$5001&lt;&gt;""""),"""")"),"NA ORIGEM")</f>
        <v>NA ORIGEM</v>
      </c>
      <c r="N2" s="15" t="str">
        <f>IFERROR(__xludf.DUMMYFUNCTION("IFERROR(FILTER(ARRAYFORMULA(TRIM(BASE!$F$2:$F$5001&amp;"""")),BASE!$J$2:$J$5001&lt;&gt;""""),"""")"),"Antes Prazo")</f>
        <v>Antes Prazo</v>
      </c>
      <c r="O2" s="15" t="str">
        <f>IFERROR(__xludf.DUMMYFUNCTION("IFERROR(FILTER(ARRAYFORMULA(IF(BASE!$AC$2:$AC$5001="""",""(não informada)"",TRIM(BASE!$AC$2:$AC$5001&amp;""""))),BASE!$J$2:$J$5001&lt;&gt;""""),"""")"),"B2B")</f>
        <v>B2B</v>
      </c>
      <c r="P2" s="16">
        <f>IFERROR(__xludf.DUMMYFUNCTION("IFERROR(FILTER(ARRAYFORMULA(IF(BASE!$V$2:$V$5001="""",0,IFERROR(VALUE(BASE!$V$2:$V$5001),0))),BASE!$J$2:$J$5001&lt;&gt;""""),"""")"),34.87)</f>
        <v>34.87</v>
      </c>
      <c r="Q2" s="15">
        <f>IFERROR(__xludf.DUMMYFUNCTION("IFERROR(FILTER(ARRAYFORMULA(IF(BASE!$W$2:$W$5001="""",0,IFERROR(VALUE(BASE!$W$2:$W$5001),0))),BASE!$J$2:$J$5001&lt;&gt;""""),"""")"),3.0)</f>
        <v>3</v>
      </c>
      <c r="R2" s="15" t="str">
        <f>IFERROR(__xludf.DUMMYFUNCTION("IFERROR(FILTER(ARRAYFORMULA(TRIM(BASE!$A$2:$A$5001&amp;"""")),BASE!$J$2:$J$5001&lt;&gt;""""),"""")"),"RODO")</f>
        <v>RODO</v>
      </c>
      <c r="S2" s="15" t="str">
        <f>IFERROR(__xludf.DUMMYFUNCTION("IFERROR(FILTER(ARRAYFORMULA(TRIM(BASE!$G$2:$G$5001&amp;"""")),BASE!$J$2:$J$5001&lt;&gt;""""),"""")"),"ITN")</f>
        <v>ITN</v>
      </c>
      <c r="T2" s="15" t="str">
        <f>IFERROR(__xludf.DUMMYFUNCTION("IFERROR(FILTER(ARRAYFORMULA(TRIM(BASE!$N$2:$N$5001&amp;"""")),BASE!$J$2:$J$5001&lt;&gt;""""),"""")"),"1")</f>
        <v>1</v>
      </c>
      <c r="U2" s="15" t="str">
        <f>IFERROR(__xludf.DUMMYFUNCTION("IFERROR(FILTER(ARRAYFORMULA(LOWER($G$2:$G$5001&amp;"" ""&amp;$H$2:$H$5001&amp;"" ""&amp;$I$2:$I$5001&amp;"" ""&amp;$E$2:$E$5001&amp;"" ""&amp;$F$2:$F$5001&amp;"" ""&amp;$D$2:$D$5001&amp;"" ""&amp;$T$2:$T$5001)),$G$2:$G$5001&lt;&gt;""""),"""")"),"266801541 1302858 946 jam e jú cinquentenario trifil itn 1")</f>
        <v>266801541 1302858 946 jam e jú cinquentenario trifil itn 1</v>
      </c>
      <c r="V2" s="15" t="b">
        <f>IFERROR(__xludf.DUMMYFUNCTION("IFERROR(FILTER(ARRAYFORMULA((((((DASH!$B$4="""")*(DASH!$C$4=""""))+(($A$2:$A$5001&gt;=N(DASH!$B$4))*($A$2:$A$5001&lt;=IF(DASH!$C$4="""",99999,DASH!$C$4))))&gt;0)*((((DASH!$D$4="""")*(DASH!$E$4=""""))+(($C$2:$C$5001&gt;=N(DASH!$D$4))*($C$2:$C$5001&lt;=IF(DASH!$E$4="""",9"&amp;"9999,DASH!$E$4))))&gt;0)*(((DASH!$F$4="""")+(DASH!$F$4=""Todos"")+($D$2:$D$5001=DASH!$F$4))&gt;0)*(((DASH!$G$4="""")+(DASH!$G$4=""Todos"")+($F$2:$F$5001=DASH!$G$4))&gt;0)*(((DASH!$H$4="""")+(DASH!$H$4=""Todos"")+($L$2:$L$5001=DASH!$H$4))&gt;0)*(((DASH!$I$4="""")+(DAS"&amp;"H!$I$4=""Todos"")+($J$2:$J$5001=DASH!$I$4))&gt;0)*(((DASH!$J$4="""")+(DASH!$J$4=""Todos"")+($K$2:$K$5001=DASH!$J$4))&gt;0)*(((DASH!$K$4="""")+(DASH!$K$4=""Todos"")+($O$2:$O$5001=DASH!$K$4))&gt;0)*(((DASH!$L$4="""")+ISNUMBER(SEARCH(LOWER(DASH!$L$4&amp;""""),$U$2:$U$500"&amp;"1)))&gt;0))=1),$G$2:$G$5001&lt;&gt;""""),"""")"),FALSE)</f>
        <v>0</v>
      </c>
    </row>
    <row r="3">
      <c r="A3" s="19">
        <f>IFERROR(__xludf.DUMMYFUNCTION("""COMPUTED_VALUE"""),46304.0)</f>
        <v>46304</v>
      </c>
      <c r="B3" s="19">
        <f>IFERROR(__xludf.DUMMYFUNCTION("""COMPUTED_VALUE"""),46316.0)</f>
        <v>46316</v>
      </c>
      <c r="C3" s="15">
        <f>IFERROR(__xludf.DUMMYFUNCTION("""COMPUTED_VALUE"""),7.0)</f>
        <v>7</v>
      </c>
      <c r="D3" s="15" t="str">
        <f>IFERROR(__xludf.DUMMYFUNCTION("""COMPUTED_VALUE"""),"SAO")</f>
        <v>SAO</v>
      </c>
      <c r="E3" s="15" t="str">
        <f>IFERROR(__xludf.DUMMYFUNCTION("""COMPUTED_VALUE"""),"ACHE LABORATORIOS FARMACEUTICOS SA")</f>
        <v>ACHE LABORATORIOS FARMACEUTICOS SA</v>
      </c>
      <c r="F3" s="15" t="str">
        <f>IFERROR(__xludf.DUMMYFUNCTION("""COMPUTED_VALUE"""),"TRIFIL")</f>
        <v>TRIFIL</v>
      </c>
      <c r="G3" s="15" t="str">
        <f>IFERROR(__xludf.DUMMYFUNCTION("""COMPUTED_VALUE"""),"266801850")</f>
        <v>266801850</v>
      </c>
      <c r="H3" s="15" t="str">
        <f>IFERROR(__xludf.DUMMYFUNCTION("""COMPUTED_VALUE"""),"70000284")</f>
        <v>70000284</v>
      </c>
      <c r="I3" s="15" t="str">
        <f>IFERROR(__xludf.DUMMYFUNCTION("""COMPUTED_VALUE"""),"8176609")</f>
        <v>8176609</v>
      </c>
      <c r="J3" s="15" t="str">
        <f>IFERROR(__xludf.DUMMYFUNCTION("""COMPUTED_VALUE"""),"CSG")</f>
        <v>CSG</v>
      </c>
      <c r="K3" s="15" t="str">
        <f>IFERROR(__xludf.DUMMYFUNCTION("""COMPUTED_VALUE"""),"SAO-1")</f>
        <v>SAO-1</v>
      </c>
      <c r="L3" s="15" t="str">
        <f>IFERROR(__xludf.DUMMYFUNCTION("""COMPUTED_VALUE"""),"SEM CT-E")</f>
        <v>SEM CT-E</v>
      </c>
      <c r="M3" s="15" t="str">
        <f>IFERROR(__xludf.DUMMYFUNCTION("""COMPUTED_VALUE"""),"NA ORIGEM")</f>
        <v>NA ORIGEM</v>
      </c>
      <c r="N3" s="15" t="str">
        <f>IFERROR(__xludf.DUMMYFUNCTION("""COMPUTED_VALUE"""),"Antes Prazo")</f>
        <v>Antes Prazo</v>
      </c>
      <c r="O3" s="15" t="str">
        <f>IFERROR(__xludf.DUMMYFUNCTION("""COMPUTED_VALUE"""),"(não informada)")</f>
        <v>(não informada)</v>
      </c>
      <c r="P3" s="16">
        <f>IFERROR(__xludf.DUMMYFUNCTION("""COMPUTED_VALUE"""),1.0)</f>
        <v>1</v>
      </c>
      <c r="Q3" s="15">
        <f>IFERROR(__xludf.DUMMYFUNCTION("""COMPUTED_VALUE"""),1.0)</f>
        <v>1</v>
      </c>
      <c r="R3" s="15" t="str">
        <f>IFERROR(__xludf.DUMMYFUNCTION("""COMPUTED_VALUE"""),"RODO")</f>
        <v>RODO</v>
      </c>
      <c r="S3" s="15" t="str">
        <f>IFERROR(__xludf.DUMMYFUNCTION("""COMPUTED_VALUE"""),"ITN")</f>
        <v>ITN</v>
      </c>
      <c r="T3" s="15" t="str">
        <f>IFERROR(__xludf.DUMMYFUNCTION("""COMPUTED_VALUE"""),"34")</f>
        <v>34</v>
      </c>
      <c r="U3" s="15" t="str">
        <f>IFERROR(__xludf.DUMMYFUNCTION("""COMPUTED_VALUE"""),"266801850 70000284 8176609 ache laboratorios farmaceuticos sa trifil sao 34")</f>
        <v>266801850 70000284 8176609 ache laboratorios farmaceuticos sa trifil sao 34</v>
      </c>
      <c r="V3" s="15" t="b">
        <f>IFERROR(__xludf.DUMMYFUNCTION("""COMPUTED_VALUE"""),FALSE)</f>
        <v>0</v>
      </c>
    </row>
    <row r="4">
      <c r="A4" s="19">
        <f>IFERROR(__xludf.DUMMYFUNCTION("""COMPUTED_VALUE"""),46304.0)</f>
        <v>46304</v>
      </c>
      <c r="B4" s="19">
        <f>IFERROR(__xludf.DUMMYFUNCTION("""COMPUTED_VALUE"""),46317.0)</f>
        <v>46317</v>
      </c>
      <c r="C4" s="15">
        <f>IFERROR(__xludf.DUMMYFUNCTION("""COMPUTED_VALUE"""),8.0)</f>
        <v>8</v>
      </c>
      <c r="D4" s="15" t="str">
        <f>IFERROR(__xludf.DUMMYFUNCTION("""COMPUTED_VALUE"""),"ATB")</f>
        <v>ATB</v>
      </c>
      <c r="E4" s="15" t="str">
        <f>IFERROR(__xludf.DUMMYFUNCTION("""COMPUTED_VALUE"""),"LOJAS EDLOPES")</f>
        <v>LOJAS EDLOPES</v>
      </c>
      <c r="F4" s="15" t="str">
        <f>IFERROR(__xludf.DUMMYFUNCTION("""COMPUTED_VALUE"""),"TRIFIL")</f>
        <v>TRIFIL</v>
      </c>
      <c r="G4" s="15" t="str">
        <f>IFERROR(__xludf.DUMMYFUNCTION("""COMPUTED_VALUE"""),"266802183")</f>
        <v>266802183</v>
      </c>
      <c r="H4" s="15" t="str">
        <f>IFERROR(__xludf.DUMMYFUNCTION("""COMPUTED_VALUE"""),"1306031")</f>
        <v>1306031</v>
      </c>
      <c r="I4" s="15" t="str">
        <f>IFERROR(__xludf.DUMMYFUNCTION("""COMPUTED_VALUE"""),"8177101")</f>
        <v>8177101</v>
      </c>
      <c r="J4" s="15" t="str">
        <f>IFERROR(__xludf.DUMMYFUNCTION("""COMPUTED_VALUE"""),"CIF")</f>
        <v>CIF</v>
      </c>
      <c r="K4" s="15" t="str">
        <f>IFERROR(__xludf.DUMMYFUNCTION("""COMPUTED_VALUE"""),"SAO-1")</f>
        <v>SAO-1</v>
      </c>
      <c r="L4" s="15" t="str">
        <f>IFERROR(__xludf.DUMMYFUNCTION("""COMPUTED_VALUE"""),"AUTORIZADO")</f>
        <v>AUTORIZADO</v>
      </c>
      <c r="M4" s="15" t="str">
        <f>IFERROR(__xludf.DUMMYFUNCTION("""COMPUTED_VALUE"""),"NA ORIGEM")</f>
        <v>NA ORIGEM</v>
      </c>
      <c r="N4" s="15" t="str">
        <f>IFERROR(__xludf.DUMMYFUNCTION("""COMPUTED_VALUE"""),"Antes Prazo")</f>
        <v>Antes Prazo</v>
      </c>
      <c r="O4" s="15" t="str">
        <f>IFERROR(__xludf.DUMMYFUNCTION("""COMPUTED_VALUE"""),"B2B")</f>
        <v>B2B</v>
      </c>
      <c r="P4" s="16">
        <f>IFERROR(__xludf.DUMMYFUNCTION("""COMPUTED_VALUE"""),38.46)</f>
        <v>38.46</v>
      </c>
      <c r="Q4" s="15">
        <f>IFERROR(__xludf.DUMMYFUNCTION("""COMPUTED_VALUE"""),3.0)</f>
        <v>3</v>
      </c>
      <c r="R4" s="15" t="str">
        <f>IFERROR(__xludf.DUMMYFUNCTION("""COMPUTED_VALUE"""),"RODO")</f>
        <v>RODO</v>
      </c>
      <c r="S4" s="15" t="str">
        <f>IFERROR(__xludf.DUMMYFUNCTION("""COMPUTED_VALUE"""),"ITN")</f>
        <v>ITN</v>
      </c>
      <c r="T4" s="15" t="str">
        <f>IFERROR(__xludf.DUMMYFUNCTION("""COMPUTED_VALUE"""),"103")</f>
        <v>103</v>
      </c>
      <c r="U4" s="15" t="str">
        <f>IFERROR(__xludf.DUMMYFUNCTION("""COMPUTED_VALUE"""),"266802183 1306031 8177101 lojas edlopes trifil atb 103")</f>
        <v>266802183 1306031 8177101 lojas edlopes trifil atb 103</v>
      </c>
      <c r="V4" s="15" t="b">
        <f>IFERROR(__xludf.DUMMYFUNCTION("""COMPUTED_VALUE"""),FALSE)</f>
        <v>0</v>
      </c>
    </row>
    <row r="5">
      <c r="A5" s="19">
        <f>IFERROR(__xludf.DUMMYFUNCTION("""COMPUTED_VALUE"""),46304.0)</f>
        <v>46304</v>
      </c>
      <c r="B5" s="19">
        <f>IFERROR(__xludf.DUMMYFUNCTION("""COMPUTED_VALUE"""),46317.0)</f>
        <v>46317</v>
      </c>
      <c r="C5" s="15">
        <f>IFERROR(__xludf.DUMMYFUNCTION("""COMPUTED_VALUE"""),8.0)</f>
        <v>8</v>
      </c>
      <c r="D5" s="15" t="str">
        <f>IFERROR(__xludf.DUMMYFUNCTION("""COMPUTED_VALUE"""),"MMG")</f>
        <v>MMG</v>
      </c>
      <c r="E5" s="15" t="str">
        <f>IFERROR(__xludf.DUMMYFUNCTION("""COMPUTED_VALUE"""),"BELLAS MEIAS E LINGERIES LTDA")</f>
        <v>BELLAS MEIAS E LINGERIES LTDA</v>
      </c>
      <c r="F5" s="15" t="str">
        <f>IFERROR(__xludf.DUMMYFUNCTION("""COMPUTED_VALUE"""),"TRIFIL")</f>
        <v>TRIFIL</v>
      </c>
      <c r="G5" s="15" t="str">
        <f>IFERROR(__xludf.DUMMYFUNCTION("""COMPUTED_VALUE"""),"266802184")</f>
        <v>266802184</v>
      </c>
      <c r="H5" s="15" t="str">
        <f>IFERROR(__xludf.DUMMYFUNCTION("""COMPUTED_VALUE"""),"1305597")</f>
        <v>1305597</v>
      </c>
      <c r="I5" s="15" t="str">
        <f>IFERROR(__xludf.DUMMYFUNCTION("""COMPUTED_VALUE"""),"8177082")</f>
        <v>8177082</v>
      </c>
      <c r="J5" s="15" t="str">
        <f>IFERROR(__xludf.DUMMYFUNCTION("""COMPUTED_VALUE"""),"CIF")</f>
        <v>CIF</v>
      </c>
      <c r="K5" s="15" t="str">
        <f>IFERROR(__xludf.DUMMYFUNCTION("""COMPUTED_VALUE"""),"SAO-1")</f>
        <v>SAO-1</v>
      </c>
      <c r="L5" s="15" t="str">
        <f>IFERROR(__xludf.DUMMYFUNCTION("""COMPUTED_VALUE"""),"AUTORIZADO")</f>
        <v>AUTORIZADO</v>
      </c>
      <c r="M5" s="15" t="str">
        <f>IFERROR(__xludf.DUMMYFUNCTION("""COMPUTED_VALUE"""),"NA ORIGEM")</f>
        <v>NA ORIGEM</v>
      </c>
      <c r="N5" s="15" t="str">
        <f>IFERROR(__xludf.DUMMYFUNCTION("""COMPUTED_VALUE"""),"Antes Prazo")</f>
        <v>Antes Prazo</v>
      </c>
      <c r="O5" s="15" t="str">
        <f>IFERROR(__xludf.DUMMYFUNCTION("""COMPUTED_VALUE"""),"B2B")</f>
        <v>B2B</v>
      </c>
      <c r="P5" s="16">
        <f>IFERROR(__xludf.DUMMYFUNCTION("""COMPUTED_VALUE"""),38.46)</f>
        <v>38.46</v>
      </c>
      <c r="Q5" s="15">
        <f>IFERROR(__xludf.DUMMYFUNCTION("""COMPUTED_VALUE"""),2.0)</f>
        <v>2</v>
      </c>
      <c r="R5" s="15" t="str">
        <f>IFERROR(__xludf.DUMMYFUNCTION("""COMPUTED_VALUE"""),"RODO")</f>
        <v>RODO</v>
      </c>
      <c r="S5" s="15" t="str">
        <f>IFERROR(__xludf.DUMMYFUNCTION("""COMPUTED_VALUE"""),"ITN")</f>
        <v>ITN</v>
      </c>
      <c r="T5" s="15" t="str">
        <f>IFERROR(__xludf.DUMMYFUNCTION("""COMPUTED_VALUE"""),"40")</f>
        <v>40</v>
      </c>
      <c r="U5" s="15" t="str">
        <f>IFERROR(__xludf.DUMMYFUNCTION("""COMPUTED_VALUE"""),"266802184 1305597 8177082 bellas meias e lingeries ltda trifil mmg 40")</f>
        <v>266802184 1305597 8177082 bellas meias e lingeries ltda trifil mmg 40</v>
      </c>
      <c r="V5" s="15" t="b">
        <f>IFERROR(__xludf.DUMMYFUNCTION("""COMPUTED_VALUE"""),FALSE)</f>
        <v>0</v>
      </c>
    </row>
    <row r="6">
      <c r="A6" s="19">
        <f>IFERROR(__xludf.DUMMYFUNCTION("""COMPUTED_VALUE"""),46304.0)</f>
        <v>46304</v>
      </c>
      <c r="B6" s="19">
        <f>IFERROR(__xludf.DUMMYFUNCTION("""COMPUTED_VALUE"""),46317.0)</f>
        <v>46317</v>
      </c>
      <c r="C6" s="15">
        <f>IFERROR(__xludf.DUMMYFUNCTION("""COMPUTED_VALUE"""),8.0)</f>
        <v>8</v>
      </c>
      <c r="D6" s="15" t="str">
        <f>IFERROR(__xludf.DUMMYFUNCTION("""COMPUTED_VALUE"""),"SJP")</f>
        <v>SJP</v>
      </c>
      <c r="E6" s="15" t="str">
        <f>IFERROR(__xludf.DUMMYFUNCTION("""COMPUTED_VALUE"""),"VIVIANE REBECA DE FREITAS FIRME")</f>
        <v>VIVIANE REBECA DE FREITAS FIRME</v>
      </c>
      <c r="F6" s="15" t="str">
        <f>IFERROR(__xludf.DUMMYFUNCTION("""COMPUTED_VALUE"""),"TRIFIL")</f>
        <v>TRIFIL</v>
      </c>
      <c r="G6" s="15" t="str">
        <f>IFERROR(__xludf.DUMMYFUNCTION("""COMPUTED_VALUE"""),"266802185")</f>
        <v>266802185</v>
      </c>
      <c r="H6" s="15" t="str">
        <f>IFERROR(__xludf.DUMMYFUNCTION("""COMPUTED_VALUE"""),"1306021")</f>
        <v>1306021</v>
      </c>
      <c r="I6" s="15" t="str">
        <f>IFERROR(__xludf.DUMMYFUNCTION("""COMPUTED_VALUE"""),"8177106")</f>
        <v>8177106</v>
      </c>
      <c r="J6" s="15" t="str">
        <f>IFERROR(__xludf.DUMMYFUNCTION("""COMPUTED_VALUE"""),"CIF")</f>
        <v>CIF</v>
      </c>
      <c r="K6" s="15" t="str">
        <f>IFERROR(__xludf.DUMMYFUNCTION("""COMPUTED_VALUE"""),"SAO-1")</f>
        <v>SAO-1</v>
      </c>
      <c r="L6" s="15" t="str">
        <f>IFERROR(__xludf.DUMMYFUNCTION("""COMPUTED_VALUE"""),"AUTORIZADO")</f>
        <v>AUTORIZADO</v>
      </c>
      <c r="M6" s="15" t="str">
        <f>IFERROR(__xludf.DUMMYFUNCTION("""COMPUTED_VALUE"""),"NA ORIGEM")</f>
        <v>NA ORIGEM</v>
      </c>
      <c r="N6" s="15" t="str">
        <f>IFERROR(__xludf.DUMMYFUNCTION("""COMPUTED_VALUE"""),"Antes Prazo")</f>
        <v>Antes Prazo</v>
      </c>
      <c r="O6" s="15" t="str">
        <f>IFERROR(__xludf.DUMMYFUNCTION("""COMPUTED_VALUE"""),"B2B")</f>
        <v>B2B</v>
      </c>
      <c r="P6" s="16">
        <f>IFERROR(__xludf.DUMMYFUNCTION("""COMPUTED_VALUE"""),136.07)</f>
        <v>136.07</v>
      </c>
      <c r="Q6" s="15">
        <f>IFERROR(__xludf.DUMMYFUNCTION("""COMPUTED_VALUE"""),37.0)</f>
        <v>37</v>
      </c>
      <c r="R6" s="15" t="str">
        <f>IFERROR(__xludf.DUMMYFUNCTION("""COMPUTED_VALUE"""),"RODO")</f>
        <v>RODO</v>
      </c>
      <c r="S6" s="15" t="str">
        <f>IFERROR(__xludf.DUMMYFUNCTION("""COMPUTED_VALUE"""),"ITN")</f>
        <v>ITN</v>
      </c>
      <c r="T6" s="15" t="str">
        <f>IFERROR(__xludf.DUMMYFUNCTION("""COMPUTED_VALUE"""),"101")</f>
        <v>101</v>
      </c>
      <c r="U6" s="15" t="str">
        <f>IFERROR(__xludf.DUMMYFUNCTION("""COMPUTED_VALUE"""),"266802185 1306021 8177106 viviane rebeca de freitas firme trifil sjp 101")</f>
        <v>266802185 1306021 8177106 viviane rebeca de freitas firme trifil sjp 101</v>
      </c>
      <c r="V6" s="15" t="b">
        <f>IFERROR(__xludf.DUMMYFUNCTION("""COMPUTED_VALUE"""),FALSE)</f>
        <v>0</v>
      </c>
    </row>
    <row r="7">
      <c r="A7" s="19">
        <f>IFERROR(__xludf.DUMMYFUNCTION("""COMPUTED_VALUE"""),46304.0)</f>
        <v>46304</v>
      </c>
      <c r="B7" s="19">
        <f>IFERROR(__xludf.DUMMYFUNCTION("""COMPUTED_VALUE"""),46316.0)</f>
        <v>46316</v>
      </c>
      <c r="C7" s="15">
        <f>IFERROR(__xludf.DUMMYFUNCTION("""COMPUTED_VALUE"""),7.0)</f>
        <v>7</v>
      </c>
      <c r="D7" s="15" t="str">
        <f>IFERROR(__xludf.DUMMYFUNCTION("""COMPUTED_VALUE"""),"AQA")</f>
        <v>AQA</v>
      </c>
      <c r="E7" s="15" t="str">
        <f>IFERROR(__xludf.DUMMYFUNCTION("""COMPUTED_VALUE"""),"LOJAS LUPO")</f>
        <v>LOJAS LUPO</v>
      </c>
      <c r="F7" s="15" t="str">
        <f>IFERROR(__xludf.DUMMYFUNCTION("""COMPUTED_VALUE"""),"TRIFIL")</f>
        <v>TRIFIL</v>
      </c>
      <c r="G7" s="15" t="str">
        <f>IFERROR(__xludf.DUMMYFUNCTION("""COMPUTED_VALUE"""),"266802186")</f>
        <v>266802186</v>
      </c>
      <c r="H7" s="15" t="str">
        <f>IFERROR(__xludf.DUMMYFUNCTION("""COMPUTED_VALUE"""),"1304628")</f>
        <v>1304628</v>
      </c>
      <c r="I7" s="15" t="str">
        <f>IFERROR(__xludf.DUMMYFUNCTION("""COMPUTED_VALUE"""),"8177107")</f>
        <v>8177107</v>
      </c>
      <c r="J7" s="15" t="str">
        <f>IFERROR(__xludf.DUMMYFUNCTION("""COMPUTED_VALUE"""),"CIF")</f>
        <v>CIF</v>
      </c>
      <c r="K7" s="15" t="str">
        <f>IFERROR(__xludf.DUMMYFUNCTION("""COMPUTED_VALUE"""),"SAO-1")</f>
        <v>SAO-1</v>
      </c>
      <c r="L7" s="15" t="str">
        <f>IFERROR(__xludf.DUMMYFUNCTION("""COMPUTED_VALUE"""),"AUTORIZADO")</f>
        <v>AUTORIZADO</v>
      </c>
      <c r="M7" s="15" t="str">
        <f>IFERROR(__xludf.DUMMYFUNCTION("""COMPUTED_VALUE"""),"NA ORIGEM")</f>
        <v>NA ORIGEM</v>
      </c>
      <c r="N7" s="15" t="str">
        <f>IFERROR(__xludf.DUMMYFUNCTION("""COMPUTED_VALUE"""),"Antes Prazo")</f>
        <v>Antes Prazo</v>
      </c>
      <c r="O7" s="15" t="str">
        <f>IFERROR(__xludf.DUMMYFUNCTION("""COMPUTED_VALUE"""),"B2B")</f>
        <v>B2B</v>
      </c>
      <c r="P7" s="16">
        <f>IFERROR(__xludf.DUMMYFUNCTION("""COMPUTED_VALUE"""),310.68)</f>
        <v>310.68</v>
      </c>
      <c r="Q7" s="15">
        <f>IFERROR(__xludf.DUMMYFUNCTION("""COMPUTED_VALUE"""),56.0)</f>
        <v>56</v>
      </c>
      <c r="R7" s="15" t="str">
        <f>IFERROR(__xludf.DUMMYFUNCTION("""COMPUTED_VALUE"""),"RODO")</f>
        <v>RODO</v>
      </c>
      <c r="S7" s="15" t="str">
        <f>IFERROR(__xludf.DUMMYFUNCTION("""COMPUTED_VALUE"""),"ITN")</f>
        <v>ITN</v>
      </c>
      <c r="T7" s="15" t="str">
        <f>IFERROR(__xludf.DUMMYFUNCTION("""COMPUTED_VALUE"""),"2")</f>
        <v>2</v>
      </c>
      <c r="U7" s="15" t="str">
        <f>IFERROR(__xludf.DUMMYFUNCTION("""COMPUTED_VALUE"""),"266802186 1304628 8177107 lojas lupo trifil aqa 2")</f>
        <v>266802186 1304628 8177107 lojas lupo trifil aqa 2</v>
      </c>
      <c r="V7" s="15" t="b">
        <f>IFERROR(__xludf.DUMMYFUNCTION("""COMPUTED_VALUE"""),FALSE)</f>
        <v>0</v>
      </c>
    </row>
    <row r="8">
      <c r="A8" s="19">
        <f>IFERROR(__xludf.DUMMYFUNCTION("""COMPUTED_VALUE"""),46304.0)</f>
        <v>46304</v>
      </c>
      <c r="B8" s="19">
        <f>IFERROR(__xludf.DUMMYFUNCTION("""COMPUTED_VALUE"""),46323.0)</f>
        <v>46323</v>
      </c>
      <c r="C8" s="15">
        <f>IFERROR(__xludf.DUMMYFUNCTION("""COMPUTED_VALUE"""),12.0)</f>
        <v>12</v>
      </c>
      <c r="D8" s="15" t="str">
        <f>IFERROR(__xludf.DUMMYFUNCTION("""COMPUTED_VALUE"""),"SOD")</f>
        <v>SOD</v>
      </c>
      <c r="E8" s="15" t="str">
        <f>IFERROR(__xludf.DUMMYFUNCTION("""COMPUTED_VALUE"""),"MASTHER VARIEDADES LTDA")</f>
        <v>MASTHER VARIEDADES LTDA</v>
      </c>
      <c r="F8" s="15" t="str">
        <f>IFERROR(__xludf.DUMMYFUNCTION("""COMPUTED_VALUE"""),"TRIFIL")</f>
        <v>TRIFIL</v>
      </c>
      <c r="G8" s="15" t="str">
        <f>IFERROR(__xludf.DUMMYFUNCTION("""COMPUTED_VALUE"""),"266802187")</f>
        <v>266802187</v>
      </c>
      <c r="H8" s="15" t="str">
        <f>IFERROR(__xludf.DUMMYFUNCTION("""COMPUTED_VALUE"""),"1305607")</f>
        <v>1305607</v>
      </c>
      <c r="I8" s="15" t="str">
        <f>IFERROR(__xludf.DUMMYFUNCTION("""COMPUTED_VALUE"""),"8177083")</f>
        <v>8177083</v>
      </c>
      <c r="J8" s="15" t="str">
        <f>IFERROR(__xludf.DUMMYFUNCTION("""COMPUTED_VALUE"""),"CIF")</f>
        <v>CIF</v>
      </c>
      <c r="K8" s="15" t="str">
        <f>IFERROR(__xludf.DUMMYFUNCTION("""COMPUTED_VALUE"""),"SAO-1")</f>
        <v>SAO-1</v>
      </c>
      <c r="L8" s="15" t="str">
        <f>IFERROR(__xludf.DUMMYFUNCTION("""COMPUTED_VALUE"""),"AUTORIZADO")</f>
        <v>AUTORIZADO</v>
      </c>
      <c r="M8" s="15" t="str">
        <f>IFERROR(__xludf.DUMMYFUNCTION("""COMPUTED_VALUE"""),"NA ORIGEM")</f>
        <v>NA ORIGEM</v>
      </c>
      <c r="N8" s="15" t="str">
        <f>IFERROR(__xludf.DUMMYFUNCTION("""COMPUTED_VALUE"""),"Antes Prazo")</f>
        <v>Antes Prazo</v>
      </c>
      <c r="O8" s="15" t="str">
        <f>IFERROR(__xludf.DUMMYFUNCTION("""COMPUTED_VALUE"""),"B2B")</f>
        <v>B2B</v>
      </c>
      <c r="P8" s="16">
        <f>IFERROR(__xludf.DUMMYFUNCTION("""COMPUTED_VALUE"""),38.46)</f>
        <v>38.46</v>
      </c>
      <c r="Q8" s="15">
        <f>IFERROR(__xludf.DUMMYFUNCTION("""COMPUTED_VALUE"""),3.0)</f>
        <v>3</v>
      </c>
      <c r="R8" s="15" t="str">
        <f>IFERROR(__xludf.DUMMYFUNCTION("""COMPUTED_VALUE"""),"RODO")</f>
        <v>RODO</v>
      </c>
      <c r="S8" s="15" t="str">
        <f>IFERROR(__xludf.DUMMYFUNCTION("""COMPUTED_VALUE"""),"ITN")</f>
        <v>ITN</v>
      </c>
      <c r="T8" s="15" t="str">
        <f>IFERROR(__xludf.DUMMYFUNCTION("""COMPUTED_VALUE"""),"107")</f>
        <v>107</v>
      </c>
      <c r="U8" s="15" t="str">
        <f>IFERROR(__xludf.DUMMYFUNCTION("""COMPUTED_VALUE"""),"266802187 1305607 8177083 masther variedades ltda trifil sod 107")</f>
        <v>266802187 1305607 8177083 masther variedades ltda trifil sod 107</v>
      </c>
      <c r="V8" s="15" t="b">
        <f>IFERROR(__xludf.DUMMYFUNCTION("""COMPUTED_VALUE"""),FALSE)</f>
        <v>0</v>
      </c>
    </row>
    <row r="9">
      <c r="A9" s="19">
        <f>IFERROR(__xludf.DUMMYFUNCTION("""COMPUTED_VALUE"""),46304.0)</f>
        <v>46304</v>
      </c>
      <c r="B9" s="19">
        <f>IFERROR(__xludf.DUMMYFUNCTION("""COMPUTED_VALUE"""),46317.0)</f>
        <v>46317</v>
      </c>
      <c r="C9" s="15">
        <f>IFERROR(__xludf.DUMMYFUNCTION("""COMPUTED_VALUE"""),8.0)</f>
        <v>8</v>
      </c>
      <c r="D9" s="15" t="str">
        <f>IFERROR(__xludf.DUMMYFUNCTION("""COMPUTED_VALUE"""),"SOD")</f>
        <v>SOD</v>
      </c>
      <c r="E9" s="15" t="str">
        <f>IFERROR(__xludf.DUMMYFUNCTION("""COMPUTED_VALUE"""),"MILENE PEDROSO FAVARO ME")</f>
        <v>MILENE PEDROSO FAVARO ME</v>
      </c>
      <c r="F9" s="15" t="str">
        <f>IFERROR(__xludf.DUMMYFUNCTION("""COMPUTED_VALUE"""),"TRIFIL")</f>
        <v>TRIFIL</v>
      </c>
      <c r="G9" s="15" t="str">
        <f>IFERROR(__xludf.DUMMYFUNCTION("""COMPUTED_VALUE"""),"266802188")</f>
        <v>266802188</v>
      </c>
      <c r="H9" s="15" t="str">
        <f>IFERROR(__xludf.DUMMYFUNCTION("""COMPUTED_VALUE"""),"1305858")</f>
        <v>1305858</v>
      </c>
      <c r="I9" s="15" t="str">
        <f>IFERROR(__xludf.DUMMYFUNCTION("""COMPUTED_VALUE"""),"8177084")</f>
        <v>8177084</v>
      </c>
      <c r="J9" s="15" t="str">
        <f>IFERROR(__xludf.DUMMYFUNCTION("""COMPUTED_VALUE"""),"CIF")</f>
        <v>CIF</v>
      </c>
      <c r="K9" s="15" t="str">
        <f>IFERROR(__xludf.DUMMYFUNCTION("""COMPUTED_VALUE"""),"SAO-1")</f>
        <v>SAO-1</v>
      </c>
      <c r="L9" s="15" t="str">
        <f>IFERROR(__xludf.DUMMYFUNCTION("""COMPUTED_VALUE"""),"AUTORIZADO")</f>
        <v>AUTORIZADO</v>
      </c>
      <c r="M9" s="15" t="str">
        <f>IFERROR(__xludf.DUMMYFUNCTION("""COMPUTED_VALUE"""),"NA ORIGEM")</f>
        <v>NA ORIGEM</v>
      </c>
      <c r="N9" s="15" t="str">
        <f>IFERROR(__xludf.DUMMYFUNCTION("""COMPUTED_VALUE"""),"Antes Prazo")</f>
        <v>Antes Prazo</v>
      </c>
      <c r="O9" s="15" t="str">
        <f>IFERROR(__xludf.DUMMYFUNCTION("""COMPUTED_VALUE"""),"B2B")</f>
        <v>B2B</v>
      </c>
      <c r="P9" s="16">
        <f>IFERROR(__xludf.DUMMYFUNCTION("""COMPUTED_VALUE"""),38.46)</f>
        <v>38.46</v>
      </c>
      <c r="Q9" s="15">
        <f>IFERROR(__xludf.DUMMYFUNCTION("""COMPUTED_VALUE"""),2.0)</f>
        <v>2</v>
      </c>
      <c r="R9" s="15" t="str">
        <f>IFERROR(__xludf.DUMMYFUNCTION("""COMPUTED_VALUE"""),"RODO")</f>
        <v>RODO</v>
      </c>
      <c r="S9" s="15" t="str">
        <f>IFERROR(__xludf.DUMMYFUNCTION("""COMPUTED_VALUE"""),"ITN")</f>
        <v>ITN</v>
      </c>
      <c r="T9" s="15" t="str">
        <f>IFERROR(__xludf.DUMMYFUNCTION("""COMPUTED_VALUE"""),"104")</f>
        <v>104</v>
      </c>
      <c r="U9" s="15" t="str">
        <f>IFERROR(__xludf.DUMMYFUNCTION("""COMPUTED_VALUE"""),"266802188 1305858 8177084 milene pedroso favaro me trifil sod 104")</f>
        <v>266802188 1305858 8177084 milene pedroso favaro me trifil sod 104</v>
      </c>
      <c r="V9" s="15" t="b">
        <f>IFERROR(__xludf.DUMMYFUNCTION("""COMPUTED_VALUE"""),FALSE)</f>
        <v>0</v>
      </c>
    </row>
    <row r="10">
      <c r="A10" s="19">
        <f>IFERROR(__xludf.DUMMYFUNCTION("""COMPUTED_VALUE"""),46304.0)</f>
        <v>46304</v>
      </c>
      <c r="B10" s="19">
        <f>IFERROR(__xludf.DUMMYFUNCTION("""COMPUTED_VALUE"""),46316.0)</f>
        <v>46316</v>
      </c>
      <c r="C10" s="15">
        <f>IFERROR(__xludf.DUMMYFUNCTION("""COMPUTED_VALUE"""),7.0)</f>
        <v>7</v>
      </c>
      <c r="D10" s="15" t="str">
        <f>IFERROR(__xludf.DUMMYFUNCTION("""COMPUTED_VALUE"""),"RIO")</f>
        <v>RIO</v>
      </c>
      <c r="E10" s="15" t="str">
        <f>IFERROR(__xludf.DUMMYFUNCTION("""COMPUTED_VALUE"""),"H. V. MODAS LTDA - ME")</f>
        <v>H. V. MODAS LTDA - ME</v>
      </c>
      <c r="F10" s="15" t="str">
        <f>IFERROR(__xludf.DUMMYFUNCTION("""COMPUTED_VALUE"""),"TRIFIL")</f>
        <v>TRIFIL</v>
      </c>
      <c r="G10" s="15" t="str">
        <f>IFERROR(__xludf.DUMMYFUNCTION("""COMPUTED_VALUE"""),"266802189")</f>
        <v>266802189</v>
      </c>
      <c r="H10" s="15" t="str">
        <f>IFERROR(__xludf.DUMMYFUNCTION("""COMPUTED_VALUE"""),"1305850")</f>
        <v>1305850</v>
      </c>
      <c r="I10" s="15" t="str">
        <f>IFERROR(__xludf.DUMMYFUNCTION("""COMPUTED_VALUE"""),"8177078")</f>
        <v>8177078</v>
      </c>
      <c r="J10" s="15" t="str">
        <f>IFERROR(__xludf.DUMMYFUNCTION("""COMPUTED_VALUE"""),"CIF")</f>
        <v>CIF</v>
      </c>
      <c r="K10" s="15" t="str">
        <f>IFERROR(__xludf.DUMMYFUNCTION("""COMPUTED_VALUE"""),"(sem célula)")</f>
        <v>(sem célula)</v>
      </c>
      <c r="L10" s="15" t="str">
        <f>IFERROR(__xludf.DUMMYFUNCTION("""COMPUTED_VALUE"""),"AUTORIZADO")</f>
        <v>AUTORIZADO</v>
      </c>
      <c r="M10" s="15" t="str">
        <f>IFERROR(__xludf.DUMMYFUNCTION("""COMPUTED_VALUE"""),"NA ORIGEM")</f>
        <v>NA ORIGEM</v>
      </c>
      <c r="N10" s="15" t="str">
        <f>IFERROR(__xludf.DUMMYFUNCTION("""COMPUTED_VALUE"""),"Antes Prazo")</f>
        <v>Antes Prazo</v>
      </c>
      <c r="O10" s="15" t="str">
        <f>IFERROR(__xludf.DUMMYFUNCTION("""COMPUTED_VALUE"""),"B2B")</f>
        <v>B2B</v>
      </c>
      <c r="P10" s="16">
        <f>IFERROR(__xludf.DUMMYFUNCTION("""COMPUTED_VALUE"""),69.49)</f>
        <v>69.49</v>
      </c>
      <c r="Q10" s="15">
        <f>IFERROR(__xludf.DUMMYFUNCTION("""COMPUTED_VALUE"""),1.0)</f>
        <v>1</v>
      </c>
      <c r="R10" s="15" t="str">
        <f>IFERROR(__xludf.DUMMYFUNCTION("""COMPUTED_VALUE"""),"RODO")</f>
        <v>RODO</v>
      </c>
      <c r="S10" s="15" t="str">
        <f>IFERROR(__xludf.DUMMYFUNCTION("""COMPUTED_VALUE"""),"ITN")</f>
        <v>ITN</v>
      </c>
      <c r="T10" s="15" t="str">
        <f>IFERROR(__xludf.DUMMYFUNCTION("""COMPUTED_VALUE"""),"62")</f>
        <v>62</v>
      </c>
      <c r="U10" s="15" t="str">
        <f>IFERROR(__xludf.DUMMYFUNCTION("""COMPUTED_VALUE"""),"266802189 1305850 8177078 h. v. modas ltda - me trifil rio 62")</f>
        <v>266802189 1305850 8177078 h. v. modas ltda - me trifil rio 62</v>
      </c>
      <c r="V10" s="15" t="b">
        <f>IFERROR(__xludf.DUMMYFUNCTION("""COMPUTED_VALUE"""),FALSE)</f>
        <v>0</v>
      </c>
    </row>
    <row r="11">
      <c r="A11" s="19">
        <f>IFERROR(__xludf.DUMMYFUNCTION("""COMPUTED_VALUE"""),46304.0)</f>
        <v>46304</v>
      </c>
      <c r="B11" s="19">
        <f>IFERROR(__xludf.DUMMYFUNCTION("""COMPUTED_VALUE"""),46316.0)</f>
        <v>46316</v>
      </c>
      <c r="C11" s="15">
        <f>IFERROR(__xludf.DUMMYFUNCTION("""COMPUTED_VALUE"""),7.0)</f>
        <v>7</v>
      </c>
      <c r="D11" s="15" t="str">
        <f>IFERROR(__xludf.DUMMYFUNCTION("""COMPUTED_VALUE"""),"BHZ")</f>
        <v>BHZ</v>
      </c>
      <c r="E11" s="15" t="str">
        <f>IFERROR(__xludf.DUMMYFUNCTION("""COMPUTED_VALUE"""),"LUPO")</f>
        <v>LUPO</v>
      </c>
      <c r="F11" s="15" t="str">
        <f>IFERROR(__xludf.DUMMYFUNCTION("""COMPUTED_VALUE"""),"TRIFIL")</f>
        <v>TRIFIL</v>
      </c>
      <c r="G11" s="15" t="str">
        <f>IFERROR(__xludf.DUMMYFUNCTION("""COMPUTED_VALUE"""),"266802190")</f>
        <v>266802190</v>
      </c>
      <c r="H11" s="15" t="str">
        <f>IFERROR(__xludf.DUMMYFUNCTION("""COMPUTED_VALUE"""),"1305803")</f>
        <v>1305803</v>
      </c>
      <c r="I11" s="15" t="str">
        <f>IFERROR(__xludf.DUMMYFUNCTION("""COMPUTED_VALUE"""),"8177085")</f>
        <v>8177085</v>
      </c>
      <c r="J11" s="15" t="str">
        <f>IFERROR(__xludf.DUMMYFUNCTION("""COMPUTED_VALUE"""),"CIF")</f>
        <v>CIF</v>
      </c>
      <c r="K11" s="15" t="str">
        <f>IFERROR(__xludf.DUMMYFUNCTION("""COMPUTED_VALUE"""),"(sem célula)")</f>
        <v>(sem célula)</v>
      </c>
      <c r="L11" s="15" t="str">
        <f>IFERROR(__xludf.DUMMYFUNCTION("""COMPUTED_VALUE"""),"AUTORIZADO")</f>
        <v>AUTORIZADO</v>
      </c>
      <c r="M11" s="15" t="str">
        <f>IFERROR(__xludf.DUMMYFUNCTION("""COMPUTED_VALUE"""),"NA ORIGEM")</f>
        <v>NA ORIGEM</v>
      </c>
      <c r="N11" s="15" t="str">
        <f>IFERROR(__xludf.DUMMYFUNCTION("""COMPUTED_VALUE"""),"Antes Prazo")</f>
        <v>Antes Prazo</v>
      </c>
      <c r="O11" s="15" t="str">
        <f>IFERROR(__xludf.DUMMYFUNCTION("""COMPUTED_VALUE"""),"B2B")</f>
        <v>B2B</v>
      </c>
      <c r="P11" s="16">
        <f>IFERROR(__xludf.DUMMYFUNCTION("""COMPUTED_VALUE"""),66.52)</f>
        <v>66.52</v>
      </c>
      <c r="Q11" s="15">
        <f>IFERROR(__xludf.DUMMYFUNCTION("""COMPUTED_VALUE"""),7.0)</f>
        <v>7</v>
      </c>
      <c r="R11" s="15" t="str">
        <f>IFERROR(__xludf.DUMMYFUNCTION("""COMPUTED_VALUE"""),"RODO")</f>
        <v>RODO</v>
      </c>
      <c r="S11" s="15" t="str">
        <f>IFERROR(__xludf.DUMMYFUNCTION("""COMPUTED_VALUE"""),"ITN")</f>
        <v>ITN</v>
      </c>
      <c r="T11" s="15" t="str">
        <f>IFERROR(__xludf.DUMMYFUNCTION("""COMPUTED_VALUE"""),"2")</f>
        <v>2</v>
      </c>
      <c r="U11" s="15" t="str">
        <f>IFERROR(__xludf.DUMMYFUNCTION("""COMPUTED_VALUE"""),"266802190 1305803 8177085 lupo trifil bhz 2")</f>
        <v>266802190 1305803 8177085 lupo trifil bhz 2</v>
      </c>
      <c r="V11" s="15" t="b">
        <f>IFERROR(__xludf.DUMMYFUNCTION("""COMPUTED_VALUE"""),FALSE)</f>
        <v>0</v>
      </c>
    </row>
    <row r="12">
      <c r="A12" s="19">
        <f>IFERROR(__xludf.DUMMYFUNCTION("""COMPUTED_VALUE"""),46304.0)</f>
        <v>46304</v>
      </c>
      <c r="B12" s="19">
        <f>IFERROR(__xludf.DUMMYFUNCTION("""COMPUTED_VALUE"""),46318.0)</f>
        <v>46318</v>
      </c>
      <c r="C12" s="15">
        <f>IFERROR(__xludf.DUMMYFUNCTION("""COMPUTED_VALUE"""),9.0)</f>
        <v>9</v>
      </c>
      <c r="D12" s="15" t="str">
        <f>IFERROR(__xludf.DUMMYFUNCTION("""COMPUTED_VALUE"""),"BCG")</f>
        <v>BCG</v>
      </c>
      <c r="E12" s="15" t="str">
        <f>IFERROR(__xludf.DUMMYFUNCTION("""COMPUTED_VALUE"""),"MARIA DALVA FERREIRA DOS SANTOS")</f>
        <v>MARIA DALVA FERREIRA DOS SANTOS</v>
      </c>
      <c r="F12" s="15" t="str">
        <f>IFERROR(__xludf.DUMMYFUNCTION("""COMPUTED_VALUE"""),"TRIFIL")</f>
        <v>TRIFIL</v>
      </c>
      <c r="G12" s="15" t="str">
        <f>IFERROR(__xludf.DUMMYFUNCTION("""COMPUTED_VALUE"""),"266802191")</f>
        <v>266802191</v>
      </c>
      <c r="H12" s="15" t="str">
        <f>IFERROR(__xludf.DUMMYFUNCTION("""COMPUTED_VALUE"""),"1306008")</f>
        <v>1306008</v>
      </c>
      <c r="I12" s="15" t="str">
        <f>IFERROR(__xludf.DUMMYFUNCTION("""COMPUTED_VALUE"""),"8177102")</f>
        <v>8177102</v>
      </c>
      <c r="J12" s="15" t="str">
        <f>IFERROR(__xludf.DUMMYFUNCTION("""COMPUTED_VALUE"""),"CIF")</f>
        <v>CIF</v>
      </c>
      <c r="K12" s="15" t="str">
        <f>IFERROR(__xludf.DUMMYFUNCTION("""COMPUTED_VALUE"""),"(sem célula)")</f>
        <v>(sem célula)</v>
      </c>
      <c r="L12" s="15" t="str">
        <f>IFERROR(__xludf.DUMMYFUNCTION("""COMPUTED_VALUE"""),"AUTORIZADO")</f>
        <v>AUTORIZADO</v>
      </c>
      <c r="M12" s="15" t="str">
        <f>IFERROR(__xludf.DUMMYFUNCTION("""COMPUTED_VALUE"""),"NA ORIGEM")</f>
        <v>NA ORIGEM</v>
      </c>
      <c r="N12" s="15" t="str">
        <f>IFERROR(__xludf.DUMMYFUNCTION("""COMPUTED_VALUE"""),"Antes Prazo")</f>
        <v>Antes Prazo</v>
      </c>
      <c r="O12" s="15" t="str">
        <f>IFERROR(__xludf.DUMMYFUNCTION("""COMPUTED_VALUE"""),"B2B")</f>
        <v>B2B</v>
      </c>
      <c r="P12" s="16">
        <f>IFERROR(__xludf.DUMMYFUNCTION("""COMPUTED_VALUE"""),51.62)</f>
        <v>51.62</v>
      </c>
      <c r="Q12" s="15">
        <f>IFERROR(__xludf.DUMMYFUNCTION("""COMPUTED_VALUE"""),5.0)</f>
        <v>5</v>
      </c>
      <c r="R12" s="15" t="str">
        <f>IFERROR(__xludf.DUMMYFUNCTION("""COMPUTED_VALUE"""),"RODO")</f>
        <v>RODO</v>
      </c>
      <c r="S12" s="15" t="str">
        <f>IFERROR(__xludf.DUMMYFUNCTION("""COMPUTED_VALUE"""),"ITN")</f>
        <v>ITN</v>
      </c>
      <c r="T12" s="15" t="str">
        <f>IFERROR(__xludf.DUMMYFUNCTION("""COMPUTED_VALUE"""),"127")</f>
        <v>127</v>
      </c>
      <c r="U12" s="15" t="str">
        <f>IFERROR(__xludf.DUMMYFUNCTION("""COMPUTED_VALUE"""),"266802191 1306008 8177102 maria dalva ferreira dos santos trifil bcg 127")</f>
        <v>266802191 1306008 8177102 maria dalva ferreira dos santos trifil bcg 127</v>
      </c>
      <c r="V12" s="15" t="b">
        <f>IFERROR(__xludf.DUMMYFUNCTION("""COMPUTED_VALUE"""),FALSE)</f>
        <v>0</v>
      </c>
    </row>
    <row r="13">
      <c r="A13" s="19">
        <f>IFERROR(__xludf.DUMMYFUNCTION("""COMPUTED_VALUE"""),46304.0)</f>
        <v>46304</v>
      </c>
      <c r="B13" s="19">
        <f>IFERROR(__xludf.DUMMYFUNCTION("""COMPUTED_VALUE"""),46322.0)</f>
        <v>46322</v>
      </c>
      <c r="C13" s="15">
        <f>IFERROR(__xludf.DUMMYFUNCTION("""COMPUTED_VALUE"""),11.0)</f>
        <v>11</v>
      </c>
      <c r="D13" s="15" t="str">
        <f>IFERROR(__xludf.DUMMYFUNCTION("""COMPUTED_VALUE"""),"JDF")</f>
        <v>JDF</v>
      </c>
      <c r="E13" s="15" t="str">
        <f>IFERROR(__xludf.DUMMYFUNCTION("""COMPUTED_VALUE"""),"ELENICE GOMES E CIA")</f>
        <v>ELENICE GOMES E CIA</v>
      </c>
      <c r="F13" s="15" t="str">
        <f>IFERROR(__xludf.DUMMYFUNCTION("""COMPUTED_VALUE"""),"TRIFIL")</f>
        <v>TRIFIL</v>
      </c>
      <c r="G13" s="15" t="str">
        <f>IFERROR(__xludf.DUMMYFUNCTION("""COMPUTED_VALUE"""),"266802192")</f>
        <v>266802192</v>
      </c>
      <c r="H13" s="15" t="str">
        <f>IFERROR(__xludf.DUMMYFUNCTION("""COMPUTED_VALUE"""),"1306003")</f>
        <v>1306003</v>
      </c>
      <c r="I13" s="15" t="str">
        <f>IFERROR(__xludf.DUMMYFUNCTION("""COMPUTED_VALUE"""),"8177103")</f>
        <v>8177103</v>
      </c>
      <c r="J13" s="15" t="str">
        <f>IFERROR(__xludf.DUMMYFUNCTION("""COMPUTED_VALUE"""),"CIF")</f>
        <v>CIF</v>
      </c>
      <c r="K13" s="15" t="str">
        <f>IFERROR(__xludf.DUMMYFUNCTION("""COMPUTED_VALUE"""),"(sem célula)")</f>
        <v>(sem célula)</v>
      </c>
      <c r="L13" s="15" t="str">
        <f>IFERROR(__xludf.DUMMYFUNCTION("""COMPUTED_VALUE"""),"AUTORIZADO")</f>
        <v>AUTORIZADO</v>
      </c>
      <c r="M13" s="15" t="str">
        <f>IFERROR(__xludf.DUMMYFUNCTION("""COMPUTED_VALUE"""),"NA ORIGEM")</f>
        <v>NA ORIGEM</v>
      </c>
      <c r="N13" s="15" t="str">
        <f>IFERROR(__xludf.DUMMYFUNCTION("""COMPUTED_VALUE"""),"Antes Prazo")</f>
        <v>Antes Prazo</v>
      </c>
      <c r="O13" s="15" t="str">
        <f>IFERROR(__xludf.DUMMYFUNCTION("""COMPUTED_VALUE"""),"B2B")</f>
        <v>B2B</v>
      </c>
      <c r="P13" s="16">
        <f>IFERROR(__xludf.DUMMYFUNCTION("""COMPUTED_VALUE"""),49.43)</f>
        <v>49.43</v>
      </c>
      <c r="Q13" s="15">
        <f>IFERROR(__xludf.DUMMYFUNCTION("""COMPUTED_VALUE"""),2.0)</f>
        <v>2</v>
      </c>
      <c r="R13" s="15" t="str">
        <f>IFERROR(__xludf.DUMMYFUNCTION("""COMPUTED_VALUE"""),"RODO")</f>
        <v>RODO</v>
      </c>
      <c r="S13" s="15" t="str">
        <f>IFERROR(__xludf.DUMMYFUNCTION("""COMPUTED_VALUE"""),"ITN")</f>
        <v>ITN</v>
      </c>
      <c r="T13" s="15" t="str">
        <f>IFERROR(__xludf.DUMMYFUNCTION("""COMPUTED_VALUE"""),"103")</f>
        <v>103</v>
      </c>
      <c r="U13" s="15" t="str">
        <f>IFERROR(__xludf.DUMMYFUNCTION("""COMPUTED_VALUE"""),"266802192 1306003 8177103 elenice gomes e cia trifil jdf 103")</f>
        <v>266802192 1306003 8177103 elenice gomes e cia trifil jdf 103</v>
      </c>
      <c r="V13" s="15" t="b">
        <f>IFERROR(__xludf.DUMMYFUNCTION("""COMPUTED_VALUE"""),FALSE)</f>
        <v>0</v>
      </c>
    </row>
    <row r="14">
      <c r="A14" s="19">
        <f>IFERROR(__xludf.DUMMYFUNCTION("""COMPUTED_VALUE"""),46304.0)</f>
        <v>46304</v>
      </c>
      <c r="B14" s="19">
        <f>IFERROR(__xludf.DUMMYFUNCTION("""COMPUTED_VALUE"""),46321.0)</f>
        <v>46321</v>
      </c>
      <c r="C14" s="15">
        <f>IFERROR(__xludf.DUMMYFUNCTION("""COMPUTED_VALUE"""),10.0)</f>
        <v>10</v>
      </c>
      <c r="D14" s="15" t="str">
        <f>IFERROR(__xludf.DUMMYFUNCTION("""COMPUTED_VALUE"""),"VAG")</f>
        <v>VAG</v>
      </c>
      <c r="E14" s="15" t="str">
        <f>IFERROR(__xludf.DUMMYFUNCTION("""COMPUTED_VALUE"""),"JO MODAS LTDA ME - 2031 1 9")</f>
        <v>JO MODAS LTDA ME - 2031 1 9</v>
      </c>
      <c r="F14" s="15" t="str">
        <f>IFERROR(__xludf.DUMMYFUNCTION("""COMPUTED_VALUE"""),"TRIFIL")</f>
        <v>TRIFIL</v>
      </c>
      <c r="G14" s="15" t="str">
        <f>IFERROR(__xludf.DUMMYFUNCTION("""COMPUTED_VALUE"""),"266802193")</f>
        <v>266802193</v>
      </c>
      <c r="H14" s="15" t="str">
        <f>IFERROR(__xludf.DUMMYFUNCTION("""COMPUTED_VALUE"""),"1306020")</f>
        <v>1306020</v>
      </c>
      <c r="I14" s="15" t="str">
        <f>IFERROR(__xludf.DUMMYFUNCTION("""COMPUTED_VALUE"""),"8177104")</f>
        <v>8177104</v>
      </c>
      <c r="J14" s="15" t="str">
        <f>IFERROR(__xludf.DUMMYFUNCTION("""COMPUTED_VALUE"""),"CIF")</f>
        <v>CIF</v>
      </c>
      <c r="K14" s="15" t="str">
        <f>IFERROR(__xludf.DUMMYFUNCTION("""COMPUTED_VALUE"""),"(sem célula)")</f>
        <v>(sem célula)</v>
      </c>
      <c r="L14" s="15" t="str">
        <f>IFERROR(__xludf.DUMMYFUNCTION("""COMPUTED_VALUE"""),"AUTORIZADO")</f>
        <v>AUTORIZADO</v>
      </c>
      <c r="M14" s="15" t="str">
        <f>IFERROR(__xludf.DUMMYFUNCTION("""COMPUTED_VALUE"""),"NA ORIGEM")</f>
        <v>NA ORIGEM</v>
      </c>
      <c r="N14" s="15" t="str">
        <f>IFERROR(__xludf.DUMMYFUNCTION("""COMPUTED_VALUE"""),"Antes Prazo")</f>
        <v>Antes Prazo</v>
      </c>
      <c r="O14" s="15" t="str">
        <f>IFERROR(__xludf.DUMMYFUNCTION("""COMPUTED_VALUE"""),"B2B")</f>
        <v>B2B</v>
      </c>
      <c r="P14" s="16">
        <f>IFERROR(__xludf.DUMMYFUNCTION("""COMPUTED_VALUE"""),61.68)</f>
        <v>61.68</v>
      </c>
      <c r="Q14" s="15">
        <f>IFERROR(__xludf.DUMMYFUNCTION("""COMPUTED_VALUE"""),8.0)</f>
        <v>8</v>
      </c>
      <c r="R14" s="15" t="str">
        <f>IFERROR(__xludf.DUMMYFUNCTION("""COMPUTED_VALUE"""),"RODO")</f>
        <v>RODO</v>
      </c>
      <c r="S14" s="15" t="str">
        <f>IFERROR(__xludf.DUMMYFUNCTION("""COMPUTED_VALUE"""),"ITN")</f>
        <v>ITN</v>
      </c>
      <c r="T14" s="15" t="str">
        <f>IFERROR(__xludf.DUMMYFUNCTION("""COMPUTED_VALUE"""),"102")</f>
        <v>102</v>
      </c>
      <c r="U14" s="15" t="str">
        <f>IFERROR(__xludf.DUMMYFUNCTION("""COMPUTED_VALUE"""),"266802193 1306020 8177104 jo modas ltda me - 2031 1 9 trifil vag 102")</f>
        <v>266802193 1306020 8177104 jo modas ltda me - 2031 1 9 trifil vag 102</v>
      </c>
      <c r="V14" s="15" t="b">
        <f>IFERROR(__xludf.DUMMYFUNCTION("""COMPUTED_VALUE"""),FALSE)</f>
        <v>0</v>
      </c>
    </row>
    <row r="15">
      <c r="A15" s="19">
        <f>IFERROR(__xludf.DUMMYFUNCTION("""COMPUTED_VALUE"""),46304.0)</f>
        <v>46304</v>
      </c>
      <c r="B15" s="19">
        <f>IFERROR(__xludf.DUMMYFUNCTION("""COMPUTED_VALUE"""),46322.0)</f>
        <v>46322</v>
      </c>
      <c r="C15" s="15">
        <f>IFERROR(__xludf.DUMMYFUNCTION("""COMPUTED_VALUE"""),11.0)</f>
        <v>11</v>
      </c>
      <c r="D15" s="15" t="str">
        <f>IFERROR(__xludf.DUMMYFUNCTION("""COMPUTED_VALUE"""),"MOC")</f>
        <v>MOC</v>
      </c>
      <c r="E15" s="15" t="str">
        <f>IFERROR(__xludf.DUMMYFUNCTION("""COMPUTED_VALUE"""),"LIDIANE ANTUNES DE OLIVEIRA")</f>
        <v>LIDIANE ANTUNES DE OLIVEIRA</v>
      </c>
      <c r="F15" s="15" t="str">
        <f>IFERROR(__xludf.DUMMYFUNCTION("""COMPUTED_VALUE"""),"TRIFIL")</f>
        <v>TRIFIL</v>
      </c>
      <c r="G15" s="15" t="str">
        <f>IFERROR(__xludf.DUMMYFUNCTION("""COMPUTED_VALUE"""),"266802195")</f>
        <v>266802195</v>
      </c>
      <c r="H15" s="15" t="str">
        <f>IFERROR(__xludf.DUMMYFUNCTION("""COMPUTED_VALUE"""),"1305622")</f>
        <v>1305622</v>
      </c>
      <c r="I15" s="15" t="str">
        <f>IFERROR(__xludf.DUMMYFUNCTION("""COMPUTED_VALUE"""),"8177086")</f>
        <v>8177086</v>
      </c>
      <c r="J15" s="15" t="str">
        <f>IFERROR(__xludf.DUMMYFUNCTION("""COMPUTED_VALUE"""),"CIF")</f>
        <v>CIF</v>
      </c>
      <c r="K15" s="15" t="str">
        <f>IFERROR(__xludf.DUMMYFUNCTION("""COMPUTED_VALUE"""),"(sem célula)")</f>
        <v>(sem célula)</v>
      </c>
      <c r="L15" s="15" t="str">
        <f>IFERROR(__xludf.DUMMYFUNCTION("""COMPUTED_VALUE"""),"AUTORIZADO")</f>
        <v>AUTORIZADO</v>
      </c>
      <c r="M15" s="15" t="str">
        <f>IFERROR(__xludf.DUMMYFUNCTION("""COMPUTED_VALUE"""),"NA ORIGEM")</f>
        <v>NA ORIGEM</v>
      </c>
      <c r="N15" s="15" t="str">
        <f>IFERROR(__xludf.DUMMYFUNCTION("""COMPUTED_VALUE"""),"Antes Prazo")</f>
        <v>Antes Prazo</v>
      </c>
      <c r="O15" s="15" t="str">
        <f>IFERROR(__xludf.DUMMYFUNCTION("""COMPUTED_VALUE"""),"B2B")</f>
        <v>B2B</v>
      </c>
      <c r="P15" s="16">
        <f>IFERROR(__xludf.DUMMYFUNCTION("""COMPUTED_VALUE"""),49.43)</f>
        <v>49.43</v>
      </c>
      <c r="Q15" s="15">
        <f>IFERROR(__xludf.DUMMYFUNCTION("""COMPUTED_VALUE"""),2.0)</f>
        <v>2</v>
      </c>
      <c r="R15" s="15" t="str">
        <f>IFERROR(__xludf.DUMMYFUNCTION("""COMPUTED_VALUE"""),"RODO")</f>
        <v>RODO</v>
      </c>
      <c r="S15" s="15" t="str">
        <f>IFERROR(__xludf.DUMMYFUNCTION("""COMPUTED_VALUE"""),"ITN")</f>
        <v>ITN</v>
      </c>
      <c r="T15" s="15" t="str">
        <f>IFERROR(__xludf.DUMMYFUNCTION("""COMPUTED_VALUE"""),"102")</f>
        <v>102</v>
      </c>
      <c r="U15" s="15" t="str">
        <f>IFERROR(__xludf.DUMMYFUNCTION("""COMPUTED_VALUE"""),"266802195 1305622 8177086 lidiane antunes de oliveira trifil moc 102")</f>
        <v>266802195 1305622 8177086 lidiane antunes de oliveira trifil moc 102</v>
      </c>
      <c r="V15" s="15" t="b">
        <f>IFERROR(__xludf.DUMMYFUNCTION("""COMPUTED_VALUE"""),FALSE)</f>
        <v>0</v>
      </c>
    </row>
    <row r="16">
      <c r="A16" s="19">
        <f>IFERROR(__xludf.DUMMYFUNCTION("""COMPUTED_VALUE"""),46304.0)</f>
        <v>46304</v>
      </c>
      <c r="B16" s="19">
        <f>IFERROR(__xludf.DUMMYFUNCTION("""COMPUTED_VALUE"""),46323.0)</f>
        <v>46323</v>
      </c>
      <c r="C16" s="15">
        <f>IFERROR(__xludf.DUMMYFUNCTION("""COMPUTED_VALUE"""),12.0)</f>
        <v>12</v>
      </c>
      <c r="D16" s="15" t="str">
        <f>IFERROR(__xludf.DUMMYFUNCTION("""COMPUTED_VALUE"""),"FSA")</f>
        <v>FSA</v>
      </c>
      <c r="E16" s="15" t="str">
        <f>IFERROR(__xludf.DUMMYFUNCTION("""COMPUTED_VALUE"""),"MARIA IZABEL DA COSTA MATOS - ME")</f>
        <v>MARIA IZABEL DA COSTA MATOS - ME</v>
      </c>
      <c r="F16" s="15" t="str">
        <f>IFERROR(__xludf.DUMMYFUNCTION("""COMPUTED_VALUE"""),"TRIFIL")</f>
        <v>TRIFIL</v>
      </c>
      <c r="G16" s="15" t="str">
        <f>IFERROR(__xludf.DUMMYFUNCTION("""COMPUTED_VALUE"""),"266802197")</f>
        <v>266802197</v>
      </c>
      <c r="H16" s="15" t="str">
        <f>IFERROR(__xludf.DUMMYFUNCTION("""COMPUTED_VALUE"""),"1305600")</f>
        <v>1305600</v>
      </c>
      <c r="I16" s="15" t="str">
        <f>IFERROR(__xludf.DUMMYFUNCTION("""COMPUTED_VALUE"""),"8177087")</f>
        <v>8177087</v>
      </c>
      <c r="J16" s="15" t="str">
        <f>IFERROR(__xludf.DUMMYFUNCTION("""COMPUTED_VALUE"""),"CIF")</f>
        <v>CIF</v>
      </c>
      <c r="K16" s="15" t="str">
        <f>IFERROR(__xludf.DUMMYFUNCTION("""COMPUTED_VALUE"""),"(sem célula)")</f>
        <v>(sem célula)</v>
      </c>
      <c r="L16" s="15" t="str">
        <f>IFERROR(__xludf.DUMMYFUNCTION("""COMPUTED_VALUE"""),"AUTORIZADO")</f>
        <v>AUTORIZADO</v>
      </c>
      <c r="M16" s="15" t="str">
        <f>IFERROR(__xludf.DUMMYFUNCTION("""COMPUTED_VALUE"""),"NA ORIGEM")</f>
        <v>NA ORIGEM</v>
      </c>
      <c r="N16" s="15" t="str">
        <f>IFERROR(__xludf.DUMMYFUNCTION("""COMPUTED_VALUE"""),"Antes Prazo")</f>
        <v>Antes Prazo</v>
      </c>
      <c r="O16" s="15" t="str">
        <f>IFERROR(__xludf.DUMMYFUNCTION("""COMPUTED_VALUE"""),"B2B")</f>
        <v>B2B</v>
      </c>
      <c r="P16" s="16">
        <f>IFERROR(__xludf.DUMMYFUNCTION("""COMPUTED_VALUE"""),37.78)</f>
        <v>37.78</v>
      </c>
      <c r="Q16" s="15">
        <f>IFERROR(__xludf.DUMMYFUNCTION("""COMPUTED_VALUE"""),1.0)</f>
        <v>1</v>
      </c>
      <c r="R16" s="15" t="str">
        <f>IFERROR(__xludf.DUMMYFUNCTION("""COMPUTED_VALUE"""),"RODO")</f>
        <v>RODO</v>
      </c>
      <c r="S16" s="15" t="str">
        <f>IFERROR(__xludf.DUMMYFUNCTION("""COMPUTED_VALUE"""),"ITN")</f>
        <v>ITN</v>
      </c>
      <c r="T16" s="15" t="str">
        <f>IFERROR(__xludf.DUMMYFUNCTION("""COMPUTED_VALUE"""),"217")</f>
        <v>217</v>
      </c>
      <c r="U16" s="15" t="str">
        <f>IFERROR(__xludf.DUMMYFUNCTION("""COMPUTED_VALUE"""),"266802197 1305600 8177087 maria izabel da costa matos - me trifil fsa 217")</f>
        <v>266802197 1305600 8177087 maria izabel da costa matos - me trifil fsa 217</v>
      </c>
      <c r="V16" s="15" t="b">
        <f>IFERROR(__xludf.DUMMYFUNCTION("""COMPUTED_VALUE"""),FALSE)</f>
        <v>0</v>
      </c>
    </row>
    <row r="17">
      <c r="A17" s="19">
        <f>IFERROR(__xludf.DUMMYFUNCTION("""COMPUTED_VALUE"""),46304.0)</f>
        <v>46304</v>
      </c>
      <c r="B17" s="19">
        <f>IFERROR(__xludf.DUMMYFUNCTION("""COMPUTED_VALUE"""),46321.0)</f>
        <v>46321</v>
      </c>
      <c r="C17" s="15">
        <f>IFERROR(__xludf.DUMMYFUNCTION("""COMPUTED_VALUE"""),10.0)</f>
        <v>10</v>
      </c>
      <c r="D17" s="15" t="str">
        <f>IFERROR(__xludf.DUMMYFUNCTION("""COMPUTED_VALUE"""),"REC")</f>
        <v>REC</v>
      </c>
      <c r="E17" s="15" t="str">
        <f>IFERROR(__xludf.DUMMYFUNCTION("""COMPUTED_VALUE"""),"MAGALY MALHAS LTDA-ME.")</f>
        <v>MAGALY MALHAS LTDA-ME.</v>
      </c>
      <c r="F17" s="15" t="str">
        <f>IFERROR(__xludf.DUMMYFUNCTION("""COMPUTED_VALUE"""),"TRIFIL")</f>
        <v>TRIFIL</v>
      </c>
      <c r="G17" s="15" t="str">
        <f>IFERROR(__xludf.DUMMYFUNCTION("""COMPUTED_VALUE"""),"266802204")</f>
        <v>266802204</v>
      </c>
      <c r="H17" s="15" t="str">
        <f>IFERROR(__xludf.DUMMYFUNCTION("""COMPUTED_VALUE"""),"1305857")</f>
        <v>1305857</v>
      </c>
      <c r="I17" s="15" t="str">
        <f>IFERROR(__xludf.DUMMYFUNCTION("""COMPUTED_VALUE"""),"8177088")</f>
        <v>8177088</v>
      </c>
      <c r="J17" s="15" t="str">
        <f>IFERROR(__xludf.DUMMYFUNCTION("""COMPUTED_VALUE"""),"CIF")</f>
        <v>CIF</v>
      </c>
      <c r="K17" s="15" t="str">
        <f>IFERROR(__xludf.DUMMYFUNCTION("""COMPUTED_VALUE"""),"FSA-1")</f>
        <v>FSA-1</v>
      </c>
      <c r="L17" s="15" t="str">
        <f>IFERROR(__xludf.DUMMYFUNCTION("""COMPUTED_VALUE"""),"AUTORIZADO")</f>
        <v>AUTORIZADO</v>
      </c>
      <c r="M17" s="15" t="str">
        <f>IFERROR(__xludf.DUMMYFUNCTION("""COMPUTED_VALUE"""),"NA ORIGEM")</f>
        <v>NA ORIGEM</v>
      </c>
      <c r="N17" s="15" t="str">
        <f>IFERROR(__xludf.DUMMYFUNCTION("""COMPUTED_VALUE"""),"Antes Prazo")</f>
        <v>Antes Prazo</v>
      </c>
      <c r="O17" s="15" t="str">
        <f>IFERROR(__xludf.DUMMYFUNCTION("""COMPUTED_VALUE"""),"B2B")</f>
        <v>B2B</v>
      </c>
      <c r="P17" s="16">
        <f>IFERROR(__xludf.DUMMYFUNCTION("""COMPUTED_VALUE"""),63.12)</f>
        <v>63.12</v>
      </c>
      <c r="Q17" s="15">
        <f>IFERROR(__xludf.DUMMYFUNCTION("""COMPUTED_VALUE"""),2.0)</f>
        <v>2</v>
      </c>
      <c r="R17" s="15" t="str">
        <f>IFERROR(__xludf.DUMMYFUNCTION("""COMPUTED_VALUE"""),"RODO")</f>
        <v>RODO</v>
      </c>
      <c r="S17" s="15" t="str">
        <f>IFERROR(__xludf.DUMMYFUNCTION("""COMPUTED_VALUE"""),"ITN")</f>
        <v>ITN</v>
      </c>
      <c r="T17" s="15" t="str">
        <f>IFERROR(__xludf.DUMMYFUNCTION("""COMPUTED_VALUE"""),"108")</f>
        <v>108</v>
      </c>
      <c r="U17" s="15" t="str">
        <f>IFERROR(__xludf.DUMMYFUNCTION("""COMPUTED_VALUE"""),"266802204 1305857 8177088 magaly malhas ltda-me. trifil rec 108")</f>
        <v>266802204 1305857 8177088 magaly malhas ltda-me. trifil rec 108</v>
      </c>
      <c r="V17" s="15" t="b">
        <f>IFERROR(__xludf.DUMMYFUNCTION("""COMPUTED_VALUE"""),FALSE)</f>
        <v>0</v>
      </c>
    </row>
    <row r="18">
      <c r="A18" s="19">
        <f>IFERROR(__xludf.DUMMYFUNCTION("""COMPUTED_VALUE"""),46304.0)</f>
        <v>46304</v>
      </c>
      <c r="B18" s="19">
        <f>IFERROR(__xludf.DUMMYFUNCTION("""COMPUTED_VALUE"""),46316.0)</f>
        <v>46316</v>
      </c>
      <c r="C18" s="15">
        <f>IFERROR(__xludf.DUMMYFUNCTION("""COMPUTED_VALUE"""),7.0)</f>
        <v>7</v>
      </c>
      <c r="D18" s="15" t="str">
        <f>IFERROR(__xludf.DUMMYFUNCTION("""COMPUTED_VALUE"""),"MCZ")</f>
        <v>MCZ</v>
      </c>
      <c r="E18" s="15" t="str">
        <f>IFERROR(__xludf.DUMMYFUNCTION("""COMPUTED_VALUE"""),"E MANOEL DE MELO")</f>
        <v>E MANOEL DE MELO</v>
      </c>
      <c r="F18" s="15" t="str">
        <f>IFERROR(__xludf.DUMMYFUNCTION("""COMPUTED_VALUE"""),"TRIFIL")</f>
        <v>TRIFIL</v>
      </c>
      <c r="G18" s="15" t="str">
        <f>IFERROR(__xludf.DUMMYFUNCTION("""COMPUTED_VALUE"""),"266802206")</f>
        <v>266802206</v>
      </c>
      <c r="H18" s="15" t="str">
        <f>IFERROR(__xludf.DUMMYFUNCTION("""COMPUTED_VALUE"""),"1306056")</f>
        <v>1306056</v>
      </c>
      <c r="I18" s="15" t="str">
        <f>IFERROR(__xludf.DUMMYFUNCTION("""COMPUTED_VALUE"""),"8177108")</f>
        <v>8177108</v>
      </c>
      <c r="J18" s="15" t="str">
        <f>IFERROR(__xludf.DUMMYFUNCTION("""COMPUTED_VALUE"""),"CIF")</f>
        <v>CIF</v>
      </c>
      <c r="K18" s="15" t="str">
        <f>IFERROR(__xludf.DUMMYFUNCTION("""COMPUTED_VALUE"""),"FSA-1")</f>
        <v>FSA-1</v>
      </c>
      <c r="L18" s="15" t="str">
        <f>IFERROR(__xludf.DUMMYFUNCTION("""COMPUTED_VALUE"""),"AUTORIZADO")</f>
        <v>AUTORIZADO</v>
      </c>
      <c r="M18" s="15" t="str">
        <f>IFERROR(__xludf.DUMMYFUNCTION("""COMPUTED_VALUE"""),"NA ORIGEM")</f>
        <v>NA ORIGEM</v>
      </c>
      <c r="N18" s="15" t="str">
        <f>IFERROR(__xludf.DUMMYFUNCTION("""COMPUTED_VALUE"""),"Antes Prazo")</f>
        <v>Antes Prazo</v>
      </c>
      <c r="O18" s="15" t="str">
        <f>IFERROR(__xludf.DUMMYFUNCTION("""COMPUTED_VALUE"""),"B2B")</f>
        <v>B2B</v>
      </c>
      <c r="P18" s="16">
        <f>IFERROR(__xludf.DUMMYFUNCTION("""COMPUTED_VALUE"""),183.84)</f>
        <v>183.84</v>
      </c>
      <c r="Q18" s="15">
        <f>IFERROR(__xludf.DUMMYFUNCTION("""COMPUTED_VALUE"""),24.0)</f>
        <v>24</v>
      </c>
      <c r="R18" s="15" t="str">
        <f>IFERROR(__xludf.DUMMYFUNCTION("""COMPUTED_VALUE"""),"RODO")</f>
        <v>RODO</v>
      </c>
      <c r="S18" s="15" t="str">
        <f>IFERROR(__xludf.DUMMYFUNCTION("""COMPUTED_VALUE"""),"ITN")</f>
        <v>ITN</v>
      </c>
      <c r="T18" s="15" t="str">
        <f>IFERROR(__xludf.DUMMYFUNCTION("""COMPUTED_VALUE"""),"101")</f>
        <v>101</v>
      </c>
      <c r="U18" s="15" t="str">
        <f>IFERROR(__xludf.DUMMYFUNCTION("""COMPUTED_VALUE"""),"266802206 1306056 8177108 e manoel de melo trifil mcz 101")</f>
        <v>266802206 1306056 8177108 e manoel de melo trifil mcz 101</v>
      </c>
      <c r="V18" s="15" t="b">
        <f>IFERROR(__xludf.DUMMYFUNCTION("""COMPUTED_VALUE"""),FALSE)</f>
        <v>0</v>
      </c>
    </row>
    <row r="19">
      <c r="A19" s="19">
        <f>IFERROR(__xludf.DUMMYFUNCTION("""COMPUTED_VALUE"""),46304.0)</f>
        <v>46304</v>
      </c>
      <c r="B19" s="19">
        <f>IFERROR(__xludf.DUMMYFUNCTION("""COMPUTED_VALUE"""),46315.0)</f>
        <v>46315</v>
      </c>
      <c r="C19" s="15">
        <f>IFERROR(__xludf.DUMMYFUNCTION("""COMPUTED_VALUE"""),6.0)</f>
        <v>6</v>
      </c>
      <c r="D19" s="15" t="str">
        <f>IFERROR(__xludf.DUMMYFUNCTION("""COMPUTED_VALUE"""),"FOR")</f>
        <v>FOR</v>
      </c>
      <c r="E19" s="15" t="str">
        <f>IFERROR(__xludf.DUMMYFUNCTION("""COMPUTED_VALUE"""),"A.S. ANDRIANI COMERCIO DE VESTUARIO LTDA")</f>
        <v>A.S. ANDRIANI COMERCIO DE VESTUARIO LTDA</v>
      </c>
      <c r="F19" s="15" t="str">
        <f>IFERROR(__xludf.DUMMYFUNCTION("""COMPUTED_VALUE"""),"TRIFIL")</f>
        <v>TRIFIL</v>
      </c>
      <c r="G19" s="15" t="str">
        <f>IFERROR(__xludf.DUMMYFUNCTION("""COMPUTED_VALUE"""),"266802207")</f>
        <v>266802207</v>
      </c>
      <c r="H19" s="15" t="str">
        <f>IFERROR(__xludf.DUMMYFUNCTION("""COMPUTED_VALUE"""),"1305606")</f>
        <v>1305606</v>
      </c>
      <c r="I19" s="15" t="str">
        <f>IFERROR(__xludf.DUMMYFUNCTION("""COMPUTED_VALUE"""),"8177089")</f>
        <v>8177089</v>
      </c>
      <c r="J19" s="15" t="str">
        <f>IFERROR(__xludf.DUMMYFUNCTION("""COMPUTED_VALUE"""),"CIF")</f>
        <v>CIF</v>
      </c>
      <c r="K19" s="15" t="str">
        <f>IFERROR(__xludf.DUMMYFUNCTION("""COMPUTED_VALUE"""),"FSA-1")</f>
        <v>FSA-1</v>
      </c>
      <c r="L19" s="15" t="str">
        <f>IFERROR(__xludf.DUMMYFUNCTION("""COMPUTED_VALUE"""),"AUTORIZADO")</f>
        <v>AUTORIZADO</v>
      </c>
      <c r="M19" s="15" t="str">
        <f>IFERROR(__xludf.DUMMYFUNCTION("""COMPUTED_VALUE"""),"NA ORIGEM")</f>
        <v>NA ORIGEM</v>
      </c>
      <c r="N19" s="15" t="str">
        <f>IFERROR(__xludf.DUMMYFUNCTION("""COMPUTED_VALUE"""),"Antes Prazo")</f>
        <v>Antes Prazo</v>
      </c>
      <c r="O19" s="15" t="str">
        <f>IFERROR(__xludf.DUMMYFUNCTION("""COMPUTED_VALUE"""),"B2B")</f>
        <v>B2B</v>
      </c>
      <c r="P19" s="16">
        <f>IFERROR(__xludf.DUMMYFUNCTION("""COMPUTED_VALUE"""),64.23)</f>
        <v>64.23</v>
      </c>
      <c r="Q19" s="15">
        <f>IFERROR(__xludf.DUMMYFUNCTION("""COMPUTED_VALUE"""),1.0)</f>
        <v>1</v>
      </c>
      <c r="R19" s="15" t="str">
        <f>IFERROR(__xludf.DUMMYFUNCTION("""COMPUTED_VALUE"""),"RODO")</f>
        <v>RODO</v>
      </c>
      <c r="S19" s="15" t="str">
        <f>IFERROR(__xludf.DUMMYFUNCTION("""COMPUTED_VALUE"""),"ITN")</f>
        <v>ITN</v>
      </c>
      <c r="T19" s="15" t="str">
        <f>IFERROR(__xludf.DUMMYFUNCTION("""COMPUTED_VALUE"""),"23")</f>
        <v>23</v>
      </c>
      <c r="U19" s="15" t="str">
        <f>IFERROR(__xludf.DUMMYFUNCTION("""COMPUTED_VALUE"""),"266802207 1305606 8177089 a.s. andriani comercio de vestuario ltda trifil for 23")</f>
        <v>266802207 1305606 8177089 a.s. andriani comercio de vestuario ltda trifil for 23</v>
      </c>
      <c r="V19" s="15" t="b">
        <f>IFERROR(__xludf.DUMMYFUNCTION("""COMPUTED_VALUE"""),FALSE)</f>
        <v>0</v>
      </c>
    </row>
    <row r="20">
      <c r="A20" s="19">
        <f>IFERROR(__xludf.DUMMYFUNCTION("""COMPUTED_VALUE"""),46304.0)</f>
        <v>46304</v>
      </c>
      <c r="B20" s="19">
        <f>IFERROR(__xludf.DUMMYFUNCTION("""COMPUTED_VALUE"""),46315.0)</f>
        <v>46315</v>
      </c>
      <c r="C20" s="15">
        <f>IFERROR(__xludf.DUMMYFUNCTION("""COMPUTED_VALUE"""),6.0)</f>
        <v>6</v>
      </c>
      <c r="D20" s="15" t="str">
        <f>IFERROR(__xludf.DUMMYFUNCTION("""COMPUTED_VALUE"""),"FOR")</f>
        <v>FOR</v>
      </c>
      <c r="E20" s="15" t="str">
        <f>IFERROR(__xludf.DUMMYFUNCTION("""COMPUTED_VALUE"""),"VRA COMERCIO DE VESTUÁRIO LTDA EPP")</f>
        <v>VRA COMERCIO DE VESTUÁRIO LTDA EPP</v>
      </c>
      <c r="F20" s="15" t="str">
        <f>IFERROR(__xludf.DUMMYFUNCTION("""COMPUTED_VALUE"""),"TRIFIL")</f>
        <v>TRIFIL</v>
      </c>
      <c r="G20" s="15" t="str">
        <f>IFERROR(__xludf.DUMMYFUNCTION("""COMPUTED_VALUE"""),"266802209")</f>
        <v>266802209</v>
      </c>
      <c r="H20" s="15" t="str">
        <f>IFERROR(__xludf.DUMMYFUNCTION("""COMPUTED_VALUE"""),"1305834")</f>
        <v>1305834</v>
      </c>
      <c r="I20" s="15" t="str">
        <f>IFERROR(__xludf.DUMMYFUNCTION("""COMPUTED_VALUE"""),"8177079")</f>
        <v>8177079</v>
      </c>
      <c r="J20" s="15" t="str">
        <f>IFERROR(__xludf.DUMMYFUNCTION("""COMPUTED_VALUE"""),"CIF")</f>
        <v>CIF</v>
      </c>
      <c r="K20" s="15" t="str">
        <f>IFERROR(__xludf.DUMMYFUNCTION("""COMPUTED_VALUE"""),"FSA-1")</f>
        <v>FSA-1</v>
      </c>
      <c r="L20" s="15" t="str">
        <f>IFERROR(__xludf.DUMMYFUNCTION("""COMPUTED_VALUE"""),"AUTORIZADO")</f>
        <v>AUTORIZADO</v>
      </c>
      <c r="M20" s="15" t="str">
        <f>IFERROR(__xludf.DUMMYFUNCTION("""COMPUTED_VALUE"""),"NA ORIGEM")</f>
        <v>NA ORIGEM</v>
      </c>
      <c r="N20" s="15" t="str">
        <f>IFERROR(__xludf.DUMMYFUNCTION("""COMPUTED_VALUE"""),"Antes Prazo")</f>
        <v>Antes Prazo</v>
      </c>
      <c r="O20" s="15" t="str">
        <f>IFERROR(__xludf.DUMMYFUNCTION("""COMPUTED_VALUE"""),"B2B")</f>
        <v>B2B</v>
      </c>
      <c r="P20" s="16">
        <f>IFERROR(__xludf.DUMMYFUNCTION("""COMPUTED_VALUE"""),64.23)</f>
        <v>64.23</v>
      </c>
      <c r="Q20" s="15">
        <f>IFERROR(__xludf.DUMMYFUNCTION("""COMPUTED_VALUE"""),1.0)</f>
        <v>1</v>
      </c>
      <c r="R20" s="15" t="str">
        <f>IFERROR(__xludf.DUMMYFUNCTION("""COMPUTED_VALUE"""),"RODO")</f>
        <v>RODO</v>
      </c>
      <c r="S20" s="15" t="str">
        <f>IFERROR(__xludf.DUMMYFUNCTION("""COMPUTED_VALUE"""),"ITN")</f>
        <v>ITN</v>
      </c>
      <c r="T20" s="15" t="str">
        <f>IFERROR(__xludf.DUMMYFUNCTION("""COMPUTED_VALUE"""),"1")</f>
        <v>1</v>
      </c>
      <c r="U20" s="15" t="str">
        <f>IFERROR(__xludf.DUMMYFUNCTION("""COMPUTED_VALUE"""),"266802209 1305834 8177079 vra comercio de vestuário ltda epp trifil for 1")</f>
        <v>266802209 1305834 8177079 vra comercio de vestuário ltda epp trifil for 1</v>
      </c>
      <c r="V20" s="15" t="b">
        <f>IFERROR(__xludf.DUMMYFUNCTION("""COMPUTED_VALUE"""),FALSE)</f>
        <v>0</v>
      </c>
    </row>
    <row r="21">
      <c r="A21" s="19">
        <f>IFERROR(__xludf.DUMMYFUNCTION("""COMPUTED_VALUE"""),46304.0)</f>
        <v>46304</v>
      </c>
      <c r="B21" s="19">
        <f>IFERROR(__xludf.DUMMYFUNCTION("""COMPUTED_VALUE"""),46315.0)</f>
        <v>46315</v>
      </c>
      <c r="C21" s="15">
        <f>IFERROR(__xludf.DUMMYFUNCTION("""COMPUTED_VALUE"""),6.0)</f>
        <v>6</v>
      </c>
      <c r="D21" s="15" t="str">
        <f>IFERROR(__xludf.DUMMYFUNCTION("""COMPUTED_VALUE"""),"FOR")</f>
        <v>FOR</v>
      </c>
      <c r="E21" s="15" t="str">
        <f>IFERROR(__xludf.DUMMYFUNCTION("""COMPUTED_VALUE"""),"ASA COMERCIO DE VESTUARIO LTDA.")</f>
        <v>ASA COMERCIO DE VESTUARIO LTDA.</v>
      </c>
      <c r="F21" s="15" t="str">
        <f>IFERROR(__xludf.DUMMYFUNCTION("""COMPUTED_VALUE"""),"TRIFIL")</f>
        <v>TRIFIL</v>
      </c>
      <c r="G21" s="15" t="str">
        <f>IFERROR(__xludf.DUMMYFUNCTION("""COMPUTED_VALUE"""),"266802211")</f>
        <v>266802211</v>
      </c>
      <c r="H21" s="15" t="str">
        <f>IFERROR(__xludf.DUMMYFUNCTION("""COMPUTED_VALUE"""),"1305627")</f>
        <v>1305627</v>
      </c>
      <c r="I21" s="15" t="str">
        <f>IFERROR(__xludf.DUMMYFUNCTION("""COMPUTED_VALUE"""),"8177090")</f>
        <v>8177090</v>
      </c>
      <c r="J21" s="15" t="str">
        <f>IFERROR(__xludf.DUMMYFUNCTION("""COMPUTED_VALUE"""),"CIF")</f>
        <v>CIF</v>
      </c>
      <c r="K21" s="15" t="str">
        <f>IFERROR(__xludf.DUMMYFUNCTION("""COMPUTED_VALUE"""),"FSA-1")</f>
        <v>FSA-1</v>
      </c>
      <c r="L21" s="15" t="str">
        <f>IFERROR(__xludf.DUMMYFUNCTION("""COMPUTED_VALUE"""),"AUTORIZADO")</f>
        <v>AUTORIZADO</v>
      </c>
      <c r="M21" s="15" t="str">
        <f>IFERROR(__xludf.DUMMYFUNCTION("""COMPUTED_VALUE"""),"NA ORIGEM")</f>
        <v>NA ORIGEM</v>
      </c>
      <c r="N21" s="15" t="str">
        <f>IFERROR(__xludf.DUMMYFUNCTION("""COMPUTED_VALUE"""),"Antes Prazo")</f>
        <v>Antes Prazo</v>
      </c>
      <c r="O21" s="15" t="str">
        <f>IFERROR(__xludf.DUMMYFUNCTION("""COMPUTED_VALUE"""),"B2B")</f>
        <v>B2B</v>
      </c>
      <c r="P21" s="16">
        <f>IFERROR(__xludf.DUMMYFUNCTION("""COMPUTED_VALUE"""),64.23)</f>
        <v>64.23</v>
      </c>
      <c r="Q21" s="15">
        <f>IFERROR(__xludf.DUMMYFUNCTION("""COMPUTED_VALUE"""),1.0)</f>
        <v>1</v>
      </c>
      <c r="R21" s="15" t="str">
        <f>IFERROR(__xludf.DUMMYFUNCTION("""COMPUTED_VALUE"""),"RODO")</f>
        <v>RODO</v>
      </c>
      <c r="S21" s="15" t="str">
        <f>IFERROR(__xludf.DUMMYFUNCTION("""COMPUTED_VALUE"""),"ITN")</f>
        <v>ITN</v>
      </c>
      <c r="T21" s="15" t="str">
        <f>IFERROR(__xludf.DUMMYFUNCTION("""COMPUTED_VALUE"""),"16")</f>
        <v>16</v>
      </c>
      <c r="U21" s="15" t="str">
        <f>IFERROR(__xludf.DUMMYFUNCTION("""COMPUTED_VALUE"""),"266802211 1305627 8177090 asa comercio de vestuario ltda. trifil for 16")</f>
        <v>266802211 1305627 8177090 asa comercio de vestuario ltda. trifil for 16</v>
      </c>
      <c r="V21" s="15" t="b">
        <f>IFERROR(__xludf.DUMMYFUNCTION("""COMPUTED_VALUE"""),FALSE)</f>
        <v>0</v>
      </c>
    </row>
    <row r="22">
      <c r="A22" s="19">
        <f>IFERROR(__xludf.DUMMYFUNCTION("""COMPUTED_VALUE"""),46304.0)</f>
        <v>46304</v>
      </c>
      <c r="B22" s="19">
        <f>IFERROR(__xludf.DUMMYFUNCTION("""COMPUTED_VALUE"""),46316.0)</f>
        <v>46316</v>
      </c>
      <c r="C22" s="15">
        <f>IFERROR(__xludf.DUMMYFUNCTION("""COMPUTED_VALUE"""),7.0)</f>
        <v>7</v>
      </c>
      <c r="D22" s="15" t="str">
        <f>IFERROR(__xludf.DUMMYFUNCTION("""COMPUTED_VALUE"""),"FOR")</f>
        <v>FOR</v>
      </c>
      <c r="E22" s="15" t="str">
        <f>IFERROR(__xludf.DUMMYFUNCTION("""COMPUTED_VALUE"""),"EUSEBIO MEIAS ARTIGOS DE VESTUARIO")</f>
        <v>EUSEBIO MEIAS ARTIGOS DE VESTUARIO</v>
      </c>
      <c r="F22" s="15" t="str">
        <f>IFERROR(__xludf.DUMMYFUNCTION("""COMPUTED_VALUE"""),"TRIFIL")</f>
        <v>TRIFIL</v>
      </c>
      <c r="G22" s="15" t="str">
        <f>IFERROR(__xludf.DUMMYFUNCTION("""COMPUTED_VALUE"""),"266802213")</f>
        <v>266802213</v>
      </c>
      <c r="H22" s="15" t="str">
        <f>IFERROR(__xludf.DUMMYFUNCTION("""COMPUTED_VALUE"""),"1305634")</f>
        <v>1305634</v>
      </c>
      <c r="I22" s="15" t="str">
        <f>IFERROR(__xludf.DUMMYFUNCTION("""COMPUTED_VALUE"""),"8177091")</f>
        <v>8177091</v>
      </c>
      <c r="J22" s="15" t="str">
        <f>IFERROR(__xludf.DUMMYFUNCTION("""COMPUTED_VALUE"""),"CIF")</f>
        <v>CIF</v>
      </c>
      <c r="K22" s="15" t="str">
        <f>IFERROR(__xludf.DUMMYFUNCTION("""COMPUTED_VALUE"""),"FSA-1")</f>
        <v>FSA-1</v>
      </c>
      <c r="L22" s="15" t="str">
        <f>IFERROR(__xludf.DUMMYFUNCTION("""COMPUTED_VALUE"""),"AUTORIZADO")</f>
        <v>AUTORIZADO</v>
      </c>
      <c r="M22" s="15" t="str">
        <f>IFERROR(__xludf.DUMMYFUNCTION("""COMPUTED_VALUE"""),"NA ORIGEM")</f>
        <v>NA ORIGEM</v>
      </c>
      <c r="N22" s="15" t="str">
        <f>IFERROR(__xludf.DUMMYFUNCTION("""COMPUTED_VALUE"""),"Antes Prazo")</f>
        <v>Antes Prazo</v>
      </c>
      <c r="O22" s="15" t="str">
        <f>IFERROR(__xludf.DUMMYFUNCTION("""COMPUTED_VALUE"""),"B2B")</f>
        <v>B2B</v>
      </c>
      <c r="P22" s="16">
        <f>IFERROR(__xludf.DUMMYFUNCTION("""COMPUTED_VALUE"""),64.23)</f>
        <v>64.23</v>
      </c>
      <c r="Q22" s="15">
        <f>IFERROR(__xludf.DUMMYFUNCTION("""COMPUTED_VALUE"""),1.0)</f>
        <v>1</v>
      </c>
      <c r="R22" s="15" t="str">
        <f>IFERROR(__xludf.DUMMYFUNCTION("""COMPUTED_VALUE"""),"RODO")</f>
        <v>RODO</v>
      </c>
      <c r="S22" s="15" t="str">
        <f>IFERROR(__xludf.DUMMYFUNCTION("""COMPUTED_VALUE"""),"ITN")</f>
        <v>ITN</v>
      </c>
      <c r="T22" s="15" t="str">
        <f>IFERROR(__xludf.DUMMYFUNCTION("""COMPUTED_VALUE"""),"104")</f>
        <v>104</v>
      </c>
      <c r="U22" s="15" t="str">
        <f>IFERROR(__xludf.DUMMYFUNCTION("""COMPUTED_VALUE"""),"266802213 1305634 8177091 eusebio meias artigos de vestuario trifil for 104")</f>
        <v>266802213 1305634 8177091 eusebio meias artigos de vestuario trifil for 104</v>
      </c>
      <c r="V22" s="15" t="b">
        <f>IFERROR(__xludf.DUMMYFUNCTION("""COMPUTED_VALUE"""),FALSE)</f>
        <v>0</v>
      </c>
    </row>
    <row r="23">
      <c r="A23" s="19">
        <f>IFERROR(__xludf.DUMMYFUNCTION("""COMPUTED_VALUE"""),46304.0)</f>
        <v>46304</v>
      </c>
      <c r="B23" s="19">
        <f>IFERROR(__xludf.DUMMYFUNCTION("""COMPUTED_VALUE"""),46316.0)</f>
        <v>46316</v>
      </c>
      <c r="C23" s="15">
        <f>IFERROR(__xludf.DUMMYFUNCTION("""COMPUTED_VALUE"""),7.0)</f>
        <v>7</v>
      </c>
      <c r="D23" s="15" t="str">
        <f>IFERROR(__xludf.DUMMYFUNCTION("""COMPUTED_VALUE"""),"FOR")</f>
        <v>FOR</v>
      </c>
      <c r="E23" s="15" t="str">
        <f>IFERROR(__xludf.DUMMYFUNCTION("""COMPUTED_VALUE"""),"TERRAZO MEIAS ARTIGOS DO VESTUARIO")</f>
        <v>TERRAZO MEIAS ARTIGOS DO VESTUARIO</v>
      </c>
      <c r="F23" s="15" t="str">
        <f>IFERROR(__xludf.DUMMYFUNCTION("""COMPUTED_VALUE"""),"TRIFIL")</f>
        <v>TRIFIL</v>
      </c>
      <c r="G23" s="15" t="str">
        <f>IFERROR(__xludf.DUMMYFUNCTION("""COMPUTED_VALUE"""),"266802214")</f>
        <v>266802214</v>
      </c>
      <c r="H23" s="15" t="str">
        <f>IFERROR(__xludf.DUMMYFUNCTION("""COMPUTED_VALUE"""),"1305602")</f>
        <v>1305602</v>
      </c>
      <c r="I23" s="15" t="str">
        <f>IFERROR(__xludf.DUMMYFUNCTION("""COMPUTED_VALUE"""),"8177092")</f>
        <v>8177092</v>
      </c>
      <c r="J23" s="15" t="str">
        <f>IFERROR(__xludf.DUMMYFUNCTION("""COMPUTED_VALUE"""),"CIF")</f>
        <v>CIF</v>
      </c>
      <c r="K23" s="15" t="str">
        <f>IFERROR(__xludf.DUMMYFUNCTION("""COMPUTED_VALUE"""),"FSA-1")</f>
        <v>FSA-1</v>
      </c>
      <c r="L23" s="15" t="str">
        <f>IFERROR(__xludf.DUMMYFUNCTION("""COMPUTED_VALUE"""),"AUTORIZADO")</f>
        <v>AUTORIZADO</v>
      </c>
      <c r="M23" s="15" t="str">
        <f>IFERROR(__xludf.DUMMYFUNCTION("""COMPUTED_VALUE"""),"NA ORIGEM")</f>
        <v>NA ORIGEM</v>
      </c>
      <c r="N23" s="15" t="str">
        <f>IFERROR(__xludf.DUMMYFUNCTION("""COMPUTED_VALUE"""),"Antes Prazo")</f>
        <v>Antes Prazo</v>
      </c>
      <c r="O23" s="15" t="str">
        <f>IFERROR(__xludf.DUMMYFUNCTION("""COMPUTED_VALUE"""),"B2B")</f>
        <v>B2B</v>
      </c>
      <c r="P23" s="16">
        <f>IFERROR(__xludf.DUMMYFUNCTION("""COMPUTED_VALUE"""),64.23)</f>
        <v>64.23</v>
      </c>
      <c r="Q23" s="15">
        <f>IFERROR(__xludf.DUMMYFUNCTION("""COMPUTED_VALUE"""),1.0)</f>
        <v>1</v>
      </c>
      <c r="R23" s="15" t="str">
        <f>IFERROR(__xludf.DUMMYFUNCTION("""COMPUTED_VALUE"""),"RODO")</f>
        <v>RODO</v>
      </c>
      <c r="S23" s="15" t="str">
        <f>IFERROR(__xludf.DUMMYFUNCTION("""COMPUTED_VALUE"""),"ITN")</f>
        <v>ITN</v>
      </c>
      <c r="T23" s="15" t="str">
        <f>IFERROR(__xludf.DUMMYFUNCTION("""COMPUTED_VALUE"""),"27")</f>
        <v>27</v>
      </c>
      <c r="U23" s="15" t="str">
        <f>IFERROR(__xludf.DUMMYFUNCTION("""COMPUTED_VALUE"""),"266802214 1305602 8177092 terrazo meias artigos do vestuario trifil for 27")</f>
        <v>266802214 1305602 8177092 terrazo meias artigos do vestuario trifil for 27</v>
      </c>
      <c r="V23" s="15" t="b">
        <f>IFERROR(__xludf.DUMMYFUNCTION("""COMPUTED_VALUE"""),FALSE)</f>
        <v>0</v>
      </c>
    </row>
    <row r="24">
      <c r="A24" s="19">
        <f>IFERROR(__xludf.DUMMYFUNCTION("""COMPUTED_VALUE"""),46304.0)</f>
        <v>46304</v>
      </c>
      <c r="B24" s="19">
        <f>IFERROR(__xludf.DUMMYFUNCTION("""COMPUTED_VALUE"""),46315.0)</f>
        <v>46315</v>
      </c>
      <c r="C24" s="15">
        <f>IFERROR(__xludf.DUMMYFUNCTION("""COMPUTED_VALUE"""),6.0)</f>
        <v>6</v>
      </c>
      <c r="D24" s="15" t="str">
        <f>IFERROR(__xludf.DUMMYFUNCTION("""COMPUTED_VALUE"""),"JDO")</f>
        <v>JDO</v>
      </c>
      <c r="E24" s="15" t="str">
        <f>IFERROR(__xludf.DUMMYFUNCTION("""COMPUTED_VALUE"""),"GADELHA COMERCIO DE VESTUARIO LTDA.")</f>
        <v>GADELHA COMERCIO DE VESTUARIO LTDA.</v>
      </c>
      <c r="F24" s="15" t="str">
        <f>IFERROR(__xludf.DUMMYFUNCTION("""COMPUTED_VALUE"""),"TRIFIL")</f>
        <v>TRIFIL</v>
      </c>
      <c r="G24" s="15" t="str">
        <f>IFERROR(__xludf.DUMMYFUNCTION("""COMPUTED_VALUE"""),"266802215")</f>
        <v>266802215</v>
      </c>
      <c r="H24" s="15" t="str">
        <f>IFERROR(__xludf.DUMMYFUNCTION("""COMPUTED_VALUE"""),"1305561")</f>
        <v>1305561</v>
      </c>
      <c r="I24" s="15" t="str">
        <f>IFERROR(__xludf.DUMMYFUNCTION("""COMPUTED_VALUE"""),"8177093")</f>
        <v>8177093</v>
      </c>
      <c r="J24" s="15" t="str">
        <f>IFERROR(__xludf.DUMMYFUNCTION("""COMPUTED_VALUE"""),"CIF")</f>
        <v>CIF</v>
      </c>
      <c r="K24" s="15" t="str">
        <f>IFERROR(__xludf.DUMMYFUNCTION("""COMPUTED_VALUE"""),"FSA-1")</f>
        <v>FSA-1</v>
      </c>
      <c r="L24" s="15" t="str">
        <f>IFERROR(__xludf.DUMMYFUNCTION("""COMPUTED_VALUE"""),"AUTORIZADO")</f>
        <v>AUTORIZADO</v>
      </c>
      <c r="M24" s="15" t="str">
        <f>IFERROR(__xludf.DUMMYFUNCTION("""COMPUTED_VALUE"""),"NA ORIGEM")</f>
        <v>NA ORIGEM</v>
      </c>
      <c r="N24" s="15" t="str">
        <f>IFERROR(__xludf.DUMMYFUNCTION("""COMPUTED_VALUE"""),"Antes Prazo")</f>
        <v>Antes Prazo</v>
      </c>
      <c r="O24" s="15" t="str">
        <f>IFERROR(__xludf.DUMMYFUNCTION("""COMPUTED_VALUE"""),"B2B")</f>
        <v>B2B</v>
      </c>
      <c r="P24" s="16">
        <f>IFERROR(__xludf.DUMMYFUNCTION("""COMPUTED_VALUE"""),51.54)</f>
        <v>51.54</v>
      </c>
      <c r="Q24" s="15">
        <f>IFERROR(__xludf.DUMMYFUNCTION("""COMPUTED_VALUE"""),1.0)</f>
        <v>1</v>
      </c>
      <c r="R24" s="15" t="str">
        <f>IFERROR(__xludf.DUMMYFUNCTION("""COMPUTED_VALUE"""),"RODO")</f>
        <v>RODO</v>
      </c>
      <c r="S24" s="15" t="str">
        <f>IFERROR(__xludf.DUMMYFUNCTION("""COMPUTED_VALUE"""),"ITN")</f>
        <v>ITN</v>
      </c>
      <c r="T24" s="15" t="str">
        <f>IFERROR(__xludf.DUMMYFUNCTION("""COMPUTED_VALUE"""),"4")</f>
        <v>4</v>
      </c>
      <c r="U24" s="15" t="str">
        <f>IFERROR(__xludf.DUMMYFUNCTION("""COMPUTED_VALUE"""),"266802215 1305561 8177093 gadelha comercio de vestuario ltda. trifil jdo 4")</f>
        <v>266802215 1305561 8177093 gadelha comercio de vestuario ltda. trifil jdo 4</v>
      </c>
      <c r="V24" s="15" t="b">
        <f>IFERROR(__xludf.DUMMYFUNCTION("""COMPUTED_VALUE"""),FALSE)</f>
        <v>0</v>
      </c>
    </row>
    <row r="25">
      <c r="A25" s="19">
        <f>IFERROR(__xludf.DUMMYFUNCTION("""COMPUTED_VALUE"""),46304.0)</f>
        <v>46304</v>
      </c>
      <c r="B25" s="19">
        <f>IFERROR(__xludf.DUMMYFUNCTION("""COMPUTED_VALUE"""),46324.0)</f>
        <v>46324</v>
      </c>
      <c r="C25" s="15">
        <f>IFERROR(__xludf.DUMMYFUNCTION("""COMPUTED_VALUE"""),13.0)</f>
        <v>13</v>
      </c>
      <c r="D25" s="15" t="str">
        <f>IFERROR(__xludf.DUMMYFUNCTION("""COMPUTED_VALUE"""),"PCS")</f>
        <v>PCS</v>
      </c>
      <c r="E25" s="15" t="str">
        <f>IFERROR(__xludf.DUMMYFUNCTION("""COMPUTED_VALUE"""),"VERSALE COMERCIO DE ARTIGOS DO VESTUARIO")</f>
        <v>VERSALE COMERCIO DE ARTIGOS DO VESTUARIO</v>
      </c>
      <c r="F25" s="15" t="str">
        <f>IFERROR(__xludf.DUMMYFUNCTION("""COMPUTED_VALUE"""),"TRIFIL")</f>
        <v>TRIFIL</v>
      </c>
      <c r="G25" s="15" t="str">
        <f>IFERROR(__xludf.DUMMYFUNCTION("""COMPUTED_VALUE"""),"266802216")</f>
        <v>266802216</v>
      </c>
      <c r="H25" s="15" t="str">
        <f>IFERROR(__xludf.DUMMYFUNCTION("""COMPUTED_VALUE"""),"1305599")</f>
        <v>1305599</v>
      </c>
      <c r="I25" s="15" t="str">
        <f>IFERROR(__xludf.DUMMYFUNCTION("""COMPUTED_VALUE"""),"8177094")</f>
        <v>8177094</v>
      </c>
      <c r="J25" s="15" t="str">
        <f>IFERROR(__xludf.DUMMYFUNCTION("""COMPUTED_VALUE"""),"CIF")</f>
        <v>CIF</v>
      </c>
      <c r="K25" s="15" t="str">
        <f>IFERROR(__xludf.DUMMYFUNCTION("""COMPUTED_VALUE"""),"FSA-1")</f>
        <v>FSA-1</v>
      </c>
      <c r="L25" s="15" t="str">
        <f>IFERROR(__xludf.DUMMYFUNCTION("""COMPUTED_VALUE"""),"AUTORIZADO")</f>
        <v>AUTORIZADO</v>
      </c>
      <c r="M25" s="15" t="str">
        <f>IFERROR(__xludf.DUMMYFUNCTION("""COMPUTED_VALUE"""),"NA ORIGEM")</f>
        <v>NA ORIGEM</v>
      </c>
      <c r="N25" s="15" t="str">
        <f>IFERROR(__xludf.DUMMYFUNCTION("""COMPUTED_VALUE"""),"Antes Prazo")</f>
        <v>Antes Prazo</v>
      </c>
      <c r="O25" s="15" t="str">
        <f>IFERROR(__xludf.DUMMYFUNCTION("""COMPUTED_VALUE"""),"B2B")</f>
        <v>B2B</v>
      </c>
      <c r="P25" s="16">
        <f>IFERROR(__xludf.DUMMYFUNCTION("""COMPUTED_VALUE"""),71.9)</f>
        <v>71.9</v>
      </c>
      <c r="Q25" s="15">
        <f>IFERROR(__xludf.DUMMYFUNCTION("""COMPUTED_VALUE"""),2.0)</f>
        <v>2</v>
      </c>
      <c r="R25" s="15" t="str">
        <f>IFERROR(__xludf.DUMMYFUNCTION("""COMPUTED_VALUE"""),"RODO")</f>
        <v>RODO</v>
      </c>
      <c r="S25" s="15" t="str">
        <f>IFERROR(__xludf.DUMMYFUNCTION("""COMPUTED_VALUE"""),"ITN")</f>
        <v>ITN</v>
      </c>
      <c r="T25" s="15" t="str">
        <f>IFERROR(__xludf.DUMMYFUNCTION("""COMPUTED_VALUE"""),"103")</f>
        <v>103</v>
      </c>
      <c r="U25" s="15" t="str">
        <f>IFERROR(__xludf.DUMMYFUNCTION("""COMPUTED_VALUE"""),"266802216 1305599 8177094 versale comercio de artigos do vestuario trifil pcs 103")</f>
        <v>266802216 1305599 8177094 versale comercio de artigos do vestuario trifil pcs 103</v>
      </c>
      <c r="V25" s="15" t="b">
        <f>IFERROR(__xludf.DUMMYFUNCTION("""COMPUTED_VALUE"""),FALSE)</f>
        <v>0</v>
      </c>
    </row>
    <row r="26">
      <c r="A26" s="19">
        <f>IFERROR(__xludf.DUMMYFUNCTION("""COMPUTED_VALUE"""),46304.0)</f>
        <v>46304</v>
      </c>
      <c r="B26" s="19">
        <f>IFERROR(__xludf.DUMMYFUNCTION("""COMPUTED_VALUE"""),46335.0)</f>
        <v>46335</v>
      </c>
      <c r="C26" s="15">
        <f>IFERROR(__xludf.DUMMYFUNCTION("""COMPUTED_VALUE"""),19.0)</f>
        <v>19</v>
      </c>
      <c r="D26" s="15" t="str">
        <f>IFERROR(__xludf.DUMMYFUNCTION("""COMPUTED_VALUE"""),"TUR")</f>
        <v>TUR</v>
      </c>
      <c r="E26" s="15" t="str">
        <f>IFERROR(__xludf.DUMMYFUNCTION("""COMPUTED_VALUE"""),"M N E SILVA &amp; COMPANIA LTDA ME")</f>
        <v>M N E SILVA &amp; COMPANIA LTDA ME</v>
      </c>
      <c r="F26" s="15" t="str">
        <f>IFERROR(__xludf.DUMMYFUNCTION("""COMPUTED_VALUE"""),"TRIFIL")</f>
        <v>TRIFIL</v>
      </c>
      <c r="G26" s="15" t="str">
        <f>IFERROR(__xludf.DUMMYFUNCTION("""COMPUTED_VALUE"""),"266802217")</f>
        <v>266802217</v>
      </c>
      <c r="H26" s="15" t="str">
        <f>IFERROR(__xludf.DUMMYFUNCTION("""COMPUTED_VALUE"""),"1305818")</f>
        <v>1305818</v>
      </c>
      <c r="I26" s="15" t="str">
        <f>IFERROR(__xludf.DUMMYFUNCTION("""COMPUTED_VALUE"""),"8177095")</f>
        <v>8177095</v>
      </c>
      <c r="J26" s="15" t="str">
        <f>IFERROR(__xludf.DUMMYFUNCTION("""COMPUTED_VALUE"""),"CIF")</f>
        <v>CIF</v>
      </c>
      <c r="K26" s="15" t="str">
        <f>IFERROR(__xludf.DUMMYFUNCTION("""COMPUTED_VALUE"""),"FSA-1")</f>
        <v>FSA-1</v>
      </c>
      <c r="L26" s="15" t="str">
        <f>IFERROR(__xludf.DUMMYFUNCTION("""COMPUTED_VALUE"""),"AUTORIZADO")</f>
        <v>AUTORIZADO</v>
      </c>
      <c r="M26" s="15" t="str">
        <f>IFERROR(__xludf.DUMMYFUNCTION("""COMPUTED_VALUE"""),"NA ORIGEM")</f>
        <v>NA ORIGEM</v>
      </c>
      <c r="N26" s="15" t="str">
        <f>IFERROR(__xludf.DUMMYFUNCTION("""COMPUTED_VALUE"""),"Antes Prazo")</f>
        <v>Antes Prazo</v>
      </c>
      <c r="O26" s="15" t="str">
        <f>IFERROR(__xludf.DUMMYFUNCTION("""COMPUTED_VALUE"""),"B2B")</f>
        <v>B2B</v>
      </c>
      <c r="P26" s="16">
        <f>IFERROR(__xludf.DUMMYFUNCTION("""COMPUTED_VALUE"""),71.87)</f>
        <v>71.87</v>
      </c>
      <c r="Q26" s="15">
        <f>IFERROR(__xludf.DUMMYFUNCTION("""COMPUTED_VALUE"""),5.0)</f>
        <v>5</v>
      </c>
      <c r="R26" s="15" t="str">
        <f>IFERROR(__xludf.DUMMYFUNCTION("""COMPUTED_VALUE"""),"RODO")</f>
        <v>RODO</v>
      </c>
      <c r="S26" s="15" t="str">
        <f>IFERROR(__xludf.DUMMYFUNCTION("""COMPUTED_VALUE"""),"ITN")</f>
        <v>ITN</v>
      </c>
      <c r="T26" s="15" t="str">
        <f>IFERROR(__xludf.DUMMYFUNCTION("""COMPUTED_VALUE"""),"500")</f>
        <v>500</v>
      </c>
      <c r="U26" s="15" t="str">
        <f>IFERROR(__xludf.DUMMYFUNCTION("""COMPUTED_VALUE"""),"266802217 1305818 8177095 m n e silva &amp; compania ltda me trifil tur 500")</f>
        <v>266802217 1305818 8177095 m n e silva &amp; compania ltda me trifil tur 500</v>
      </c>
      <c r="V26" s="15" t="b">
        <f>IFERROR(__xludf.DUMMYFUNCTION("""COMPUTED_VALUE"""),FALSE)</f>
        <v>0</v>
      </c>
    </row>
    <row r="27">
      <c r="A27" s="19">
        <f>IFERROR(__xludf.DUMMYFUNCTION("""COMPUTED_VALUE"""),46304.0)</f>
        <v>46304</v>
      </c>
      <c r="B27" s="19">
        <f>IFERROR(__xludf.DUMMYFUNCTION("""COMPUTED_VALUE"""),46332.0)</f>
        <v>46332</v>
      </c>
      <c r="C27" s="15">
        <f>IFERROR(__xludf.DUMMYFUNCTION("""COMPUTED_VALUE"""),18.0)</f>
        <v>18</v>
      </c>
      <c r="D27" s="15" t="str">
        <f>IFERROR(__xludf.DUMMYFUNCTION("""COMPUTED_VALUE"""),"NBL")</f>
        <v>NBL</v>
      </c>
      <c r="E27" s="15" t="str">
        <f>IFERROR(__xludf.DUMMYFUNCTION("""COMPUTED_VALUE"""),"L. M. R. SANTOS - ME(0001006261)")</f>
        <v>L. M. R. SANTOS - ME(0001006261)</v>
      </c>
      <c r="F27" s="15" t="str">
        <f>IFERROR(__xludf.DUMMYFUNCTION("""COMPUTED_VALUE"""),"TRIFIL")</f>
        <v>TRIFIL</v>
      </c>
      <c r="G27" s="15" t="str">
        <f>IFERROR(__xludf.DUMMYFUNCTION("""COMPUTED_VALUE"""),"266802218")</f>
        <v>266802218</v>
      </c>
      <c r="H27" s="15" t="str">
        <f>IFERROR(__xludf.DUMMYFUNCTION("""COMPUTED_VALUE"""),"1305240")</f>
        <v>1305240</v>
      </c>
      <c r="I27" s="15" t="str">
        <f>IFERROR(__xludf.DUMMYFUNCTION("""COMPUTED_VALUE"""),"8177068")</f>
        <v>8177068</v>
      </c>
      <c r="J27" s="15" t="str">
        <f>IFERROR(__xludf.DUMMYFUNCTION("""COMPUTED_VALUE"""),"CIF")</f>
        <v>CIF</v>
      </c>
      <c r="K27" s="15" t="str">
        <f>IFERROR(__xludf.DUMMYFUNCTION("""COMPUTED_VALUE"""),"FSA-1")</f>
        <v>FSA-1</v>
      </c>
      <c r="L27" s="15" t="str">
        <f>IFERROR(__xludf.DUMMYFUNCTION("""COMPUTED_VALUE"""),"AUTORIZADO")</f>
        <v>AUTORIZADO</v>
      </c>
      <c r="M27" s="15" t="str">
        <f>IFERROR(__xludf.DUMMYFUNCTION("""COMPUTED_VALUE"""),"NA ORIGEM")</f>
        <v>NA ORIGEM</v>
      </c>
      <c r="N27" s="15" t="str">
        <f>IFERROR(__xludf.DUMMYFUNCTION("""COMPUTED_VALUE"""),"Antes Prazo")</f>
        <v>Antes Prazo</v>
      </c>
      <c r="O27" s="15" t="str">
        <f>IFERROR(__xludf.DUMMYFUNCTION("""COMPUTED_VALUE"""),"B2B")</f>
        <v>B2B</v>
      </c>
      <c r="P27" s="16">
        <f>IFERROR(__xludf.DUMMYFUNCTION("""COMPUTED_VALUE"""),203.43)</f>
        <v>203.43</v>
      </c>
      <c r="Q27" s="15">
        <f>IFERROR(__xludf.DUMMYFUNCTION("""COMPUTED_VALUE"""),1.0)</f>
        <v>1</v>
      </c>
      <c r="R27" s="15" t="str">
        <f>IFERROR(__xludf.DUMMYFUNCTION("""COMPUTED_VALUE"""),"RODO")</f>
        <v>RODO</v>
      </c>
      <c r="S27" s="15" t="str">
        <f>IFERROR(__xludf.DUMMYFUNCTION("""COMPUTED_VALUE"""),"ITN")</f>
        <v>ITN</v>
      </c>
      <c r="T27" s="15" t="str">
        <f>IFERROR(__xludf.DUMMYFUNCTION("""COMPUTED_VALUE"""),"902")</f>
        <v>902</v>
      </c>
      <c r="U27" s="15" t="str">
        <f>IFERROR(__xludf.DUMMYFUNCTION("""COMPUTED_VALUE"""),"266802218 1305240 8177068 l. m. r. santos - me(0001006261) trifil nbl 902")</f>
        <v>266802218 1305240 8177068 l. m. r. santos - me(0001006261) trifil nbl 902</v>
      </c>
      <c r="V27" s="15" t="b">
        <f>IFERROR(__xludf.DUMMYFUNCTION("""COMPUTED_VALUE"""),FALSE)</f>
        <v>0</v>
      </c>
    </row>
    <row r="28">
      <c r="A28" s="19">
        <f>IFERROR(__xludf.DUMMYFUNCTION("""COMPUTED_VALUE"""),46304.0)</f>
        <v>46304</v>
      </c>
      <c r="B28" s="19">
        <f>IFERROR(__xludf.DUMMYFUNCTION("""COMPUTED_VALUE"""),46332.0)</f>
        <v>46332</v>
      </c>
      <c r="C28" s="15">
        <f>IFERROR(__xludf.DUMMYFUNCTION("""COMPUTED_VALUE"""),18.0)</f>
        <v>18</v>
      </c>
      <c r="D28" s="15" t="str">
        <f>IFERROR(__xludf.DUMMYFUNCTION("""COMPUTED_VALUE"""),"NBL")</f>
        <v>NBL</v>
      </c>
      <c r="E28" s="15" t="str">
        <f>IFERROR(__xludf.DUMMYFUNCTION("""COMPUTED_VALUE"""),"M.O.SILVA-ME(0001025358)")</f>
        <v>M.O.SILVA-ME(0001025358)</v>
      </c>
      <c r="F28" s="15" t="str">
        <f>IFERROR(__xludf.DUMMYFUNCTION("""COMPUTED_VALUE"""),"TRIFIL")</f>
        <v>TRIFIL</v>
      </c>
      <c r="G28" s="15" t="str">
        <f>IFERROR(__xludf.DUMMYFUNCTION("""COMPUTED_VALUE"""),"266802219")</f>
        <v>266802219</v>
      </c>
      <c r="H28" s="15" t="str">
        <f>IFERROR(__xludf.DUMMYFUNCTION("""COMPUTED_VALUE"""),"1304675")</f>
        <v>1304675</v>
      </c>
      <c r="I28" s="15" t="str">
        <f>IFERROR(__xludf.DUMMYFUNCTION("""COMPUTED_VALUE"""),"8177069")</f>
        <v>8177069</v>
      </c>
      <c r="J28" s="15" t="str">
        <f>IFERROR(__xludf.DUMMYFUNCTION("""COMPUTED_VALUE"""),"CIF")</f>
        <v>CIF</v>
      </c>
      <c r="K28" s="15" t="str">
        <f>IFERROR(__xludf.DUMMYFUNCTION("""COMPUTED_VALUE"""),"FSA-1")</f>
        <v>FSA-1</v>
      </c>
      <c r="L28" s="15" t="str">
        <f>IFERROR(__xludf.DUMMYFUNCTION("""COMPUTED_VALUE"""),"AUTORIZADO")</f>
        <v>AUTORIZADO</v>
      </c>
      <c r="M28" s="15" t="str">
        <f>IFERROR(__xludf.DUMMYFUNCTION("""COMPUTED_VALUE"""),"NA ORIGEM")</f>
        <v>NA ORIGEM</v>
      </c>
      <c r="N28" s="15" t="str">
        <f>IFERROR(__xludf.DUMMYFUNCTION("""COMPUTED_VALUE"""),"Antes Prazo")</f>
        <v>Antes Prazo</v>
      </c>
      <c r="O28" s="15" t="str">
        <f>IFERROR(__xludf.DUMMYFUNCTION("""COMPUTED_VALUE"""),"B2B")</f>
        <v>B2B</v>
      </c>
      <c r="P28" s="16">
        <f>IFERROR(__xludf.DUMMYFUNCTION("""COMPUTED_VALUE"""),203.43)</f>
        <v>203.43</v>
      </c>
      <c r="Q28" s="15">
        <f>IFERROR(__xludf.DUMMYFUNCTION("""COMPUTED_VALUE"""),3.0)</f>
        <v>3</v>
      </c>
      <c r="R28" s="15" t="str">
        <f>IFERROR(__xludf.DUMMYFUNCTION("""COMPUTED_VALUE"""),"RODO")</f>
        <v>RODO</v>
      </c>
      <c r="S28" s="15" t="str">
        <f>IFERROR(__xludf.DUMMYFUNCTION("""COMPUTED_VALUE"""),"ITN")</f>
        <v>ITN</v>
      </c>
      <c r="T28" s="15" t="str">
        <f>IFERROR(__xludf.DUMMYFUNCTION("""COMPUTED_VALUE"""),"902")</f>
        <v>902</v>
      </c>
      <c r="U28" s="15" t="str">
        <f>IFERROR(__xludf.DUMMYFUNCTION("""COMPUTED_VALUE"""),"266802219 1304675 8177069 m.o.silva-me(0001025358) trifil nbl 902")</f>
        <v>266802219 1304675 8177069 m.o.silva-me(0001025358) trifil nbl 902</v>
      </c>
      <c r="V28" s="15" t="b">
        <f>IFERROR(__xludf.DUMMYFUNCTION("""COMPUTED_VALUE"""),FALSE)</f>
        <v>0</v>
      </c>
    </row>
    <row r="29">
      <c r="A29" s="19">
        <f>IFERROR(__xludf.DUMMYFUNCTION("""COMPUTED_VALUE"""),46304.0)</f>
        <v>46304</v>
      </c>
      <c r="B29" s="19">
        <f>IFERROR(__xludf.DUMMYFUNCTION("""COMPUTED_VALUE"""),46332.0)</f>
        <v>46332</v>
      </c>
      <c r="C29" s="15">
        <f>IFERROR(__xludf.DUMMYFUNCTION("""COMPUTED_VALUE"""),18.0)</f>
        <v>18</v>
      </c>
      <c r="D29" s="15" t="str">
        <f>IFERROR(__xludf.DUMMYFUNCTION("""COMPUTED_VALUE"""),"NBL")</f>
        <v>NBL</v>
      </c>
      <c r="E29" s="15" t="str">
        <f>IFERROR(__xludf.DUMMYFUNCTION("""COMPUTED_VALUE"""),"M.A.M.SOUZA FEITOSA(0001006436)")</f>
        <v>M.A.M.SOUZA FEITOSA(0001006436)</v>
      </c>
      <c r="F29" s="15" t="str">
        <f>IFERROR(__xludf.DUMMYFUNCTION("""COMPUTED_VALUE"""),"TRIFIL")</f>
        <v>TRIFIL</v>
      </c>
      <c r="G29" s="15" t="str">
        <f>IFERROR(__xludf.DUMMYFUNCTION("""COMPUTED_VALUE"""),"266802220")</f>
        <v>266802220</v>
      </c>
      <c r="H29" s="15" t="str">
        <f>IFERROR(__xludf.DUMMYFUNCTION("""COMPUTED_VALUE"""),"1305268")</f>
        <v>1305268</v>
      </c>
      <c r="I29" s="15" t="str">
        <f>IFERROR(__xludf.DUMMYFUNCTION("""COMPUTED_VALUE"""),"8177070")</f>
        <v>8177070</v>
      </c>
      <c r="J29" s="15" t="str">
        <f>IFERROR(__xludf.DUMMYFUNCTION("""COMPUTED_VALUE"""),"CIF")</f>
        <v>CIF</v>
      </c>
      <c r="K29" s="15" t="str">
        <f>IFERROR(__xludf.DUMMYFUNCTION("""COMPUTED_VALUE"""),"FSA-1")</f>
        <v>FSA-1</v>
      </c>
      <c r="L29" s="15" t="str">
        <f>IFERROR(__xludf.DUMMYFUNCTION("""COMPUTED_VALUE"""),"AUTORIZADO")</f>
        <v>AUTORIZADO</v>
      </c>
      <c r="M29" s="15" t="str">
        <f>IFERROR(__xludf.DUMMYFUNCTION("""COMPUTED_VALUE"""),"NA ORIGEM")</f>
        <v>NA ORIGEM</v>
      </c>
      <c r="N29" s="15" t="str">
        <f>IFERROR(__xludf.DUMMYFUNCTION("""COMPUTED_VALUE"""),"Antes Prazo")</f>
        <v>Antes Prazo</v>
      </c>
      <c r="O29" s="15" t="str">
        <f>IFERROR(__xludf.DUMMYFUNCTION("""COMPUTED_VALUE"""),"B2B")</f>
        <v>B2B</v>
      </c>
      <c r="P29" s="16">
        <f>IFERROR(__xludf.DUMMYFUNCTION("""COMPUTED_VALUE"""),353.85)</f>
        <v>353.85</v>
      </c>
      <c r="Q29" s="15">
        <f>IFERROR(__xludf.DUMMYFUNCTION("""COMPUTED_VALUE"""),13.0)</f>
        <v>13</v>
      </c>
      <c r="R29" s="15" t="str">
        <f>IFERROR(__xludf.DUMMYFUNCTION("""COMPUTED_VALUE"""),"RODO")</f>
        <v>RODO</v>
      </c>
      <c r="S29" s="15" t="str">
        <f>IFERROR(__xludf.DUMMYFUNCTION("""COMPUTED_VALUE"""),"ITN")</f>
        <v>ITN</v>
      </c>
      <c r="T29" s="15" t="str">
        <f>IFERROR(__xludf.DUMMYFUNCTION("""COMPUTED_VALUE"""),"902")</f>
        <v>902</v>
      </c>
      <c r="U29" s="15" t="str">
        <f>IFERROR(__xludf.DUMMYFUNCTION("""COMPUTED_VALUE"""),"266802220 1305268 8177070 m.a.m.souza feitosa(0001006436) trifil nbl 902")</f>
        <v>266802220 1305268 8177070 m.a.m.souza feitosa(0001006436) trifil nbl 902</v>
      </c>
      <c r="V29" s="15" t="b">
        <f>IFERROR(__xludf.DUMMYFUNCTION("""COMPUTED_VALUE"""),FALSE)</f>
        <v>0</v>
      </c>
    </row>
    <row r="30">
      <c r="A30" s="19">
        <f>IFERROR(__xludf.DUMMYFUNCTION("""COMPUTED_VALUE"""),46304.0)</f>
        <v>46304</v>
      </c>
      <c r="B30" s="19">
        <f>IFERROR(__xludf.DUMMYFUNCTION("""COMPUTED_VALUE"""),46332.0)</f>
        <v>46332</v>
      </c>
      <c r="C30" s="15">
        <f>IFERROR(__xludf.DUMMYFUNCTION("""COMPUTED_VALUE"""),18.0)</f>
        <v>18</v>
      </c>
      <c r="D30" s="15" t="str">
        <f>IFERROR(__xludf.DUMMYFUNCTION("""COMPUTED_VALUE"""),"NBL")</f>
        <v>NBL</v>
      </c>
      <c r="E30" s="15" t="str">
        <f>IFERROR(__xludf.DUMMYFUNCTION("""COMPUTED_VALUE"""),"S S DE ARAUJO ME")</f>
        <v>S S DE ARAUJO ME</v>
      </c>
      <c r="F30" s="15" t="str">
        <f>IFERROR(__xludf.DUMMYFUNCTION("""COMPUTED_VALUE"""),"TRIFIL")</f>
        <v>TRIFIL</v>
      </c>
      <c r="G30" s="15" t="str">
        <f>IFERROR(__xludf.DUMMYFUNCTION("""COMPUTED_VALUE"""),"266802221")</f>
        <v>266802221</v>
      </c>
      <c r="H30" s="15" t="str">
        <f>IFERROR(__xludf.DUMMYFUNCTION("""COMPUTED_VALUE"""),"1304849")</f>
        <v>1304849</v>
      </c>
      <c r="I30" s="15" t="str">
        <f>IFERROR(__xludf.DUMMYFUNCTION("""COMPUTED_VALUE"""),"8177071")</f>
        <v>8177071</v>
      </c>
      <c r="J30" s="15" t="str">
        <f>IFERROR(__xludf.DUMMYFUNCTION("""COMPUTED_VALUE"""),"CIF")</f>
        <v>CIF</v>
      </c>
      <c r="K30" s="15" t="str">
        <f>IFERROR(__xludf.DUMMYFUNCTION("""COMPUTED_VALUE"""),"(sem célula)")</f>
        <v>(sem célula)</v>
      </c>
      <c r="L30" s="15" t="str">
        <f>IFERROR(__xludf.DUMMYFUNCTION("""COMPUTED_VALUE"""),"AUTORIZADO")</f>
        <v>AUTORIZADO</v>
      </c>
      <c r="M30" s="15" t="str">
        <f>IFERROR(__xludf.DUMMYFUNCTION("""COMPUTED_VALUE"""),"NA ORIGEM")</f>
        <v>NA ORIGEM</v>
      </c>
      <c r="N30" s="15" t="str">
        <f>IFERROR(__xludf.DUMMYFUNCTION("""COMPUTED_VALUE"""),"Antes Prazo")</f>
        <v>Antes Prazo</v>
      </c>
      <c r="O30" s="15" t="str">
        <f>IFERROR(__xludf.DUMMYFUNCTION("""COMPUTED_VALUE"""),"B2B")</f>
        <v>B2B</v>
      </c>
      <c r="P30" s="16">
        <f>IFERROR(__xludf.DUMMYFUNCTION("""COMPUTED_VALUE"""),203.43)</f>
        <v>203.43</v>
      </c>
      <c r="Q30" s="15">
        <f>IFERROR(__xludf.DUMMYFUNCTION("""COMPUTED_VALUE"""),1.0)</f>
        <v>1</v>
      </c>
      <c r="R30" s="15" t="str">
        <f>IFERROR(__xludf.DUMMYFUNCTION("""COMPUTED_VALUE"""),"RODO")</f>
        <v>RODO</v>
      </c>
      <c r="S30" s="15" t="str">
        <f>IFERROR(__xludf.DUMMYFUNCTION("""COMPUTED_VALUE"""),"ITN")</f>
        <v>ITN</v>
      </c>
      <c r="T30" s="15" t="str">
        <f>IFERROR(__xludf.DUMMYFUNCTION("""COMPUTED_VALUE"""),"902")</f>
        <v>902</v>
      </c>
      <c r="U30" s="15" t="str">
        <f>IFERROR(__xludf.DUMMYFUNCTION("""COMPUTED_VALUE"""),"266802221 1304849 8177071 s s de araujo me trifil nbl 902")</f>
        <v>266802221 1304849 8177071 s s de araujo me trifil nbl 902</v>
      </c>
      <c r="V30" s="15" t="b">
        <f>IFERROR(__xludf.DUMMYFUNCTION("""COMPUTED_VALUE"""),FALSE)</f>
        <v>0</v>
      </c>
    </row>
    <row r="31">
      <c r="A31" s="19">
        <f>IFERROR(__xludf.DUMMYFUNCTION("""COMPUTED_VALUE"""),46304.0)</f>
        <v>46304</v>
      </c>
      <c r="B31" s="19">
        <f>IFERROR(__xludf.DUMMYFUNCTION("""COMPUTED_VALUE"""),46344.0)</f>
        <v>46344</v>
      </c>
      <c r="C31" s="15">
        <f>IFERROR(__xludf.DUMMYFUNCTION("""COMPUTED_VALUE"""),26.0)</f>
        <v>26</v>
      </c>
      <c r="D31" s="15" t="str">
        <f>IFERROR(__xludf.DUMMYFUNCTION("""COMPUTED_VALUE"""),"MAO")</f>
        <v>MAO</v>
      </c>
      <c r="E31" s="15" t="str">
        <f>IFERROR(__xludf.DUMMYFUNCTION("""COMPUTED_VALUE"""),"N. T. DE CASTRO BRITO LTDA")</f>
        <v>N. T. DE CASTRO BRITO LTDA</v>
      </c>
      <c r="F31" s="15" t="str">
        <f>IFERROR(__xludf.DUMMYFUNCTION("""COMPUTED_VALUE"""),"TRIFIL")</f>
        <v>TRIFIL</v>
      </c>
      <c r="G31" s="15" t="str">
        <f>IFERROR(__xludf.DUMMYFUNCTION("""COMPUTED_VALUE"""),"266802222")</f>
        <v>266802222</v>
      </c>
      <c r="H31" s="15" t="str">
        <f>IFERROR(__xludf.DUMMYFUNCTION("""COMPUTED_VALUE"""),"1305190")</f>
        <v>1305190</v>
      </c>
      <c r="I31" s="15" t="str">
        <f>IFERROR(__xludf.DUMMYFUNCTION("""COMPUTED_VALUE"""),"8177072")</f>
        <v>8177072</v>
      </c>
      <c r="J31" s="15" t="str">
        <f>IFERROR(__xludf.DUMMYFUNCTION("""COMPUTED_VALUE"""),"CIF")</f>
        <v>CIF</v>
      </c>
      <c r="K31" s="15" t="str">
        <f>IFERROR(__xludf.DUMMYFUNCTION("""COMPUTED_VALUE"""),"(sem célula)")</f>
        <v>(sem célula)</v>
      </c>
      <c r="L31" s="15" t="str">
        <f>IFERROR(__xludf.DUMMYFUNCTION("""COMPUTED_VALUE"""),"AUTORIZADO")</f>
        <v>AUTORIZADO</v>
      </c>
      <c r="M31" s="15" t="str">
        <f>IFERROR(__xludf.DUMMYFUNCTION("""COMPUTED_VALUE"""),"NA ORIGEM")</f>
        <v>NA ORIGEM</v>
      </c>
      <c r="N31" s="15" t="str">
        <f>IFERROR(__xludf.DUMMYFUNCTION("""COMPUTED_VALUE"""),"Antes Prazo")</f>
        <v>Antes Prazo</v>
      </c>
      <c r="O31" s="15" t="str">
        <f>IFERROR(__xludf.DUMMYFUNCTION("""COMPUTED_VALUE"""),"B2B")</f>
        <v>B2B</v>
      </c>
      <c r="P31" s="16">
        <f>IFERROR(__xludf.DUMMYFUNCTION("""COMPUTED_VALUE"""),118.27)</f>
        <v>118.27</v>
      </c>
      <c r="Q31" s="15">
        <f>IFERROR(__xludf.DUMMYFUNCTION("""COMPUTED_VALUE"""),1.0)</f>
        <v>1</v>
      </c>
      <c r="R31" s="15" t="str">
        <f>IFERROR(__xludf.DUMMYFUNCTION("""COMPUTED_VALUE"""),"RODO")</f>
        <v>RODO</v>
      </c>
      <c r="S31" s="15" t="str">
        <f>IFERROR(__xludf.DUMMYFUNCTION("""COMPUTED_VALUE"""),"ITN")</f>
        <v>ITN</v>
      </c>
      <c r="T31" s="15" t="str">
        <f>IFERROR(__xludf.DUMMYFUNCTION("""COMPUTED_VALUE"""),"2")</f>
        <v>2</v>
      </c>
      <c r="U31" s="15" t="str">
        <f>IFERROR(__xludf.DUMMYFUNCTION("""COMPUTED_VALUE"""),"266802222 1305190 8177072 n. t. de castro brito ltda trifil mao 2")</f>
        <v>266802222 1305190 8177072 n. t. de castro brito ltda trifil mao 2</v>
      </c>
      <c r="V31" s="15" t="b">
        <f>IFERROR(__xludf.DUMMYFUNCTION("""COMPUTED_VALUE"""),FALSE)</f>
        <v>0</v>
      </c>
    </row>
    <row r="32">
      <c r="A32" s="19">
        <f>IFERROR(__xludf.DUMMYFUNCTION("""COMPUTED_VALUE"""),46304.0)</f>
        <v>46304</v>
      </c>
      <c r="B32" s="19">
        <f>IFERROR(__xludf.DUMMYFUNCTION("""COMPUTED_VALUE"""),46344.0)</f>
        <v>46344</v>
      </c>
      <c r="C32" s="15">
        <f>IFERROR(__xludf.DUMMYFUNCTION("""COMPUTED_VALUE"""),26.0)</f>
        <v>26</v>
      </c>
      <c r="D32" s="15" t="str">
        <f>IFERROR(__xludf.DUMMYFUNCTION("""COMPUTED_VALUE"""),"MAO")</f>
        <v>MAO</v>
      </c>
      <c r="E32" s="15" t="str">
        <f>IFERROR(__xludf.DUMMYFUNCTION("""COMPUTED_VALUE"""),"J F DA COSTA LIMA")</f>
        <v>J F DA COSTA LIMA</v>
      </c>
      <c r="F32" s="15" t="str">
        <f>IFERROR(__xludf.DUMMYFUNCTION("""COMPUTED_VALUE"""),"TRIFIL")</f>
        <v>TRIFIL</v>
      </c>
      <c r="G32" s="15" t="str">
        <f>IFERROR(__xludf.DUMMYFUNCTION("""COMPUTED_VALUE"""),"266802223")</f>
        <v>266802223</v>
      </c>
      <c r="H32" s="15" t="str">
        <f>IFERROR(__xludf.DUMMYFUNCTION("""COMPUTED_VALUE"""),"1303667")</f>
        <v>1303667</v>
      </c>
      <c r="I32" s="15" t="str">
        <f>IFERROR(__xludf.DUMMYFUNCTION("""COMPUTED_VALUE"""),"8177073")</f>
        <v>8177073</v>
      </c>
      <c r="J32" s="15" t="str">
        <f>IFERROR(__xludf.DUMMYFUNCTION("""COMPUTED_VALUE"""),"CIF")</f>
        <v>CIF</v>
      </c>
      <c r="K32" s="15" t="str">
        <f>IFERROR(__xludf.DUMMYFUNCTION("""COMPUTED_VALUE"""),"SAO-1")</f>
        <v>SAO-1</v>
      </c>
      <c r="L32" s="15" t="str">
        <f>IFERROR(__xludf.DUMMYFUNCTION("""COMPUTED_VALUE"""),"AUTORIZADO")</f>
        <v>AUTORIZADO</v>
      </c>
      <c r="M32" s="15" t="str">
        <f>IFERROR(__xludf.DUMMYFUNCTION("""COMPUTED_VALUE"""),"NA ORIGEM")</f>
        <v>NA ORIGEM</v>
      </c>
      <c r="N32" s="15" t="str">
        <f>IFERROR(__xludf.DUMMYFUNCTION("""COMPUTED_VALUE"""),"Antes Prazo")</f>
        <v>Antes Prazo</v>
      </c>
      <c r="O32" s="15" t="str">
        <f>IFERROR(__xludf.DUMMYFUNCTION("""COMPUTED_VALUE"""),"B2B")</f>
        <v>B2B</v>
      </c>
      <c r="P32" s="16">
        <f>IFERROR(__xludf.DUMMYFUNCTION("""COMPUTED_VALUE"""),135.22)</f>
        <v>135.22</v>
      </c>
      <c r="Q32" s="15">
        <f>IFERROR(__xludf.DUMMYFUNCTION("""COMPUTED_VALUE"""),3.0)</f>
        <v>3</v>
      </c>
      <c r="R32" s="15" t="str">
        <f>IFERROR(__xludf.DUMMYFUNCTION("""COMPUTED_VALUE"""),"RODO")</f>
        <v>RODO</v>
      </c>
      <c r="S32" s="15" t="str">
        <f>IFERROR(__xludf.DUMMYFUNCTION("""COMPUTED_VALUE"""),"ITN")</f>
        <v>ITN</v>
      </c>
      <c r="T32" s="15" t="str">
        <f>IFERROR(__xludf.DUMMYFUNCTION("""COMPUTED_VALUE"""),"2")</f>
        <v>2</v>
      </c>
      <c r="U32" s="15" t="str">
        <f>IFERROR(__xludf.DUMMYFUNCTION("""COMPUTED_VALUE"""),"266802223 1303667 8177073 j f da costa lima trifil mao 2")</f>
        <v>266802223 1303667 8177073 j f da costa lima trifil mao 2</v>
      </c>
      <c r="V32" s="15" t="b">
        <f>IFERROR(__xludf.DUMMYFUNCTION("""COMPUTED_VALUE"""),FALSE)</f>
        <v>0</v>
      </c>
    </row>
    <row r="33">
      <c r="A33" s="19">
        <f>IFERROR(__xludf.DUMMYFUNCTION("""COMPUTED_VALUE"""),46304.0)</f>
        <v>46304</v>
      </c>
      <c r="B33" s="19">
        <f>IFERROR(__xludf.DUMMYFUNCTION("""COMPUTED_VALUE"""),46344.0)</f>
        <v>46344</v>
      </c>
      <c r="C33" s="15">
        <f>IFERROR(__xludf.DUMMYFUNCTION("""COMPUTED_VALUE"""),26.0)</f>
        <v>26</v>
      </c>
      <c r="D33" s="15" t="str">
        <f>IFERROR(__xludf.DUMMYFUNCTION("""COMPUTED_VALUE"""),"MAO")</f>
        <v>MAO</v>
      </c>
      <c r="E33" s="15" t="str">
        <f>IFERROR(__xludf.DUMMYFUNCTION("""COMPUTED_VALUE"""),"ARLISON M DE SOUZA")</f>
        <v>ARLISON M DE SOUZA</v>
      </c>
      <c r="F33" s="15" t="str">
        <f>IFERROR(__xludf.DUMMYFUNCTION("""COMPUTED_VALUE"""),"TRIFIL")</f>
        <v>TRIFIL</v>
      </c>
      <c r="G33" s="15" t="str">
        <f>IFERROR(__xludf.DUMMYFUNCTION("""COMPUTED_VALUE"""),"266802224")</f>
        <v>266802224</v>
      </c>
      <c r="H33" s="15" t="str">
        <f>IFERROR(__xludf.DUMMYFUNCTION("""COMPUTED_VALUE"""),"1304781")</f>
        <v>1304781</v>
      </c>
      <c r="I33" s="15" t="str">
        <f>IFERROR(__xludf.DUMMYFUNCTION("""COMPUTED_VALUE"""),"8177074")</f>
        <v>8177074</v>
      </c>
      <c r="J33" s="15" t="str">
        <f>IFERROR(__xludf.DUMMYFUNCTION("""COMPUTED_VALUE"""),"CIF")</f>
        <v>CIF</v>
      </c>
      <c r="K33" s="15" t="str">
        <f>IFERROR(__xludf.DUMMYFUNCTION("""COMPUTED_VALUE"""),"SAO-1")</f>
        <v>SAO-1</v>
      </c>
      <c r="L33" s="15" t="str">
        <f>IFERROR(__xludf.DUMMYFUNCTION("""COMPUTED_VALUE"""),"AUTORIZADO")</f>
        <v>AUTORIZADO</v>
      </c>
      <c r="M33" s="15" t="str">
        <f>IFERROR(__xludf.DUMMYFUNCTION("""COMPUTED_VALUE"""),"NA ORIGEM")</f>
        <v>NA ORIGEM</v>
      </c>
      <c r="N33" s="15" t="str">
        <f>IFERROR(__xludf.DUMMYFUNCTION("""COMPUTED_VALUE"""),"Antes Prazo")</f>
        <v>Antes Prazo</v>
      </c>
      <c r="O33" s="15" t="str">
        <f>IFERROR(__xludf.DUMMYFUNCTION("""COMPUTED_VALUE"""),"B2B")</f>
        <v>B2B</v>
      </c>
      <c r="P33" s="16">
        <f>IFERROR(__xludf.DUMMYFUNCTION("""COMPUTED_VALUE"""),317.02)</f>
        <v>317.02</v>
      </c>
      <c r="Q33" s="15">
        <f>IFERROR(__xludf.DUMMYFUNCTION("""COMPUTED_VALUE"""),13.0)</f>
        <v>13</v>
      </c>
      <c r="R33" s="15" t="str">
        <f>IFERROR(__xludf.DUMMYFUNCTION("""COMPUTED_VALUE"""),"RODO")</f>
        <v>RODO</v>
      </c>
      <c r="S33" s="15" t="str">
        <f>IFERROR(__xludf.DUMMYFUNCTION("""COMPUTED_VALUE"""),"ITN")</f>
        <v>ITN</v>
      </c>
      <c r="T33" s="15" t="str">
        <f>IFERROR(__xludf.DUMMYFUNCTION("""COMPUTED_VALUE"""),"4")</f>
        <v>4</v>
      </c>
      <c r="U33" s="15" t="str">
        <f>IFERROR(__xludf.DUMMYFUNCTION("""COMPUTED_VALUE"""),"266802224 1304781 8177074 arlison m de souza trifil mao 4")</f>
        <v>266802224 1304781 8177074 arlison m de souza trifil mao 4</v>
      </c>
      <c r="V33" s="15" t="b">
        <f>IFERROR(__xludf.DUMMYFUNCTION("""COMPUTED_VALUE"""),FALSE)</f>
        <v>0</v>
      </c>
    </row>
    <row r="34">
      <c r="A34" s="19">
        <f>IFERROR(__xludf.DUMMYFUNCTION("""COMPUTED_VALUE"""),46304.0)</f>
        <v>46304</v>
      </c>
      <c r="B34" s="19">
        <f>IFERROR(__xludf.DUMMYFUNCTION("""COMPUTED_VALUE"""),46359.0)</f>
        <v>46359</v>
      </c>
      <c r="C34" s="15">
        <f>IFERROR(__xludf.DUMMYFUNCTION("""COMPUTED_VALUE"""),36.0)</f>
        <v>36</v>
      </c>
      <c r="D34" s="15" t="str">
        <f>IFERROR(__xludf.DUMMYFUNCTION("""COMPUTED_VALUE"""),"RBR")</f>
        <v>RBR</v>
      </c>
      <c r="E34" s="15" t="str">
        <f>IFERROR(__xludf.DUMMYFUNCTION("""COMPUTED_VALUE"""),"PJ M MENDONÇA")</f>
        <v>PJ M MENDONÇA</v>
      </c>
      <c r="F34" s="15" t="str">
        <f>IFERROR(__xludf.DUMMYFUNCTION("""COMPUTED_VALUE"""),"TRIFIL")</f>
        <v>TRIFIL</v>
      </c>
      <c r="G34" s="15" t="str">
        <f>IFERROR(__xludf.DUMMYFUNCTION("""COMPUTED_VALUE"""),"266802225")</f>
        <v>266802225</v>
      </c>
      <c r="H34" s="15" t="str">
        <f>IFERROR(__xludf.DUMMYFUNCTION("""COMPUTED_VALUE"""),"1305112")</f>
        <v>1305112</v>
      </c>
      <c r="I34" s="15" t="str">
        <f>IFERROR(__xludf.DUMMYFUNCTION("""COMPUTED_VALUE"""),"8177075")</f>
        <v>8177075</v>
      </c>
      <c r="J34" s="15" t="str">
        <f>IFERROR(__xludf.DUMMYFUNCTION("""COMPUTED_VALUE"""),"CIF")</f>
        <v>CIF</v>
      </c>
      <c r="K34" s="15" t="str">
        <f>IFERROR(__xludf.DUMMYFUNCTION("""COMPUTED_VALUE"""),"SAO-1")</f>
        <v>SAO-1</v>
      </c>
      <c r="L34" s="15" t="str">
        <f>IFERROR(__xludf.DUMMYFUNCTION("""COMPUTED_VALUE"""),"AUTORIZADO")</f>
        <v>AUTORIZADO</v>
      </c>
      <c r="M34" s="15" t="str">
        <f>IFERROR(__xludf.DUMMYFUNCTION("""COMPUTED_VALUE"""),"NA ORIGEM")</f>
        <v>NA ORIGEM</v>
      </c>
      <c r="N34" s="15" t="str">
        <f>IFERROR(__xludf.DUMMYFUNCTION("""COMPUTED_VALUE"""),"Antes Prazo")</f>
        <v>Antes Prazo</v>
      </c>
      <c r="O34" s="15" t="str">
        <f>IFERROR(__xludf.DUMMYFUNCTION("""COMPUTED_VALUE"""),"B2B")</f>
        <v>B2B</v>
      </c>
      <c r="P34" s="16">
        <f>IFERROR(__xludf.DUMMYFUNCTION("""COMPUTED_VALUE"""),130.9)</f>
        <v>130.9</v>
      </c>
      <c r="Q34" s="15">
        <f>IFERROR(__xludf.DUMMYFUNCTION("""COMPUTED_VALUE"""),2.0)</f>
        <v>2</v>
      </c>
      <c r="R34" s="15" t="str">
        <f>IFERROR(__xludf.DUMMYFUNCTION("""COMPUTED_VALUE"""),"RODO")</f>
        <v>RODO</v>
      </c>
      <c r="S34" s="15" t="str">
        <f>IFERROR(__xludf.DUMMYFUNCTION("""COMPUTED_VALUE"""),"ITN")</f>
        <v>ITN</v>
      </c>
      <c r="T34" s="15" t="str">
        <f>IFERROR(__xludf.DUMMYFUNCTION("""COMPUTED_VALUE"""),"101")</f>
        <v>101</v>
      </c>
      <c r="U34" s="15" t="str">
        <f>IFERROR(__xludf.DUMMYFUNCTION("""COMPUTED_VALUE"""),"266802225 1305112 8177075 pj m mendonça trifil rbr 101")</f>
        <v>266802225 1305112 8177075 pj m mendonça trifil rbr 101</v>
      </c>
      <c r="V34" s="15" t="b">
        <f>IFERROR(__xludf.DUMMYFUNCTION("""COMPUTED_VALUE"""),FALSE)</f>
        <v>0</v>
      </c>
    </row>
    <row r="35">
      <c r="A35" s="19">
        <f>IFERROR(__xludf.DUMMYFUNCTION("""COMPUTED_VALUE"""),46304.0)</f>
        <v>46304</v>
      </c>
      <c r="B35" s="19">
        <f>IFERROR(__xludf.DUMMYFUNCTION("""COMPUTED_VALUE"""),46366.0)</f>
        <v>46366</v>
      </c>
      <c r="C35" s="15">
        <f>IFERROR(__xludf.DUMMYFUNCTION("""COMPUTED_VALUE"""),41.0)</f>
        <v>41</v>
      </c>
      <c r="D35" s="15" t="str">
        <f>IFERROR(__xludf.DUMMYFUNCTION("""COMPUTED_VALUE"""),"RBR")</f>
        <v>RBR</v>
      </c>
      <c r="E35" s="15" t="str">
        <f>IFERROR(__xludf.DUMMYFUNCTION("""COMPUTED_VALUE"""),"M.E FRANCA PINHEIRO")</f>
        <v>M.E FRANCA PINHEIRO</v>
      </c>
      <c r="F35" s="15" t="str">
        <f>IFERROR(__xludf.DUMMYFUNCTION("""COMPUTED_VALUE"""),"TRIFIL")</f>
        <v>TRIFIL</v>
      </c>
      <c r="G35" s="15" t="str">
        <f>IFERROR(__xludf.DUMMYFUNCTION("""COMPUTED_VALUE"""),"266802226")</f>
        <v>266802226</v>
      </c>
      <c r="H35" s="15" t="str">
        <f>IFERROR(__xludf.DUMMYFUNCTION("""COMPUTED_VALUE"""),"1305261")</f>
        <v>1305261</v>
      </c>
      <c r="I35" s="15" t="str">
        <f>IFERROR(__xludf.DUMMYFUNCTION("""COMPUTED_VALUE"""),"8177076")</f>
        <v>8177076</v>
      </c>
      <c r="J35" s="15" t="str">
        <f>IFERROR(__xludf.DUMMYFUNCTION("""COMPUTED_VALUE"""),"CIF")</f>
        <v>CIF</v>
      </c>
      <c r="K35" s="15" t="str">
        <f>IFERROR(__xludf.DUMMYFUNCTION("""COMPUTED_VALUE"""),"SAO-1")</f>
        <v>SAO-1</v>
      </c>
      <c r="L35" s="15" t="str">
        <f>IFERROR(__xludf.DUMMYFUNCTION("""COMPUTED_VALUE"""),"AUTORIZADO")</f>
        <v>AUTORIZADO</v>
      </c>
      <c r="M35" s="15" t="str">
        <f>IFERROR(__xludf.DUMMYFUNCTION("""COMPUTED_VALUE"""),"NA ORIGEM")</f>
        <v>NA ORIGEM</v>
      </c>
      <c r="N35" s="15" t="str">
        <f>IFERROR(__xludf.DUMMYFUNCTION("""COMPUTED_VALUE"""),"Antes Prazo")</f>
        <v>Antes Prazo</v>
      </c>
      <c r="O35" s="15" t="str">
        <f>IFERROR(__xludf.DUMMYFUNCTION("""COMPUTED_VALUE"""),"B2B")</f>
        <v>B2B</v>
      </c>
      <c r="P35" s="16">
        <f>IFERROR(__xludf.DUMMYFUNCTION("""COMPUTED_VALUE"""),130.9)</f>
        <v>130.9</v>
      </c>
      <c r="Q35" s="15">
        <f>IFERROR(__xludf.DUMMYFUNCTION("""COMPUTED_VALUE"""),3.0)</f>
        <v>3</v>
      </c>
      <c r="R35" s="15" t="str">
        <f>IFERROR(__xludf.DUMMYFUNCTION("""COMPUTED_VALUE"""),"RODO")</f>
        <v>RODO</v>
      </c>
      <c r="S35" s="15" t="str">
        <f>IFERROR(__xludf.DUMMYFUNCTION("""COMPUTED_VALUE"""),"ITN")</f>
        <v>ITN</v>
      </c>
      <c r="T35" s="15" t="str">
        <f>IFERROR(__xludf.DUMMYFUNCTION("""COMPUTED_VALUE"""),"103")</f>
        <v>103</v>
      </c>
      <c r="U35" s="15" t="str">
        <f>IFERROR(__xludf.DUMMYFUNCTION("""COMPUTED_VALUE"""),"266802226 1305261 8177076 m.e franca pinheiro trifil rbr 103")</f>
        <v>266802226 1305261 8177076 m.e franca pinheiro trifil rbr 103</v>
      </c>
      <c r="V35" s="15" t="b">
        <f>IFERROR(__xludf.DUMMYFUNCTION("""COMPUTED_VALUE"""),FALSE)</f>
        <v>0</v>
      </c>
    </row>
    <row r="36">
      <c r="A36" s="19">
        <f>IFERROR(__xludf.DUMMYFUNCTION("""COMPUTED_VALUE"""),46304.0)</f>
        <v>46304</v>
      </c>
      <c r="B36" s="19">
        <f>IFERROR(__xludf.DUMMYFUNCTION("""COMPUTED_VALUE"""),46342.0)</f>
        <v>46342</v>
      </c>
      <c r="C36" s="15">
        <f>IFERROR(__xludf.DUMMYFUNCTION("""COMPUTED_VALUE"""),24.0)</f>
        <v>24</v>
      </c>
      <c r="D36" s="15" t="str">
        <f>IFERROR(__xludf.DUMMYFUNCTION("""COMPUTED_VALUE"""),"PVH")</f>
        <v>PVH</v>
      </c>
      <c r="E36" s="15" t="str">
        <f>IFERROR(__xludf.DUMMYFUNCTION("""COMPUTED_VALUE"""),"ATACADAO POPULAR")</f>
        <v>ATACADAO POPULAR</v>
      </c>
      <c r="F36" s="15" t="str">
        <f>IFERROR(__xludf.DUMMYFUNCTION("""COMPUTED_VALUE"""),"TRIFIL")</f>
        <v>TRIFIL</v>
      </c>
      <c r="G36" s="15" t="str">
        <f>IFERROR(__xludf.DUMMYFUNCTION("""COMPUTED_VALUE"""),"266802227")</f>
        <v>266802227</v>
      </c>
      <c r="H36" s="15" t="str">
        <f>IFERROR(__xludf.DUMMYFUNCTION("""COMPUTED_VALUE"""),"1303067")</f>
        <v>1303067</v>
      </c>
      <c r="I36" s="15" t="str">
        <f>IFERROR(__xludf.DUMMYFUNCTION("""COMPUTED_VALUE"""),"8177077")</f>
        <v>8177077</v>
      </c>
      <c r="J36" s="15" t="str">
        <f>IFERROR(__xludf.DUMMYFUNCTION("""COMPUTED_VALUE"""),"CIF")</f>
        <v>CIF</v>
      </c>
      <c r="K36" s="15" t="str">
        <f>IFERROR(__xludf.DUMMYFUNCTION("""COMPUTED_VALUE"""),"SAO-1")</f>
        <v>SAO-1</v>
      </c>
      <c r="L36" s="15" t="str">
        <f>IFERROR(__xludf.DUMMYFUNCTION("""COMPUTED_VALUE"""),"AUTORIZADO")</f>
        <v>AUTORIZADO</v>
      </c>
      <c r="M36" s="15" t="str">
        <f>IFERROR(__xludf.DUMMYFUNCTION("""COMPUTED_VALUE"""),"NA ORIGEM")</f>
        <v>NA ORIGEM</v>
      </c>
      <c r="N36" s="15" t="str">
        <f>IFERROR(__xludf.DUMMYFUNCTION("""COMPUTED_VALUE"""),"Antes Prazo")</f>
        <v>Antes Prazo</v>
      </c>
      <c r="O36" s="15" t="str">
        <f>IFERROR(__xludf.DUMMYFUNCTION("""COMPUTED_VALUE"""),"B2B")</f>
        <v>B2B</v>
      </c>
      <c r="P36" s="16">
        <f>IFERROR(__xludf.DUMMYFUNCTION("""COMPUTED_VALUE"""),119.2)</f>
        <v>119.2</v>
      </c>
      <c r="Q36" s="15">
        <f>IFERROR(__xludf.DUMMYFUNCTION("""COMPUTED_VALUE"""),1.0)</f>
        <v>1</v>
      </c>
      <c r="R36" s="15" t="str">
        <f>IFERROR(__xludf.DUMMYFUNCTION("""COMPUTED_VALUE"""),"RODO")</f>
        <v>RODO</v>
      </c>
      <c r="S36" s="15" t="str">
        <f>IFERROR(__xludf.DUMMYFUNCTION("""COMPUTED_VALUE"""),"ITN")</f>
        <v>ITN</v>
      </c>
      <c r="T36" s="15" t="str">
        <f>IFERROR(__xludf.DUMMYFUNCTION("""COMPUTED_VALUE"""),"1")</f>
        <v>1</v>
      </c>
      <c r="U36" s="15" t="str">
        <f>IFERROR(__xludf.DUMMYFUNCTION("""COMPUTED_VALUE"""),"266802227 1303067 8177077 atacadao popular trifil pvh 1")</f>
        <v>266802227 1303067 8177077 atacadao popular trifil pvh 1</v>
      </c>
      <c r="V36" s="15" t="b">
        <f>IFERROR(__xludf.DUMMYFUNCTION("""COMPUTED_VALUE"""),FALSE)</f>
        <v>0</v>
      </c>
    </row>
    <row r="37">
      <c r="A37" s="19">
        <f>IFERROR(__xludf.DUMMYFUNCTION("""COMPUTED_VALUE"""),46304.0)</f>
        <v>46304</v>
      </c>
      <c r="B37" s="19">
        <f>IFERROR(__xludf.DUMMYFUNCTION("""COMPUTED_VALUE"""),46316.0)</f>
        <v>46316</v>
      </c>
      <c r="C37" s="15">
        <f>IFERROR(__xludf.DUMMYFUNCTION("""COMPUTED_VALUE"""),7.0)</f>
        <v>7</v>
      </c>
      <c r="D37" s="15" t="str">
        <f>IFERROR(__xludf.DUMMYFUNCTION("""COMPUTED_VALUE"""),"CWB")</f>
        <v>CWB</v>
      </c>
      <c r="E37" s="15" t="str">
        <f>IFERROR(__xludf.DUMMYFUNCTION("""COMPUTED_VALUE"""),"XV MEIAS COMERCIO DE CONFECCOES LTD")</f>
        <v>XV MEIAS COMERCIO DE CONFECCOES LTD</v>
      </c>
      <c r="F37" s="15" t="str">
        <f>IFERROR(__xludf.DUMMYFUNCTION("""COMPUTED_VALUE"""),"TRIFIL")</f>
        <v>TRIFIL</v>
      </c>
      <c r="G37" s="15" t="str">
        <f>IFERROR(__xludf.DUMMYFUNCTION("""COMPUTED_VALUE"""),"266802228")</f>
        <v>266802228</v>
      </c>
      <c r="H37" s="15" t="str">
        <f>IFERROR(__xludf.DUMMYFUNCTION("""COMPUTED_VALUE"""),"1306078")</f>
        <v>1306078</v>
      </c>
      <c r="I37" s="15" t="str">
        <f>IFERROR(__xludf.DUMMYFUNCTION("""COMPUTED_VALUE"""),"8177096")</f>
        <v>8177096</v>
      </c>
      <c r="J37" s="15" t="str">
        <f>IFERROR(__xludf.DUMMYFUNCTION("""COMPUTED_VALUE"""),"CIF")</f>
        <v>CIF</v>
      </c>
      <c r="K37" s="15" t="str">
        <f>IFERROR(__xludf.DUMMYFUNCTION("""COMPUTED_VALUE"""),"FSA-1")</f>
        <v>FSA-1</v>
      </c>
      <c r="L37" s="15" t="str">
        <f>IFERROR(__xludf.DUMMYFUNCTION("""COMPUTED_VALUE"""),"AUTORIZADO")</f>
        <v>AUTORIZADO</v>
      </c>
      <c r="M37" s="15" t="str">
        <f>IFERROR(__xludf.DUMMYFUNCTION("""COMPUTED_VALUE"""),"NA ORIGEM")</f>
        <v>NA ORIGEM</v>
      </c>
      <c r="N37" s="15" t="str">
        <f>IFERROR(__xludf.DUMMYFUNCTION("""COMPUTED_VALUE"""),"Antes Prazo")</f>
        <v>Antes Prazo</v>
      </c>
      <c r="O37" s="15" t="str">
        <f>IFERROR(__xludf.DUMMYFUNCTION("""COMPUTED_VALUE"""),"B2B")</f>
        <v>B2B</v>
      </c>
      <c r="P37" s="16">
        <f>IFERROR(__xludf.DUMMYFUNCTION("""COMPUTED_VALUE"""),55.69)</f>
        <v>55.69</v>
      </c>
      <c r="Q37" s="15">
        <f>IFERROR(__xludf.DUMMYFUNCTION("""COMPUTED_VALUE"""),4.0)</f>
        <v>4</v>
      </c>
      <c r="R37" s="15" t="str">
        <f>IFERROR(__xludf.DUMMYFUNCTION("""COMPUTED_VALUE"""),"RODO")</f>
        <v>RODO</v>
      </c>
      <c r="S37" s="15" t="str">
        <f>IFERROR(__xludf.DUMMYFUNCTION("""COMPUTED_VALUE"""),"ITN")</f>
        <v>ITN</v>
      </c>
      <c r="T37" s="15" t="str">
        <f>IFERROR(__xludf.DUMMYFUNCTION("""COMPUTED_VALUE"""),"6")</f>
        <v>6</v>
      </c>
      <c r="U37" s="15" t="str">
        <f>IFERROR(__xludf.DUMMYFUNCTION("""COMPUTED_VALUE"""),"266802228 1306078 8177096 xv meias comercio de confeccoes ltd trifil cwb 6")</f>
        <v>266802228 1306078 8177096 xv meias comercio de confeccoes ltd trifil cwb 6</v>
      </c>
      <c r="V37" s="15" t="b">
        <f>IFERROR(__xludf.DUMMYFUNCTION("""COMPUTED_VALUE"""),FALSE)</f>
        <v>0</v>
      </c>
    </row>
    <row r="38">
      <c r="A38" s="19">
        <f>IFERROR(__xludf.DUMMYFUNCTION("""COMPUTED_VALUE"""),46304.0)</f>
        <v>46304</v>
      </c>
      <c r="B38" s="19">
        <f>IFERROR(__xludf.DUMMYFUNCTION("""COMPUTED_VALUE"""),46316.0)</f>
        <v>46316</v>
      </c>
      <c r="C38" s="15">
        <f>IFERROR(__xludf.DUMMYFUNCTION("""COMPUTED_VALUE"""),7.0)</f>
        <v>7</v>
      </c>
      <c r="D38" s="15" t="str">
        <f>IFERROR(__xludf.DUMMYFUNCTION("""COMPUTED_VALUE"""),"CWB")</f>
        <v>CWB</v>
      </c>
      <c r="E38" s="15" t="str">
        <f>IFERROR(__xludf.DUMMYFUNCTION("""COMPUTED_VALUE"""),"LUPO SHOPPING CRYSTAL")</f>
        <v>LUPO SHOPPING CRYSTAL</v>
      </c>
      <c r="F38" s="15" t="str">
        <f>IFERROR(__xludf.DUMMYFUNCTION("""COMPUTED_VALUE"""),"TRIFIL")</f>
        <v>TRIFIL</v>
      </c>
      <c r="G38" s="15" t="str">
        <f>IFERROR(__xludf.DUMMYFUNCTION("""COMPUTED_VALUE"""),"266802229")</f>
        <v>266802229</v>
      </c>
      <c r="H38" s="15" t="str">
        <f>IFERROR(__xludf.DUMMYFUNCTION("""COMPUTED_VALUE"""),"1305652")</f>
        <v>1305652</v>
      </c>
      <c r="I38" s="15" t="str">
        <f>IFERROR(__xludf.DUMMYFUNCTION("""COMPUTED_VALUE"""),"8177097")</f>
        <v>8177097</v>
      </c>
      <c r="J38" s="15" t="str">
        <f>IFERROR(__xludf.DUMMYFUNCTION("""COMPUTED_VALUE"""),"CIF")</f>
        <v>CIF</v>
      </c>
      <c r="K38" s="15" t="str">
        <f>IFERROR(__xludf.DUMMYFUNCTION("""COMPUTED_VALUE"""),"FSA-1")</f>
        <v>FSA-1</v>
      </c>
      <c r="L38" s="15" t="str">
        <f>IFERROR(__xludf.DUMMYFUNCTION("""COMPUTED_VALUE"""),"AUTORIZADO")</f>
        <v>AUTORIZADO</v>
      </c>
      <c r="M38" s="15" t="str">
        <f>IFERROR(__xludf.DUMMYFUNCTION("""COMPUTED_VALUE"""),"NA ORIGEM")</f>
        <v>NA ORIGEM</v>
      </c>
      <c r="N38" s="15" t="str">
        <f>IFERROR(__xludf.DUMMYFUNCTION("""COMPUTED_VALUE"""),"Antes Prazo")</f>
        <v>Antes Prazo</v>
      </c>
      <c r="O38" s="15" t="str">
        <f>IFERROR(__xludf.DUMMYFUNCTION("""COMPUTED_VALUE"""),"B2B")</f>
        <v>B2B</v>
      </c>
      <c r="P38" s="16">
        <f>IFERROR(__xludf.DUMMYFUNCTION("""COMPUTED_VALUE"""),60.6)</f>
        <v>60.6</v>
      </c>
      <c r="Q38" s="15">
        <f>IFERROR(__xludf.DUMMYFUNCTION("""COMPUTED_VALUE"""),5.0)</f>
        <v>5</v>
      </c>
      <c r="R38" s="15" t="str">
        <f>IFERROR(__xludf.DUMMYFUNCTION("""COMPUTED_VALUE"""),"RODO")</f>
        <v>RODO</v>
      </c>
      <c r="S38" s="15" t="str">
        <f>IFERROR(__xludf.DUMMYFUNCTION("""COMPUTED_VALUE"""),"ITN")</f>
        <v>ITN</v>
      </c>
      <c r="T38" s="15" t="str">
        <f>IFERROR(__xludf.DUMMYFUNCTION("""COMPUTED_VALUE"""),"19")</f>
        <v>19</v>
      </c>
      <c r="U38" s="15" t="str">
        <f>IFERROR(__xludf.DUMMYFUNCTION("""COMPUTED_VALUE"""),"266802229 1305652 8177097 lupo shopping crystal trifil cwb 19")</f>
        <v>266802229 1305652 8177097 lupo shopping crystal trifil cwb 19</v>
      </c>
      <c r="V38" s="15" t="b">
        <f>IFERROR(__xludf.DUMMYFUNCTION("""COMPUTED_VALUE"""),FALSE)</f>
        <v>0</v>
      </c>
    </row>
    <row r="39">
      <c r="A39" s="19">
        <f>IFERROR(__xludf.DUMMYFUNCTION("""COMPUTED_VALUE"""),46304.0)</f>
        <v>46304</v>
      </c>
      <c r="B39" s="19">
        <f>IFERROR(__xludf.DUMMYFUNCTION("""COMPUTED_VALUE"""),46325.0)</f>
        <v>46325</v>
      </c>
      <c r="C39" s="15">
        <f>IFERROR(__xludf.DUMMYFUNCTION("""COMPUTED_VALUE"""),14.0)</f>
        <v>14</v>
      </c>
      <c r="D39" s="15" t="str">
        <f>IFERROR(__xludf.DUMMYFUNCTION("""COMPUTED_VALUE"""),"GPB")</f>
        <v>GPB</v>
      </c>
      <c r="E39" s="15" t="str">
        <f>IFERROR(__xludf.DUMMYFUNCTION("""COMPUTED_VALUE"""),"POLO MULTIMARCAS LTDA")</f>
        <v>POLO MULTIMARCAS LTDA</v>
      </c>
      <c r="F39" s="15" t="str">
        <f>IFERROR(__xludf.DUMMYFUNCTION("""COMPUTED_VALUE"""),"TRIFIL")</f>
        <v>TRIFIL</v>
      </c>
      <c r="G39" s="15" t="str">
        <f>IFERROR(__xludf.DUMMYFUNCTION("""COMPUTED_VALUE"""),"266802230")</f>
        <v>266802230</v>
      </c>
      <c r="H39" s="15" t="str">
        <f>IFERROR(__xludf.DUMMYFUNCTION("""COMPUTED_VALUE"""),"1305832")</f>
        <v>1305832</v>
      </c>
      <c r="I39" s="15" t="str">
        <f>IFERROR(__xludf.DUMMYFUNCTION("""COMPUTED_VALUE"""),"8177098")</f>
        <v>8177098</v>
      </c>
      <c r="J39" s="15" t="str">
        <f>IFERROR(__xludf.DUMMYFUNCTION("""COMPUTED_VALUE"""),"CIF")</f>
        <v>CIF</v>
      </c>
      <c r="K39" s="15" t="str">
        <f>IFERROR(__xludf.DUMMYFUNCTION("""COMPUTED_VALUE"""),"FSA-1")</f>
        <v>FSA-1</v>
      </c>
      <c r="L39" s="15" t="str">
        <f>IFERROR(__xludf.DUMMYFUNCTION("""COMPUTED_VALUE"""),"AUTORIZADO")</f>
        <v>AUTORIZADO</v>
      </c>
      <c r="M39" s="15" t="str">
        <f>IFERROR(__xludf.DUMMYFUNCTION("""COMPUTED_VALUE"""),"NA ORIGEM")</f>
        <v>NA ORIGEM</v>
      </c>
      <c r="N39" s="15" t="str">
        <f>IFERROR(__xludf.DUMMYFUNCTION("""COMPUTED_VALUE"""),"Antes Prazo")</f>
        <v>Antes Prazo</v>
      </c>
      <c r="O39" s="15" t="str">
        <f>IFERROR(__xludf.DUMMYFUNCTION("""COMPUTED_VALUE"""),"B2B")</f>
        <v>B2B</v>
      </c>
      <c r="P39" s="16">
        <f>IFERROR(__xludf.DUMMYFUNCTION("""COMPUTED_VALUE"""),62.65)</f>
        <v>62.65</v>
      </c>
      <c r="Q39" s="15">
        <f>IFERROR(__xludf.DUMMYFUNCTION("""COMPUTED_VALUE"""),4.0)</f>
        <v>4</v>
      </c>
      <c r="R39" s="15" t="str">
        <f>IFERROR(__xludf.DUMMYFUNCTION("""COMPUTED_VALUE"""),"RODO")</f>
        <v>RODO</v>
      </c>
      <c r="S39" s="15" t="str">
        <f>IFERROR(__xludf.DUMMYFUNCTION("""COMPUTED_VALUE"""),"ITN")</f>
        <v>ITN</v>
      </c>
      <c r="T39" s="15" t="str">
        <f>IFERROR(__xludf.DUMMYFUNCTION("""COMPUTED_VALUE"""),"102")</f>
        <v>102</v>
      </c>
      <c r="U39" s="15" t="str">
        <f>IFERROR(__xludf.DUMMYFUNCTION("""COMPUTED_VALUE"""),"266802230 1305832 8177098 polo multimarcas ltda trifil gpb 102")</f>
        <v>266802230 1305832 8177098 polo multimarcas ltda trifil gpb 102</v>
      </c>
      <c r="V39" s="15" t="b">
        <f>IFERROR(__xludf.DUMMYFUNCTION("""COMPUTED_VALUE"""),FALSE)</f>
        <v>0</v>
      </c>
    </row>
    <row r="40">
      <c r="A40" s="19">
        <f>IFERROR(__xludf.DUMMYFUNCTION("""COMPUTED_VALUE"""),46304.0)</f>
        <v>46304</v>
      </c>
      <c r="B40" s="19">
        <f>IFERROR(__xludf.DUMMYFUNCTION("""COMPUTED_VALUE"""),46323.0)</f>
        <v>46323</v>
      </c>
      <c r="C40" s="15">
        <f>IFERROR(__xludf.DUMMYFUNCTION("""COMPUTED_VALUE"""),12.0)</f>
        <v>12</v>
      </c>
      <c r="D40" s="15" t="str">
        <f>IFERROR(__xludf.DUMMYFUNCTION("""COMPUTED_VALUE"""),"JOI")</f>
        <v>JOI</v>
      </c>
      <c r="E40" s="15" t="str">
        <f>IFERROR(__xludf.DUMMYFUNCTION("""COMPUTED_VALUE"""),"MAFRA CENTER COMERCIO DE ROUPAS EIRELI M")</f>
        <v>MAFRA CENTER COMERCIO DE ROUPAS EIRELI M</v>
      </c>
      <c r="F40" s="15" t="str">
        <f>IFERROR(__xludf.DUMMYFUNCTION("""COMPUTED_VALUE"""),"TRIFIL")</f>
        <v>TRIFIL</v>
      </c>
      <c r="G40" s="15" t="str">
        <f>IFERROR(__xludf.DUMMYFUNCTION("""COMPUTED_VALUE"""),"266802231")</f>
        <v>266802231</v>
      </c>
      <c r="H40" s="15" t="str">
        <f>IFERROR(__xludf.DUMMYFUNCTION("""COMPUTED_VALUE"""),"1305777")</f>
        <v>1305777</v>
      </c>
      <c r="I40" s="15" t="str">
        <f>IFERROR(__xludf.DUMMYFUNCTION("""COMPUTED_VALUE"""),"8177080")</f>
        <v>8177080</v>
      </c>
      <c r="J40" s="15" t="str">
        <f>IFERROR(__xludf.DUMMYFUNCTION("""COMPUTED_VALUE"""),"CIF")</f>
        <v>CIF</v>
      </c>
      <c r="K40" s="15" t="str">
        <f>IFERROR(__xludf.DUMMYFUNCTION("""COMPUTED_VALUE"""),"FSA-1")</f>
        <v>FSA-1</v>
      </c>
      <c r="L40" s="15" t="str">
        <f>IFERROR(__xludf.DUMMYFUNCTION("""COMPUTED_VALUE"""),"AUTORIZADO")</f>
        <v>AUTORIZADO</v>
      </c>
      <c r="M40" s="15" t="str">
        <f>IFERROR(__xludf.DUMMYFUNCTION("""COMPUTED_VALUE"""),"NA ORIGEM")</f>
        <v>NA ORIGEM</v>
      </c>
      <c r="N40" s="15" t="str">
        <f>IFERROR(__xludf.DUMMYFUNCTION("""COMPUTED_VALUE"""),"Antes Prazo")</f>
        <v>Antes Prazo</v>
      </c>
      <c r="O40" s="15" t="str">
        <f>IFERROR(__xludf.DUMMYFUNCTION("""COMPUTED_VALUE"""),"B2B")</f>
        <v>B2B</v>
      </c>
      <c r="P40" s="16">
        <f>IFERROR(__xludf.DUMMYFUNCTION("""COMPUTED_VALUE"""),90.12)</f>
        <v>90.12</v>
      </c>
      <c r="Q40" s="15">
        <f>IFERROR(__xludf.DUMMYFUNCTION("""COMPUTED_VALUE"""),17.0)</f>
        <v>17</v>
      </c>
      <c r="R40" s="15" t="str">
        <f>IFERROR(__xludf.DUMMYFUNCTION("""COMPUTED_VALUE"""),"RODO")</f>
        <v>RODO</v>
      </c>
      <c r="S40" s="15" t="str">
        <f>IFERROR(__xludf.DUMMYFUNCTION("""COMPUTED_VALUE"""),"ITN")</f>
        <v>ITN</v>
      </c>
      <c r="T40" s="15" t="str">
        <f>IFERROR(__xludf.DUMMYFUNCTION("""COMPUTED_VALUE"""),"104")</f>
        <v>104</v>
      </c>
      <c r="U40" s="15" t="str">
        <f>IFERROR(__xludf.DUMMYFUNCTION("""COMPUTED_VALUE"""),"266802231 1305777 8177080 mafra center comercio de roupas eireli m trifil joi 104")</f>
        <v>266802231 1305777 8177080 mafra center comercio de roupas eireli m trifil joi 104</v>
      </c>
      <c r="V40" s="15" t="b">
        <f>IFERROR(__xludf.DUMMYFUNCTION("""COMPUTED_VALUE"""),FALSE)</f>
        <v>0</v>
      </c>
    </row>
    <row r="41">
      <c r="A41" s="19">
        <f>IFERROR(__xludf.DUMMYFUNCTION("""COMPUTED_VALUE"""),46304.0)</f>
        <v>46304</v>
      </c>
      <c r="B41" s="19">
        <f>IFERROR(__xludf.DUMMYFUNCTION("""COMPUTED_VALUE"""),46317.0)</f>
        <v>46317</v>
      </c>
      <c r="C41" s="15">
        <f>IFERROR(__xludf.DUMMYFUNCTION("""COMPUTED_VALUE"""),8.0)</f>
        <v>8</v>
      </c>
      <c r="D41" s="15" t="str">
        <f>IFERROR(__xludf.DUMMYFUNCTION("""COMPUTED_VALUE"""),"POA")</f>
        <v>POA</v>
      </c>
      <c r="E41" s="15" t="str">
        <f>IFERROR(__xludf.DUMMYFUNCTION("""COMPUTED_VALUE"""),"LUPO - SHOPPING TOTAL")</f>
        <v>LUPO - SHOPPING TOTAL</v>
      </c>
      <c r="F41" s="15" t="str">
        <f>IFERROR(__xludf.DUMMYFUNCTION("""COMPUTED_VALUE"""),"TRIFIL")</f>
        <v>TRIFIL</v>
      </c>
      <c r="G41" s="15" t="str">
        <f>IFERROR(__xludf.DUMMYFUNCTION("""COMPUTED_VALUE"""),"266802232")</f>
        <v>266802232</v>
      </c>
      <c r="H41" s="15" t="str">
        <f>IFERROR(__xludf.DUMMYFUNCTION("""COMPUTED_VALUE"""),"1306080, 1306081")</f>
        <v>1306080, 1306081</v>
      </c>
      <c r="I41" s="15" t="str">
        <f>IFERROR(__xludf.DUMMYFUNCTION("""COMPUTED_VALUE"""),"8177105")</f>
        <v>8177105</v>
      </c>
      <c r="J41" s="15" t="str">
        <f>IFERROR(__xludf.DUMMYFUNCTION("""COMPUTED_VALUE"""),"CIF")</f>
        <v>CIF</v>
      </c>
      <c r="K41" s="15" t="str">
        <f>IFERROR(__xludf.DUMMYFUNCTION("""COMPUTED_VALUE"""),"FSA-1")</f>
        <v>FSA-1</v>
      </c>
      <c r="L41" s="15" t="str">
        <f>IFERROR(__xludf.DUMMYFUNCTION("""COMPUTED_VALUE"""),"AUTORIZADO")</f>
        <v>AUTORIZADO</v>
      </c>
      <c r="M41" s="15" t="str">
        <f>IFERROR(__xludf.DUMMYFUNCTION("""COMPUTED_VALUE"""),"NA ORIGEM")</f>
        <v>NA ORIGEM</v>
      </c>
      <c r="N41" s="15" t="str">
        <f>IFERROR(__xludf.DUMMYFUNCTION("""COMPUTED_VALUE"""),"Antes Prazo")</f>
        <v>Antes Prazo</v>
      </c>
      <c r="O41" s="15" t="str">
        <f>IFERROR(__xludf.DUMMYFUNCTION("""COMPUTED_VALUE"""),"B2B")</f>
        <v>B2B</v>
      </c>
      <c r="P41" s="16">
        <f>IFERROR(__xludf.DUMMYFUNCTION("""COMPUTED_VALUE"""),76.76)</f>
        <v>76.76</v>
      </c>
      <c r="Q41" s="15">
        <f>IFERROR(__xludf.DUMMYFUNCTION("""COMPUTED_VALUE"""),5.0)</f>
        <v>5</v>
      </c>
      <c r="R41" s="15" t="str">
        <f>IFERROR(__xludf.DUMMYFUNCTION("""COMPUTED_VALUE"""),"RODO")</f>
        <v>RODO</v>
      </c>
      <c r="S41" s="15" t="str">
        <f>IFERROR(__xludf.DUMMYFUNCTION("""COMPUTED_VALUE"""),"ITN")</f>
        <v>ITN</v>
      </c>
      <c r="T41" s="15" t="str">
        <f>IFERROR(__xludf.DUMMYFUNCTION("""COMPUTED_VALUE"""),"87")</f>
        <v>87</v>
      </c>
      <c r="U41" s="15" t="str">
        <f>IFERROR(__xludf.DUMMYFUNCTION("""COMPUTED_VALUE"""),"266802232 1306080, 1306081 8177105 lupo - shopping total trifil poa 87")</f>
        <v>266802232 1306080, 1306081 8177105 lupo - shopping total trifil poa 87</v>
      </c>
      <c r="V41" s="15" t="b">
        <f>IFERROR(__xludf.DUMMYFUNCTION("""COMPUTED_VALUE"""),FALSE)</f>
        <v>0</v>
      </c>
    </row>
    <row r="42">
      <c r="A42" s="19">
        <f>IFERROR(__xludf.DUMMYFUNCTION("""COMPUTED_VALUE"""),46304.0)</f>
        <v>46304</v>
      </c>
      <c r="B42" s="19">
        <f>IFERROR(__xludf.DUMMYFUNCTION("""COMPUTED_VALUE"""),46317.0)</f>
        <v>46317</v>
      </c>
      <c r="C42" s="15">
        <f>IFERROR(__xludf.DUMMYFUNCTION("""COMPUTED_VALUE"""),8.0)</f>
        <v>8</v>
      </c>
      <c r="D42" s="15" t="str">
        <f>IFERROR(__xludf.DUMMYFUNCTION("""COMPUTED_VALUE"""),"POA")</f>
        <v>POA</v>
      </c>
      <c r="E42" s="15" t="str">
        <f>IFERROR(__xludf.DUMMYFUNCTION("""COMPUTED_VALUE"""),"LUPO PRAIA DE BELAS")</f>
        <v>LUPO PRAIA DE BELAS</v>
      </c>
      <c r="F42" s="15" t="str">
        <f>IFERROR(__xludf.DUMMYFUNCTION("""COMPUTED_VALUE"""),"TRIFIL")</f>
        <v>TRIFIL</v>
      </c>
      <c r="G42" s="15" t="str">
        <f>IFERROR(__xludf.DUMMYFUNCTION("""COMPUTED_VALUE"""),"266802233")</f>
        <v>266802233</v>
      </c>
      <c r="H42" s="15" t="str">
        <f>IFERROR(__xludf.DUMMYFUNCTION("""COMPUTED_VALUE"""),"1306079")</f>
        <v>1306079</v>
      </c>
      <c r="I42" s="15" t="str">
        <f>IFERROR(__xludf.DUMMYFUNCTION("""COMPUTED_VALUE"""),"8177099")</f>
        <v>8177099</v>
      </c>
      <c r="J42" s="15" t="str">
        <f>IFERROR(__xludf.DUMMYFUNCTION("""COMPUTED_VALUE"""),"CIF")</f>
        <v>CIF</v>
      </c>
      <c r="K42" s="15" t="str">
        <f>IFERROR(__xludf.DUMMYFUNCTION("""COMPUTED_VALUE"""),"FSA-1")</f>
        <v>FSA-1</v>
      </c>
      <c r="L42" s="15" t="str">
        <f>IFERROR(__xludf.DUMMYFUNCTION("""COMPUTED_VALUE"""),"AUTORIZADO")</f>
        <v>AUTORIZADO</v>
      </c>
      <c r="M42" s="15" t="str">
        <f>IFERROR(__xludf.DUMMYFUNCTION("""COMPUTED_VALUE"""),"NA ORIGEM")</f>
        <v>NA ORIGEM</v>
      </c>
      <c r="N42" s="15" t="str">
        <f>IFERROR(__xludf.DUMMYFUNCTION("""COMPUTED_VALUE"""),"Antes Prazo")</f>
        <v>Antes Prazo</v>
      </c>
      <c r="O42" s="15" t="str">
        <f>IFERROR(__xludf.DUMMYFUNCTION("""COMPUTED_VALUE"""),"B2B")</f>
        <v>B2B</v>
      </c>
      <c r="P42" s="16">
        <f>IFERROR(__xludf.DUMMYFUNCTION("""COMPUTED_VALUE"""),60.04)</f>
        <v>60.04</v>
      </c>
      <c r="Q42" s="15">
        <f>IFERROR(__xludf.DUMMYFUNCTION("""COMPUTED_VALUE"""),2.0)</f>
        <v>2</v>
      </c>
      <c r="R42" s="15" t="str">
        <f>IFERROR(__xludf.DUMMYFUNCTION("""COMPUTED_VALUE"""),"RODO")</f>
        <v>RODO</v>
      </c>
      <c r="S42" s="15" t="str">
        <f>IFERROR(__xludf.DUMMYFUNCTION("""COMPUTED_VALUE"""),"ITN")</f>
        <v>ITN</v>
      </c>
      <c r="T42" s="15" t="str">
        <f>IFERROR(__xludf.DUMMYFUNCTION("""COMPUTED_VALUE"""),"22")</f>
        <v>22</v>
      </c>
      <c r="U42" s="15" t="str">
        <f>IFERROR(__xludf.DUMMYFUNCTION("""COMPUTED_VALUE"""),"266802233 1306079 8177099 lupo praia de belas trifil poa 22")</f>
        <v>266802233 1306079 8177099 lupo praia de belas trifil poa 22</v>
      </c>
      <c r="V42" s="15" t="b">
        <f>IFERROR(__xludf.DUMMYFUNCTION("""COMPUTED_VALUE"""),FALSE)</f>
        <v>0</v>
      </c>
    </row>
    <row r="43">
      <c r="A43" s="19">
        <f>IFERROR(__xludf.DUMMYFUNCTION("""COMPUTED_VALUE"""),46304.0)</f>
        <v>46304</v>
      </c>
      <c r="B43" s="19">
        <f>IFERROR(__xludf.DUMMYFUNCTION("""COMPUTED_VALUE"""),46317.0)</f>
        <v>46317</v>
      </c>
      <c r="C43" s="15">
        <f>IFERROR(__xludf.DUMMYFUNCTION("""COMPUTED_VALUE"""),8.0)</f>
        <v>8</v>
      </c>
      <c r="D43" s="15" t="str">
        <f>IFERROR(__xludf.DUMMYFUNCTION("""COMPUTED_VALUE"""),"POA")</f>
        <v>POA</v>
      </c>
      <c r="E43" s="15" t="str">
        <f>IFERROR(__xludf.DUMMYFUNCTION("""COMPUTED_VALUE"""),"LUPO IGUATEMI")</f>
        <v>LUPO IGUATEMI</v>
      </c>
      <c r="F43" s="15" t="str">
        <f>IFERROR(__xludf.DUMMYFUNCTION("""COMPUTED_VALUE"""),"TRIFIL")</f>
        <v>TRIFIL</v>
      </c>
      <c r="G43" s="15" t="str">
        <f>IFERROR(__xludf.DUMMYFUNCTION("""COMPUTED_VALUE"""),"266802234")</f>
        <v>266802234</v>
      </c>
      <c r="H43" s="15" t="str">
        <f>IFERROR(__xludf.DUMMYFUNCTION("""COMPUTED_VALUE"""),"1306082")</f>
        <v>1306082</v>
      </c>
      <c r="I43" s="15" t="str">
        <f>IFERROR(__xludf.DUMMYFUNCTION("""COMPUTED_VALUE"""),"8177100")</f>
        <v>8177100</v>
      </c>
      <c r="J43" s="15" t="str">
        <f>IFERROR(__xludf.DUMMYFUNCTION("""COMPUTED_VALUE"""),"CIF")</f>
        <v>CIF</v>
      </c>
      <c r="K43" s="15" t="str">
        <f>IFERROR(__xludf.DUMMYFUNCTION("""COMPUTED_VALUE"""),"FSA-1")</f>
        <v>FSA-1</v>
      </c>
      <c r="L43" s="15" t="str">
        <f>IFERROR(__xludf.DUMMYFUNCTION("""COMPUTED_VALUE"""),"AUTORIZADO")</f>
        <v>AUTORIZADO</v>
      </c>
      <c r="M43" s="15" t="str">
        <f>IFERROR(__xludf.DUMMYFUNCTION("""COMPUTED_VALUE"""),"NA ORIGEM")</f>
        <v>NA ORIGEM</v>
      </c>
      <c r="N43" s="15" t="str">
        <f>IFERROR(__xludf.DUMMYFUNCTION("""COMPUTED_VALUE"""),"Antes Prazo")</f>
        <v>Antes Prazo</v>
      </c>
      <c r="O43" s="15" t="str">
        <f>IFERROR(__xludf.DUMMYFUNCTION("""COMPUTED_VALUE"""),"B2B")</f>
        <v>B2B</v>
      </c>
      <c r="P43" s="16">
        <f>IFERROR(__xludf.DUMMYFUNCTION("""COMPUTED_VALUE"""),60.04)</f>
        <v>60.04</v>
      </c>
      <c r="Q43" s="15">
        <f>IFERROR(__xludf.DUMMYFUNCTION("""COMPUTED_VALUE"""),3.0)</f>
        <v>3</v>
      </c>
      <c r="R43" s="15" t="str">
        <f>IFERROR(__xludf.DUMMYFUNCTION("""COMPUTED_VALUE"""),"RODO")</f>
        <v>RODO</v>
      </c>
      <c r="S43" s="15" t="str">
        <f>IFERROR(__xludf.DUMMYFUNCTION("""COMPUTED_VALUE"""),"ITN")</f>
        <v>ITN</v>
      </c>
      <c r="T43" s="15" t="str">
        <f>IFERROR(__xludf.DUMMYFUNCTION("""COMPUTED_VALUE"""),"80")</f>
        <v>80</v>
      </c>
      <c r="U43" s="15" t="str">
        <f>IFERROR(__xludf.DUMMYFUNCTION("""COMPUTED_VALUE"""),"266802234 1306082 8177100 lupo iguatemi trifil poa 80")</f>
        <v>266802234 1306082 8177100 lupo iguatemi trifil poa 80</v>
      </c>
      <c r="V43" s="15" t="b">
        <f>IFERROR(__xludf.DUMMYFUNCTION("""COMPUTED_VALUE"""),FALSE)</f>
        <v>0</v>
      </c>
    </row>
    <row r="44">
      <c r="A44" s="19">
        <f>IFERROR(__xludf.DUMMYFUNCTION("""COMPUTED_VALUE"""),46304.0)</f>
        <v>46304</v>
      </c>
      <c r="B44" s="19">
        <f>IFERROR(__xludf.DUMMYFUNCTION("""COMPUTED_VALUE"""),46317.0)</f>
        <v>46317</v>
      </c>
      <c r="C44" s="15">
        <f>IFERROR(__xludf.DUMMYFUNCTION("""COMPUTED_VALUE"""),8.0)</f>
        <v>8</v>
      </c>
      <c r="D44" s="15" t="str">
        <f>IFERROR(__xludf.DUMMYFUNCTION("""COMPUTED_VALUE"""),"QHV")</f>
        <v>QHV</v>
      </c>
      <c r="E44" s="15" t="str">
        <f>IFERROR(__xludf.DUMMYFUNCTION("""COMPUTED_VALUE"""),"Composto 8 Comercio doVestuario Eireli")</f>
        <v>Composto 8 Comercio doVestuario Eireli</v>
      </c>
      <c r="F44" s="15" t="str">
        <f>IFERROR(__xludf.DUMMYFUNCTION("""COMPUTED_VALUE"""),"TRIFIL")</f>
        <v>TRIFIL</v>
      </c>
      <c r="G44" s="15" t="str">
        <f>IFERROR(__xludf.DUMMYFUNCTION("""COMPUTED_VALUE"""),"266802235")</f>
        <v>266802235</v>
      </c>
      <c r="H44" s="15" t="str">
        <f>IFERROR(__xludf.DUMMYFUNCTION("""COMPUTED_VALUE"""),"1303877")</f>
        <v>1303877</v>
      </c>
      <c r="I44" s="15" t="str">
        <f>IFERROR(__xludf.DUMMYFUNCTION("""COMPUTED_VALUE"""),"8177109")</f>
        <v>8177109</v>
      </c>
      <c r="J44" s="15" t="str">
        <f>IFERROR(__xludf.DUMMYFUNCTION("""COMPUTED_VALUE"""),"CIF")</f>
        <v>CIF</v>
      </c>
      <c r="K44" s="15" t="str">
        <f>IFERROR(__xludf.DUMMYFUNCTION("""COMPUTED_VALUE"""),"FSA-1")</f>
        <v>FSA-1</v>
      </c>
      <c r="L44" s="15" t="str">
        <f>IFERROR(__xludf.DUMMYFUNCTION("""COMPUTED_VALUE"""),"AUTORIZADO")</f>
        <v>AUTORIZADO</v>
      </c>
      <c r="M44" s="15" t="str">
        <f>IFERROR(__xludf.DUMMYFUNCTION("""COMPUTED_VALUE"""),"NA ORIGEM")</f>
        <v>NA ORIGEM</v>
      </c>
      <c r="N44" s="15" t="str">
        <f>IFERROR(__xludf.DUMMYFUNCTION("""COMPUTED_VALUE"""),"Antes Prazo")</f>
        <v>Antes Prazo</v>
      </c>
      <c r="O44" s="15" t="str">
        <f>IFERROR(__xludf.DUMMYFUNCTION("""COMPUTED_VALUE"""),"B2B")</f>
        <v>B2B</v>
      </c>
      <c r="P44" s="16">
        <f>IFERROR(__xludf.DUMMYFUNCTION("""COMPUTED_VALUE"""),570.9)</f>
        <v>570.9</v>
      </c>
      <c r="Q44" s="15">
        <f>IFERROR(__xludf.DUMMYFUNCTION("""COMPUTED_VALUE"""),46.0)</f>
        <v>46</v>
      </c>
      <c r="R44" s="15" t="str">
        <f>IFERROR(__xludf.DUMMYFUNCTION("""COMPUTED_VALUE"""),"RODO")</f>
        <v>RODO</v>
      </c>
      <c r="S44" s="15" t="str">
        <f>IFERROR(__xludf.DUMMYFUNCTION("""COMPUTED_VALUE"""),"ITN")</f>
        <v>ITN</v>
      </c>
      <c r="T44" s="15" t="str">
        <f>IFERROR(__xludf.DUMMYFUNCTION("""COMPUTED_VALUE"""),"6")</f>
        <v>6</v>
      </c>
      <c r="U44" s="15" t="str">
        <f>IFERROR(__xludf.DUMMYFUNCTION("""COMPUTED_VALUE"""),"266802235 1303877 8177109 composto 8 comercio dovestuario eireli trifil qhv 6")</f>
        <v>266802235 1303877 8177109 composto 8 comercio dovestuario eireli trifil qhv 6</v>
      </c>
      <c r="V44" s="15" t="b">
        <f>IFERROR(__xludf.DUMMYFUNCTION("""COMPUTED_VALUE"""),FALSE)</f>
        <v>0</v>
      </c>
    </row>
    <row r="45">
      <c r="A45" s="19">
        <f>IFERROR(__xludf.DUMMYFUNCTION("""COMPUTED_VALUE"""),46304.0)</f>
        <v>46304</v>
      </c>
      <c r="B45" s="19">
        <f>IFERROR(__xludf.DUMMYFUNCTION("""COMPUTED_VALUE"""),46322.0)</f>
        <v>46322</v>
      </c>
      <c r="C45" s="15">
        <f>IFERROR(__xludf.DUMMYFUNCTION("""COMPUTED_VALUE"""),11.0)</f>
        <v>11</v>
      </c>
      <c r="D45" s="15" t="str">
        <f>IFERROR(__xludf.DUMMYFUNCTION("""COMPUTED_VALUE"""),"CXJ")</f>
        <v>CXJ</v>
      </c>
      <c r="E45" s="15" t="str">
        <f>IFERROR(__xludf.DUMMYFUNCTION("""COMPUTED_VALUE"""),"N&amp;J ZHU COM VAR DE ACESS PRES ELETRO")</f>
        <v>N&amp;J ZHU COM VAR DE ACESS PRES ELETRO</v>
      </c>
      <c r="F45" s="15" t="str">
        <f>IFERROR(__xludf.DUMMYFUNCTION("""COMPUTED_VALUE"""),"TRIFIL")</f>
        <v>TRIFIL</v>
      </c>
      <c r="G45" s="15" t="str">
        <f>IFERROR(__xludf.DUMMYFUNCTION("""COMPUTED_VALUE"""),"266802236")</f>
        <v>266802236</v>
      </c>
      <c r="H45" s="15" t="str">
        <f>IFERROR(__xludf.DUMMYFUNCTION("""COMPUTED_VALUE"""),"1305988")</f>
        <v>1305988</v>
      </c>
      <c r="I45" s="15" t="str">
        <f>IFERROR(__xludf.DUMMYFUNCTION("""COMPUTED_VALUE"""),"8177081")</f>
        <v>8177081</v>
      </c>
      <c r="J45" s="15" t="str">
        <f>IFERROR(__xludf.DUMMYFUNCTION("""COMPUTED_VALUE"""),"CIF")</f>
        <v>CIF</v>
      </c>
      <c r="K45" s="15" t="str">
        <f>IFERROR(__xludf.DUMMYFUNCTION("""COMPUTED_VALUE"""),"FSA-1")</f>
        <v>FSA-1</v>
      </c>
      <c r="L45" s="15" t="str">
        <f>IFERROR(__xludf.DUMMYFUNCTION("""COMPUTED_VALUE"""),"AUTORIZADO")</f>
        <v>AUTORIZADO</v>
      </c>
      <c r="M45" s="15" t="str">
        <f>IFERROR(__xludf.DUMMYFUNCTION("""COMPUTED_VALUE"""),"NA ORIGEM")</f>
        <v>NA ORIGEM</v>
      </c>
      <c r="N45" s="15" t="str">
        <f>IFERROR(__xludf.DUMMYFUNCTION("""COMPUTED_VALUE"""),"Antes Prazo")</f>
        <v>Antes Prazo</v>
      </c>
      <c r="O45" s="15" t="str">
        <f>IFERROR(__xludf.DUMMYFUNCTION("""COMPUTED_VALUE"""),"B2B")</f>
        <v>B2B</v>
      </c>
      <c r="P45" s="16">
        <f>IFERROR(__xludf.DUMMYFUNCTION("""COMPUTED_VALUE"""),79.47)</f>
        <v>79.47</v>
      </c>
      <c r="Q45" s="15">
        <f>IFERROR(__xludf.DUMMYFUNCTION("""COMPUTED_VALUE"""),3.0)</f>
        <v>3</v>
      </c>
      <c r="R45" s="15" t="str">
        <f>IFERROR(__xludf.DUMMYFUNCTION("""COMPUTED_VALUE"""),"RODO")</f>
        <v>RODO</v>
      </c>
      <c r="S45" s="15" t="str">
        <f>IFERROR(__xludf.DUMMYFUNCTION("""COMPUTED_VALUE"""),"ITN")</f>
        <v>ITN</v>
      </c>
      <c r="T45" s="15" t="str">
        <f>IFERROR(__xludf.DUMMYFUNCTION("""COMPUTED_VALUE"""),"500")</f>
        <v>500</v>
      </c>
      <c r="U45" s="15" t="str">
        <f>IFERROR(__xludf.DUMMYFUNCTION("""COMPUTED_VALUE"""),"266802236 1305988 8177081 n&amp;j zhu com var de acess pres eletro trifil cxj 500")</f>
        <v>266802236 1305988 8177081 n&amp;j zhu com var de acess pres eletro trifil cxj 500</v>
      </c>
      <c r="V45" s="15" t="b">
        <f>IFERROR(__xludf.DUMMYFUNCTION("""COMPUTED_VALUE"""),FALSE)</f>
        <v>0</v>
      </c>
    </row>
    <row r="46">
      <c r="A46" s="19">
        <f>IFERROR(__xludf.DUMMYFUNCTION("""COMPUTED_VALUE"""),46304.0)</f>
        <v>46304</v>
      </c>
      <c r="B46" s="19">
        <f>IFERROR(__xludf.DUMMYFUNCTION("""COMPUTED_VALUE"""),46316.0)</f>
        <v>46316</v>
      </c>
      <c r="C46" s="15">
        <f>IFERROR(__xludf.DUMMYFUNCTION("""COMPUTED_VALUE"""),7.0)</f>
        <v>7</v>
      </c>
      <c r="D46" s="15" t="str">
        <f>IFERROR(__xludf.DUMMYFUNCTION("""COMPUTED_VALUE"""),"CCT")</f>
        <v>CCT</v>
      </c>
      <c r="E46" s="15" t="str">
        <f>IFERROR(__xludf.DUMMYFUNCTION("""COMPUTED_VALUE"""),"PERFUMARIA PRINCESA DE SAO BENTO LTD")</f>
        <v>PERFUMARIA PRINCESA DE SAO BENTO LTD</v>
      </c>
      <c r="F46" s="15" t="str">
        <f>IFERROR(__xludf.DUMMYFUNCTION("""COMPUTED_VALUE"""),"TRIFIL")</f>
        <v>TRIFIL</v>
      </c>
      <c r="G46" s="15" t="str">
        <f>IFERROR(__xludf.DUMMYFUNCTION("""COMPUTED_VALUE"""),"266803260")</f>
        <v>266803260</v>
      </c>
      <c r="H46" s="15" t="str">
        <f>IFERROR(__xludf.DUMMYFUNCTION("""COMPUTED_VALUE"""),"1305542")</f>
        <v>1305542</v>
      </c>
      <c r="I46" s="15" t="str">
        <f>IFERROR(__xludf.DUMMYFUNCTION("""COMPUTED_VALUE"""),"8176840")</f>
        <v>8176840</v>
      </c>
      <c r="J46" s="15" t="str">
        <f>IFERROR(__xludf.DUMMYFUNCTION("""COMPUTED_VALUE"""),"CIF")</f>
        <v>CIF</v>
      </c>
      <c r="K46" s="15" t="str">
        <f>IFERROR(__xludf.DUMMYFUNCTION("""COMPUTED_VALUE"""),"(sem célula)")</f>
        <v>(sem célula)</v>
      </c>
      <c r="L46" s="15" t="str">
        <f>IFERROR(__xludf.DUMMYFUNCTION("""COMPUTED_VALUE"""),"AUTORIZADO")</f>
        <v>AUTORIZADO</v>
      </c>
      <c r="M46" s="15" t="str">
        <f>IFERROR(__xludf.DUMMYFUNCTION("""COMPUTED_VALUE"""),"NA ORIGEM")</f>
        <v>NA ORIGEM</v>
      </c>
      <c r="N46" s="15" t="str">
        <f>IFERROR(__xludf.DUMMYFUNCTION("""COMPUTED_VALUE"""),"Antes Prazo")</f>
        <v>Antes Prazo</v>
      </c>
      <c r="O46" s="15" t="str">
        <f>IFERROR(__xludf.DUMMYFUNCTION("""COMPUTED_VALUE"""),"B2B")</f>
        <v>B2B</v>
      </c>
      <c r="P46" s="16">
        <f>IFERROR(__xludf.DUMMYFUNCTION("""COMPUTED_VALUE"""),45.49)</f>
        <v>45.49</v>
      </c>
      <c r="Q46" s="15">
        <f>IFERROR(__xludf.DUMMYFUNCTION("""COMPUTED_VALUE"""),1.0)</f>
        <v>1</v>
      </c>
      <c r="R46" s="15" t="str">
        <f>IFERROR(__xludf.DUMMYFUNCTION("""COMPUTED_VALUE"""),"RODO")</f>
        <v>RODO</v>
      </c>
      <c r="S46" s="15" t="str">
        <f>IFERROR(__xludf.DUMMYFUNCTION("""COMPUTED_VALUE"""),"ITN")</f>
        <v>ITN</v>
      </c>
      <c r="T46" s="15" t="str">
        <f>IFERROR(__xludf.DUMMYFUNCTION("""COMPUTED_VALUE"""),"104")</f>
        <v>104</v>
      </c>
      <c r="U46" s="15" t="str">
        <f>IFERROR(__xludf.DUMMYFUNCTION("""COMPUTED_VALUE"""),"266803260 1305542 8176840 perfumaria princesa de sao bento ltd trifil cct 104")</f>
        <v>266803260 1305542 8176840 perfumaria princesa de sao bento ltd trifil cct 104</v>
      </c>
      <c r="V46" s="15" t="b">
        <f>IFERROR(__xludf.DUMMYFUNCTION("""COMPUTED_VALUE"""),FALSE)</f>
        <v>0</v>
      </c>
    </row>
    <row r="47">
      <c r="A47" s="19">
        <f>IFERROR(__xludf.DUMMYFUNCTION("""COMPUTED_VALUE"""),46304.0)</f>
        <v>46304</v>
      </c>
      <c r="B47" s="19">
        <f>IFERROR(__xludf.DUMMYFUNCTION("""COMPUTED_VALUE"""),46316.0)</f>
        <v>46316</v>
      </c>
      <c r="C47" s="15">
        <f>IFERROR(__xludf.DUMMYFUNCTION("""COMPUTED_VALUE"""),7.0)</f>
        <v>7</v>
      </c>
      <c r="D47" s="15" t="str">
        <f>IFERROR(__xludf.DUMMYFUNCTION("""COMPUTED_VALUE"""),"SJK")</f>
        <v>SJK</v>
      </c>
      <c r="E47" s="15" t="str">
        <f>IFERROR(__xludf.DUMMYFUNCTION("""COMPUTED_VALUE"""),"J A DE C KAKO - ME")</f>
        <v>J A DE C KAKO - ME</v>
      </c>
      <c r="F47" s="15" t="str">
        <f>IFERROR(__xludf.DUMMYFUNCTION("""COMPUTED_VALUE"""),"TRIFIL")</f>
        <v>TRIFIL</v>
      </c>
      <c r="G47" s="15" t="str">
        <f>IFERROR(__xludf.DUMMYFUNCTION("""COMPUTED_VALUE"""),"266803261")</f>
        <v>266803261</v>
      </c>
      <c r="H47" s="15" t="str">
        <f>IFERROR(__xludf.DUMMYFUNCTION("""COMPUTED_VALUE"""),"1305461")</f>
        <v>1305461</v>
      </c>
      <c r="I47" s="15" t="str">
        <f>IFERROR(__xludf.DUMMYFUNCTION("""COMPUTED_VALUE"""),"8176960")</f>
        <v>8176960</v>
      </c>
      <c r="J47" s="15" t="str">
        <f>IFERROR(__xludf.DUMMYFUNCTION("""COMPUTED_VALUE"""),"CIF")</f>
        <v>CIF</v>
      </c>
      <c r="K47" s="15" t="str">
        <f>IFERROR(__xludf.DUMMYFUNCTION("""COMPUTED_VALUE"""),"(sem célula)")</f>
        <v>(sem célula)</v>
      </c>
      <c r="L47" s="15" t="str">
        <f>IFERROR(__xludf.DUMMYFUNCTION("""COMPUTED_VALUE"""),"AUTORIZADO")</f>
        <v>AUTORIZADO</v>
      </c>
      <c r="M47" s="15" t="str">
        <f>IFERROR(__xludf.DUMMYFUNCTION("""COMPUTED_VALUE"""),"NA ORIGEM")</f>
        <v>NA ORIGEM</v>
      </c>
      <c r="N47" s="15" t="str">
        <f>IFERROR(__xludf.DUMMYFUNCTION("""COMPUTED_VALUE"""),"Antes Prazo")</f>
        <v>Antes Prazo</v>
      </c>
      <c r="O47" s="15" t="str">
        <f>IFERROR(__xludf.DUMMYFUNCTION("""COMPUTED_VALUE"""),"B2B")</f>
        <v>B2B</v>
      </c>
      <c r="P47" s="16">
        <f>IFERROR(__xludf.DUMMYFUNCTION("""COMPUTED_VALUE"""),38.46)</f>
        <v>38.46</v>
      </c>
      <c r="Q47" s="15">
        <f>IFERROR(__xludf.DUMMYFUNCTION("""COMPUTED_VALUE"""),1.0)</f>
        <v>1</v>
      </c>
      <c r="R47" s="15" t="str">
        <f>IFERROR(__xludf.DUMMYFUNCTION("""COMPUTED_VALUE"""),"RODO")</f>
        <v>RODO</v>
      </c>
      <c r="S47" s="15" t="str">
        <f>IFERROR(__xludf.DUMMYFUNCTION("""COMPUTED_VALUE"""),"ITN")</f>
        <v>ITN</v>
      </c>
      <c r="T47" s="15" t="str">
        <f>IFERROR(__xludf.DUMMYFUNCTION("""COMPUTED_VALUE"""),"104")</f>
        <v>104</v>
      </c>
      <c r="U47" s="15" t="str">
        <f>IFERROR(__xludf.DUMMYFUNCTION("""COMPUTED_VALUE"""),"266803261 1305461 8176960 j a de c kako - me trifil sjk 104")</f>
        <v>266803261 1305461 8176960 j a de c kako - me trifil sjk 104</v>
      </c>
      <c r="V47" s="15" t="b">
        <f>IFERROR(__xludf.DUMMYFUNCTION("""COMPUTED_VALUE"""),FALSE)</f>
        <v>0</v>
      </c>
    </row>
    <row r="48">
      <c r="A48" s="19">
        <f>IFERROR(__xludf.DUMMYFUNCTION("""COMPUTED_VALUE"""),46304.0)</f>
        <v>46304</v>
      </c>
      <c r="B48" s="19">
        <f>IFERROR(__xludf.DUMMYFUNCTION("""COMPUTED_VALUE"""),46316.0)</f>
        <v>46316</v>
      </c>
      <c r="C48" s="15">
        <f>IFERROR(__xludf.DUMMYFUNCTION("""COMPUTED_VALUE"""),7.0)</f>
        <v>7</v>
      </c>
      <c r="D48" s="15" t="str">
        <f>IFERROR(__xludf.DUMMYFUNCTION("""COMPUTED_VALUE"""),"SJK")</f>
        <v>SJK</v>
      </c>
      <c r="E48" s="15" t="str">
        <f>IFERROR(__xludf.DUMMYFUNCTION("""COMPUTED_VALUE"""),"LUPO VALE SUL")</f>
        <v>LUPO VALE SUL</v>
      </c>
      <c r="F48" s="15" t="str">
        <f>IFERROR(__xludf.DUMMYFUNCTION("""COMPUTED_VALUE"""),"TRIFIL")</f>
        <v>TRIFIL</v>
      </c>
      <c r="G48" s="15" t="str">
        <f>IFERROR(__xludf.DUMMYFUNCTION("""COMPUTED_VALUE"""),"266803262")</f>
        <v>266803262</v>
      </c>
      <c r="H48" s="15" t="str">
        <f>IFERROR(__xludf.DUMMYFUNCTION("""COMPUTED_VALUE"""),"1305581")</f>
        <v>1305581</v>
      </c>
      <c r="I48" s="15" t="str">
        <f>IFERROR(__xludf.DUMMYFUNCTION("""COMPUTED_VALUE"""),"8176961")</f>
        <v>8176961</v>
      </c>
      <c r="J48" s="15" t="str">
        <f>IFERROR(__xludf.DUMMYFUNCTION("""COMPUTED_VALUE"""),"CIF")</f>
        <v>CIF</v>
      </c>
      <c r="K48" s="15" t="str">
        <f>IFERROR(__xludf.DUMMYFUNCTION("""COMPUTED_VALUE"""),"SAO-1")</f>
        <v>SAO-1</v>
      </c>
      <c r="L48" s="15" t="str">
        <f>IFERROR(__xludf.DUMMYFUNCTION("""COMPUTED_VALUE"""),"AUTORIZADO")</f>
        <v>AUTORIZADO</v>
      </c>
      <c r="M48" s="15" t="str">
        <f>IFERROR(__xludf.DUMMYFUNCTION("""COMPUTED_VALUE"""),"NA ORIGEM")</f>
        <v>NA ORIGEM</v>
      </c>
      <c r="N48" s="15" t="str">
        <f>IFERROR(__xludf.DUMMYFUNCTION("""COMPUTED_VALUE"""),"Antes Prazo")</f>
        <v>Antes Prazo</v>
      </c>
      <c r="O48" s="15" t="str">
        <f>IFERROR(__xludf.DUMMYFUNCTION("""COMPUTED_VALUE"""),"B2B")</f>
        <v>B2B</v>
      </c>
      <c r="P48" s="16">
        <f>IFERROR(__xludf.DUMMYFUNCTION("""COMPUTED_VALUE"""),38.46)</f>
        <v>38.46</v>
      </c>
      <c r="Q48" s="15">
        <f>IFERROR(__xludf.DUMMYFUNCTION("""COMPUTED_VALUE"""),2.0)</f>
        <v>2</v>
      </c>
      <c r="R48" s="15" t="str">
        <f>IFERROR(__xludf.DUMMYFUNCTION("""COMPUTED_VALUE"""),"RODO")</f>
        <v>RODO</v>
      </c>
      <c r="S48" s="15" t="str">
        <f>IFERROR(__xludf.DUMMYFUNCTION("""COMPUTED_VALUE"""),"ITN")</f>
        <v>ITN</v>
      </c>
      <c r="T48" s="15" t="str">
        <f>IFERROR(__xludf.DUMMYFUNCTION("""COMPUTED_VALUE"""),"6")</f>
        <v>6</v>
      </c>
      <c r="U48" s="15" t="str">
        <f>IFERROR(__xludf.DUMMYFUNCTION("""COMPUTED_VALUE"""),"266803262 1305581 8176961 lupo vale sul trifil sjk 6")</f>
        <v>266803262 1305581 8176961 lupo vale sul trifil sjk 6</v>
      </c>
      <c r="V48" s="15" t="b">
        <f>IFERROR(__xludf.DUMMYFUNCTION("""COMPUTED_VALUE"""),FALSE)</f>
        <v>0</v>
      </c>
    </row>
    <row r="49">
      <c r="A49" s="19">
        <f>IFERROR(__xludf.DUMMYFUNCTION("""COMPUTED_VALUE"""),46304.0)</f>
        <v>46304</v>
      </c>
      <c r="B49" s="19">
        <f>IFERROR(__xludf.DUMMYFUNCTION("""COMPUTED_VALUE"""),46316.0)</f>
        <v>46316</v>
      </c>
      <c r="C49" s="15">
        <f>IFERROR(__xludf.DUMMYFUNCTION("""COMPUTED_VALUE"""),7.0)</f>
        <v>7</v>
      </c>
      <c r="D49" s="15" t="str">
        <f>IFERROR(__xludf.DUMMYFUNCTION("""COMPUTED_VALUE"""),"SJK")</f>
        <v>SJK</v>
      </c>
      <c r="E49" s="15" t="str">
        <f>IFERROR(__xludf.DUMMYFUNCTION("""COMPUTED_VALUE"""),"FLOR D'ELIS")</f>
        <v>FLOR D'ELIS</v>
      </c>
      <c r="F49" s="15" t="str">
        <f>IFERROR(__xludf.DUMMYFUNCTION("""COMPUTED_VALUE"""),"TRIFIL")</f>
        <v>TRIFIL</v>
      </c>
      <c r="G49" s="15" t="str">
        <f>IFERROR(__xludf.DUMMYFUNCTION("""COMPUTED_VALUE"""),"266803264")</f>
        <v>266803264</v>
      </c>
      <c r="H49" s="15" t="str">
        <f>IFERROR(__xludf.DUMMYFUNCTION("""COMPUTED_VALUE"""),"1305923")</f>
        <v>1305923</v>
      </c>
      <c r="I49" s="15" t="str">
        <f>IFERROR(__xludf.DUMMYFUNCTION("""COMPUTED_VALUE"""),"8176747")</f>
        <v>8176747</v>
      </c>
      <c r="J49" s="15" t="str">
        <f>IFERROR(__xludf.DUMMYFUNCTION("""COMPUTED_VALUE"""),"CIF")</f>
        <v>CIF</v>
      </c>
      <c r="K49" s="15" t="str">
        <f>IFERROR(__xludf.DUMMYFUNCTION("""COMPUTED_VALUE"""),"SAO-1")</f>
        <v>SAO-1</v>
      </c>
      <c r="L49" s="15" t="str">
        <f>IFERROR(__xludf.DUMMYFUNCTION("""COMPUTED_VALUE"""),"AUTORIZADO")</f>
        <v>AUTORIZADO</v>
      </c>
      <c r="M49" s="15" t="str">
        <f>IFERROR(__xludf.DUMMYFUNCTION("""COMPUTED_VALUE"""),"NA ORIGEM")</f>
        <v>NA ORIGEM</v>
      </c>
      <c r="N49" s="15" t="str">
        <f>IFERROR(__xludf.DUMMYFUNCTION("""COMPUTED_VALUE"""),"Antes Prazo")</f>
        <v>Antes Prazo</v>
      </c>
      <c r="O49" s="15" t="str">
        <f>IFERROR(__xludf.DUMMYFUNCTION("""COMPUTED_VALUE"""),"B2B")</f>
        <v>B2B</v>
      </c>
      <c r="P49" s="16">
        <f>IFERROR(__xludf.DUMMYFUNCTION("""COMPUTED_VALUE"""),38.46)</f>
        <v>38.46</v>
      </c>
      <c r="Q49" s="15">
        <f>IFERROR(__xludf.DUMMYFUNCTION("""COMPUTED_VALUE"""),1.0)</f>
        <v>1</v>
      </c>
      <c r="R49" s="15" t="str">
        <f>IFERROR(__xludf.DUMMYFUNCTION("""COMPUTED_VALUE"""),"RODO")</f>
        <v>RODO</v>
      </c>
      <c r="S49" s="15" t="str">
        <f>IFERROR(__xludf.DUMMYFUNCTION("""COMPUTED_VALUE"""),"ITN")</f>
        <v>ITN</v>
      </c>
      <c r="T49" s="15" t="str">
        <f>IFERROR(__xludf.DUMMYFUNCTION("""COMPUTED_VALUE"""),"3")</f>
        <v>3</v>
      </c>
      <c r="U49" s="15" t="str">
        <f>IFERROR(__xludf.DUMMYFUNCTION("""COMPUTED_VALUE"""),"266803264 1305923 8176747 flor d'elis trifil sjk 3")</f>
        <v>266803264 1305923 8176747 flor d'elis trifil sjk 3</v>
      </c>
      <c r="V49" s="15" t="b">
        <f>IFERROR(__xludf.DUMMYFUNCTION("""COMPUTED_VALUE"""),FALSE)</f>
        <v>0</v>
      </c>
    </row>
    <row r="50">
      <c r="A50" s="19">
        <f>IFERROR(__xludf.DUMMYFUNCTION("""COMPUTED_VALUE"""),46304.0)</f>
        <v>46304</v>
      </c>
      <c r="B50" s="19">
        <f>IFERROR(__xludf.DUMMYFUNCTION("""COMPUTED_VALUE"""),46316.0)</f>
        <v>46316</v>
      </c>
      <c r="C50" s="15">
        <f>IFERROR(__xludf.DUMMYFUNCTION("""COMPUTED_VALUE"""),7.0)</f>
        <v>7</v>
      </c>
      <c r="D50" s="15" t="str">
        <f>IFERROR(__xludf.DUMMYFUNCTION("""COMPUTED_VALUE"""),"SJK")</f>
        <v>SJK</v>
      </c>
      <c r="E50" s="15" t="str">
        <f>IFERROR(__xludf.DUMMYFUNCTION("""COMPUTED_VALUE"""),"COMERCIAL VALUTTI LTDA")</f>
        <v>COMERCIAL VALUTTI LTDA</v>
      </c>
      <c r="F50" s="15" t="str">
        <f>IFERROR(__xludf.DUMMYFUNCTION("""COMPUTED_VALUE"""),"TRIFIL")</f>
        <v>TRIFIL</v>
      </c>
      <c r="G50" s="15" t="str">
        <f>IFERROR(__xludf.DUMMYFUNCTION("""COMPUTED_VALUE"""),"266803266")</f>
        <v>266803266</v>
      </c>
      <c r="H50" s="15" t="str">
        <f>IFERROR(__xludf.DUMMYFUNCTION("""COMPUTED_VALUE"""),"1305731")</f>
        <v>1305731</v>
      </c>
      <c r="I50" s="15" t="str">
        <f>IFERROR(__xludf.DUMMYFUNCTION("""COMPUTED_VALUE"""),"8176962")</f>
        <v>8176962</v>
      </c>
      <c r="J50" s="15" t="str">
        <f>IFERROR(__xludf.DUMMYFUNCTION("""COMPUTED_VALUE"""),"CIF")</f>
        <v>CIF</v>
      </c>
      <c r="K50" s="15" t="str">
        <f>IFERROR(__xludf.DUMMYFUNCTION("""COMPUTED_VALUE"""),"SAO-1")</f>
        <v>SAO-1</v>
      </c>
      <c r="L50" s="15" t="str">
        <f>IFERROR(__xludf.DUMMYFUNCTION("""COMPUTED_VALUE"""),"AUTORIZADO")</f>
        <v>AUTORIZADO</v>
      </c>
      <c r="M50" s="15" t="str">
        <f>IFERROR(__xludf.DUMMYFUNCTION("""COMPUTED_VALUE"""),"NA ORIGEM")</f>
        <v>NA ORIGEM</v>
      </c>
      <c r="N50" s="15" t="str">
        <f>IFERROR(__xludf.DUMMYFUNCTION("""COMPUTED_VALUE"""),"Antes Prazo")</f>
        <v>Antes Prazo</v>
      </c>
      <c r="O50" s="15" t="str">
        <f>IFERROR(__xludf.DUMMYFUNCTION("""COMPUTED_VALUE"""),"B2B")</f>
        <v>B2B</v>
      </c>
      <c r="P50" s="16">
        <f>IFERROR(__xludf.DUMMYFUNCTION("""COMPUTED_VALUE"""),38.46)</f>
        <v>38.46</v>
      </c>
      <c r="Q50" s="15">
        <f>IFERROR(__xludf.DUMMYFUNCTION("""COMPUTED_VALUE"""),1.0)</f>
        <v>1</v>
      </c>
      <c r="R50" s="15" t="str">
        <f>IFERROR(__xludf.DUMMYFUNCTION("""COMPUTED_VALUE"""),"RODO")</f>
        <v>RODO</v>
      </c>
      <c r="S50" s="15" t="str">
        <f>IFERROR(__xludf.DUMMYFUNCTION("""COMPUTED_VALUE"""),"ITN")</f>
        <v>ITN</v>
      </c>
      <c r="T50" s="15" t="str">
        <f>IFERROR(__xludf.DUMMYFUNCTION("""COMPUTED_VALUE"""),"3")</f>
        <v>3</v>
      </c>
      <c r="U50" s="15" t="str">
        <f>IFERROR(__xludf.DUMMYFUNCTION("""COMPUTED_VALUE"""),"266803266 1305731 8176962 comercial valutti ltda trifil sjk 3")</f>
        <v>266803266 1305731 8176962 comercial valutti ltda trifil sjk 3</v>
      </c>
      <c r="V50" s="15" t="b">
        <f>IFERROR(__xludf.DUMMYFUNCTION("""COMPUTED_VALUE"""),FALSE)</f>
        <v>0</v>
      </c>
    </row>
    <row r="51">
      <c r="A51" s="19">
        <f>IFERROR(__xludf.DUMMYFUNCTION("""COMPUTED_VALUE"""),46304.0)</f>
        <v>46304</v>
      </c>
      <c r="B51" s="19">
        <f>IFERROR(__xludf.DUMMYFUNCTION("""COMPUTED_VALUE"""),46316.0)</f>
        <v>46316</v>
      </c>
      <c r="C51" s="15">
        <f>IFERROR(__xludf.DUMMYFUNCTION("""COMPUTED_VALUE"""),7.0)</f>
        <v>7</v>
      </c>
      <c r="D51" s="15" t="str">
        <f>IFERROR(__xludf.DUMMYFUNCTION("""COMPUTED_VALUE"""),"SJK")</f>
        <v>SJK</v>
      </c>
      <c r="E51" s="15" t="str">
        <f>IFERROR(__xludf.DUMMYFUNCTION("""COMPUTED_VALUE"""),"ANTONIO CESAR VELOSO CALCADOS EIRELI EPP")</f>
        <v>ANTONIO CESAR VELOSO CALCADOS EIRELI EPP</v>
      </c>
      <c r="F51" s="15" t="str">
        <f>IFERROR(__xludf.DUMMYFUNCTION("""COMPUTED_VALUE"""),"TRIFIL")</f>
        <v>TRIFIL</v>
      </c>
      <c r="G51" s="15" t="str">
        <f>IFERROR(__xludf.DUMMYFUNCTION("""COMPUTED_VALUE"""),"266803268")</f>
        <v>266803268</v>
      </c>
      <c r="H51" s="15" t="str">
        <f>IFERROR(__xludf.DUMMYFUNCTION("""COMPUTED_VALUE"""),"1305325")</f>
        <v>1305325</v>
      </c>
      <c r="I51" s="15" t="str">
        <f>IFERROR(__xludf.DUMMYFUNCTION("""COMPUTED_VALUE"""),"8176897")</f>
        <v>8176897</v>
      </c>
      <c r="J51" s="15" t="str">
        <f>IFERROR(__xludf.DUMMYFUNCTION("""COMPUTED_VALUE"""),"CIF")</f>
        <v>CIF</v>
      </c>
      <c r="K51" s="15" t="str">
        <f>IFERROR(__xludf.DUMMYFUNCTION("""COMPUTED_VALUE"""),"SAO-1")</f>
        <v>SAO-1</v>
      </c>
      <c r="L51" s="15" t="str">
        <f>IFERROR(__xludf.DUMMYFUNCTION("""COMPUTED_VALUE"""),"AUTORIZADO")</f>
        <v>AUTORIZADO</v>
      </c>
      <c r="M51" s="15" t="str">
        <f>IFERROR(__xludf.DUMMYFUNCTION("""COMPUTED_VALUE"""),"NA ORIGEM")</f>
        <v>NA ORIGEM</v>
      </c>
      <c r="N51" s="15" t="str">
        <f>IFERROR(__xludf.DUMMYFUNCTION("""COMPUTED_VALUE"""),"Antes Prazo")</f>
        <v>Antes Prazo</v>
      </c>
      <c r="O51" s="15" t="str">
        <f>IFERROR(__xludf.DUMMYFUNCTION("""COMPUTED_VALUE"""),"B2B")</f>
        <v>B2B</v>
      </c>
      <c r="P51" s="16">
        <f>IFERROR(__xludf.DUMMYFUNCTION("""COMPUTED_VALUE"""),38.46)</f>
        <v>38.46</v>
      </c>
      <c r="Q51" s="15">
        <f>IFERROR(__xludf.DUMMYFUNCTION("""COMPUTED_VALUE"""),1.0)</f>
        <v>1</v>
      </c>
      <c r="R51" s="15" t="str">
        <f>IFERROR(__xludf.DUMMYFUNCTION("""COMPUTED_VALUE"""),"RODO")</f>
        <v>RODO</v>
      </c>
      <c r="S51" s="15" t="str">
        <f>IFERROR(__xludf.DUMMYFUNCTION("""COMPUTED_VALUE"""),"ITN")</f>
        <v>ITN</v>
      </c>
      <c r="T51" s="15" t="str">
        <f>IFERROR(__xludf.DUMMYFUNCTION("""COMPUTED_VALUE"""),"2")</f>
        <v>2</v>
      </c>
      <c r="U51" s="15" t="str">
        <f>IFERROR(__xludf.DUMMYFUNCTION("""COMPUTED_VALUE"""),"266803268 1305325 8176897 antonio cesar veloso calcados eireli epp trifil sjk 2")</f>
        <v>266803268 1305325 8176897 antonio cesar veloso calcados eireli epp trifil sjk 2</v>
      </c>
      <c r="V51" s="15" t="b">
        <f>IFERROR(__xludf.DUMMYFUNCTION("""COMPUTED_VALUE"""),FALSE)</f>
        <v>0</v>
      </c>
    </row>
    <row r="52">
      <c r="A52" s="19">
        <f>IFERROR(__xludf.DUMMYFUNCTION("""COMPUTED_VALUE"""),46304.0)</f>
        <v>46304</v>
      </c>
      <c r="B52" s="19">
        <f>IFERROR(__xludf.DUMMYFUNCTION("""COMPUTED_VALUE"""),46316.0)</f>
        <v>46316</v>
      </c>
      <c r="C52" s="15">
        <f>IFERROR(__xludf.DUMMYFUNCTION("""COMPUTED_VALUE"""),7.0)</f>
        <v>7</v>
      </c>
      <c r="D52" s="15" t="str">
        <f>IFERROR(__xludf.DUMMYFUNCTION("""COMPUTED_VALUE"""),"SJK")</f>
        <v>SJK</v>
      </c>
      <c r="E52" s="15" t="str">
        <f>IFERROR(__xludf.DUMMYFUNCTION("""COMPUTED_VALUE"""),"LOJAO JACAREI COM DE CONF LTDA")</f>
        <v>LOJAO JACAREI COM DE CONF LTDA</v>
      </c>
      <c r="F52" s="15" t="str">
        <f>IFERROR(__xludf.DUMMYFUNCTION("""COMPUTED_VALUE"""),"TRIFIL")</f>
        <v>TRIFIL</v>
      </c>
      <c r="G52" s="15" t="str">
        <f>IFERROR(__xludf.DUMMYFUNCTION("""COMPUTED_VALUE"""),"266803270")</f>
        <v>266803270</v>
      </c>
      <c r="H52" s="15" t="str">
        <f>IFERROR(__xludf.DUMMYFUNCTION("""COMPUTED_VALUE"""),"1304017, 1305900")</f>
        <v>1304017, 1305900</v>
      </c>
      <c r="I52" s="15" t="str">
        <f>IFERROR(__xludf.DUMMYFUNCTION("""COMPUTED_VALUE"""),"8177017")</f>
        <v>8177017</v>
      </c>
      <c r="J52" s="15" t="str">
        <f>IFERROR(__xludf.DUMMYFUNCTION("""COMPUTED_VALUE"""),"CIF")</f>
        <v>CIF</v>
      </c>
      <c r="K52" s="15" t="str">
        <f>IFERROR(__xludf.DUMMYFUNCTION("""COMPUTED_VALUE"""),"SAO-1")</f>
        <v>SAO-1</v>
      </c>
      <c r="L52" s="15" t="str">
        <f>IFERROR(__xludf.DUMMYFUNCTION("""COMPUTED_VALUE"""),"AUTORIZADO")</f>
        <v>AUTORIZADO</v>
      </c>
      <c r="M52" s="15" t="str">
        <f>IFERROR(__xludf.DUMMYFUNCTION("""COMPUTED_VALUE"""),"NA ORIGEM")</f>
        <v>NA ORIGEM</v>
      </c>
      <c r="N52" s="15" t="str">
        <f>IFERROR(__xludf.DUMMYFUNCTION("""COMPUTED_VALUE"""),"Antes Prazo")</f>
        <v>Antes Prazo</v>
      </c>
      <c r="O52" s="15" t="str">
        <f>IFERROR(__xludf.DUMMYFUNCTION("""COMPUTED_VALUE"""),"B2B")</f>
        <v>B2B</v>
      </c>
      <c r="P52" s="16">
        <f>IFERROR(__xludf.DUMMYFUNCTION("""COMPUTED_VALUE"""),38.46)</f>
        <v>38.46</v>
      </c>
      <c r="Q52" s="15">
        <f>IFERROR(__xludf.DUMMYFUNCTION("""COMPUTED_VALUE"""),2.0)</f>
        <v>2</v>
      </c>
      <c r="R52" s="15" t="str">
        <f>IFERROR(__xludf.DUMMYFUNCTION("""COMPUTED_VALUE"""),"RODO")</f>
        <v>RODO</v>
      </c>
      <c r="S52" s="15" t="str">
        <f>IFERROR(__xludf.DUMMYFUNCTION("""COMPUTED_VALUE"""),"ITN")</f>
        <v>ITN</v>
      </c>
      <c r="T52" s="15" t="str">
        <f>IFERROR(__xludf.DUMMYFUNCTION("""COMPUTED_VALUE"""),"101")</f>
        <v>101</v>
      </c>
      <c r="U52" s="15" t="str">
        <f>IFERROR(__xludf.DUMMYFUNCTION("""COMPUTED_VALUE"""),"266803270 1304017, 1305900 8177017 lojao jacarei com de conf ltda trifil sjk 101")</f>
        <v>266803270 1304017, 1305900 8177017 lojao jacarei com de conf ltda trifil sjk 101</v>
      </c>
      <c r="V52" s="15" t="b">
        <f>IFERROR(__xludf.DUMMYFUNCTION("""COMPUTED_VALUE"""),FALSE)</f>
        <v>0</v>
      </c>
    </row>
    <row r="53">
      <c r="A53" s="19">
        <f>IFERROR(__xludf.DUMMYFUNCTION("""COMPUTED_VALUE"""),46304.0)</f>
        <v>46304</v>
      </c>
      <c r="B53" s="19">
        <f>IFERROR(__xludf.DUMMYFUNCTION("""COMPUTED_VALUE"""),46316.0)</f>
        <v>46316</v>
      </c>
      <c r="C53" s="15">
        <f>IFERROR(__xludf.DUMMYFUNCTION("""COMPUTED_VALUE"""),7.0)</f>
        <v>7</v>
      </c>
      <c r="D53" s="15" t="str">
        <f>IFERROR(__xludf.DUMMYFUNCTION("""COMPUTED_VALUE"""),"CPQ")</f>
        <v>CPQ</v>
      </c>
      <c r="E53" s="15" t="str">
        <f>IFERROR(__xludf.DUMMYFUNCTION("""COMPUTED_VALUE"""),"LUPO (CAMPINAS SHOPPING)")</f>
        <v>LUPO (CAMPINAS SHOPPING)</v>
      </c>
      <c r="F53" s="15" t="str">
        <f>IFERROR(__xludf.DUMMYFUNCTION("""COMPUTED_VALUE"""),"TRIFIL")</f>
        <v>TRIFIL</v>
      </c>
      <c r="G53" s="15" t="str">
        <f>IFERROR(__xludf.DUMMYFUNCTION("""COMPUTED_VALUE"""),"266803272")</f>
        <v>266803272</v>
      </c>
      <c r="H53" s="15" t="str">
        <f>IFERROR(__xludf.DUMMYFUNCTION("""COMPUTED_VALUE"""),"1305655")</f>
        <v>1305655</v>
      </c>
      <c r="I53" s="15" t="str">
        <f>IFERROR(__xludf.DUMMYFUNCTION("""COMPUTED_VALUE"""),"8176799")</f>
        <v>8176799</v>
      </c>
      <c r="J53" s="15" t="str">
        <f>IFERROR(__xludf.DUMMYFUNCTION("""COMPUTED_VALUE"""),"CIF")</f>
        <v>CIF</v>
      </c>
      <c r="K53" s="15" t="str">
        <f>IFERROR(__xludf.DUMMYFUNCTION("""COMPUTED_VALUE"""),"(sem célula)")</f>
        <v>(sem célula)</v>
      </c>
      <c r="L53" s="15" t="str">
        <f>IFERROR(__xludf.DUMMYFUNCTION("""COMPUTED_VALUE"""),"AUTORIZADO")</f>
        <v>AUTORIZADO</v>
      </c>
      <c r="M53" s="15" t="str">
        <f>IFERROR(__xludf.DUMMYFUNCTION("""COMPUTED_VALUE"""),"NA ORIGEM")</f>
        <v>NA ORIGEM</v>
      </c>
      <c r="N53" s="15" t="str">
        <f>IFERROR(__xludf.DUMMYFUNCTION("""COMPUTED_VALUE"""),"Antes Prazo")</f>
        <v>Antes Prazo</v>
      </c>
      <c r="O53" s="15" t="str">
        <f>IFERROR(__xludf.DUMMYFUNCTION("""COMPUTED_VALUE"""),"B2B")</f>
        <v>B2B</v>
      </c>
      <c r="P53" s="16">
        <f>IFERROR(__xludf.DUMMYFUNCTION("""COMPUTED_VALUE"""),38.46)</f>
        <v>38.46</v>
      </c>
      <c r="Q53" s="15">
        <f>IFERROR(__xludf.DUMMYFUNCTION("""COMPUTED_VALUE"""),1.0)</f>
        <v>1</v>
      </c>
      <c r="R53" s="15" t="str">
        <f>IFERROR(__xludf.DUMMYFUNCTION("""COMPUTED_VALUE"""),"RODO")</f>
        <v>RODO</v>
      </c>
      <c r="S53" s="15" t="str">
        <f>IFERROR(__xludf.DUMMYFUNCTION("""COMPUTED_VALUE"""),"ITN")</f>
        <v>ITN</v>
      </c>
      <c r="T53" s="15" t="str">
        <f>IFERROR(__xludf.DUMMYFUNCTION("""COMPUTED_VALUE"""),"3")</f>
        <v>3</v>
      </c>
      <c r="U53" s="15" t="str">
        <f>IFERROR(__xludf.DUMMYFUNCTION("""COMPUTED_VALUE"""),"266803272 1305655 8176799 lupo (campinas shopping) trifil cpq 3")</f>
        <v>266803272 1305655 8176799 lupo (campinas shopping) trifil cpq 3</v>
      </c>
      <c r="V53" s="15" t="b">
        <f>IFERROR(__xludf.DUMMYFUNCTION("""COMPUTED_VALUE"""),FALSE)</f>
        <v>0</v>
      </c>
    </row>
    <row r="54">
      <c r="A54" s="19">
        <f>IFERROR(__xludf.DUMMYFUNCTION("""COMPUTED_VALUE"""),46304.0)</f>
        <v>46304</v>
      </c>
      <c r="B54" s="19">
        <f>IFERROR(__xludf.DUMMYFUNCTION("""COMPUTED_VALUE"""),46316.0)</f>
        <v>46316</v>
      </c>
      <c r="C54" s="15">
        <f>IFERROR(__xludf.DUMMYFUNCTION("""COMPUTED_VALUE"""),7.0)</f>
        <v>7</v>
      </c>
      <c r="D54" s="15" t="str">
        <f>IFERROR(__xludf.DUMMYFUNCTION("""COMPUTED_VALUE"""),"CCT")</f>
        <v>CCT</v>
      </c>
      <c r="E54" s="15" t="str">
        <f>IFERROR(__xludf.DUMMYFUNCTION("""COMPUTED_VALUE"""),"CALC.MILANI LTDA")</f>
        <v>CALC.MILANI LTDA</v>
      </c>
      <c r="F54" s="15" t="str">
        <f>IFERROR(__xludf.DUMMYFUNCTION("""COMPUTED_VALUE"""),"TRIFIL")</f>
        <v>TRIFIL</v>
      </c>
      <c r="G54" s="15" t="str">
        <f>IFERROR(__xludf.DUMMYFUNCTION("""COMPUTED_VALUE"""),"266803273")</f>
        <v>266803273</v>
      </c>
      <c r="H54" s="15" t="str">
        <f>IFERROR(__xludf.DUMMYFUNCTION("""COMPUTED_VALUE"""),"1304883")</f>
        <v>1304883</v>
      </c>
      <c r="I54" s="15" t="str">
        <f>IFERROR(__xludf.DUMMYFUNCTION("""COMPUTED_VALUE"""),"8177018")</f>
        <v>8177018</v>
      </c>
      <c r="J54" s="15" t="str">
        <f>IFERROR(__xludf.DUMMYFUNCTION("""COMPUTED_VALUE"""),"CIF")</f>
        <v>CIF</v>
      </c>
      <c r="K54" s="15" t="str">
        <f>IFERROR(__xludf.DUMMYFUNCTION("""COMPUTED_VALUE"""),"(sem célula)")</f>
        <v>(sem célula)</v>
      </c>
      <c r="L54" s="15" t="str">
        <f>IFERROR(__xludf.DUMMYFUNCTION("""COMPUTED_VALUE"""),"AUTORIZADO")</f>
        <v>AUTORIZADO</v>
      </c>
      <c r="M54" s="15" t="str">
        <f>IFERROR(__xludf.DUMMYFUNCTION("""COMPUTED_VALUE"""),"NA ORIGEM")</f>
        <v>NA ORIGEM</v>
      </c>
      <c r="N54" s="15" t="str">
        <f>IFERROR(__xludf.DUMMYFUNCTION("""COMPUTED_VALUE"""),"Antes Prazo")</f>
        <v>Antes Prazo</v>
      </c>
      <c r="O54" s="15" t="str">
        <f>IFERROR(__xludf.DUMMYFUNCTION("""COMPUTED_VALUE"""),"B2B")</f>
        <v>B2B</v>
      </c>
      <c r="P54" s="16">
        <f>IFERROR(__xludf.DUMMYFUNCTION("""COMPUTED_VALUE"""),45.49)</f>
        <v>45.49</v>
      </c>
      <c r="Q54" s="15">
        <f>IFERROR(__xludf.DUMMYFUNCTION("""COMPUTED_VALUE"""),1.0)</f>
        <v>1</v>
      </c>
      <c r="R54" s="15" t="str">
        <f>IFERROR(__xludf.DUMMYFUNCTION("""COMPUTED_VALUE"""),"RODO")</f>
        <v>RODO</v>
      </c>
      <c r="S54" s="15" t="str">
        <f>IFERROR(__xludf.DUMMYFUNCTION("""COMPUTED_VALUE"""),"ITN")</f>
        <v>ITN</v>
      </c>
      <c r="T54" s="15" t="str">
        <f>IFERROR(__xludf.DUMMYFUNCTION("""COMPUTED_VALUE"""),"131")</f>
        <v>131</v>
      </c>
      <c r="U54" s="15" t="str">
        <f>IFERROR(__xludf.DUMMYFUNCTION("""COMPUTED_VALUE"""),"266803273 1304883 8177018 calc.milani ltda trifil cct 131")</f>
        <v>266803273 1304883 8177018 calc.milani ltda trifil cct 131</v>
      </c>
      <c r="V54" s="15" t="b">
        <f>IFERROR(__xludf.DUMMYFUNCTION("""COMPUTED_VALUE"""),FALSE)</f>
        <v>0</v>
      </c>
    </row>
    <row r="55">
      <c r="A55" s="19">
        <f>IFERROR(__xludf.DUMMYFUNCTION("""COMPUTED_VALUE"""),46304.0)</f>
        <v>46304</v>
      </c>
      <c r="B55" s="19">
        <f>IFERROR(__xludf.DUMMYFUNCTION("""COMPUTED_VALUE"""),46316.0)</f>
        <v>46316</v>
      </c>
      <c r="C55" s="15">
        <f>IFERROR(__xludf.DUMMYFUNCTION("""COMPUTED_VALUE"""),7.0)</f>
        <v>7</v>
      </c>
      <c r="D55" s="15" t="str">
        <f>IFERROR(__xludf.DUMMYFUNCTION("""COMPUTED_VALUE"""),"CPQ")</f>
        <v>CPQ</v>
      </c>
      <c r="E55" s="15" t="str">
        <f>IFERROR(__xludf.DUMMYFUNCTION("""COMPUTED_VALUE"""),"LIMA E ROLIZOLA COM DE CALÇADOS LTDA EPP")</f>
        <v>LIMA E ROLIZOLA COM DE CALÇADOS LTDA EPP</v>
      </c>
      <c r="F55" s="15" t="str">
        <f>IFERROR(__xludf.DUMMYFUNCTION("""COMPUTED_VALUE"""),"TRIFIL")</f>
        <v>TRIFIL</v>
      </c>
      <c r="G55" s="15" t="str">
        <f>IFERROR(__xludf.DUMMYFUNCTION("""COMPUTED_VALUE"""),"266803274")</f>
        <v>266803274</v>
      </c>
      <c r="H55" s="15" t="str">
        <f>IFERROR(__xludf.DUMMYFUNCTION("""COMPUTED_VALUE"""),"1305376")</f>
        <v>1305376</v>
      </c>
      <c r="I55" s="15" t="str">
        <f>IFERROR(__xludf.DUMMYFUNCTION("""COMPUTED_VALUE"""),"8176898")</f>
        <v>8176898</v>
      </c>
      <c r="J55" s="15" t="str">
        <f>IFERROR(__xludf.DUMMYFUNCTION("""COMPUTED_VALUE"""),"CIF")</f>
        <v>CIF</v>
      </c>
      <c r="K55" s="15" t="str">
        <f>IFERROR(__xludf.DUMMYFUNCTION("""COMPUTED_VALUE"""),"SAO-1")</f>
        <v>SAO-1</v>
      </c>
      <c r="L55" s="15" t="str">
        <f>IFERROR(__xludf.DUMMYFUNCTION("""COMPUTED_VALUE"""),"AUTORIZADO")</f>
        <v>AUTORIZADO</v>
      </c>
      <c r="M55" s="15" t="str">
        <f>IFERROR(__xludf.DUMMYFUNCTION("""COMPUTED_VALUE"""),"NA ORIGEM")</f>
        <v>NA ORIGEM</v>
      </c>
      <c r="N55" s="15" t="str">
        <f>IFERROR(__xludf.DUMMYFUNCTION("""COMPUTED_VALUE"""),"Antes Prazo")</f>
        <v>Antes Prazo</v>
      </c>
      <c r="O55" s="15" t="str">
        <f>IFERROR(__xludf.DUMMYFUNCTION("""COMPUTED_VALUE"""),"B2B")</f>
        <v>B2B</v>
      </c>
      <c r="P55" s="16">
        <f>IFERROR(__xludf.DUMMYFUNCTION("""COMPUTED_VALUE"""),38.46)</f>
        <v>38.46</v>
      </c>
      <c r="Q55" s="15">
        <f>IFERROR(__xludf.DUMMYFUNCTION("""COMPUTED_VALUE"""),1.0)</f>
        <v>1</v>
      </c>
      <c r="R55" s="15" t="str">
        <f>IFERROR(__xludf.DUMMYFUNCTION("""COMPUTED_VALUE"""),"RODO")</f>
        <v>RODO</v>
      </c>
      <c r="S55" s="15" t="str">
        <f>IFERROR(__xludf.DUMMYFUNCTION("""COMPUTED_VALUE"""),"ITN")</f>
        <v>ITN</v>
      </c>
      <c r="T55" s="15" t="str">
        <f>IFERROR(__xludf.DUMMYFUNCTION("""COMPUTED_VALUE"""),"101")</f>
        <v>101</v>
      </c>
      <c r="U55" s="15" t="str">
        <f>IFERROR(__xludf.DUMMYFUNCTION("""COMPUTED_VALUE"""),"266803274 1305376 8176898 lima e rolizola com de calçados ltda epp trifil cpq 101")</f>
        <v>266803274 1305376 8176898 lima e rolizola com de calçados ltda epp trifil cpq 101</v>
      </c>
      <c r="V55" s="15" t="b">
        <f>IFERROR(__xludf.DUMMYFUNCTION("""COMPUTED_VALUE"""),FALSE)</f>
        <v>0</v>
      </c>
    </row>
    <row r="56">
      <c r="A56" s="19">
        <f>IFERROR(__xludf.DUMMYFUNCTION("""COMPUTED_VALUE"""),46304.0)</f>
        <v>46304</v>
      </c>
      <c r="B56" s="19">
        <f>IFERROR(__xludf.DUMMYFUNCTION("""COMPUTED_VALUE"""),46317.0)</f>
        <v>46317</v>
      </c>
      <c r="C56" s="15">
        <f>IFERROR(__xludf.DUMMYFUNCTION("""COMPUTED_VALUE"""),8.0)</f>
        <v>8</v>
      </c>
      <c r="D56" s="15" t="str">
        <f>IFERROR(__xludf.DUMMYFUNCTION("""COMPUTED_VALUE"""),"ATB")</f>
        <v>ATB</v>
      </c>
      <c r="E56" s="15" t="str">
        <f>IFERROR(__xludf.DUMMYFUNCTION("""COMPUTED_VALUE"""),"LOJAS EDLOPES")</f>
        <v>LOJAS EDLOPES</v>
      </c>
      <c r="F56" s="15" t="str">
        <f>IFERROR(__xludf.DUMMYFUNCTION("""COMPUTED_VALUE"""),"TRIFIL")</f>
        <v>TRIFIL</v>
      </c>
      <c r="G56" s="15" t="str">
        <f>IFERROR(__xludf.DUMMYFUNCTION("""COMPUTED_VALUE"""),"266803275")</f>
        <v>266803275</v>
      </c>
      <c r="H56" s="15" t="str">
        <f>IFERROR(__xludf.DUMMYFUNCTION("""COMPUTED_VALUE"""),"1306006")</f>
        <v>1306006</v>
      </c>
      <c r="I56" s="15" t="str">
        <f>IFERROR(__xludf.DUMMYFUNCTION("""COMPUTED_VALUE"""),"8176963")</f>
        <v>8176963</v>
      </c>
      <c r="J56" s="15" t="str">
        <f>IFERROR(__xludf.DUMMYFUNCTION("""COMPUTED_VALUE"""),"CIF")</f>
        <v>CIF</v>
      </c>
      <c r="K56" s="15" t="str">
        <f>IFERROR(__xludf.DUMMYFUNCTION("""COMPUTED_VALUE"""),"SAO-1")</f>
        <v>SAO-1</v>
      </c>
      <c r="L56" s="15" t="str">
        <f>IFERROR(__xludf.DUMMYFUNCTION("""COMPUTED_VALUE"""),"AUTORIZADO")</f>
        <v>AUTORIZADO</v>
      </c>
      <c r="M56" s="15" t="str">
        <f>IFERROR(__xludf.DUMMYFUNCTION("""COMPUTED_VALUE"""),"NA ORIGEM")</f>
        <v>NA ORIGEM</v>
      </c>
      <c r="N56" s="15" t="str">
        <f>IFERROR(__xludf.DUMMYFUNCTION("""COMPUTED_VALUE"""),"Antes Prazo")</f>
        <v>Antes Prazo</v>
      </c>
      <c r="O56" s="15" t="str">
        <f>IFERROR(__xludf.DUMMYFUNCTION("""COMPUTED_VALUE"""),"B2B")</f>
        <v>B2B</v>
      </c>
      <c r="P56" s="16">
        <f>IFERROR(__xludf.DUMMYFUNCTION("""COMPUTED_VALUE"""),48.22)</f>
        <v>48.22</v>
      </c>
      <c r="Q56" s="15">
        <f>IFERROR(__xludf.DUMMYFUNCTION("""COMPUTED_VALUE"""),8.0)</f>
        <v>8</v>
      </c>
      <c r="R56" s="15" t="str">
        <f>IFERROR(__xludf.DUMMYFUNCTION("""COMPUTED_VALUE"""),"RODO")</f>
        <v>RODO</v>
      </c>
      <c r="S56" s="15" t="str">
        <f>IFERROR(__xludf.DUMMYFUNCTION("""COMPUTED_VALUE"""),"ITN")</f>
        <v>ITN</v>
      </c>
      <c r="T56" s="15" t="str">
        <f>IFERROR(__xludf.DUMMYFUNCTION("""COMPUTED_VALUE"""),"103")</f>
        <v>103</v>
      </c>
      <c r="U56" s="15" t="str">
        <f>IFERROR(__xludf.DUMMYFUNCTION("""COMPUTED_VALUE"""),"266803275 1306006 8176963 lojas edlopes trifil atb 103")</f>
        <v>266803275 1306006 8176963 lojas edlopes trifil atb 103</v>
      </c>
      <c r="V56" s="15" t="b">
        <f>IFERROR(__xludf.DUMMYFUNCTION("""COMPUTED_VALUE"""),FALSE)</f>
        <v>0</v>
      </c>
    </row>
    <row r="57">
      <c r="A57" s="19">
        <f>IFERROR(__xludf.DUMMYFUNCTION("""COMPUTED_VALUE"""),46304.0)</f>
        <v>46304</v>
      </c>
      <c r="B57" s="19">
        <f>IFERROR(__xludf.DUMMYFUNCTION("""COMPUTED_VALUE"""),46316.0)</f>
        <v>46316</v>
      </c>
      <c r="C57" s="15">
        <f>IFERROR(__xludf.DUMMYFUNCTION("""COMPUTED_VALUE"""),7.0)</f>
        <v>7</v>
      </c>
      <c r="D57" s="15" t="str">
        <f>IFERROR(__xludf.DUMMYFUNCTION("""COMPUTED_VALUE"""),"CPQ")</f>
        <v>CPQ</v>
      </c>
      <c r="E57" s="15" t="str">
        <f>IFERROR(__xludf.DUMMYFUNCTION("""COMPUTED_VALUE"""),"AMOREIRAS CALCADOS E MODAS LTDA")</f>
        <v>AMOREIRAS CALCADOS E MODAS LTDA</v>
      </c>
      <c r="F57" s="15" t="str">
        <f>IFERROR(__xludf.DUMMYFUNCTION("""COMPUTED_VALUE"""),"TRIFIL")</f>
        <v>TRIFIL</v>
      </c>
      <c r="G57" s="15" t="str">
        <f>IFERROR(__xludf.DUMMYFUNCTION("""COMPUTED_VALUE"""),"266803276")</f>
        <v>266803276</v>
      </c>
      <c r="H57" s="15" t="str">
        <f>IFERROR(__xludf.DUMMYFUNCTION("""COMPUTED_VALUE"""),"1305931")</f>
        <v>1305931</v>
      </c>
      <c r="I57" s="15" t="str">
        <f>IFERROR(__xludf.DUMMYFUNCTION("""COMPUTED_VALUE"""),"8176713")</f>
        <v>8176713</v>
      </c>
      <c r="J57" s="15" t="str">
        <f>IFERROR(__xludf.DUMMYFUNCTION("""COMPUTED_VALUE"""),"CIF")</f>
        <v>CIF</v>
      </c>
      <c r="K57" s="15" t="str">
        <f>IFERROR(__xludf.DUMMYFUNCTION("""COMPUTED_VALUE"""),"SAO-1")</f>
        <v>SAO-1</v>
      </c>
      <c r="L57" s="15" t="str">
        <f>IFERROR(__xludf.DUMMYFUNCTION("""COMPUTED_VALUE"""),"AUTORIZADO")</f>
        <v>AUTORIZADO</v>
      </c>
      <c r="M57" s="15" t="str">
        <f>IFERROR(__xludf.DUMMYFUNCTION("""COMPUTED_VALUE"""),"NA ORIGEM")</f>
        <v>NA ORIGEM</v>
      </c>
      <c r="N57" s="15" t="str">
        <f>IFERROR(__xludf.DUMMYFUNCTION("""COMPUTED_VALUE"""),"Antes Prazo")</f>
        <v>Antes Prazo</v>
      </c>
      <c r="O57" s="15" t="str">
        <f>IFERROR(__xludf.DUMMYFUNCTION("""COMPUTED_VALUE"""),"B2B")</f>
        <v>B2B</v>
      </c>
      <c r="P57" s="16">
        <f>IFERROR(__xludf.DUMMYFUNCTION("""COMPUTED_VALUE"""),38.46)</f>
        <v>38.46</v>
      </c>
      <c r="Q57" s="15">
        <f>IFERROR(__xludf.DUMMYFUNCTION("""COMPUTED_VALUE"""),2.0)</f>
        <v>2</v>
      </c>
      <c r="R57" s="15" t="str">
        <f>IFERROR(__xludf.DUMMYFUNCTION("""COMPUTED_VALUE"""),"RODO")</f>
        <v>RODO</v>
      </c>
      <c r="S57" s="15" t="str">
        <f>IFERROR(__xludf.DUMMYFUNCTION("""COMPUTED_VALUE"""),"ITN")</f>
        <v>ITN</v>
      </c>
      <c r="T57" s="15" t="str">
        <f>IFERROR(__xludf.DUMMYFUNCTION("""COMPUTED_VALUE"""),"107")</f>
        <v>107</v>
      </c>
      <c r="U57" s="15" t="str">
        <f>IFERROR(__xludf.DUMMYFUNCTION("""COMPUTED_VALUE"""),"266803276 1305931 8176713 amoreiras calcados e modas ltda trifil cpq 107")</f>
        <v>266803276 1305931 8176713 amoreiras calcados e modas ltda trifil cpq 107</v>
      </c>
      <c r="V57" s="15" t="b">
        <f>IFERROR(__xludf.DUMMYFUNCTION("""COMPUTED_VALUE"""),FALSE)</f>
        <v>0</v>
      </c>
    </row>
    <row r="58">
      <c r="A58" s="19">
        <f>IFERROR(__xludf.DUMMYFUNCTION("""COMPUTED_VALUE"""),46304.0)</f>
        <v>46304</v>
      </c>
      <c r="B58" s="19">
        <f>IFERROR(__xludf.DUMMYFUNCTION("""COMPUTED_VALUE"""),46316.0)</f>
        <v>46316</v>
      </c>
      <c r="C58" s="15">
        <f>IFERROR(__xludf.DUMMYFUNCTION("""COMPUTED_VALUE"""),7.0)</f>
        <v>7</v>
      </c>
      <c r="D58" s="15" t="str">
        <f>IFERROR(__xludf.DUMMYFUNCTION("""COMPUTED_VALUE"""),"SOD")</f>
        <v>SOD</v>
      </c>
      <c r="E58" s="15" t="str">
        <f>IFERROR(__xludf.DUMMYFUNCTION("""COMPUTED_VALUE"""),"39.349.226 RODRIGO DE SIERVO")</f>
        <v>39.349.226 RODRIGO DE SIERVO</v>
      </c>
      <c r="F58" s="15" t="str">
        <f>IFERROR(__xludf.DUMMYFUNCTION("""COMPUTED_VALUE"""),"TRIFIL")</f>
        <v>TRIFIL</v>
      </c>
      <c r="G58" s="15" t="str">
        <f>IFERROR(__xludf.DUMMYFUNCTION("""COMPUTED_VALUE"""),"266803277")</f>
        <v>266803277</v>
      </c>
      <c r="H58" s="15" t="str">
        <f>IFERROR(__xludf.DUMMYFUNCTION("""COMPUTED_VALUE"""),"1305021, 1305637")</f>
        <v>1305021, 1305637</v>
      </c>
      <c r="I58" s="15" t="str">
        <f>IFERROR(__xludf.DUMMYFUNCTION("""COMPUTED_VALUE"""),"8176964")</f>
        <v>8176964</v>
      </c>
      <c r="J58" s="15" t="str">
        <f>IFERROR(__xludf.DUMMYFUNCTION("""COMPUTED_VALUE"""),"CIF")</f>
        <v>CIF</v>
      </c>
      <c r="K58" s="15" t="str">
        <f>IFERROR(__xludf.DUMMYFUNCTION("""COMPUTED_VALUE"""),"SAO-1")</f>
        <v>SAO-1</v>
      </c>
      <c r="L58" s="15" t="str">
        <f>IFERROR(__xludf.DUMMYFUNCTION("""COMPUTED_VALUE"""),"AUTORIZADO")</f>
        <v>AUTORIZADO</v>
      </c>
      <c r="M58" s="15" t="str">
        <f>IFERROR(__xludf.DUMMYFUNCTION("""COMPUTED_VALUE"""),"NA ORIGEM")</f>
        <v>NA ORIGEM</v>
      </c>
      <c r="N58" s="15" t="str">
        <f>IFERROR(__xludf.DUMMYFUNCTION("""COMPUTED_VALUE"""),"Antes Prazo")</f>
        <v>Antes Prazo</v>
      </c>
      <c r="O58" s="15" t="str">
        <f>IFERROR(__xludf.DUMMYFUNCTION("""COMPUTED_VALUE"""),"B2B")</f>
        <v>B2B</v>
      </c>
      <c r="P58" s="16">
        <f>IFERROR(__xludf.DUMMYFUNCTION("""COMPUTED_VALUE"""),38.46)</f>
        <v>38.46</v>
      </c>
      <c r="Q58" s="15">
        <f>IFERROR(__xludf.DUMMYFUNCTION("""COMPUTED_VALUE"""),3.0)</f>
        <v>3</v>
      </c>
      <c r="R58" s="15" t="str">
        <f>IFERROR(__xludf.DUMMYFUNCTION("""COMPUTED_VALUE"""),"RODO")</f>
        <v>RODO</v>
      </c>
      <c r="S58" s="15" t="str">
        <f>IFERROR(__xludf.DUMMYFUNCTION("""COMPUTED_VALUE"""),"ITN")</f>
        <v>ITN</v>
      </c>
      <c r="T58" s="15" t="str">
        <f>IFERROR(__xludf.DUMMYFUNCTION("""COMPUTED_VALUE"""),"102")</f>
        <v>102</v>
      </c>
      <c r="U58" s="15" t="str">
        <f>IFERROR(__xludf.DUMMYFUNCTION("""COMPUTED_VALUE"""),"266803277 1305021, 1305637 8176964 39.349.226 rodrigo de siervo trifil sod 102")</f>
        <v>266803277 1305021, 1305637 8176964 39.349.226 rodrigo de siervo trifil sod 102</v>
      </c>
      <c r="V58" s="15" t="b">
        <f>IFERROR(__xludf.DUMMYFUNCTION("""COMPUTED_VALUE"""),FALSE)</f>
        <v>0</v>
      </c>
    </row>
    <row r="59">
      <c r="A59" s="19">
        <f>IFERROR(__xludf.DUMMYFUNCTION("""COMPUTED_VALUE"""),46304.0)</f>
        <v>46304</v>
      </c>
      <c r="B59" s="19">
        <f>IFERROR(__xludf.DUMMYFUNCTION("""COMPUTED_VALUE"""),46316.0)</f>
        <v>46316</v>
      </c>
      <c r="C59" s="15">
        <f>IFERROR(__xludf.DUMMYFUNCTION("""COMPUTED_VALUE"""),7.0)</f>
        <v>7</v>
      </c>
      <c r="D59" s="15" t="str">
        <f>IFERROR(__xludf.DUMMYFUNCTION("""COMPUTED_VALUE"""),"SOD")</f>
        <v>SOD</v>
      </c>
      <c r="E59" s="15" t="str">
        <f>IFERROR(__xludf.DUMMYFUNCTION("""COMPUTED_VALUE"""),"43939026 GUSTAVO HENRIQUE SIMIONATO")</f>
        <v>43939026 GUSTAVO HENRIQUE SIMIONATO</v>
      </c>
      <c r="F59" s="15" t="str">
        <f>IFERROR(__xludf.DUMMYFUNCTION("""COMPUTED_VALUE"""),"TRIFIL")</f>
        <v>TRIFIL</v>
      </c>
      <c r="G59" s="15" t="str">
        <f>IFERROR(__xludf.DUMMYFUNCTION("""COMPUTED_VALUE"""),"266803278")</f>
        <v>266803278</v>
      </c>
      <c r="H59" s="15" t="str">
        <f>IFERROR(__xludf.DUMMYFUNCTION("""COMPUTED_VALUE"""),"1305884")</f>
        <v>1305884</v>
      </c>
      <c r="I59" s="15" t="str">
        <f>IFERROR(__xludf.DUMMYFUNCTION("""COMPUTED_VALUE"""),"8176729")</f>
        <v>8176729</v>
      </c>
      <c r="J59" s="15" t="str">
        <f>IFERROR(__xludf.DUMMYFUNCTION("""COMPUTED_VALUE"""),"CIF")</f>
        <v>CIF</v>
      </c>
      <c r="K59" s="15" t="str">
        <f>IFERROR(__xludf.DUMMYFUNCTION("""COMPUTED_VALUE"""),"SAO-1")</f>
        <v>SAO-1</v>
      </c>
      <c r="L59" s="15" t="str">
        <f>IFERROR(__xludf.DUMMYFUNCTION("""COMPUTED_VALUE"""),"AUTORIZADO")</f>
        <v>AUTORIZADO</v>
      </c>
      <c r="M59" s="15" t="str">
        <f>IFERROR(__xludf.DUMMYFUNCTION("""COMPUTED_VALUE"""),"NA ORIGEM")</f>
        <v>NA ORIGEM</v>
      </c>
      <c r="N59" s="15" t="str">
        <f>IFERROR(__xludf.DUMMYFUNCTION("""COMPUTED_VALUE"""),"Antes Prazo")</f>
        <v>Antes Prazo</v>
      </c>
      <c r="O59" s="15" t="str">
        <f>IFERROR(__xludf.DUMMYFUNCTION("""COMPUTED_VALUE"""),"B2B")</f>
        <v>B2B</v>
      </c>
      <c r="P59" s="16">
        <f>IFERROR(__xludf.DUMMYFUNCTION("""COMPUTED_VALUE"""),38.46)</f>
        <v>38.46</v>
      </c>
      <c r="Q59" s="15">
        <f>IFERROR(__xludf.DUMMYFUNCTION("""COMPUTED_VALUE"""),1.0)</f>
        <v>1</v>
      </c>
      <c r="R59" s="15" t="str">
        <f>IFERROR(__xludf.DUMMYFUNCTION("""COMPUTED_VALUE"""),"RODO")</f>
        <v>RODO</v>
      </c>
      <c r="S59" s="15" t="str">
        <f>IFERROR(__xludf.DUMMYFUNCTION("""COMPUTED_VALUE"""),"ITN")</f>
        <v>ITN</v>
      </c>
      <c r="T59" s="15" t="str">
        <f>IFERROR(__xludf.DUMMYFUNCTION("""COMPUTED_VALUE"""),"102")</f>
        <v>102</v>
      </c>
      <c r="U59" s="15" t="str">
        <f>IFERROR(__xludf.DUMMYFUNCTION("""COMPUTED_VALUE"""),"266803278 1305884 8176729 43939026 gustavo henrique simionato trifil sod 102")</f>
        <v>266803278 1305884 8176729 43939026 gustavo henrique simionato trifil sod 102</v>
      </c>
      <c r="V59" s="15" t="b">
        <f>IFERROR(__xludf.DUMMYFUNCTION("""COMPUTED_VALUE"""),FALSE)</f>
        <v>0</v>
      </c>
    </row>
    <row r="60">
      <c r="A60" s="19">
        <f>IFERROR(__xludf.DUMMYFUNCTION("""COMPUTED_VALUE"""),46304.0)</f>
        <v>46304</v>
      </c>
      <c r="B60" s="19">
        <f>IFERROR(__xludf.DUMMYFUNCTION("""COMPUTED_VALUE"""),46316.0)</f>
        <v>46316</v>
      </c>
      <c r="C60" s="15">
        <f>IFERROR(__xludf.DUMMYFUNCTION("""COMPUTED_VALUE"""),7.0)</f>
        <v>7</v>
      </c>
      <c r="D60" s="15" t="str">
        <f>IFERROR(__xludf.DUMMYFUNCTION("""COMPUTED_VALUE"""),"DPW")</f>
        <v>DPW</v>
      </c>
      <c r="E60" s="15" t="str">
        <f>IFERROR(__xludf.DUMMYFUNCTION("""COMPUTED_VALUE"""),"DEPOSITO 23")</f>
        <v>DEPOSITO 23</v>
      </c>
      <c r="F60" s="15" t="str">
        <f>IFERROR(__xludf.DUMMYFUNCTION("""COMPUTED_VALUE"""),"TRIFIL")</f>
        <v>TRIFIL</v>
      </c>
      <c r="G60" s="15" t="str">
        <f>IFERROR(__xludf.DUMMYFUNCTION("""COMPUTED_VALUE"""),"266803279")</f>
        <v>266803279</v>
      </c>
      <c r="H60" s="15" t="str">
        <f>IFERROR(__xludf.DUMMYFUNCTION("""COMPUTED_VALUE"""),"1305935")</f>
        <v>1305935</v>
      </c>
      <c r="I60" s="15" t="str">
        <f>IFERROR(__xludf.DUMMYFUNCTION("""COMPUTED_VALUE"""),"8176754")</f>
        <v>8176754</v>
      </c>
      <c r="J60" s="15" t="str">
        <f>IFERROR(__xludf.DUMMYFUNCTION("""COMPUTED_VALUE"""),"CIF")</f>
        <v>CIF</v>
      </c>
      <c r="K60" s="15" t="str">
        <f>IFERROR(__xludf.DUMMYFUNCTION("""COMPUTED_VALUE"""),"SAO-1")</f>
        <v>SAO-1</v>
      </c>
      <c r="L60" s="15" t="str">
        <f>IFERROR(__xludf.DUMMYFUNCTION("""COMPUTED_VALUE"""),"AUTORIZADO")</f>
        <v>AUTORIZADO</v>
      </c>
      <c r="M60" s="15" t="str">
        <f>IFERROR(__xludf.DUMMYFUNCTION("""COMPUTED_VALUE"""),"NA ORIGEM")</f>
        <v>NA ORIGEM</v>
      </c>
      <c r="N60" s="15" t="str">
        <f>IFERROR(__xludf.DUMMYFUNCTION("""COMPUTED_VALUE"""),"Antes Prazo")</f>
        <v>Antes Prazo</v>
      </c>
      <c r="O60" s="15" t="str">
        <f>IFERROR(__xludf.DUMMYFUNCTION("""COMPUTED_VALUE"""),"B2B")</f>
        <v>B2B</v>
      </c>
      <c r="P60" s="16">
        <f>IFERROR(__xludf.DUMMYFUNCTION("""COMPUTED_VALUE"""),44.45)</f>
        <v>44.45</v>
      </c>
      <c r="Q60" s="15">
        <f>IFERROR(__xludf.DUMMYFUNCTION("""COMPUTED_VALUE"""),3.0)</f>
        <v>3</v>
      </c>
      <c r="R60" s="15" t="str">
        <f>IFERROR(__xludf.DUMMYFUNCTION("""COMPUTED_VALUE"""),"RODO")</f>
        <v>RODO</v>
      </c>
      <c r="S60" s="15" t="str">
        <f>IFERROR(__xludf.DUMMYFUNCTION("""COMPUTED_VALUE"""),"ITN")</f>
        <v>ITN</v>
      </c>
      <c r="T60" s="15" t="str">
        <f>IFERROR(__xludf.DUMMYFUNCTION("""COMPUTED_VALUE"""),"3")</f>
        <v>3</v>
      </c>
      <c r="U60" s="15" t="str">
        <f>IFERROR(__xludf.DUMMYFUNCTION("""COMPUTED_VALUE"""),"266803279 1305935 8176754 deposito 23 trifil dpw 3")</f>
        <v>266803279 1305935 8176754 deposito 23 trifil dpw 3</v>
      </c>
      <c r="V60" s="15" t="b">
        <f>IFERROR(__xludf.DUMMYFUNCTION("""COMPUTED_VALUE"""),FALSE)</f>
        <v>0</v>
      </c>
    </row>
    <row r="61">
      <c r="A61" s="19">
        <f>IFERROR(__xludf.DUMMYFUNCTION("""COMPUTED_VALUE"""),46304.0)</f>
        <v>46304</v>
      </c>
      <c r="B61" s="19">
        <f>IFERROR(__xludf.DUMMYFUNCTION("""COMPUTED_VALUE"""),46316.0)</f>
        <v>46316</v>
      </c>
      <c r="C61" s="15">
        <f>IFERROR(__xludf.DUMMYFUNCTION("""COMPUTED_VALUE"""),7.0)</f>
        <v>7</v>
      </c>
      <c r="D61" s="15" t="str">
        <f>IFERROR(__xludf.DUMMYFUNCTION("""COMPUTED_VALUE"""),"DPW")</f>
        <v>DPW</v>
      </c>
      <c r="E61" s="15" t="str">
        <f>IFERROR(__xludf.DUMMYFUNCTION("""COMPUTED_VALUE"""),"A T NETTO")</f>
        <v>A T NETTO</v>
      </c>
      <c r="F61" s="15" t="str">
        <f>IFERROR(__xludf.DUMMYFUNCTION("""COMPUTED_VALUE"""),"TRIFIL")</f>
        <v>TRIFIL</v>
      </c>
      <c r="G61" s="15" t="str">
        <f>IFERROR(__xludf.DUMMYFUNCTION("""COMPUTED_VALUE"""),"266803280")</f>
        <v>266803280</v>
      </c>
      <c r="H61" s="15" t="str">
        <f>IFERROR(__xludf.DUMMYFUNCTION("""COMPUTED_VALUE"""),"1305830")</f>
        <v>1305830</v>
      </c>
      <c r="I61" s="15" t="str">
        <f>IFERROR(__xludf.DUMMYFUNCTION("""COMPUTED_VALUE"""),"8176765")</f>
        <v>8176765</v>
      </c>
      <c r="J61" s="15" t="str">
        <f>IFERROR(__xludf.DUMMYFUNCTION("""COMPUTED_VALUE"""),"CIF")</f>
        <v>CIF</v>
      </c>
      <c r="K61" s="15" t="str">
        <f>IFERROR(__xludf.DUMMYFUNCTION("""COMPUTED_VALUE"""),"FSA-1")</f>
        <v>FSA-1</v>
      </c>
      <c r="L61" s="15" t="str">
        <f>IFERROR(__xludf.DUMMYFUNCTION("""COMPUTED_VALUE"""),"AUTORIZADO")</f>
        <v>AUTORIZADO</v>
      </c>
      <c r="M61" s="15" t="str">
        <f>IFERROR(__xludf.DUMMYFUNCTION("""COMPUTED_VALUE"""),"NA ORIGEM")</f>
        <v>NA ORIGEM</v>
      </c>
      <c r="N61" s="15" t="str">
        <f>IFERROR(__xludf.DUMMYFUNCTION("""COMPUTED_VALUE"""),"Antes Prazo")</f>
        <v>Antes Prazo</v>
      </c>
      <c r="O61" s="15" t="str">
        <f>IFERROR(__xludf.DUMMYFUNCTION("""COMPUTED_VALUE"""),"B2B")</f>
        <v>B2B</v>
      </c>
      <c r="P61" s="16">
        <f>IFERROR(__xludf.DUMMYFUNCTION("""COMPUTED_VALUE"""),51.99)</f>
        <v>51.99</v>
      </c>
      <c r="Q61" s="15">
        <f>IFERROR(__xludf.DUMMYFUNCTION("""COMPUTED_VALUE"""),6.0)</f>
        <v>6</v>
      </c>
      <c r="R61" s="15" t="str">
        <f>IFERROR(__xludf.DUMMYFUNCTION("""COMPUTED_VALUE"""),"RODO")</f>
        <v>RODO</v>
      </c>
      <c r="S61" s="15" t="str">
        <f>IFERROR(__xludf.DUMMYFUNCTION("""COMPUTED_VALUE"""),"ITN")</f>
        <v>ITN</v>
      </c>
      <c r="T61" s="15" t="str">
        <f>IFERROR(__xludf.DUMMYFUNCTION("""COMPUTED_VALUE"""),"107")</f>
        <v>107</v>
      </c>
      <c r="U61" s="15" t="str">
        <f>IFERROR(__xludf.DUMMYFUNCTION("""COMPUTED_VALUE"""),"266803280 1305830 8176765 a t netto trifil dpw 107")</f>
        <v>266803280 1305830 8176765 a t netto trifil dpw 107</v>
      </c>
      <c r="V61" s="15" t="b">
        <f>IFERROR(__xludf.DUMMYFUNCTION("""COMPUTED_VALUE"""),FALSE)</f>
        <v>0</v>
      </c>
    </row>
    <row r="62">
      <c r="A62" s="19">
        <f>IFERROR(__xludf.DUMMYFUNCTION("""COMPUTED_VALUE"""),46304.0)</f>
        <v>46304</v>
      </c>
      <c r="B62" s="19">
        <f>IFERROR(__xludf.DUMMYFUNCTION("""COMPUTED_VALUE"""),46316.0)</f>
        <v>46316</v>
      </c>
      <c r="C62" s="15">
        <f>IFERROR(__xludf.DUMMYFUNCTION("""COMPUTED_VALUE"""),7.0)</f>
        <v>7</v>
      </c>
      <c r="D62" s="15" t="str">
        <f>IFERROR(__xludf.DUMMYFUNCTION("""COMPUTED_VALUE"""),"DPW")</f>
        <v>DPW</v>
      </c>
      <c r="E62" s="15" t="str">
        <f>IFERROR(__xludf.DUMMYFUNCTION("""COMPUTED_VALUE"""),"MR CAT 1")</f>
        <v>MR CAT 1</v>
      </c>
      <c r="F62" s="15" t="str">
        <f>IFERROR(__xludf.DUMMYFUNCTION("""COMPUTED_VALUE"""),"TRIFIL")</f>
        <v>TRIFIL</v>
      </c>
      <c r="G62" s="15" t="str">
        <f>IFERROR(__xludf.DUMMYFUNCTION("""COMPUTED_VALUE"""),"266803281")</f>
        <v>266803281</v>
      </c>
      <c r="H62" s="15" t="str">
        <f>IFERROR(__xludf.DUMMYFUNCTION("""COMPUTED_VALUE"""),"1305384")</f>
        <v>1305384</v>
      </c>
      <c r="I62" s="15" t="str">
        <f>IFERROR(__xludf.DUMMYFUNCTION("""COMPUTED_VALUE"""),"8176769")</f>
        <v>8176769</v>
      </c>
      <c r="J62" s="15" t="str">
        <f>IFERROR(__xludf.DUMMYFUNCTION("""COMPUTED_VALUE"""),"CIF")</f>
        <v>CIF</v>
      </c>
      <c r="K62" s="15" t="str">
        <f>IFERROR(__xludf.DUMMYFUNCTION("""COMPUTED_VALUE"""),"SAO-1")</f>
        <v>SAO-1</v>
      </c>
      <c r="L62" s="15" t="str">
        <f>IFERROR(__xludf.DUMMYFUNCTION("""COMPUTED_VALUE"""),"AUTORIZADO")</f>
        <v>AUTORIZADO</v>
      </c>
      <c r="M62" s="15" t="str">
        <f>IFERROR(__xludf.DUMMYFUNCTION("""COMPUTED_VALUE"""),"NA ORIGEM")</f>
        <v>NA ORIGEM</v>
      </c>
      <c r="N62" s="15" t="str">
        <f>IFERROR(__xludf.DUMMYFUNCTION("""COMPUTED_VALUE"""),"Antes Prazo")</f>
        <v>Antes Prazo</v>
      </c>
      <c r="O62" s="15" t="str">
        <f>IFERROR(__xludf.DUMMYFUNCTION("""COMPUTED_VALUE"""),"B2B")</f>
        <v>B2B</v>
      </c>
      <c r="P62" s="16">
        <f>IFERROR(__xludf.DUMMYFUNCTION("""COMPUTED_VALUE"""),38.46)</f>
        <v>38.46</v>
      </c>
      <c r="Q62" s="15">
        <f>IFERROR(__xludf.DUMMYFUNCTION("""COMPUTED_VALUE"""),1.0)</f>
        <v>1</v>
      </c>
      <c r="R62" s="15" t="str">
        <f>IFERROR(__xludf.DUMMYFUNCTION("""COMPUTED_VALUE"""),"RODO")</f>
        <v>RODO</v>
      </c>
      <c r="S62" s="15" t="str">
        <f>IFERROR(__xludf.DUMMYFUNCTION("""COMPUTED_VALUE"""),"ITN")</f>
        <v>ITN</v>
      </c>
      <c r="T62" s="15" t="str">
        <f>IFERROR(__xludf.DUMMYFUNCTION("""COMPUTED_VALUE"""),"109")</f>
        <v>109</v>
      </c>
      <c r="U62" s="15" t="str">
        <f>IFERROR(__xludf.DUMMYFUNCTION("""COMPUTED_VALUE"""),"266803281 1305384 8176769 mr cat 1 trifil dpw 109")</f>
        <v>266803281 1305384 8176769 mr cat 1 trifil dpw 109</v>
      </c>
      <c r="V62" s="15" t="b">
        <f>IFERROR(__xludf.DUMMYFUNCTION("""COMPUTED_VALUE"""),FALSE)</f>
        <v>0</v>
      </c>
    </row>
    <row r="63">
      <c r="A63" s="19">
        <f>IFERROR(__xludf.DUMMYFUNCTION("""COMPUTED_VALUE"""),46304.0)</f>
        <v>46304</v>
      </c>
      <c r="B63" s="19">
        <f>IFERROR(__xludf.DUMMYFUNCTION("""COMPUTED_VALUE"""),46316.0)</f>
        <v>46316</v>
      </c>
      <c r="C63" s="15">
        <f>IFERROR(__xludf.DUMMYFUNCTION("""COMPUTED_VALUE"""),7.0)</f>
        <v>7</v>
      </c>
      <c r="D63" s="15" t="str">
        <f>IFERROR(__xludf.DUMMYFUNCTION("""COMPUTED_VALUE"""),"AQA")</f>
        <v>AQA</v>
      </c>
      <c r="E63" s="15" t="str">
        <f>IFERROR(__xludf.DUMMYFUNCTION("""COMPUTED_VALUE"""),"LOJAS LUPO")</f>
        <v>LOJAS LUPO</v>
      </c>
      <c r="F63" s="15" t="str">
        <f>IFERROR(__xludf.DUMMYFUNCTION("""COMPUTED_VALUE"""),"TRIFIL")</f>
        <v>TRIFIL</v>
      </c>
      <c r="G63" s="15" t="str">
        <f>IFERROR(__xludf.DUMMYFUNCTION("""COMPUTED_VALUE"""),"266803282")</f>
        <v>266803282</v>
      </c>
      <c r="H63" s="15" t="str">
        <f>IFERROR(__xludf.DUMMYFUNCTION("""COMPUTED_VALUE"""),"1305438")</f>
        <v>1305438</v>
      </c>
      <c r="I63" s="15" t="str">
        <f>IFERROR(__xludf.DUMMYFUNCTION("""COMPUTED_VALUE"""),"8176925")</f>
        <v>8176925</v>
      </c>
      <c r="J63" s="15" t="str">
        <f>IFERROR(__xludf.DUMMYFUNCTION("""COMPUTED_VALUE"""),"CIF")</f>
        <v>CIF</v>
      </c>
      <c r="K63" s="15" t="str">
        <f>IFERROR(__xludf.DUMMYFUNCTION("""COMPUTED_VALUE"""),"SAO-1")</f>
        <v>SAO-1</v>
      </c>
      <c r="L63" s="15" t="str">
        <f>IFERROR(__xludf.DUMMYFUNCTION("""COMPUTED_VALUE"""),"AUTORIZADO")</f>
        <v>AUTORIZADO</v>
      </c>
      <c r="M63" s="15" t="str">
        <f>IFERROR(__xludf.DUMMYFUNCTION("""COMPUTED_VALUE"""),"NA ORIGEM")</f>
        <v>NA ORIGEM</v>
      </c>
      <c r="N63" s="15" t="str">
        <f>IFERROR(__xludf.DUMMYFUNCTION("""COMPUTED_VALUE"""),"Antes Prazo")</f>
        <v>Antes Prazo</v>
      </c>
      <c r="O63" s="15" t="str">
        <f>IFERROR(__xludf.DUMMYFUNCTION("""COMPUTED_VALUE"""),"B2B")</f>
        <v>B2B</v>
      </c>
      <c r="P63" s="16">
        <f>IFERROR(__xludf.DUMMYFUNCTION("""COMPUTED_VALUE"""),38.46)</f>
        <v>38.46</v>
      </c>
      <c r="Q63" s="15">
        <f>IFERROR(__xludf.DUMMYFUNCTION("""COMPUTED_VALUE"""),2.0)</f>
        <v>2</v>
      </c>
      <c r="R63" s="15" t="str">
        <f>IFERROR(__xludf.DUMMYFUNCTION("""COMPUTED_VALUE"""),"RODO")</f>
        <v>RODO</v>
      </c>
      <c r="S63" s="15" t="str">
        <f>IFERROR(__xludf.DUMMYFUNCTION("""COMPUTED_VALUE"""),"ITN")</f>
        <v>ITN</v>
      </c>
      <c r="T63" s="15" t="str">
        <f>IFERROR(__xludf.DUMMYFUNCTION("""COMPUTED_VALUE"""),"101")</f>
        <v>101</v>
      </c>
      <c r="U63" s="15" t="str">
        <f>IFERROR(__xludf.DUMMYFUNCTION("""COMPUTED_VALUE"""),"266803282 1305438 8176925 lojas lupo trifil aqa 101")</f>
        <v>266803282 1305438 8176925 lojas lupo trifil aqa 101</v>
      </c>
      <c r="V63" s="15" t="b">
        <f>IFERROR(__xludf.DUMMYFUNCTION("""COMPUTED_VALUE"""),FALSE)</f>
        <v>0</v>
      </c>
    </row>
    <row r="64">
      <c r="A64" s="19">
        <f>IFERROR(__xludf.DUMMYFUNCTION("""COMPUTED_VALUE"""),46304.0)</f>
        <v>46304</v>
      </c>
      <c r="B64" s="19">
        <f>IFERROR(__xludf.DUMMYFUNCTION("""COMPUTED_VALUE"""),46316.0)</f>
        <v>46316</v>
      </c>
      <c r="C64" s="15">
        <f>IFERROR(__xludf.DUMMYFUNCTION("""COMPUTED_VALUE"""),7.0)</f>
        <v>7</v>
      </c>
      <c r="D64" s="15" t="str">
        <f>IFERROR(__xludf.DUMMYFUNCTION("""COMPUTED_VALUE"""),"SPY")</f>
        <v>SPY</v>
      </c>
      <c r="E64" s="15" t="str">
        <f>IFERROR(__xludf.DUMMYFUNCTION("""COMPUTED_VALUE"""),"ZUTIN &amp; CIA.LTDA.")</f>
        <v>ZUTIN &amp; CIA.LTDA.</v>
      </c>
      <c r="F64" s="15" t="str">
        <f>IFERROR(__xludf.DUMMYFUNCTION("""COMPUTED_VALUE"""),"TRIFIL")</f>
        <v>TRIFIL</v>
      </c>
      <c r="G64" s="15" t="str">
        <f>IFERROR(__xludf.DUMMYFUNCTION("""COMPUTED_VALUE"""),"266803283")</f>
        <v>266803283</v>
      </c>
      <c r="H64" s="15" t="str">
        <f>IFERROR(__xludf.DUMMYFUNCTION("""COMPUTED_VALUE"""),"1305409")</f>
        <v>1305409</v>
      </c>
      <c r="I64" s="15" t="str">
        <f>IFERROR(__xludf.DUMMYFUNCTION("""COMPUTED_VALUE"""),"8176926")</f>
        <v>8176926</v>
      </c>
      <c r="J64" s="15" t="str">
        <f>IFERROR(__xludf.DUMMYFUNCTION("""COMPUTED_VALUE"""),"CIF")</f>
        <v>CIF</v>
      </c>
      <c r="K64" s="15" t="str">
        <f>IFERROR(__xludf.DUMMYFUNCTION("""COMPUTED_VALUE"""),"SAO-1")</f>
        <v>SAO-1</v>
      </c>
      <c r="L64" s="15" t="str">
        <f>IFERROR(__xludf.DUMMYFUNCTION("""COMPUTED_VALUE"""),"AUTORIZADO")</f>
        <v>AUTORIZADO</v>
      </c>
      <c r="M64" s="15" t="str">
        <f>IFERROR(__xludf.DUMMYFUNCTION("""COMPUTED_VALUE"""),"NA ORIGEM")</f>
        <v>NA ORIGEM</v>
      </c>
      <c r="N64" s="15" t="str">
        <f>IFERROR(__xludf.DUMMYFUNCTION("""COMPUTED_VALUE"""),"Antes Prazo")</f>
        <v>Antes Prazo</v>
      </c>
      <c r="O64" s="15" t="str">
        <f>IFERROR(__xludf.DUMMYFUNCTION("""COMPUTED_VALUE"""),"B2B")</f>
        <v>B2B</v>
      </c>
      <c r="P64" s="16">
        <f>IFERROR(__xludf.DUMMYFUNCTION("""COMPUTED_VALUE"""),38.46)</f>
        <v>38.46</v>
      </c>
      <c r="Q64" s="15">
        <f>IFERROR(__xludf.DUMMYFUNCTION("""COMPUTED_VALUE"""),1.0)</f>
        <v>1</v>
      </c>
      <c r="R64" s="15" t="str">
        <f>IFERROR(__xludf.DUMMYFUNCTION("""COMPUTED_VALUE"""),"RODO")</f>
        <v>RODO</v>
      </c>
      <c r="S64" s="15" t="str">
        <f>IFERROR(__xludf.DUMMYFUNCTION("""COMPUTED_VALUE"""),"ITN")</f>
        <v>ITN</v>
      </c>
      <c r="T64" s="15" t="str">
        <f>IFERROR(__xludf.DUMMYFUNCTION("""COMPUTED_VALUE"""),"112")</f>
        <v>112</v>
      </c>
      <c r="U64" s="15" t="str">
        <f>IFERROR(__xludf.DUMMYFUNCTION("""COMPUTED_VALUE"""),"266803283 1305409 8176926 zutin &amp; cia.ltda. trifil spy 112")</f>
        <v>266803283 1305409 8176926 zutin &amp; cia.ltda. trifil spy 112</v>
      </c>
      <c r="V64" s="15" t="b">
        <f>IFERROR(__xludf.DUMMYFUNCTION("""COMPUTED_VALUE"""),FALSE)</f>
        <v>0</v>
      </c>
    </row>
    <row r="65">
      <c r="A65" s="19">
        <f>IFERROR(__xludf.DUMMYFUNCTION("""COMPUTED_VALUE"""),46304.0)</f>
        <v>46304</v>
      </c>
      <c r="B65" s="19">
        <f>IFERROR(__xludf.DUMMYFUNCTION("""COMPUTED_VALUE"""),46317.0)</f>
        <v>46317</v>
      </c>
      <c r="C65" s="15">
        <f>IFERROR(__xludf.DUMMYFUNCTION("""COMPUTED_VALUE"""),8.0)</f>
        <v>8</v>
      </c>
      <c r="D65" s="15" t="str">
        <f>IFERROR(__xludf.DUMMYFUNCTION("""COMPUTED_VALUE"""),"SPY")</f>
        <v>SPY</v>
      </c>
      <c r="E65" s="15" t="str">
        <f>IFERROR(__xludf.DUMMYFUNCTION("""COMPUTED_VALUE"""),"FILOH COMERCIO IMP E EXP")</f>
        <v>FILOH COMERCIO IMP E EXP</v>
      </c>
      <c r="F65" s="15" t="str">
        <f>IFERROR(__xludf.DUMMYFUNCTION("""COMPUTED_VALUE"""),"TRIFIL")</f>
        <v>TRIFIL</v>
      </c>
      <c r="G65" s="15" t="str">
        <f>IFERROR(__xludf.DUMMYFUNCTION("""COMPUTED_VALUE"""),"266803284")</f>
        <v>266803284</v>
      </c>
      <c r="H65" s="15" t="str">
        <f>IFERROR(__xludf.DUMMYFUNCTION("""COMPUTED_VALUE"""),"1305945")</f>
        <v>1305945</v>
      </c>
      <c r="I65" s="15" t="str">
        <f>IFERROR(__xludf.DUMMYFUNCTION("""COMPUTED_VALUE"""),"8176748")</f>
        <v>8176748</v>
      </c>
      <c r="J65" s="15" t="str">
        <f>IFERROR(__xludf.DUMMYFUNCTION("""COMPUTED_VALUE"""),"CIF")</f>
        <v>CIF</v>
      </c>
      <c r="K65" s="15" t="str">
        <f>IFERROR(__xludf.DUMMYFUNCTION("""COMPUTED_VALUE"""),"SAO-1")</f>
        <v>SAO-1</v>
      </c>
      <c r="L65" s="15" t="str">
        <f>IFERROR(__xludf.DUMMYFUNCTION("""COMPUTED_VALUE"""),"AUTORIZADO")</f>
        <v>AUTORIZADO</v>
      </c>
      <c r="M65" s="15" t="str">
        <f>IFERROR(__xludf.DUMMYFUNCTION("""COMPUTED_VALUE"""),"NA ORIGEM")</f>
        <v>NA ORIGEM</v>
      </c>
      <c r="N65" s="15" t="str">
        <f>IFERROR(__xludf.DUMMYFUNCTION("""COMPUTED_VALUE"""),"Antes Prazo")</f>
        <v>Antes Prazo</v>
      </c>
      <c r="O65" s="15" t="str">
        <f>IFERROR(__xludf.DUMMYFUNCTION("""COMPUTED_VALUE"""),"B2B")</f>
        <v>B2B</v>
      </c>
      <c r="P65" s="16">
        <f>IFERROR(__xludf.DUMMYFUNCTION("""COMPUTED_VALUE"""),38.46)</f>
        <v>38.46</v>
      </c>
      <c r="Q65" s="15">
        <f>IFERROR(__xludf.DUMMYFUNCTION("""COMPUTED_VALUE"""),1.0)</f>
        <v>1</v>
      </c>
      <c r="R65" s="15" t="str">
        <f>IFERROR(__xludf.DUMMYFUNCTION("""COMPUTED_VALUE"""),"RODO")</f>
        <v>RODO</v>
      </c>
      <c r="S65" s="15" t="str">
        <f>IFERROR(__xludf.DUMMYFUNCTION("""COMPUTED_VALUE"""),"ITN")</f>
        <v>ITN</v>
      </c>
      <c r="T65" s="15" t="str">
        <f>IFERROR(__xludf.DUMMYFUNCTION("""COMPUTED_VALUE"""),"1")</f>
        <v>1</v>
      </c>
      <c r="U65" s="15" t="str">
        <f>IFERROR(__xludf.DUMMYFUNCTION("""COMPUTED_VALUE"""),"266803284 1305945 8176748 filoh comercio imp e exp trifil spy 1")</f>
        <v>266803284 1305945 8176748 filoh comercio imp e exp trifil spy 1</v>
      </c>
      <c r="V65" s="15" t="b">
        <f>IFERROR(__xludf.DUMMYFUNCTION("""COMPUTED_VALUE"""),FALSE)</f>
        <v>0</v>
      </c>
    </row>
    <row r="66">
      <c r="A66" s="19">
        <f>IFERROR(__xludf.DUMMYFUNCTION("""COMPUTED_VALUE"""),46304.0)</f>
        <v>46304</v>
      </c>
      <c r="B66" s="19">
        <f>IFERROR(__xludf.DUMMYFUNCTION("""COMPUTED_VALUE"""),46317.0)</f>
        <v>46317</v>
      </c>
      <c r="C66" s="15">
        <f>IFERROR(__xludf.DUMMYFUNCTION("""COMPUTED_VALUE"""),8.0)</f>
        <v>8</v>
      </c>
      <c r="D66" s="15" t="str">
        <f>IFERROR(__xludf.DUMMYFUNCTION("""COMPUTED_VALUE"""),"SPY")</f>
        <v>SPY</v>
      </c>
      <c r="E66" s="15" t="str">
        <f>IFERROR(__xludf.DUMMYFUNCTION("""COMPUTED_VALUE"""),"LOJA ROMANIA")</f>
        <v>LOJA ROMANIA</v>
      </c>
      <c r="F66" s="15" t="str">
        <f>IFERROR(__xludf.DUMMYFUNCTION("""COMPUTED_VALUE"""),"TRIFIL")</f>
        <v>TRIFIL</v>
      </c>
      <c r="G66" s="15" t="str">
        <f>IFERROR(__xludf.DUMMYFUNCTION("""COMPUTED_VALUE"""),"266803285")</f>
        <v>266803285</v>
      </c>
      <c r="H66" s="15" t="str">
        <f>IFERROR(__xludf.DUMMYFUNCTION("""COMPUTED_VALUE"""),"1305753")</f>
        <v>1305753</v>
      </c>
      <c r="I66" s="15" t="str">
        <f>IFERROR(__xludf.DUMMYFUNCTION("""COMPUTED_VALUE"""),"8176965")</f>
        <v>8176965</v>
      </c>
      <c r="J66" s="15" t="str">
        <f>IFERROR(__xludf.DUMMYFUNCTION("""COMPUTED_VALUE"""),"CIF")</f>
        <v>CIF</v>
      </c>
      <c r="K66" s="15" t="str">
        <f>IFERROR(__xludf.DUMMYFUNCTION("""COMPUTED_VALUE"""),"FSA-1")</f>
        <v>FSA-1</v>
      </c>
      <c r="L66" s="15" t="str">
        <f>IFERROR(__xludf.DUMMYFUNCTION("""COMPUTED_VALUE"""),"AUTORIZADO")</f>
        <v>AUTORIZADO</v>
      </c>
      <c r="M66" s="15" t="str">
        <f>IFERROR(__xludf.DUMMYFUNCTION("""COMPUTED_VALUE"""),"NA ORIGEM")</f>
        <v>NA ORIGEM</v>
      </c>
      <c r="N66" s="15" t="str">
        <f>IFERROR(__xludf.DUMMYFUNCTION("""COMPUTED_VALUE"""),"Antes Prazo")</f>
        <v>Antes Prazo</v>
      </c>
      <c r="O66" s="15" t="str">
        <f>IFERROR(__xludf.DUMMYFUNCTION("""COMPUTED_VALUE"""),"B2B")</f>
        <v>B2B</v>
      </c>
      <c r="P66" s="16">
        <f>IFERROR(__xludf.DUMMYFUNCTION("""COMPUTED_VALUE"""),38.46)</f>
        <v>38.46</v>
      </c>
      <c r="Q66" s="15">
        <f>IFERROR(__xludf.DUMMYFUNCTION("""COMPUTED_VALUE"""),1.0)</f>
        <v>1</v>
      </c>
      <c r="R66" s="15" t="str">
        <f>IFERROR(__xludf.DUMMYFUNCTION("""COMPUTED_VALUE"""),"RODO")</f>
        <v>RODO</v>
      </c>
      <c r="S66" s="15" t="str">
        <f>IFERROR(__xludf.DUMMYFUNCTION("""COMPUTED_VALUE"""),"ITN")</f>
        <v>ITN</v>
      </c>
      <c r="T66" s="15" t="str">
        <f>IFERROR(__xludf.DUMMYFUNCTION("""COMPUTED_VALUE"""),"102")</f>
        <v>102</v>
      </c>
      <c r="U66" s="15" t="str">
        <f>IFERROR(__xludf.DUMMYFUNCTION("""COMPUTED_VALUE"""),"266803285 1305753 8176965 loja romania trifil spy 102")</f>
        <v>266803285 1305753 8176965 loja romania trifil spy 102</v>
      </c>
      <c r="V66" s="15" t="b">
        <f>IFERROR(__xludf.DUMMYFUNCTION("""COMPUTED_VALUE"""),FALSE)</f>
        <v>0</v>
      </c>
    </row>
    <row r="67">
      <c r="A67" s="19">
        <f>IFERROR(__xludf.DUMMYFUNCTION("""COMPUTED_VALUE"""),46304.0)</f>
        <v>46304</v>
      </c>
      <c r="B67" s="19">
        <f>IFERROR(__xludf.DUMMYFUNCTION("""COMPUTED_VALUE"""),46317.0)</f>
        <v>46317</v>
      </c>
      <c r="C67" s="15">
        <f>IFERROR(__xludf.DUMMYFUNCTION("""COMPUTED_VALUE"""),8.0)</f>
        <v>8</v>
      </c>
      <c r="D67" s="15" t="str">
        <f>IFERROR(__xludf.DUMMYFUNCTION("""COMPUTED_VALUE"""),"MMG")</f>
        <v>MMG</v>
      </c>
      <c r="E67" s="15" t="str">
        <f>IFERROR(__xludf.DUMMYFUNCTION("""COMPUTED_VALUE"""),"CONFECCOES ROBLIU LTDA - EPP")</f>
        <v>CONFECCOES ROBLIU LTDA - EPP</v>
      </c>
      <c r="F67" s="15" t="str">
        <f>IFERROR(__xludf.DUMMYFUNCTION("""COMPUTED_VALUE"""),"TRIFIL")</f>
        <v>TRIFIL</v>
      </c>
      <c r="G67" s="15" t="str">
        <f>IFERROR(__xludf.DUMMYFUNCTION("""COMPUTED_VALUE"""),"266803286")</f>
        <v>266803286</v>
      </c>
      <c r="H67" s="15" t="str">
        <f>IFERROR(__xludf.DUMMYFUNCTION("""COMPUTED_VALUE"""),"1305167")</f>
        <v>1305167</v>
      </c>
      <c r="I67" s="15" t="str">
        <f>IFERROR(__xludf.DUMMYFUNCTION("""COMPUTED_VALUE"""),"8176865")</f>
        <v>8176865</v>
      </c>
      <c r="J67" s="15" t="str">
        <f>IFERROR(__xludf.DUMMYFUNCTION("""COMPUTED_VALUE"""),"CIF")</f>
        <v>CIF</v>
      </c>
      <c r="K67" s="15" t="str">
        <f>IFERROR(__xludf.DUMMYFUNCTION("""COMPUTED_VALUE"""),"(sem célula)")</f>
        <v>(sem célula)</v>
      </c>
      <c r="L67" s="15" t="str">
        <f>IFERROR(__xludf.DUMMYFUNCTION("""COMPUTED_VALUE"""),"AUTORIZADO")</f>
        <v>AUTORIZADO</v>
      </c>
      <c r="M67" s="15" t="str">
        <f>IFERROR(__xludf.DUMMYFUNCTION("""COMPUTED_VALUE"""),"NA ORIGEM")</f>
        <v>NA ORIGEM</v>
      </c>
      <c r="N67" s="15" t="str">
        <f>IFERROR(__xludf.DUMMYFUNCTION("""COMPUTED_VALUE"""),"Antes Prazo")</f>
        <v>Antes Prazo</v>
      </c>
      <c r="O67" s="15" t="str">
        <f>IFERROR(__xludf.DUMMYFUNCTION("""COMPUTED_VALUE"""),"B2B")</f>
        <v>B2B</v>
      </c>
      <c r="P67" s="16">
        <f>IFERROR(__xludf.DUMMYFUNCTION("""COMPUTED_VALUE"""),38.46)</f>
        <v>38.46</v>
      </c>
      <c r="Q67" s="15">
        <f>IFERROR(__xludf.DUMMYFUNCTION("""COMPUTED_VALUE"""),1.0)</f>
        <v>1</v>
      </c>
      <c r="R67" s="15" t="str">
        <f>IFERROR(__xludf.DUMMYFUNCTION("""COMPUTED_VALUE"""),"RODO")</f>
        <v>RODO</v>
      </c>
      <c r="S67" s="15" t="str">
        <f>IFERROR(__xludf.DUMMYFUNCTION("""COMPUTED_VALUE"""),"ITN")</f>
        <v>ITN</v>
      </c>
      <c r="T67" s="15" t="str">
        <f>IFERROR(__xludf.DUMMYFUNCTION("""COMPUTED_VALUE"""),"40")</f>
        <v>40</v>
      </c>
      <c r="U67" s="15" t="str">
        <f>IFERROR(__xludf.DUMMYFUNCTION("""COMPUTED_VALUE"""),"266803286 1305167 8176865 confeccoes robliu ltda - epp trifil mmg 40")</f>
        <v>266803286 1305167 8176865 confeccoes robliu ltda - epp trifil mmg 40</v>
      </c>
      <c r="V67" s="15" t="b">
        <f>IFERROR(__xludf.DUMMYFUNCTION("""COMPUTED_VALUE"""),FALSE)</f>
        <v>0</v>
      </c>
    </row>
    <row r="68">
      <c r="A68" s="19">
        <f>IFERROR(__xludf.DUMMYFUNCTION("""COMPUTED_VALUE"""),46304.0)</f>
        <v>46304</v>
      </c>
      <c r="B68" s="19">
        <f>IFERROR(__xludf.DUMMYFUNCTION("""COMPUTED_VALUE"""),46317.0)</f>
        <v>46317</v>
      </c>
      <c r="C68" s="15">
        <f>IFERROR(__xludf.DUMMYFUNCTION("""COMPUTED_VALUE"""),8.0)</f>
        <v>8</v>
      </c>
      <c r="D68" s="15" t="str">
        <f>IFERROR(__xludf.DUMMYFUNCTION("""COMPUTED_VALUE"""),"MMG")</f>
        <v>MMG</v>
      </c>
      <c r="E68" s="15" t="str">
        <f>IFERROR(__xludf.DUMMYFUNCTION("""COMPUTED_VALUE"""),"NATALINA TAQUECAVA FUKUDA ME")</f>
        <v>NATALINA TAQUECAVA FUKUDA ME</v>
      </c>
      <c r="F68" s="15" t="str">
        <f>IFERROR(__xludf.DUMMYFUNCTION("""COMPUTED_VALUE"""),"TRIFIL")</f>
        <v>TRIFIL</v>
      </c>
      <c r="G68" s="15" t="str">
        <f>IFERROR(__xludf.DUMMYFUNCTION("""COMPUTED_VALUE"""),"266803287")</f>
        <v>266803287</v>
      </c>
      <c r="H68" s="15" t="str">
        <f>IFERROR(__xludf.DUMMYFUNCTION("""COMPUTED_VALUE"""),"1305795")</f>
        <v>1305795</v>
      </c>
      <c r="I68" s="15" t="str">
        <f>IFERROR(__xludf.DUMMYFUNCTION("""COMPUTED_VALUE"""),"8176927")</f>
        <v>8176927</v>
      </c>
      <c r="J68" s="15" t="str">
        <f>IFERROR(__xludf.DUMMYFUNCTION("""COMPUTED_VALUE"""),"CIF")</f>
        <v>CIF</v>
      </c>
      <c r="K68" s="15" t="str">
        <f>IFERROR(__xludf.DUMMYFUNCTION("""COMPUTED_VALUE"""),"SAO-1")</f>
        <v>SAO-1</v>
      </c>
      <c r="L68" s="15" t="str">
        <f>IFERROR(__xludf.DUMMYFUNCTION("""COMPUTED_VALUE"""),"AUTORIZADO")</f>
        <v>AUTORIZADO</v>
      </c>
      <c r="M68" s="15" t="str">
        <f>IFERROR(__xludf.DUMMYFUNCTION("""COMPUTED_VALUE"""),"NA ORIGEM")</f>
        <v>NA ORIGEM</v>
      </c>
      <c r="N68" s="15" t="str">
        <f>IFERROR(__xludf.DUMMYFUNCTION("""COMPUTED_VALUE"""),"Antes Prazo")</f>
        <v>Antes Prazo</v>
      </c>
      <c r="O68" s="15" t="str">
        <f>IFERROR(__xludf.DUMMYFUNCTION("""COMPUTED_VALUE"""),"B2B")</f>
        <v>B2B</v>
      </c>
      <c r="P68" s="16">
        <f>IFERROR(__xludf.DUMMYFUNCTION("""COMPUTED_VALUE"""),38.46)</f>
        <v>38.46</v>
      </c>
      <c r="Q68" s="15">
        <f>IFERROR(__xludf.DUMMYFUNCTION("""COMPUTED_VALUE"""),2.0)</f>
        <v>2</v>
      </c>
      <c r="R68" s="15" t="str">
        <f>IFERROR(__xludf.DUMMYFUNCTION("""COMPUTED_VALUE"""),"RODO")</f>
        <v>RODO</v>
      </c>
      <c r="S68" s="15" t="str">
        <f>IFERROR(__xludf.DUMMYFUNCTION("""COMPUTED_VALUE"""),"ITN")</f>
        <v>ITN</v>
      </c>
      <c r="T68" s="15" t="str">
        <f>IFERROR(__xludf.DUMMYFUNCTION("""COMPUTED_VALUE"""),"40")</f>
        <v>40</v>
      </c>
      <c r="U68" s="15" t="str">
        <f>IFERROR(__xludf.DUMMYFUNCTION("""COMPUTED_VALUE"""),"266803287 1305795 8176927 natalina taquecava fukuda me trifil mmg 40")</f>
        <v>266803287 1305795 8176927 natalina taquecava fukuda me trifil mmg 40</v>
      </c>
      <c r="V68" s="15" t="b">
        <f>IFERROR(__xludf.DUMMYFUNCTION("""COMPUTED_VALUE"""),FALSE)</f>
        <v>0</v>
      </c>
    </row>
    <row r="69">
      <c r="A69" s="19">
        <f>IFERROR(__xludf.DUMMYFUNCTION("""COMPUTED_VALUE"""),46304.0)</f>
        <v>46304</v>
      </c>
      <c r="B69" s="19">
        <f>IFERROR(__xludf.DUMMYFUNCTION("""COMPUTED_VALUE"""),46317.0)</f>
        <v>46317</v>
      </c>
      <c r="C69" s="15">
        <f>IFERROR(__xludf.DUMMYFUNCTION("""COMPUTED_VALUE"""),8.0)</f>
        <v>8</v>
      </c>
      <c r="D69" s="15" t="str">
        <f>IFERROR(__xludf.DUMMYFUNCTION("""COMPUTED_VALUE"""),"MMG")</f>
        <v>MMG</v>
      </c>
      <c r="E69" s="15" t="str">
        <f>IFERROR(__xludf.DUMMYFUNCTION("""COMPUTED_VALUE"""),"MOYSES MAGAZINE")</f>
        <v>MOYSES MAGAZINE</v>
      </c>
      <c r="F69" s="15" t="str">
        <f>IFERROR(__xludf.DUMMYFUNCTION("""COMPUTED_VALUE"""),"TRIFIL")</f>
        <v>TRIFIL</v>
      </c>
      <c r="G69" s="15" t="str">
        <f>IFERROR(__xludf.DUMMYFUNCTION("""COMPUTED_VALUE"""),"266803288")</f>
        <v>266803288</v>
      </c>
      <c r="H69" s="15" t="str">
        <f>IFERROR(__xludf.DUMMYFUNCTION("""COMPUTED_VALUE"""),"1303933")</f>
        <v>1303933</v>
      </c>
      <c r="I69" s="15" t="str">
        <f>IFERROR(__xludf.DUMMYFUNCTION("""COMPUTED_VALUE"""),"8177019")</f>
        <v>8177019</v>
      </c>
      <c r="J69" s="15" t="str">
        <f>IFERROR(__xludf.DUMMYFUNCTION("""COMPUTED_VALUE"""),"CIF")</f>
        <v>CIF</v>
      </c>
      <c r="K69" s="15" t="str">
        <f>IFERROR(__xludf.DUMMYFUNCTION("""COMPUTED_VALUE"""),"FSA-1")</f>
        <v>FSA-1</v>
      </c>
      <c r="L69" s="15" t="str">
        <f>IFERROR(__xludf.DUMMYFUNCTION("""COMPUTED_VALUE"""),"AUTORIZADO")</f>
        <v>AUTORIZADO</v>
      </c>
      <c r="M69" s="15" t="str">
        <f>IFERROR(__xludf.DUMMYFUNCTION("""COMPUTED_VALUE"""),"NA ORIGEM")</f>
        <v>NA ORIGEM</v>
      </c>
      <c r="N69" s="15" t="str">
        <f>IFERROR(__xludf.DUMMYFUNCTION("""COMPUTED_VALUE"""),"Antes Prazo")</f>
        <v>Antes Prazo</v>
      </c>
      <c r="O69" s="15" t="str">
        <f>IFERROR(__xludf.DUMMYFUNCTION("""COMPUTED_VALUE"""),"B2B")</f>
        <v>B2B</v>
      </c>
      <c r="P69" s="16">
        <f>IFERROR(__xludf.DUMMYFUNCTION("""COMPUTED_VALUE"""),38.46)</f>
        <v>38.46</v>
      </c>
      <c r="Q69" s="15">
        <f>IFERROR(__xludf.DUMMYFUNCTION("""COMPUTED_VALUE"""),1.0)</f>
        <v>1</v>
      </c>
      <c r="R69" s="15" t="str">
        <f>IFERROR(__xludf.DUMMYFUNCTION("""COMPUTED_VALUE"""),"RODO")</f>
        <v>RODO</v>
      </c>
      <c r="S69" s="15" t="str">
        <f>IFERROR(__xludf.DUMMYFUNCTION("""COMPUTED_VALUE"""),"ITN")</f>
        <v>ITN</v>
      </c>
      <c r="T69" s="15" t="str">
        <f>IFERROR(__xludf.DUMMYFUNCTION("""COMPUTED_VALUE"""),"402")</f>
        <v>402</v>
      </c>
      <c r="U69" s="15" t="str">
        <f>IFERROR(__xludf.DUMMYFUNCTION("""COMPUTED_VALUE"""),"266803288 1303933 8177019 moyses magazine trifil mmg 402")</f>
        <v>266803288 1303933 8177019 moyses magazine trifil mmg 402</v>
      </c>
      <c r="V69" s="15" t="b">
        <f>IFERROR(__xludf.DUMMYFUNCTION("""COMPUTED_VALUE"""),FALSE)</f>
        <v>0</v>
      </c>
    </row>
    <row r="70">
      <c r="A70" s="19">
        <f>IFERROR(__xludf.DUMMYFUNCTION("""COMPUTED_VALUE"""),46304.0)</f>
        <v>46304</v>
      </c>
      <c r="B70" s="19">
        <f>IFERROR(__xludf.DUMMYFUNCTION("""COMPUTED_VALUE"""),46316.0)</f>
        <v>46316</v>
      </c>
      <c r="C70" s="15">
        <f>IFERROR(__xludf.DUMMYFUNCTION("""COMPUTED_VALUE"""),7.0)</f>
        <v>7</v>
      </c>
      <c r="D70" s="15" t="str">
        <f>IFERROR(__xludf.DUMMYFUNCTION("""COMPUTED_VALUE"""),"RAO")</f>
        <v>RAO</v>
      </c>
      <c r="E70" s="15" t="str">
        <f>IFERROR(__xludf.DUMMYFUNCTION("""COMPUTED_VALUE"""),"PLF ARTIGOS DO VESTUARIO RIBEIRAO PRETO")</f>
        <v>PLF ARTIGOS DO VESTUARIO RIBEIRAO PRETO</v>
      </c>
      <c r="F70" s="15" t="str">
        <f>IFERROR(__xludf.DUMMYFUNCTION("""COMPUTED_VALUE"""),"TRIFIL")</f>
        <v>TRIFIL</v>
      </c>
      <c r="G70" s="15" t="str">
        <f>IFERROR(__xludf.DUMMYFUNCTION("""COMPUTED_VALUE"""),"266803289")</f>
        <v>266803289</v>
      </c>
      <c r="H70" s="15" t="str">
        <f>IFERROR(__xludf.DUMMYFUNCTION("""COMPUTED_VALUE"""),"1304926")</f>
        <v>1304926</v>
      </c>
      <c r="I70" s="15" t="str">
        <f>IFERROR(__xludf.DUMMYFUNCTION("""COMPUTED_VALUE"""),"8177020")</f>
        <v>8177020</v>
      </c>
      <c r="J70" s="15" t="str">
        <f>IFERROR(__xludf.DUMMYFUNCTION("""COMPUTED_VALUE"""),"CIF")</f>
        <v>CIF</v>
      </c>
      <c r="K70" s="15" t="str">
        <f>IFERROR(__xludf.DUMMYFUNCTION("""COMPUTED_VALUE"""),"SAO-1")</f>
        <v>SAO-1</v>
      </c>
      <c r="L70" s="15" t="str">
        <f>IFERROR(__xludf.DUMMYFUNCTION("""COMPUTED_VALUE"""),"AUTORIZADO")</f>
        <v>AUTORIZADO</v>
      </c>
      <c r="M70" s="15" t="str">
        <f>IFERROR(__xludf.DUMMYFUNCTION("""COMPUTED_VALUE"""),"NA ORIGEM")</f>
        <v>NA ORIGEM</v>
      </c>
      <c r="N70" s="15" t="str">
        <f>IFERROR(__xludf.DUMMYFUNCTION("""COMPUTED_VALUE"""),"Antes Prazo")</f>
        <v>Antes Prazo</v>
      </c>
      <c r="O70" s="15" t="str">
        <f>IFERROR(__xludf.DUMMYFUNCTION("""COMPUTED_VALUE"""),"B2B")</f>
        <v>B2B</v>
      </c>
      <c r="P70" s="16">
        <f>IFERROR(__xludf.DUMMYFUNCTION("""COMPUTED_VALUE"""),38.46)</f>
        <v>38.46</v>
      </c>
      <c r="Q70" s="15">
        <f>IFERROR(__xludf.DUMMYFUNCTION("""COMPUTED_VALUE"""),1.0)</f>
        <v>1</v>
      </c>
      <c r="R70" s="15" t="str">
        <f>IFERROR(__xludf.DUMMYFUNCTION("""COMPUTED_VALUE"""),"RODO")</f>
        <v>RODO</v>
      </c>
      <c r="S70" s="15" t="str">
        <f>IFERROR(__xludf.DUMMYFUNCTION("""COMPUTED_VALUE"""),"ITN")</f>
        <v>ITN</v>
      </c>
      <c r="T70" s="15" t="str">
        <f>IFERROR(__xludf.DUMMYFUNCTION("""COMPUTED_VALUE"""),"4")</f>
        <v>4</v>
      </c>
      <c r="U70" s="15" t="str">
        <f>IFERROR(__xludf.DUMMYFUNCTION("""COMPUTED_VALUE"""),"266803289 1304926 8177020 plf artigos do vestuario ribeirao preto trifil rao 4")</f>
        <v>266803289 1304926 8177020 plf artigos do vestuario ribeirao preto trifil rao 4</v>
      </c>
      <c r="V70" s="15" t="b">
        <f>IFERROR(__xludf.DUMMYFUNCTION("""COMPUTED_VALUE"""),FALSE)</f>
        <v>0</v>
      </c>
    </row>
    <row r="71">
      <c r="A71" s="19">
        <f>IFERROR(__xludf.DUMMYFUNCTION("""COMPUTED_VALUE"""),46304.0)</f>
        <v>46304</v>
      </c>
      <c r="B71" s="19">
        <f>IFERROR(__xludf.DUMMYFUNCTION("""COMPUTED_VALUE"""),46316.0)</f>
        <v>46316</v>
      </c>
      <c r="C71" s="15">
        <f>IFERROR(__xludf.DUMMYFUNCTION("""COMPUTED_VALUE"""),7.0)</f>
        <v>7</v>
      </c>
      <c r="D71" s="15" t="str">
        <f>IFERROR(__xludf.DUMMYFUNCTION("""COMPUTED_VALUE"""),"RAO")</f>
        <v>RAO</v>
      </c>
      <c r="E71" s="15" t="str">
        <f>IFERROR(__xludf.DUMMYFUNCTION("""COMPUTED_VALUE"""),"LUPO (RIBEIRÃO SHOPPING)")</f>
        <v>LUPO (RIBEIRÃO SHOPPING)</v>
      </c>
      <c r="F71" s="15" t="str">
        <f>IFERROR(__xludf.DUMMYFUNCTION("""COMPUTED_VALUE"""),"TRIFIL")</f>
        <v>TRIFIL</v>
      </c>
      <c r="G71" s="15" t="str">
        <f>IFERROR(__xludf.DUMMYFUNCTION("""COMPUTED_VALUE"""),"266803291")</f>
        <v>266803291</v>
      </c>
      <c r="H71" s="15" t="str">
        <f>IFERROR(__xludf.DUMMYFUNCTION("""COMPUTED_VALUE"""),"1305186, 1305293")</f>
        <v>1305186, 1305293</v>
      </c>
      <c r="I71" s="15" t="str">
        <f>IFERROR(__xludf.DUMMYFUNCTION("""COMPUTED_VALUE"""),"8176966")</f>
        <v>8176966</v>
      </c>
      <c r="J71" s="15" t="str">
        <f>IFERROR(__xludf.DUMMYFUNCTION("""COMPUTED_VALUE"""),"CIF")</f>
        <v>CIF</v>
      </c>
      <c r="K71" s="15" t="str">
        <f>IFERROR(__xludf.DUMMYFUNCTION("""COMPUTED_VALUE"""),"SAO-1")</f>
        <v>SAO-1</v>
      </c>
      <c r="L71" s="15" t="str">
        <f>IFERROR(__xludf.DUMMYFUNCTION("""COMPUTED_VALUE"""),"AUTORIZADO")</f>
        <v>AUTORIZADO</v>
      </c>
      <c r="M71" s="15" t="str">
        <f>IFERROR(__xludf.DUMMYFUNCTION("""COMPUTED_VALUE"""),"NA ORIGEM")</f>
        <v>NA ORIGEM</v>
      </c>
      <c r="N71" s="15" t="str">
        <f>IFERROR(__xludf.DUMMYFUNCTION("""COMPUTED_VALUE"""),"Antes Prazo")</f>
        <v>Antes Prazo</v>
      </c>
      <c r="O71" s="15" t="str">
        <f>IFERROR(__xludf.DUMMYFUNCTION("""COMPUTED_VALUE"""),"B2B")</f>
        <v>B2B</v>
      </c>
      <c r="P71" s="16">
        <f>IFERROR(__xludf.DUMMYFUNCTION("""COMPUTED_VALUE"""),38.46)</f>
        <v>38.46</v>
      </c>
      <c r="Q71" s="15">
        <f>IFERROR(__xludf.DUMMYFUNCTION("""COMPUTED_VALUE"""),2.0)</f>
        <v>2</v>
      </c>
      <c r="R71" s="15" t="str">
        <f>IFERROR(__xludf.DUMMYFUNCTION("""COMPUTED_VALUE"""),"RODO")</f>
        <v>RODO</v>
      </c>
      <c r="S71" s="15" t="str">
        <f>IFERROR(__xludf.DUMMYFUNCTION("""COMPUTED_VALUE"""),"ITN")</f>
        <v>ITN</v>
      </c>
      <c r="T71" s="15" t="str">
        <f>IFERROR(__xludf.DUMMYFUNCTION("""COMPUTED_VALUE"""),"5")</f>
        <v>5</v>
      </c>
      <c r="U71" s="15" t="str">
        <f>IFERROR(__xludf.DUMMYFUNCTION("""COMPUTED_VALUE"""),"266803291 1305186, 1305293 8176966 lupo (ribeirão shopping) trifil rao 5")</f>
        <v>266803291 1305186, 1305293 8176966 lupo (ribeirão shopping) trifil rao 5</v>
      </c>
      <c r="V71" s="15" t="b">
        <f>IFERROR(__xludf.DUMMYFUNCTION("""COMPUTED_VALUE"""),FALSE)</f>
        <v>0</v>
      </c>
    </row>
    <row r="72">
      <c r="A72" s="19">
        <f>IFERROR(__xludf.DUMMYFUNCTION("""COMPUTED_VALUE"""),46304.0)</f>
        <v>46304</v>
      </c>
      <c r="B72" s="19">
        <f>IFERROR(__xludf.DUMMYFUNCTION("""COMPUTED_VALUE"""),46316.0)</f>
        <v>46316</v>
      </c>
      <c r="C72" s="15">
        <f>IFERROR(__xludf.DUMMYFUNCTION("""COMPUTED_VALUE"""),7.0)</f>
        <v>7</v>
      </c>
      <c r="D72" s="15" t="str">
        <f>IFERROR(__xludf.DUMMYFUNCTION("""COMPUTED_VALUE"""),"RAO")</f>
        <v>RAO</v>
      </c>
      <c r="E72" s="15" t="str">
        <f>IFERROR(__xludf.DUMMYFUNCTION("""COMPUTED_VALUE"""),"ROZELI AGOSTA BATAGIN")</f>
        <v>ROZELI AGOSTA BATAGIN</v>
      </c>
      <c r="F72" s="15" t="str">
        <f>IFERROR(__xludf.DUMMYFUNCTION("""COMPUTED_VALUE"""),"TRIFIL")</f>
        <v>TRIFIL</v>
      </c>
      <c r="G72" s="15" t="str">
        <f>IFERROR(__xludf.DUMMYFUNCTION("""COMPUTED_VALUE"""),"266803292")</f>
        <v>266803292</v>
      </c>
      <c r="H72" s="15" t="str">
        <f>IFERROR(__xludf.DUMMYFUNCTION("""COMPUTED_VALUE"""),"1305688")</f>
        <v>1305688</v>
      </c>
      <c r="I72" s="15" t="str">
        <f>IFERROR(__xludf.DUMMYFUNCTION("""COMPUTED_VALUE"""),"8176841")</f>
        <v>8176841</v>
      </c>
      <c r="J72" s="15" t="str">
        <f>IFERROR(__xludf.DUMMYFUNCTION("""COMPUTED_VALUE"""),"CIF")</f>
        <v>CIF</v>
      </c>
      <c r="K72" s="15" t="str">
        <f>IFERROR(__xludf.DUMMYFUNCTION("""COMPUTED_VALUE"""),"(sem célula)")</f>
        <v>(sem célula)</v>
      </c>
      <c r="L72" s="15" t="str">
        <f>IFERROR(__xludf.DUMMYFUNCTION("""COMPUTED_VALUE"""),"AUTORIZADO")</f>
        <v>AUTORIZADO</v>
      </c>
      <c r="M72" s="15" t="str">
        <f>IFERROR(__xludf.DUMMYFUNCTION("""COMPUTED_VALUE"""),"NA ORIGEM")</f>
        <v>NA ORIGEM</v>
      </c>
      <c r="N72" s="15" t="str">
        <f>IFERROR(__xludf.DUMMYFUNCTION("""COMPUTED_VALUE"""),"Antes Prazo")</f>
        <v>Antes Prazo</v>
      </c>
      <c r="O72" s="15" t="str">
        <f>IFERROR(__xludf.DUMMYFUNCTION("""COMPUTED_VALUE"""),"B2B")</f>
        <v>B2B</v>
      </c>
      <c r="P72" s="16">
        <f>IFERROR(__xludf.DUMMYFUNCTION("""COMPUTED_VALUE"""),38.46)</f>
        <v>38.46</v>
      </c>
      <c r="Q72" s="15">
        <f>IFERROR(__xludf.DUMMYFUNCTION("""COMPUTED_VALUE"""),1.0)</f>
        <v>1</v>
      </c>
      <c r="R72" s="15" t="str">
        <f>IFERROR(__xludf.DUMMYFUNCTION("""COMPUTED_VALUE"""),"RODO")</f>
        <v>RODO</v>
      </c>
      <c r="S72" s="15" t="str">
        <f>IFERROR(__xludf.DUMMYFUNCTION("""COMPUTED_VALUE"""),"ITN")</f>
        <v>ITN</v>
      </c>
      <c r="T72" s="15" t="str">
        <f>IFERROR(__xludf.DUMMYFUNCTION("""COMPUTED_VALUE"""),"6")</f>
        <v>6</v>
      </c>
      <c r="U72" s="15" t="str">
        <f>IFERROR(__xludf.DUMMYFUNCTION("""COMPUTED_VALUE"""),"266803292 1305688 8176841 rozeli agosta batagin trifil rao 6")</f>
        <v>266803292 1305688 8176841 rozeli agosta batagin trifil rao 6</v>
      </c>
      <c r="V72" s="15" t="b">
        <f>IFERROR(__xludf.DUMMYFUNCTION("""COMPUTED_VALUE"""),FALSE)</f>
        <v>0</v>
      </c>
    </row>
    <row r="73">
      <c r="A73" s="19">
        <f>IFERROR(__xludf.DUMMYFUNCTION("""COMPUTED_VALUE"""),46304.0)</f>
        <v>46304</v>
      </c>
      <c r="B73" s="19">
        <f>IFERROR(__xludf.DUMMYFUNCTION("""COMPUTED_VALUE"""),46316.0)</f>
        <v>46316</v>
      </c>
      <c r="C73" s="15">
        <f>IFERROR(__xludf.DUMMYFUNCTION("""COMPUTED_VALUE"""),7.0)</f>
        <v>7</v>
      </c>
      <c r="D73" s="15" t="str">
        <f>IFERROR(__xludf.DUMMYFUNCTION("""COMPUTED_VALUE"""),"RAO")</f>
        <v>RAO</v>
      </c>
      <c r="E73" s="15" t="str">
        <f>IFERROR(__xludf.DUMMYFUNCTION("""COMPUTED_VALUE"""),"BRUNA SPORTWEAR COMERCIO DE VESTUARIO LT")</f>
        <v>BRUNA SPORTWEAR COMERCIO DE VESTUARIO LT</v>
      </c>
      <c r="F73" s="15" t="str">
        <f>IFERROR(__xludf.DUMMYFUNCTION("""COMPUTED_VALUE"""),"TRIFIL")</f>
        <v>TRIFIL</v>
      </c>
      <c r="G73" s="15" t="str">
        <f>IFERROR(__xludf.DUMMYFUNCTION("""COMPUTED_VALUE"""),"266803293")</f>
        <v>266803293</v>
      </c>
      <c r="H73" s="15" t="str">
        <f>IFERROR(__xludf.DUMMYFUNCTION("""COMPUTED_VALUE"""),"1305379")</f>
        <v>1305379</v>
      </c>
      <c r="I73" s="15" t="str">
        <f>IFERROR(__xludf.DUMMYFUNCTION("""COMPUTED_VALUE"""),"8176967")</f>
        <v>8176967</v>
      </c>
      <c r="J73" s="15" t="str">
        <f>IFERROR(__xludf.DUMMYFUNCTION("""COMPUTED_VALUE"""),"CIF")</f>
        <v>CIF</v>
      </c>
      <c r="K73" s="15" t="str">
        <f>IFERROR(__xludf.DUMMYFUNCTION("""COMPUTED_VALUE"""),"(sem célula)")</f>
        <v>(sem célula)</v>
      </c>
      <c r="L73" s="15" t="str">
        <f>IFERROR(__xludf.DUMMYFUNCTION("""COMPUTED_VALUE"""),"AUTORIZADO")</f>
        <v>AUTORIZADO</v>
      </c>
      <c r="M73" s="15" t="str">
        <f>IFERROR(__xludf.DUMMYFUNCTION("""COMPUTED_VALUE"""),"NA ORIGEM")</f>
        <v>NA ORIGEM</v>
      </c>
      <c r="N73" s="15" t="str">
        <f>IFERROR(__xludf.DUMMYFUNCTION("""COMPUTED_VALUE"""),"Antes Prazo")</f>
        <v>Antes Prazo</v>
      </c>
      <c r="O73" s="15" t="str">
        <f>IFERROR(__xludf.DUMMYFUNCTION("""COMPUTED_VALUE"""),"B2B")</f>
        <v>B2B</v>
      </c>
      <c r="P73" s="16">
        <f>IFERROR(__xludf.DUMMYFUNCTION("""COMPUTED_VALUE"""),38.46)</f>
        <v>38.46</v>
      </c>
      <c r="Q73" s="15">
        <f>IFERROR(__xludf.DUMMYFUNCTION("""COMPUTED_VALUE"""),1.0)</f>
        <v>1</v>
      </c>
      <c r="R73" s="15" t="str">
        <f>IFERROR(__xludf.DUMMYFUNCTION("""COMPUTED_VALUE"""),"RODO")</f>
        <v>RODO</v>
      </c>
      <c r="S73" s="15" t="str">
        <f>IFERROR(__xludf.DUMMYFUNCTION("""COMPUTED_VALUE"""),"ITN")</f>
        <v>ITN</v>
      </c>
      <c r="T73" s="15" t="str">
        <f>IFERROR(__xludf.DUMMYFUNCTION("""COMPUTED_VALUE"""),"7")</f>
        <v>7</v>
      </c>
      <c r="U73" s="15" t="str">
        <f>IFERROR(__xludf.DUMMYFUNCTION("""COMPUTED_VALUE"""),"266803293 1305379 8176967 bruna sportwear comercio de vestuario lt trifil rao 7")</f>
        <v>266803293 1305379 8176967 bruna sportwear comercio de vestuario lt trifil rao 7</v>
      </c>
      <c r="V73" s="15" t="b">
        <f>IFERROR(__xludf.DUMMYFUNCTION("""COMPUTED_VALUE"""),FALSE)</f>
        <v>0</v>
      </c>
    </row>
    <row r="74">
      <c r="A74" s="19">
        <f>IFERROR(__xludf.DUMMYFUNCTION("""COMPUTED_VALUE"""),46304.0)</f>
        <v>46304</v>
      </c>
      <c r="B74" s="19">
        <f>IFERROR(__xludf.DUMMYFUNCTION("""COMPUTED_VALUE"""),46317.0)</f>
        <v>46317</v>
      </c>
      <c r="C74" s="15">
        <f>IFERROR(__xludf.DUMMYFUNCTION("""COMPUTED_VALUE"""),8.0)</f>
        <v>8</v>
      </c>
      <c r="D74" s="15" t="str">
        <f>IFERROR(__xludf.DUMMYFUNCTION("""COMPUTED_VALUE"""),"RAO")</f>
        <v>RAO</v>
      </c>
      <c r="E74" s="15" t="str">
        <f>IFERROR(__xludf.DUMMYFUNCTION("""COMPUTED_VALUE"""),"JOSE PEREIRA LIMA EPP")</f>
        <v>JOSE PEREIRA LIMA EPP</v>
      </c>
      <c r="F74" s="15" t="str">
        <f>IFERROR(__xludf.DUMMYFUNCTION("""COMPUTED_VALUE"""),"TRIFIL")</f>
        <v>TRIFIL</v>
      </c>
      <c r="G74" s="15" t="str">
        <f>IFERROR(__xludf.DUMMYFUNCTION("""COMPUTED_VALUE"""),"266803294")</f>
        <v>266803294</v>
      </c>
      <c r="H74" s="15" t="str">
        <f>IFERROR(__xludf.DUMMYFUNCTION("""COMPUTED_VALUE"""),"1305408")</f>
        <v>1305408</v>
      </c>
      <c r="I74" s="15" t="str">
        <f>IFERROR(__xludf.DUMMYFUNCTION("""COMPUTED_VALUE"""),"8176928")</f>
        <v>8176928</v>
      </c>
      <c r="J74" s="15" t="str">
        <f>IFERROR(__xludf.DUMMYFUNCTION("""COMPUTED_VALUE"""),"CIF")</f>
        <v>CIF</v>
      </c>
      <c r="K74" s="15" t="str">
        <f>IFERROR(__xludf.DUMMYFUNCTION("""COMPUTED_VALUE"""),"SAO-1")</f>
        <v>SAO-1</v>
      </c>
      <c r="L74" s="15" t="str">
        <f>IFERROR(__xludf.DUMMYFUNCTION("""COMPUTED_VALUE"""),"AUTORIZADO")</f>
        <v>AUTORIZADO</v>
      </c>
      <c r="M74" s="15" t="str">
        <f>IFERROR(__xludf.DUMMYFUNCTION("""COMPUTED_VALUE"""),"NA ORIGEM")</f>
        <v>NA ORIGEM</v>
      </c>
      <c r="N74" s="15" t="str">
        <f>IFERROR(__xludf.DUMMYFUNCTION("""COMPUTED_VALUE"""),"Antes Prazo")</f>
        <v>Antes Prazo</v>
      </c>
      <c r="O74" s="15" t="str">
        <f>IFERROR(__xludf.DUMMYFUNCTION("""COMPUTED_VALUE"""),"B2B")</f>
        <v>B2B</v>
      </c>
      <c r="P74" s="16">
        <f>IFERROR(__xludf.DUMMYFUNCTION("""COMPUTED_VALUE"""),38.46)</f>
        <v>38.46</v>
      </c>
      <c r="Q74" s="15">
        <f>IFERROR(__xludf.DUMMYFUNCTION("""COMPUTED_VALUE"""),1.0)</f>
        <v>1</v>
      </c>
      <c r="R74" s="15" t="str">
        <f>IFERROR(__xludf.DUMMYFUNCTION("""COMPUTED_VALUE"""),"RODO")</f>
        <v>RODO</v>
      </c>
      <c r="S74" s="15" t="str">
        <f>IFERROR(__xludf.DUMMYFUNCTION("""COMPUTED_VALUE"""),"ITN")</f>
        <v>ITN</v>
      </c>
      <c r="T74" s="15" t="str">
        <f>IFERROR(__xludf.DUMMYFUNCTION("""COMPUTED_VALUE"""),"106")</f>
        <v>106</v>
      </c>
      <c r="U74" s="15" t="str">
        <f>IFERROR(__xludf.DUMMYFUNCTION("""COMPUTED_VALUE"""),"266803294 1305408 8176928 jose pereira lima epp trifil rao 106")</f>
        <v>266803294 1305408 8176928 jose pereira lima epp trifil rao 106</v>
      </c>
      <c r="V74" s="15" t="b">
        <f>IFERROR(__xludf.DUMMYFUNCTION("""COMPUTED_VALUE"""),FALSE)</f>
        <v>0</v>
      </c>
    </row>
    <row r="75">
      <c r="A75" s="19">
        <f>IFERROR(__xludf.DUMMYFUNCTION("""COMPUTED_VALUE"""),46304.0)</f>
        <v>46304</v>
      </c>
      <c r="B75" s="19">
        <f>IFERROR(__xludf.DUMMYFUNCTION("""COMPUTED_VALUE"""),46317.0)</f>
        <v>46317</v>
      </c>
      <c r="C75" s="15">
        <f>IFERROR(__xludf.DUMMYFUNCTION("""COMPUTED_VALUE"""),8.0)</f>
        <v>8</v>
      </c>
      <c r="D75" s="15" t="str">
        <f>IFERROR(__xludf.DUMMYFUNCTION("""COMPUTED_VALUE"""),"RAO")</f>
        <v>RAO</v>
      </c>
      <c r="E75" s="15" t="str">
        <f>IFERROR(__xludf.DUMMYFUNCTION("""COMPUTED_VALUE"""),"OPCAO CALCADOS DE BRODOWSKI LTDA")</f>
        <v>OPCAO CALCADOS DE BRODOWSKI LTDA</v>
      </c>
      <c r="F75" s="15" t="str">
        <f>IFERROR(__xludf.DUMMYFUNCTION("""COMPUTED_VALUE"""),"TRIFIL")</f>
        <v>TRIFIL</v>
      </c>
      <c r="G75" s="15" t="str">
        <f>IFERROR(__xludf.DUMMYFUNCTION("""COMPUTED_VALUE"""),"266803295")</f>
        <v>266803295</v>
      </c>
      <c r="H75" s="15" t="str">
        <f>IFERROR(__xludf.DUMMYFUNCTION("""COMPUTED_VALUE"""),"1305624")</f>
        <v>1305624</v>
      </c>
      <c r="I75" s="15" t="str">
        <f>IFERROR(__xludf.DUMMYFUNCTION("""COMPUTED_VALUE"""),"8176842")</f>
        <v>8176842</v>
      </c>
      <c r="J75" s="15" t="str">
        <f>IFERROR(__xludf.DUMMYFUNCTION("""COMPUTED_VALUE"""),"CIF")</f>
        <v>CIF</v>
      </c>
      <c r="K75" s="15" t="str">
        <f>IFERROR(__xludf.DUMMYFUNCTION("""COMPUTED_VALUE"""),"(sem célula)")</f>
        <v>(sem célula)</v>
      </c>
      <c r="L75" s="15" t="str">
        <f>IFERROR(__xludf.DUMMYFUNCTION("""COMPUTED_VALUE"""),"AUTORIZADO")</f>
        <v>AUTORIZADO</v>
      </c>
      <c r="M75" s="15" t="str">
        <f>IFERROR(__xludf.DUMMYFUNCTION("""COMPUTED_VALUE"""),"NA ORIGEM")</f>
        <v>NA ORIGEM</v>
      </c>
      <c r="N75" s="15" t="str">
        <f>IFERROR(__xludf.DUMMYFUNCTION("""COMPUTED_VALUE"""),"Antes Prazo")</f>
        <v>Antes Prazo</v>
      </c>
      <c r="O75" s="15" t="str">
        <f>IFERROR(__xludf.DUMMYFUNCTION("""COMPUTED_VALUE"""),"B2B")</f>
        <v>B2B</v>
      </c>
      <c r="P75" s="16">
        <f>IFERROR(__xludf.DUMMYFUNCTION("""COMPUTED_VALUE"""),38.46)</f>
        <v>38.46</v>
      </c>
      <c r="Q75" s="15">
        <f>IFERROR(__xludf.DUMMYFUNCTION("""COMPUTED_VALUE"""),1.0)</f>
        <v>1</v>
      </c>
      <c r="R75" s="15" t="str">
        <f>IFERROR(__xludf.DUMMYFUNCTION("""COMPUTED_VALUE"""),"RODO")</f>
        <v>RODO</v>
      </c>
      <c r="S75" s="15" t="str">
        <f>IFERROR(__xludf.DUMMYFUNCTION("""COMPUTED_VALUE"""),"ITN")</f>
        <v>ITN</v>
      </c>
      <c r="T75" s="15" t="str">
        <f>IFERROR(__xludf.DUMMYFUNCTION("""COMPUTED_VALUE"""),"106")</f>
        <v>106</v>
      </c>
      <c r="U75" s="15" t="str">
        <f>IFERROR(__xludf.DUMMYFUNCTION("""COMPUTED_VALUE"""),"266803295 1305624 8176842 opcao calcados de brodowski ltda trifil rao 106")</f>
        <v>266803295 1305624 8176842 opcao calcados de brodowski ltda trifil rao 106</v>
      </c>
      <c r="V75" s="15" t="b">
        <f>IFERROR(__xludf.DUMMYFUNCTION("""COMPUTED_VALUE"""),FALSE)</f>
        <v>0</v>
      </c>
    </row>
    <row r="76">
      <c r="A76" s="19">
        <f>IFERROR(__xludf.DUMMYFUNCTION("""COMPUTED_VALUE"""),46304.0)</f>
        <v>46304</v>
      </c>
      <c r="B76" s="19">
        <f>IFERROR(__xludf.DUMMYFUNCTION("""COMPUTED_VALUE"""),46322.0)</f>
        <v>46322</v>
      </c>
      <c r="C76" s="15">
        <f>IFERROR(__xludf.DUMMYFUNCTION("""COMPUTED_VALUE"""),11.0)</f>
        <v>11</v>
      </c>
      <c r="D76" s="15" t="str">
        <f>IFERROR(__xludf.DUMMYFUNCTION("""COMPUTED_VALUE"""),"SJP")</f>
        <v>SJP</v>
      </c>
      <c r="E76" s="15" t="str">
        <f>IFERROR(__xludf.DUMMYFUNCTION("""COMPUTED_VALUE"""),"LEONOR PETRI FRIZONI MAGAZINE - ME")</f>
        <v>LEONOR PETRI FRIZONI MAGAZINE - ME</v>
      </c>
      <c r="F76" s="15" t="str">
        <f>IFERROR(__xludf.DUMMYFUNCTION("""COMPUTED_VALUE"""),"TRIFIL")</f>
        <v>TRIFIL</v>
      </c>
      <c r="G76" s="15" t="str">
        <f>IFERROR(__xludf.DUMMYFUNCTION("""COMPUTED_VALUE"""),"266803296")</f>
        <v>266803296</v>
      </c>
      <c r="H76" s="15" t="str">
        <f>IFERROR(__xludf.DUMMYFUNCTION("""COMPUTED_VALUE"""),"1305341")</f>
        <v>1305341</v>
      </c>
      <c r="I76" s="15" t="str">
        <f>IFERROR(__xludf.DUMMYFUNCTION("""COMPUTED_VALUE"""),"8176899")</f>
        <v>8176899</v>
      </c>
      <c r="J76" s="15" t="str">
        <f>IFERROR(__xludf.DUMMYFUNCTION("""COMPUTED_VALUE"""),"CIF")</f>
        <v>CIF</v>
      </c>
      <c r="K76" s="15" t="str">
        <f>IFERROR(__xludf.DUMMYFUNCTION("""COMPUTED_VALUE"""),"SAO-1")</f>
        <v>SAO-1</v>
      </c>
      <c r="L76" s="15" t="str">
        <f>IFERROR(__xludf.DUMMYFUNCTION("""COMPUTED_VALUE"""),"AUTORIZADO")</f>
        <v>AUTORIZADO</v>
      </c>
      <c r="M76" s="15" t="str">
        <f>IFERROR(__xludf.DUMMYFUNCTION("""COMPUTED_VALUE"""),"NA ORIGEM")</f>
        <v>NA ORIGEM</v>
      </c>
      <c r="N76" s="15" t="str">
        <f>IFERROR(__xludf.DUMMYFUNCTION("""COMPUTED_VALUE"""),"Antes Prazo")</f>
        <v>Antes Prazo</v>
      </c>
      <c r="O76" s="15" t="str">
        <f>IFERROR(__xludf.DUMMYFUNCTION("""COMPUTED_VALUE"""),"B2B")</f>
        <v>B2B</v>
      </c>
      <c r="P76" s="16">
        <f>IFERROR(__xludf.DUMMYFUNCTION("""COMPUTED_VALUE"""),38.46)</f>
        <v>38.46</v>
      </c>
      <c r="Q76" s="15">
        <f>IFERROR(__xludf.DUMMYFUNCTION("""COMPUTED_VALUE"""),1.0)</f>
        <v>1</v>
      </c>
      <c r="R76" s="15" t="str">
        <f>IFERROR(__xludf.DUMMYFUNCTION("""COMPUTED_VALUE"""),"RODO")</f>
        <v>RODO</v>
      </c>
      <c r="S76" s="15" t="str">
        <f>IFERROR(__xludf.DUMMYFUNCTION("""COMPUTED_VALUE"""),"ITN")</f>
        <v>ITN</v>
      </c>
      <c r="T76" s="15" t="str">
        <f>IFERROR(__xludf.DUMMYFUNCTION("""COMPUTED_VALUE"""),"101")</f>
        <v>101</v>
      </c>
      <c r="U76" s="15" t="str">
        <f>IFERROR(__xludf.DUMMYFUNCTION("""COMPUTED_VALUE"""),"266803296 1305341 8176899 leonor petri frizoni magazine - me trifil sjp 101")</f>
        <v>266803296 1305341 8176899 leonor petri frizoni magazine - me trifil sjp 101</v>
      </c>
      <c r="V76" s="15" t="b">
        <f>IFERROR(__xludf.DUMMYFUNCTION("""COMPUTED_VALUE"""),FALSE)</f>
        <v>0</v>
      </c>
    </row>
    <row r="77">
      <c r="A77" s="19">
        <f>IFERROR(__xludf.DUMMYFUNCTION("""COMPUTED_VALUE"""),46304.0)</f>
        <v>46304</v>
      </c>
      <c r="B77" s="19">
        <f>IFERROR(__xludf.DUMMYFUNCTION("""COMPUTED_VALUE"""),46316.0)</f>
        <v>46316</v>
      </c>
      <c r="C77" s="15">
        <f>IFERROR(__xludf.DUMMYFUNCTION("""COMPUTED_VALUE"""),7.0)</f>
        <v>7</v>
      </c>
      <c r="D77" s="15" t="str">
        <f>IFERROR(__xludf.DUMMYFUNCTION("""COMPUTED_VALUE"""),"AQA")</f>
        <v>AQA</v>
      </c>
      <c r="E77" s="15" t="str">
        <f>IFERROR(__xludf.DUMMYFUNCTION("""COMPUTED_VALUE"""),"47.382.747 KARINA ALBINO FRANCISCO")</f>
        <v>47.382.747 KARINA ALBINO FRANCISCO</v>
      </c>
      <c r="F77" s="15" t="str">
        <f>IFERROR(__xludf.DUMMYFUNCTION("""COMPUTED_VALUE"""),"TRIFIL")</f>
        <v>TRIFIL</v>
      </c>
      <c r="G77" s="15" t="str">
        <f>IFERROR(__xludf.DUMMYFUNCTION("""COMPUTED_VALUE"""),"266803297")</f>
        <v>266803297</v>
      </c>
      <c r="H77" s="15" t="str">
        <f>IFERROR(__xludf.DUMMYFUNCTION("""COMPUTED_VALUE"""),"1304771")</f>
        <v>1304771</v>
      </c>
      <c r="I77" s="15" t="str">
        <f>IFERROR(__xludf.DUMMYFUNCTION("""COMPUTED_VALUE"""),"8177021")</f>
        <v>8177021</v>
      </c>
      <c r="J77" s="15" t="str">
        <f>IFERROR(__xludf.DUMMYFUNCTION("""COMPUTED_VALUE"""),"CIF")</f>
        <v>CIF</v>
      </c>
      <c r="K77" s="15" t="str">
        <f>IFERROR(__xludf.DUMMYFUNCTION("""COMPUTED_VALUE"""),"SAO-1")</f>
        <v>SAO-1</v>
      </c>
      <c r="L77" s="15" t="str">
        <f>IFERROR(__xludf.DUMMYFUNCTION("""COMPUTED_VALUE"""),"AUTORIZADO")</f>
        <v>AUTORIZADO</v>
      </c>
      <c r="M77" s="15" t="str">
        <f>IFERROR(__xludf.DUMMYFUNCTION("""COMPUTED_VALUE"""),"NA ORIGEM")</f>
        <v>NA ORIGEM</v>
      </c>
      <c r="N77" s="15" t="str">
        <f>IFERROR(__xludf.DUMMYFUNCTION("""COMPUTED_VALUE"""),"Antes Prazo")</f>
        <v>Antes Prazo</v>
      </c>
      <c r="O77" s="15" t="str">
        <f>IFERROR(__xludf.DUMMYFUNCTION("""COMPUTED_VALUE"""),"B2B")</f>
        <v>B2B</v>
      </c>
      <c r="P77" s="16">
        <f>IFERROR(__xludf.DUMMYFUNCTION("""COMPUTED_VALUE"""),38.46)</f>
        <v>38.46</v>
      </c>
      <c r="Q77" s="15">
        <f>IFERROR(__xludf.DUMMYFUNCTION("""COMPUTED_VALUE"""),1.0)</f>
        <v>1</v>
      </c>
      <c r="R77" s="15" t="str">
        <f>IFERROR(__xludf.DUMMYFUNCTION("""COMPUTED_VALUE"""),"RODO")</f>
        <v>RODO</v>
      </c>
      <c r="S77" s="15" t="str">
        <f>IFERROR(__xludf.DUMMYFUNCTION("""COMPUTED_VALUE"""),"ITN")</f>
        <v>ITN</v>
      </c>
      <c r="T77" s="15" t="str">
        <f>IFERROR(__xludf.DUMMYFUNCTION("""COMPUTED_VALUE"""),"2")</f>
        <v>2</v>
      </c>
      <c r="U77" s="15" t="str">
        <f>IFERROR(__xludf.DUMMYFUNCTION("""COMPUTED_VALUE"""),"266803297 1304771 8177021 47.382.747 karina albino francisco trifil aqa 2")</f>
        <v>266803297 1304771 8177021 47.382.747 karina albino francisco trifil aqa 2</v>
      </c>
      <c r="V77" s="15" t="b">
        <f>IFERROR(__xludf.DUMMYFUNCTION("""COMPUTED_VALUE"""),FALSE)</f>
        <v>0</v>
      </c>
    </row>
    <row r="78">
      <c r="A78" s="19">
        <f>IFERROR(__xludf.DUMMYFUNCTION("""COMPUTED_VALUE"""),46304.0)</f>
        <v>46304</v>
      </c>
      <c r="B78" s="19">
        <f>IFERROR(__xludf.DUMMYFUNCTION("""COMPUTED_VALUE"""),46316.0)</f>
        <v>46316</v>
      </c>
      <c r="C78" s="15">
        <f>IFERROR(__xludf.DUMMYFUNCTION("""COMPUTED_VALUE"""),7.0)</f>
        <v>7</v>
      </c>
      <c r="D78" s="15" t="str">
        <f>IFERROR(__xludf.DUMMYFUNCTION("""COMPUTED_VALUE"""),"AQA")</f>
        <v>AQA</v>
      </c>
      <c r="E78" s="15" t="str">
        <f>IFERROR(__xludf.DUMMYFUNCTION("""COMPUTED_VALUE"""),"LUPO LOJAS LTDA")</f>
        <v>LUPO LOJAS LTDA</v>
      </c>
      <c r="F78" s="15" t="str">
        <f>IFERROR(__xludf.DUMMYFUNCTION("""COMPUTED_VALUE"""),"TRIFIL")</f>
        <v>TRIFIL</v>
      </c>
      <c r="G78" s="15" t="str">
        <f>IFERROR(__xludf.DUMMYFUNCTION("""COMPUTED_VALUE"""),"266803298")</f>
        <v>266803298</v>
      </c>
      <c r="H78" s="15" t="str">
        <f>IFERROR(__xludf.DUMMYFUNCTION("""COMPUTED_VALUE"""),"1305358")</f>
        <v>1305358</v>
      </c>
      <c r="I78" s="15" t="str">
        <f>IFERROR(__xludf.DUMMYFUNCTION("""COMPUTED_VALUE"""),"8176929")</f>
        <v>8176929</v>
      </c>
      <c r="J78" s="15" t="str">
        <f>IFERROR(__xludf.DUMMYFUNCTION("""COMPUTED_VALUE"""),"CIF")</f>
        <v>CIF</v>
      </c>
      <c r="K78" s="15" t="str">
        <f>IFERROR(__xludf.DUMMYFUNCTION("""COMPUTED_VALUE"""),"SAO-1")</f>
        <v>SAO-1</v>
      </c>
      <c r="L78" s="15" t="str">
        <f>IFERROR(__xludf.DUMMYFUNCTION("""COMPUTED_VALUE"""),"AUTORIZADO")</f>
        <v>AUTORIZADO</v>
      </c>
      <c r="M78" s="15" t="str">
        <f>IFERROR(__xludf.DUMMYFUNCTION("""COMPUTED_VALUE"""),"NA ORIGEM")</f>
        <v>NA ORIGEM</v>
      </c>
      <c r="N78" s="15" t="str">
        <f>IFERROR(__xludf.DUMMYFUNCTION("""COMPUTED_VALUE"""),"Antes Prazo")</f>
        <v>Antes Prazo</v>
      </c>
      <c r="O78" s="15" t="str">
        <f>IFERROR(__xludf.DUMMYFUNCTION("""COMPUTED_VALUE"""),"B2B")</f>
        <v>B2B</v>
      </c>
      <c r="P78" s="16">
        <f>IFERROR(__xludf.DUMMYFUNCTION("""COMPUTED_VALUE"""),38.46)</f>
        <v>38.46</v>
      </c>
      <c r="Q78" s="15">
        <f>IFERROR(__xludf.DUMMYFUNCTION("""COMPUTED_VALUE"""),1.0)</f>
        <v>1</v>
      </c>
      <c r="R78" s="15" t="str">
        <f>IFERROR(__xludf.DUMMYFUNCTION("""COMPUTED_VALUE"""),"RODO")</f>
        <v>RODO</v>
      </c>
      <c r="S78" s="15" t="str">
        <f>IFERROR(__xludf.DUMMYFUNCTION("""COMPUTED_VALUE"""),"ITN")</f>
        <v>ITN</v>
      </c>
      <c r="T78" s="15" t="str">
        <f>IFERROR(__xludf.DUMMYFUNCTION("""COMPUTED_VALUE"""),"1")</f>
        <v>1</v>
      </c>
      <c r="U78" s="15" t="str">
        <f>IFERROR(__xludf.DUMMYFUNCTION("""COMPUTED_VALUE"""),"266803298 1305358 8176929 lupo lojas ltda trifil aqa 1")</f>
        <v>266803298 1305358 8176929 lupo lojas ltda trifil aqa 1</v>
      </c>
      <c r="V78" s="15" t="b">
        <f>IFERROR(__xludf.DUMMYFUNCTION("""COMPUTED_VALUE"""),FALSE)</f>
        <v>0</v>
      </c>
    </row>
    <row r="79">
      <c r="A79" s="19">
        <f>IFERROR(__xludf.DUMMYFUNCTION("""COMPUTED_VALUE"""),46304.0)</f>
        <v>46304</v>
      </c>
      <c r="B79" s="19">
        <f>IFERROR(__xludf.DUMMYFUNCTION("""COMPUTED_VALUE"""),46316.0)</f>
        <v>46316</v>
      </c>
      <c r="C79" s="15">
        <f>IFERROR(__xludf.DUMMYFUNCTION("""COMPUTED_VALUE"""),7.0)</f>
        <v>7</v>
      </c>
      <c r="D79" s="15" t="str">
        <f>IFERROR(__xludf.DUMMYFUNCTION("""COMPUTED_VALUE"""),"AQA")</f>
        <v>AQA</v>
      </c>
      <c r="E79" s="15" t="str">
        <f>IFERROR(__xludf.DUMMYFUNCTION("""COMPUTED_VALUE"""),"LOJAS LUPO")</f>
        <v>LOJAS LUPO</v>
      </c>
      <c r="F79" s="15" t="str">
        <f>IFERROR(__xludf.DUMMYFUNCTION("""COMPUTED_VALUE"""),"TRIFIL")</f>
        <v>TRIFIL</v>
      </c>
      <c r="G79" s="15" t="str">
        <f>IFERROR(__xludf.DUMMYFUNCTION("""COMPUTED_VALUE"""),"266803299")</f>
        <v>266803299</v>
      </c>
      <c r="H79" s="15" t="str">
        <f>IFERROR(__xludf.DUMMYFUNCTION("""COMPUTED_VALUE"""),"1305914")</f>
        <v>1305914</v>
      </c>
      <c r="I79" s="15" t="str">
        <f>IFERROR(__xludf.DUMMYFUNCTION("""COMPUTED_VALUE"""),"8176730")</f>
        <v>8176730</v>
      </c>
      <c r="J79" s="15" t="str">
        <f>IFERROR(__xludf.DUMMYFUNCTION("""COMPUTED_VALUE"""),"CIF")</f>
        <v>CIF</v>
      </c>
      <c r="K79" s="15" t="str">
        <f>IFERROR(__xludf.DUMMYFUNCTION("""COMPUTED_VALUE"""),"SAO-1")</f>
        <v>SAO-1</v>
      </c>
      <c r="L79" s="15" t="str">
        <f>IFERROR(__xludf.DUMMYFUNCTION("""COMPUTED_VALUE"""),"AUTORIZADO")</f>
        <v>AUTORIZADO</v>
      </c>
      <c r="M79" s="15" t="str">
        <f>IFERROR(__xludf.DUMMYFUNCTION("""COMPUTED_VALUE"""),"NA ORIGEM")</f>
        <v>NA ORIGEM</v>
      </c>
      <c r="N79" s="15" t="str">
        <f>IFERROR(__xludf.DUMMYFUNCTION("""COMPUTED_VALUE"""),"Antes Prazo")</f>
        <v>Antes Prazo</v>
      </c>
      <c r="O79" s="15" t="str">
        <f>IFERROR(__xludf.DUMMYFUNCTION("""COMPUTED_VALUE"""),"B2B")</f>
        <v>B2B</v>
      </c>
      <c r="P79" s="16">
        <f>IFERROR(__xludf.DUMMYFUNCTION("""COMPUTED_VALUE"""),38.46)</f>
        <v>38.46</v>
      </c>
      <c r="Q79" s="15">
        <f>IFERROR(__xludf.DUMMYFUNCTION("""COMPUTED_VALUE"""),2.0)</f>
        <v>2</v>
      </c>
      <c r="R79" s="15" t="str">
        <f>IFERROR(__xludf.DUMMYFUNCTION("""COMPUTED_VALUE"""),"RODO")</f>
        <v>RODO</v>
      </c>
      <c r="S79" s="15" t="str">
        <f>IFERROR(__xludf.DUMMYFUNCTION("""COMPUTED_VALUE"""),"ITN")</f>
        <v>ITN</v>
      </c>
      <c r="T79" s="15" t="str">
        <f>IFERROR(__xludf.DUMMYFUNCTION("""COMPUTED_VALUE"""),"2")</f>
        <v>2</v>
      </c>
      <c r="U79" s="15" t="str">
        <f>IFERROR(__xludf.DUMMYFUNCTION("""COMPUTED_VALUE"""),"266803299 1305914 8176730 lojas lupo trifil aqa 2")</f>
        <v>266803299 1305914 8176730 lojas lupo trifil aqa 2</v>
      </c>
      <c r="V79" s="15" t="b">
        <f>IFERROR(__xludf.DUMMYFUNCTION("""COMPUTED_VALUE"""),FALSE)</f>
        <v>0</v>
      </c>
    </row>
    <row r="80">
      <c r="A80" s="19">
        <f>IFERROR(__xludf.DUMMYFUNCTION("""COMPUTED_VALUE"""),46304.0)</f>
        <v>46304</v>
      </c>
      <c r="B80" s="19">
        <f>IFERROR(__xludf.DUMMYFUNCTION("""COMPUTED_VALUE"""),46318.0)</f>
        <v>46318</v>
      </c>
      <c r="C80" s="15">
        <f>IFERROR(__xludf.DUMMYFUNCTION("""COMPUTED_VALUE"""),9.0)</f>
        <v>9</v>
      </c>
      <c r="D80" s="15" t="str">
        <f>IFERROR(__xludf.DUMMYFUNCTION("""COMPUTED_VALUE"""),"RAO")</f>
        <v>RAO</v>
      </c>
      <c r="E80" s="15" t="str">
        <f>IFERROR(__xludf.DUMMYFUNCTION("""COMPUTED_VALUE"""),"ALEX SANDRO JUSTI PEREIRA ME")</f>
        <v>ALEX SANDRO JUSTI PEREIRA ME</v>
      </c>
      <c r="F80" s="15" t="str">
        <f>IFERROR(__xludf.DUMMYFUNCTION("""COMPUTED_VALUE"""),"TRIFIL")</f>
        <v>TRIFIL</v>
      </c>
      <c r="G80" s="15" t="str">
        <f>IFERROR(__xludf.DUMMYFUNCTION("""COMPUTED_VALUE"""),"266803300")</f>
        <v>266803300</v>
      </c>
      <c r="H80" s="15" t="str">
        <f>IFERROR(__xludf.DUMMYFUNCTION("""COMPUTED_VALUE"""),"1305646")</f>
        <v>1305646</v>
      </c>
      <c r="I80" s="15" t="str">
        <f>IFERROR(__xludf.DUMMYFUNCTION("""COMPUTED_VALUE"""),"8176866")</f>
        <v>8176866</v>
      </c>
      <c r="J80" s="15" t="str">
        <f>IFERROR(__xludf.DUMMYFUNCTION("""COMPUTED_VALUE"""),"CIF")</f>
        <v>CIF</v>
      </c>
      <c r="K80" s="15" t="str">
        <f>IFERROR(__xludf.DUMMYFUNCTION("""COMPUTED_VALUE"""),"(sem célula)")</f>
        <v>(sem célula)</v>
      </c>
      <c r="L80" s="15" t="str">
        <f>IFERROR(__xludf.DUMMYFUNCTION("""COMPUTED_VALUE"""),"AUTORIZADO")</f>
        <v>AUTORIZADO</v>
      </c>
      <c r="M80" s="15" t="str">
        <f>IFERROR(__xludf.DUMMYFUNCTION("""COMPUTED_VALUE"""),"NA ORIGEM")</f>
        <v>NA ORIGEM</v>
      </c>
      <c r="N80" s="15" t="str">
        <f>IFERROR(__xludf.DUMMYFUNCTION("""COMPUTED_VALUE"""),"Antes Prazo")</f>
        <v>Antes Prazo</v>
      </c>
      <c r="O80" s="15" t="str">
        <f>IFERROR(__xludf.DUMMYFUNCTION("""COMPUTED_VALUE"""),"B2B")</f>
        <v>B2B</v>
      </c>
      <c r="P80" s="16">
        <f>IFERROR(__xludf.DUMMYFUNCTION("""COMPUTED_VALUE"""),38.46)</f>
        <v>38.46</v>
      </c>
      <c r="Q80" s="15">
        <f>IFERROR(__xludf.DUMMYFUNCTION("""COMPUTED_VALUE"""),1.0)</f>
        <v>1</v>
      </c>
      <c r="R80" s="15" t="str">
        <f>IFERROR(__xludf.DUMMYFUNCTION("""COMPUTED_VALUE"""),"RODO")</f>
        <v>RODO</v>
      </c>
      <c r="S80" s="15" t="str">
        <f>IFERROR(__xludf.DUMMYFUNCTION("""COMPUTED_VALUE"""),"ITN")</f>
        <v>ITN</v>
      </c>
      <c r="T80" s="15" t="str">
        <f>IFERROR(__xludf.DUMMYFUNCTION("""COMPUTED_VALUE"""),"112")</f>
        <v>112</v>
      </c>
      <c r="U80" s="15" t="str">
        <f>IFERROR(__xludf.DUMMYFUNCTION("""COMPUTED_VALUE"""),"266803300 1305646 8176866 alex sandro justi pereira me trifil rao 112")</f>
        <v>266803300 1305646 8176866 alex sandro justi pereira me trifil rao 112</v>
      </c>
      <c r="V80" s="15" t="b">
        <f>IFERROR(__xludf.DUMMYFUNCTION("""COMPUTED_VALUE"""),FALSE)</f>
        <v>0</v>
      </c>
    </row>
    <row r="81">
      <c r="A81" s="19">
        <f>IFERROR(__xludf.DUMMYFUNCTION("""COMPUTED_VALUE"""),46304.0)</f>
        <v>46304</v>
      </c>
      <c r="B81" s="19">
        <f>IFERROR(__xludf.DUMMYFUNCTION("""COMPUTED_VALUE"""),46318.0)</f>
        <v>46318</v>
      </c>
      <c r="C81" s="15">
        <f>IFERROR(__xludf.DUMMYFUNCTION("""COMPUTED_VALUE"""),9.0)</f>
        <v>9</v>
      </c>
      <c r="D81" s="15" t="str">
        <f>IFERROR(__xludf.DUMMYFUNCTION("""COMPUTED_VALUE"""),"RAO")</f>
        <v>RAO</v>
      </c>
      <c r="E81" s="15" t="str">
        <f>IFERROR(__xludf.DUMMYFUNCTION("""COMPUTED_VALUE"""),"IRIS HELENA GONCALVES")</f>
        <v>IRIS HELENA GONCALVES</v>
      </c>
      <c r="F81" s="15" t="str">
        <f>IFERROR(__xludf.DUMMYFUNCTION("""COMPUTED_VALUE"""),"TRIFIL")</f>
        <v>TRIFIL</v>
      </c>
      <c r="G81" s="15" t="str">
        <f>IFERROR(__xludf.DUMMYFUNCTION("""COMPUTED_VALUE"""),"266803301")</f>
        <v>266803301</v>
      </c>
      <c r="H81" s="15" t="str">
        <f>IFERROR(__xludf.DUMMYFUNCTION("""COMPUTED_VALUE"""),"1305373")</f>
        <v>1305373</v>
      </c>
      <c r="I81" s="15" t="str">
        <f>IFERROR(__xludf.DUMMYFUNCTION("""COMPUTED_VALUE"""),"8176731")</f>
        <v>8176731</v>
      </c>
      <c r="J81" s="15" t="str">
        <f>IFERROR(__xludf.DUMMYFUNCTION("""COMPUTED_VALUE"""),"CIF")</f>
        <v>CIF</v>
      </c>
      <c r="K81" s="15" t="str">
        <f>IFERROR(__xludf.DUMMYFUNCTION("""COMPUTED_VALUE"""),"SAO-1")</f>
        <v>SAO-1</v>
      </c>
      <c r="L81" s="15" t="str">
        <f>IFERROR(__xludf.DUMMYFUNCTION("""COMPUTED_VALUE"""),"AUTORIZADO")</f>
        <v>AUTORIZADO</v>
      </c>
      <c r="M81" s="15" t="str">
        <f>IFERROR(__xludf.DUMMYFUNCTION("""COMPUTED_VALUE"""),"NA ORIGEM")</f>
        <v>NA ORIGEM</v>
      </c>
      <c r="N81" s="15" t="str">
        <f>IFERROR(__xludf.DUMMYFUNCTION("""COMPUTED_VALUE"""),"Antes Prazo")</f>
        <v>Antes Prazo</v>
      </c>
      <c r="O81" s="15" t="str">
        <f>IFERROR(__xludf.DUMMYFUNCTION("""COMPUTED_VALUE"""),"B2B")</f>
        <v>B2B</v>
      </c>
      <c r="P81" s="16">
        <f>IFERROR(__xludf.DUMMYFUNCTION("""COMPUTED_VALUE"""),38.46)</f>
        <v>38.46</v>
      </c>
      <c r="Q81" s="15">
        <f>IFERROR(__xludf.DUMMYFUNCTION("""COMPUTED_VALUE"""),1.0)</f>
        <v>1</v>
      </c>
      <c r="R81" s="15" t="str">
        <f>IFERROR(__xludf.DUMMYFUNCTION("""COMPUTED_VALUE"""),"RODO")</f>
        <v>RODO</v>
      </c>
      <c r="S81" s="15" t="str">
        <f>IFERROR(__xludf.DUMMYFUNCTION("""COMPUTED_VALUE"""),"ITN")</f>
        <v>ITN</v>
      </c>
      <c r="T81" s="15" t="str">
        <f>IFERROR(__xludf.DUMMYFUNCTION("""COMPUTED_VALUE"""),"104")</f>
        <v>104</v>
      </c>
      <c r="U81" s="15" t="str">
        <f>IFERROR(__xludf.DUMMYFUNCTION("""COMPUTED_VALUE"""),"266803301 1305373 8176731 iris helena goncalves trifil rao 104")</f>
        <v>266803301 1305373 8176731 iris helena goncalves trifil rao 104</v>
      </c>
      <c r="V81" s="15" t="b">
        <f>IFERROR(__xludf.DUMMYFUNCTION("""COMPUTED_VALUE"""),FALSE)</f>
        <v>0</v>
      </c>
    </row>
    <row r="82">
      <c r="A82" s="19">
        <f>IFERROR(__xludf.DUMMYFUNCTION("""COMPUTED_VALUE"""),46304.0)</f>
        <v>46304</v>
      </c>
      <c r="B82" s="19">
        <f>IFERROR(__xludf.DUMMYFUNCTION("""COMPUTED_VALUE"""),46316.0)</f>
        <v>46316</v>
      </c>
      <c r="C82" s="15">
        <f>IFERROR(__xludf.DUMMYFUNCTION("""COMPUTED_VALUE"""),7.0)</f>
        <v>7</v>
      </c>
      <c r="D82" s="15" t="str">
        <f>IFERROR(__xludf.DUMMYFUNCTION("""COMPUTED_VALUE"""),"STO")</f>
        <v>STO</v>
      </c>
      <c r="E82" s="15" t="str">
        <f>IFERROR(__xludf.DUMMYFUNCTION("""COMPUTED_VALUE"""),"Scala Comercio de Roupas Acessorios Ltda")</f>
        <v>Scala Comercio de Roupas Acessorios Ltda</v>
      </c>
      <c r="F82" s="15" t="str">
        <f>IFERROR(__xludf.DUMMYFUNCTION("""COMPUTED_VALUE"""),"TRIFIL")</f>
        <v>TRIFIL</v>
      </c>
      <c r="G82" s="15" t="str">
        <f>IFERROR(__xludf.DUMMYFUNCTION("""COMPUTED_VALUE"""),"266803302")</f>
        <v>266803302</v>
      </c>
      <c r="H82" s="15" t="str">
        <f>IFERROR(__xludf.DUMMYFUNCTION("""COMPUTED_VALUE"""),"1305920")</f>
        <v>1305920</v>
      </c>
      <c r="I82" s="15" t="str">
        <f>IFERROR(__xludf.DUMMYFUNCTION("""COMPUTED_VALUE"""),"8176968")</f>
        <v>8176968</v>
      </c>
      <c r="J82" s="15" t="str">
        <f>IFERROR(__xludf.DUMMYFUNCTION("""COMPUTED_VALUE"""),"CIF")</f>
        <v>CIF</v>
      </c>
      <c r="K82" s="15" t="str">
        <f>IFERROR(__xludf.DUMMYFUNCTION("""COMPUTED_VALUE"""),"SAO-1")</f>
        <v>SAO-1</v>
      </c>
      <c r="L82" s="15" t="str">
        <f>IFERROR(__xludf.DUMMYFUNCTION("""COMPUTED_VALUE"""),"AUTORIZADO")</f>
        <v>AUTORIZADO</v>
      </c>
      <c r="M82" s="15" t="str">
        <f>IFERROR(__xludf.DUMMYFUNCTION("""COMPUTED_VALUE"""),"NA ORIGEM")</f>
        <v>NA ORIGEM</v>
      </c>
      <c r="N82" s="15" t="str">
        <f>IFERROR(__xludf.DUMMYFUNCTION("""COMPUTED_VALUE"""),"Antes Prazo")</f>
        <v>Antes Prazo</v>
      </c>
      <c r="O82" s="15" t="str">
        <f>IFERROR(__xludf.DUMMYFUNCTION("""COMPUTED_VALUE"""),"B2B")</f>
        <v>B2B</v>
      </c>
      <c r="P82" s="16">
        <f>IFERROR(__xludf.DUMMYFUNCTION("""COMPUTED_VALUE"""),45.49)</f>
        <v>45.49</v>
      </c>
      <c r="Q82" s="15">
        <f>IFERROR(__xludf.DUMMYFUNCTION("""COMPUTED_VALUE"""),2.0)</f>
        <v>2</v>
      </c>
      <c r="R82" s="15" t="str">
        <f>IFERROR(__xludf.DUMMYFUNCTION("""COMPUTED_VALUE"""),"RODO")</f>
        <v>RODO</v>
      </c>
      <c r="S82" s="15" t="str">
        <f>IFERROR(__xludf.DUMMYFUNCTION("""COMPUTED_VALUE"""),"ITN")</f>
        <v>ITN</v>
      </c>
      <c r="T82" s="15" t="str">
        <f>IFERROR(__xludf.DUMMYFUNCTION("""COMPUTED_VALUE"""),"545")</f>
        <v>545</v>
      </c>
      <c r="U82" s="15" t="str">
        <f>IFERROR(__xludf.DUMMYFUNCTION("""COMPUTED_VALUE"""),"266803302 1305920 8176968 scala comercio de roupas acessorios ltda trifil sto 545")</f>
        <v>266803302 1305920 8176968 scala comercio de roupas acessorios ltda trifil sto 545</v>
      </c>
      <c r="V82" s="15" t="b">
        <f>IFERROR(__xludf.DUMMYFUNCTION("""COMPUTED_VALUE"""),FALSE)</f>
        <v>0</v>
      </c>
    </row>
    <row r="83">
      <c r="A83" s="19">
        <f>IFERROR(__xludf.DUMMYFUNCTION("""COMPUTED_VALUE"""),46304.0)</f>
        <v>46304</v>
      </c>
      <c r="B83" s="19">
        <f>IFERROR(__xludf.DUMMYFUNCTION("""COMPUTED_VALUE"""),46317.0)</f>
        <v>46317</v>
      </c>
      <c r="C83" s="15">
        <f>IFERROR(__xludf.DUMMYFUNCTION("""COMPUTED_VALUE"""),8.0)</f>
        <v>8</v>
      </c>
      <c r="D83" s="15" t="str">
        <f>IFERROR(__xludf.DUMMYFUNCTION("""COMPUTED_VALUE"""),"BAU")</f>
        <v>BAU</v>
      </c>
      <c r="E83" s="15" t="str">
        <f>IFERROR(__xludf.DUMMYFUNCTION("""COMPUTED_VALUE"""),"MARIA DE FATIMA ZANOTTO SANTOS")</f>
        <v>MARIA DE FATIMA ZANOTTO SANTOS</v>
      </c>
      <c r="F83" s="15" t="str">
        <f>IFERROR(__xludf.DUMMYFUNCTION("""COMPUTED_VALUE"""),"TRIFIL")</f>
        <v>TRIFIL</v>
      </c>
      <c r="G83" s="15" t="str">
        <f>IFERROR(__xludf.DUMMYFUNCTION("""COMPUTED_VALUE"""),"266803303")</f>
        <v>266803303</v>
      </c>
      <c r="H83" s="15" t="str">
        <f>IFERROR(__xludf.DUMMYFUNCTION("""COMPUTED_VALUE"""),"1305372")</f>
        <v>1305372</v>
      </c>
      <c r="I83" s="15" t="str">
        <f>IFERROR(__xludf.DUMMYFUNCTION("""COMPUTED_VALUE"""),"8176930")</f>
        <v>8176930</v>
      </c>
      <c r="J83" s="15" t="str">
        <f>IFERROR(__xludf.DUMMYFUNCTION("""COMPUTED_VALUE"""),"CIF")</f>
        <v>CIF</v>
      </c>
      <c r="K83" s="15" t="str">
        <f>IFERROR(__xludf.DUMMYFUNCTION("""COMPUTED_VALUE"""),"SAO-1")</f>
        <v>SAO-1</v>
      </c>
      <c r="L83" s="15" t="str">
        <f>IFERROR(__xludf.DUMMYFUNCTION("""COMPUTED_VALUE"""),"AUTORIZADO")</f>
        <v>AUTORIZADO</v>
      </c>
      <c r="M83" s="15" t="str">
        <f>IFERROR(__xludf.DUMMYFUNCTION("""COMPUTED_VALUE"""),"NA ORIGEM")</f>
        <v>NA ORIGEM</v>
      </c>
      <c r="N83" s="15" t="str">
        <f>IFERROR(__xludf.DUMMYFUNCTION("""COMPUTED_VALUE"""),"Antes Prazo")</f>
        <v>Antes Prazo</v>
      </c>
      <c r="O83" s="15" t="str">
        <f>IFERROR(__xludf.DUMMYFUNCTION("""COMPUTED_VALUE"""),"B2B")</f>
        <v>B2B</v>
      </c>
      <c r="P83" s="16">
        <f>IFERROR(__xludf.DUMMYFUNCTION("""COMPUTED_VALUE"""),38.46)</f>
        <v>38.46</v>
      </c>
      <c r="Q83" s="15">
        <f>IFERROR(__xludf.DUMMYFUNCTION("""COMPUTED_VALUE"""),1.0)</f>
        <v>1</v>
      </c>
      <c r="R83" s="15" t="str">
        <f>IFERROR(__xludf.DUMMYFUNCTION("""COMPUTED_VALUE"""),"RODO")</f>
        <v>RODO</v>
      </c>
      <c r="S83" s="15" t="str">
        <f>IFERROR(__xludf.DUMMYFUNCTION("""COMPUTED_VALUE"""),"ITN")</f>
        <v>ITN</v>
      </c>
      <c r="T83" s="15" t="str">
        <f>IFERROR(__xludf.DUMMYFUNCTION("""COMPUTED_VALUE"""),"101")</f>
        <v>101</v>
      </c>
      <c r="U83" s="15" t="str">
        <f>IFERROR(__xludf.DUMMYFUNCTION("""COMPUTED_VALUE"""),"266803303 1305372 8176930 maria de fatima zanotto santos trifil bau 101")</f>
        <v>266803303 1305372 8176930 maria de fatima zanotto santos trifil bau 101</v>
      </c>
      <c r="V83" s="15" t="b">
        <f>IFERROR(__xludf.DUMMYFUNCTION("""COMPUTED_VALUE"""),FALSE)</f>
        <v>0</v>
      </c>
    </row>
    <row r="84">
      <c r="A84" s="19">
        <f>IFERROR(__xludf.DUMMYFUNCTION("""COMPUTED_VALUE"""),46304.0)</f>
        <v>46304</v>
      </c>
      <c r="B84" s="19">
        <f>IFERROR(__xludf.DUMMYFUNCTION("""COMPUTED_VALUE"""),46318.0)</f>
        <v>46318</v>
      </c>
      <c r="C84" s="15">
        <f>IFERROR(__xludf.DUMMYFUNCTION("""COMPUTED_VALUE"""),9.0)</f>
        <v>9</v>
      </c>
      <c r="D84" s="15" t="str">
        <f>IFERROR(__xludf.DUMMYFUNCTION("""COMPUTED_VALUE"""),"SJP")</f>
        <v>SJP</v>
      </c>
      <c r="E84" s="15" t="str">
        <f>IFERROR(__xludf.DUMMYFUNCTION("""COMPUTED_VALUE"""),"GARCIA E ZANINI LTDA")</f>
        <v>GARCIA E ZANINI LTDA</v>
      </c>
      <c r="F84" s="15" t="str">
        <f>IFERROR(__xludf.DUMMYFUNCTION("""COMPUTED_VALUE"""),"TRIFIL")</f>
        <v>TRIFIL</v>
      </c>
      <c r="G84" s="15" t="str">
        <f>IFERROR(__xludf.DUMMYFUNCTION("""COMPUTED_VALUE"""),"266803304")</f>
        <v>266803304</v>
      </c>
      <c r="H84" s="15" t="str">
        <f>IFERROR(__xludf.DUMMYFUNCTION("""COMPUTED_VALUE"""),"1305431")</f>
        <v>1305431</v>
      </c>
      <c r="I84" s="15" t="str">
        <f>IFERROR(__xludf.DUMMYFUNCTION("""COMPUTED_VALUE"""),"8176867")</f>
        <v>8176867</v>
      </c>
      <c r="J84" s="15" t="str">
        <f>IFERROR(__xludf.DUMMYFUNCTION("""COMPUTED_VALUE"""),"CIF")</f>
        <v>CIF</v>
      </c>
      <c r="K84" s="15" t="str">
        <f>IFERROR(__xludf.DUMMYFUNCTION("""COMPUTED_VALUE"""),"(sem célula)")</f>
        <v>(sem célula)</v>
      </c>
      <c r="L84" s="15" t="str">
        <f>IFERROR(__xludf.DUMMYFUNCTION("""COMPUTED_VALUE"""),"AUTORIZADO")</f>
        <v>AUTORIZADO</v>
      </c>
      <c r="M84" s="15" t="str">
        <f>IFERROR(__xludf.DUMMYFUNCTION("""COMPUTED_VALUE"""),"NA ORIGEM")</f>
        <v>NA ORIGEM</v>
      </c>
      <c r="N84" s="15" t="str">
        <f>IFERROR(__xludf.DUMMYFUNCTION("""COMPUTED_VALUE"""),"Antes Prazo")</f>
        <v>Antes Prazo</v>
      </c>
      <c r="O84" s="15" t="str">
        <f>IFERROR(__xludf.DUMMYFUNCTION("""COMPUTED_VALUE"""),"B2B")</f>
        <v>B2B</v>
      </c>
      <c r="P84" s="16">
        <f>IFERROR(__xludf.DUMMYFUNCTION("""COMPUTED_VALUE"""),38.46)</f>
        <v>38.46</v>
      </c>
      <c r="Q84" s="15">
        <f>IFERROR(__xludf.DUMMYFUNCTION("""COMPUTED_VALUE"""),1.0)</f>
        <v>1</v>
      </c>
      <c r="R84" s="15" t="str">
        <f>IFERROR(__xludf.DUMMYFUNCTION("""COMPUTED_VALUE"""),"RODO")</f>
        <v>RODO</v>
      </c>
      <c r="S84" s="15" t="str">
        <f>IFERROR(__xludf.DUMMYFUNCTION("""COMPUTED_VALUE"""),"ITN")</f>
        <v>ITN</v>
      </c>
      <c r="T84" s="15" t="str">
        <f>IFERROR(__xludf.DUMMYFUNCTION("""COMPUTED_VALUE"""),"107")</f>
        <v>107</v>
      </c>
      <c r="U84" s="15" t="str">
        <f>IFERROR(__xludf.DUMMYFUNCTION("""COMPUTED_VALUE"""),"266803304 1305431 8176867 garcia e zanini ltda trifil sjp 107")</f>
        <v>266803304 1305431 8176867 garcia e zanini ltda trifil sjp 107</v>
      </c>
      <c r="V84" s="15" t="b">
        <f>IFERROR(__xludf.DUMMYFUNCTION("""COMPUTED_VALUE"""),FALSE)</f>
        <v>0</v>
      </c>
    </row>
    <row r="85">
      <c r="A85" s="19">
        <f>IFERROR(__xludf.DUMMYFUNCTION("""COMPUTED_VALUE"""),46304.0)</f>
        <v>46304</v>
      </c>
      <c r="B85" s="19">
        <f>IFERROR(__xludf.DUMMYFUNCTION("""COMPUTED_VALUE"""),46321.0)</f>
        <v>46321</v>
      </c>
      <c r="C85" s="15">
        <f>IFERROR(__xludf.DUMMYFUNCTION("""COMPUTED_VALUE"""),10.0)</f>
        <v>10</v>
      </c>
      <c r="D85" s="15" t="str">
        <f>IFERROR(__xludf.DUMMYFUNCTION("""COMPUTED_VALUE"""),"ARU")</f>
        <v>ARU</v>
      </c>
      <c r="E85" s="15" t="str">
        <f>IFERROR(__xludf.DUMMYFUNCTION("""COMPUTED_VALUE"""),"JOSE ROBERTO ROSA E CIA LTD")</f>
        <v>JOSE ROBERTO ROSA E CIA LTD</v>
      </c>
      <c r="F85" s="15" t="str">
        <f>IFERROR(__xludf.DUMMYFUNCTION("""COMPUTED_VALUE"""),"TRIFIL")</f>
        <v>TRIFIL</v>
      </c>
      <c r="G85" s="15" t="str">
        <f>IFERROR(__xludf.DUMMYFUNCTION("""COMPUTED_VALUE"""),"266803305")</f>
        <v>266803305</v>
      </c>
      <c r="H85" s="15" t="str">
        <f>IFERROR(__xludf.DUMMYFUNCTION("""COMPUTED_VALUE"""),"1305480")</f>
        <v>1305480</v>
      </c>
      <c r="I85" s="15" t="str">
        <f>IFERROR(__xludf.DUMMYFUNCTION("""COMPUTED_VALUE"""),"8176843")</f>
        <v>8176843</v>
      </c>
      <c r="J85" s="15" t="str">
        <f>IFERROR(__xludf.DUMMYFUNCTION("""COMPUTED_VALUE"""),"CIF")</f>
        <v>CIF</v>
      </c>
      <c r="K85" s="15" t="str">
        <f>IFERROR(__xludf.DUMMYFUNCTION("""COMPUTED_VALUE"""),"(sem célula)")</f>
        <v>(sem célula)</v>
      </c>
      <c r="L85" s="15" t="str">
        <f>IFERROR(__xludf.DUMMYFUNCTION("""COMPUTED_VALUE"""),"AUTORIZADO")</f>
        <v>AUTORIZADO</v>
      </c>
      <c r="M85" s="15" t="str">
        <f>IFERROR(__xludf.DUMMYFUNCTION("""COMPUTED_VALUE"""),"NA ORIGEM")</f>
        <v>NA ORIGEM</v>
      </c>
      <c r="N85" s="15" t="str">
        <f>IFERROR(__xludf.DUMMYFUNCTION("""COMPUTED_VALUE"""),"Antes Prazo")</f>
        <v>Antes Prazo</v>
      </c>
      <c r="O85" s="15" t="str">
        <f>IFERROR(__xludf.DUMMYFUNCTION("""COMPUTED_VALUE"""),"B2B")</f>
        <v>B2B</v>
      </c>
      <c r="P85" s="16">
        <f>IFERROR(__xludf.DUMMYFUNCTION("""COMPUTED_VALUE"""),38.46)</f>
        <v>38.46</v>
      </c>
      <c r="Q85" s="15">
        <f>IFERROR(__xludf.DUMMYFUNCTION("""COMPUTED_VALUE"""),1.0)</f>
        <v>1</v>
      </c>
      <c r="R85" s="15" t="str">
        <f>IFERROR(__xludf.DUMMYFUNCTION("""COMPUTED_VALUE"""),"RODO")</f>
        <v>RODO</v>
      </c>
      <c r="S85" s="15" t="str">
        <f>IFERROR(__xludf.DUMMYFUNCTION("""COMPUTED_VALUE"""),"ITN")</f>
        <v>ITN</v>
      </c>
      <c r="T85" s="15" t="str">
        <f>IFERROR(__xludf.DUMMYFUNCTION("""COMPUTED_VALUE"""),"103")</f>
        <v>103</v>
      </c>
      <c r="U85" s="15" t="str">
        <f>IFERROR(__xludf.DUMMYFUNCTION("""COMPUTED_VALUE"""),"266803305 1305480 8176843 jose roberto rosa e cia ltd trifil aru 103")</f>
        <v>266803305 1305480 8176843 jose roberto rosa e cia ltd trifil aru 103</v>
      </c>
      <c r="V85" s="15" t="b">
        <f>IFERROR(__xludf.DUMMYFUNCTION("""COMPUTED_VALUE"""),FALSE)</f>
        <v>0</v>
      </c>
    </row>
    <row r="86">
      <c r="A86" s="19">
        <f>IFERROR(__xludf.DUMMYFUNCTION("""COMPUTED_VALUE"""),46304.0)</f>
        <v>46304</v>
      </c>
      <c r="B86" s="19">
        <f>IFERROR(__xludf.DUMMYFUNCTION("""COMPUTED_VALUE"""),46317.0)</f>
        <v>46317</v>
      </c>
      <c r="C86" s="15">
        <f>IFERROR(__xludf.DUMMYFUNCTION("""COMPUTED_VALUE"""),8.0)</f>
        <v>8</v>
      </c>
      <c r="D86" s="15" t="str">
        <f>IFERROR(__xludf.DUMMYFUNCTION("""COMPUTED_VALUE"""),"SJP")</f>
        <v>SJP</v>
      </c>
      <c r="E86" s="15" t="str">
        <f>IFERROR(__xludf.DUMMYFUNCTION("""COMPUTED_VALUE"""),"TWO FRIENDES COM. DE CALC. E CONF. LTDA.")</f>
        <v>TWO FRIENDES COM. DE CALC. E CONF. LTDA.</v>
      </c>
      <c r="F86" s="15" t="str">
        <f>IFERROR(__xludf.DUMMYFUNCTION("""COMPUTED_VALUE"""),"TRIFIL")</f>
        <v>TRIFIL</v>
      </c>
      <c r="G86" s="15" t="str">
        <f>IFERROR(__xludf.DUMMYFUNCTION("""COMPUTED_VALUE"""),"266803306")</f>
        <v>266803306</v>
      </c>
      <c r="H86" s="15" t="str">
        <f>IFERROR(__xludf.DUMMYFUNCTION("""COMPUTED_VALUE"""),"1305049")</f>
        <v>1305049</v>
      </c>
      <c r="I86" s="15" t="str">
        <f>IFERROR(__xludf.DUMMYFUNCTION("""COMPUTED_VALUE"""),"8177022")</f>
        <v>8177022</v>
      </c>
      <c r="J86" s="15" t="str">
        <f>IFERROR(__xludf.DUMMYFUNCTION("""COMPUTED_VALUE"""),"CIF")</f>
        <v>CIF</v>
      </c>
      <c r="K86" s="15" t="str">
        <f>IFERROR(__xludf.DUMMYFUNCTION("""COMPUTED_VALUE"""),"(sem célula)")</f>
        <v>(sem célula)</v>
      </c>
      <c r="L86" s="15" t="str">
        <f>IFERROR(__xludf.DUMMYFUNCTION("""COMPUTED_VALUE"""),"AUTORIZADO")</f>
        <v>AUTORIZADO</v>
      </c>
      <c r="M86" s="15" t="str">
        <f>IFERROR(__xludf.DUMMYFUNCTION("""COMPUTED_VALUE"""),"NA ORIGEM")</f>
        <v>NA ORIGEM</v>
      </c>
      <c r="N86" s="15" t="str">
        <f>IFERROR(__xludf.DUMMYFUNCTION("""COMPUTED_VALUE"""),"Antes Prazo")</f>
        <v>Antes Prazo</v>
      </c>
      <c r="O86" s="15" t="str">
        <f>IFERROR(__xludf.DUMMYFUNCTION("""COMPUTED_VALUE"""),"B2B")</f>
        <v>B2B</v>
      </c>
      <c r="P86" s="16">
        <f>IFERROR(__xludf.DUMMYFUNCTION("""COMPUTED_VALUE"""),38.46)</f>
        <v>38.46</v>
      </c>
      <c r="Q86" s="15">
        <f>IFERROR(__xludf.DUMMYFUNCTION("""COMPUTED_VALUE"""),1.0)</f>
        <v>1</v>
      </c>
      <c r="R86" s="15" t="str">
        <f>IFERROR(__xludf.DUMMYFUNCTION("""COMPUTED_VALUE"""),"RODO")</f>
        <v>RODO</v>
      </c>
      <c r="S86" s="15" t="str">
        <f>IFERROR(__xludf.DUMMYFUNCTION("""COMPUTED_VALUE"""),"ITN")</f>
        <v>ITN</v>
      </c>
      <c r="T86" s="15" t="str">
        <f>IFERROR(__xludf.DUMMYFUNCTION("""COMPUTED_VALUE"""),"103")</f>
        <v>103</v>
      </c>
      <c r="U86" s="15" t="str">
        <f>IFERROR(__xludf.DUMMYFUNCTION("""COMPUTED_VALUE"""),"266803306 1305049 8177022 two friendes com. de calc. e conf. ltda. trifil sjp 103")</f>
        <v>266803306 1305049 8177022 two friendes com. de calc. e conf. ltda. trifil sjp 103</v>
      </c>
      <c r="V86" s="15" t="b">
        <f>IFERROR(__xludf.DUMMYFUNCTION("""COMPUTED_VALUE"""),FALSE)</f>
        <v>0</v>
      </c>
    </row>
    <row r="87">
      <c r="A87" s="19">
        <f>IFERROR(__xludf.DUMMYFUNCTION("""COMPUTED_VALUE"""),46304.0)</f>
        <v>46304</v>
      </c>
      <c r="B87" s="19">
        <f>IFERROR(__xludf.DUMMYFUNCTION("""COMPUTED_VALUE"""),46318.0)</f>
        <v>46318</v>
      </c>
      <c r="C87" s="15">
        <f>IFERROR(__xludf.DUMMYFUNCTION("""COMPUTED_VALUE"""),9.0)</f>
        <v>9</v>
      </c>
      <c r="D87" s="15" t="str">
        <f>IFERROR(__xludf.DUMMYFUNCTION("""COMPUTED_VALUE"""),"SJP")</f>
        <v>SJP</v>
      </c>
      <c r="E87" s="15" t="str">
        <f>IFERROR(__xludf.DUMMYFUNCTION("""COMPUTED_VALUE"""),"SOLANGE MARIA DE OLIVEIRA FERREIRA - 310")</f>
        <v>SOLANGE MARIA DE OLIVEIRA FERREIRA - 310</v>
      </c>
      <c r="F87" s="15" t="str">
        <f>IFERROR(__xludf.DUMMYFUNCTION("""COMPUTED_VALUE"""),"TRIFIL")</f>
        <v>TRIFIL</v>
      </c>
      <c r="G87" s="15" t="str">
        <f>IFERROR(__xludf.DUMMYFUNCTION("""COMPUTED_VALUE"""),"266803307")</f>
        <v>266803307</v>
      </c>
      <c r="H87" s="15" t="str">
        <f>IFERROR(__xludf.DUMMYFUNCTION("""COMPUTED_VALUE"""),"1305417")</f>
        <v>1305417</v>
      </c>
      <c r="I87" s="15" t="str">
        <f>IFERROR(__xludf.DUMMYFUNCTION("""COMPUTED_VALUE"""),"8176900")</f>
        <v>8176900</v>
      </c>
      <c r="J87" s="15" t="str">
        <f>IFERROR(__xludf.DUMMYFUNCTION("""COMPUTED_VALUE"""),"CIF")</f>
        <v>CIF</v>
      </c>
      <c r="K87" s="15" t="str">
        <f>IFERROR(__xludf.DUMMYFUNCTION("""COMPUTED_VALUE"""),"SAO-1")</f>
        <v>SAO-1</v>
      </c>
      <c r="L87" s="15" t="str">
        <f>IFERROR(__xludf.DUMMYFUNCTION("""COMPUTED_VALUE"""),"AUTORIZADO")</f>
        <v>AUTORIZADO</v>
      </c>
      <c r="M87" s="15" t="str">
        <f>IFERROR(__xludf.DUMMYFUNCTION("""COMPUTED_VALUE"""),"NA ORIGEM")</f>
        <v>NA ORIGEM</v>
      </c>
      <c r="N87" s="15" t="str">
        <f>IFERROR(__xludf.DUMMYFUNCTION("""COMPUTED_VALUE"""),"Antes Prazo")</f>
        <v>Antes Prazo</v>
      </c>
      <c r="O87" s="15" t="str">
        <f>IFERROR(__xludf.DUMMYFUNCTION("""COMPUTED_VALUE"""),"B2B")</f>
        <v>B2B</v>
      </c>
      <c r="P87" s="16">
        <f>IFERROR(__xludf.DUMMYFUNCTION("""COMPUTED_VALUE"""),38.46)</f>
        <v>38.46</v>
      </c>
      <c r="Q87" s="15">
        <f>IFERROR(__xludf.DUMMYFUNCTION("""COMPUTED_VALUE"""),1.0)</f>
        <v>1</v>
      </c>
      <c r="R87" s="15" t="str">
        <f>IFERROR(__xludf.DUMMYFUNCTION("""COMPUTED_VALUE"""),"RODO")</f>
        <v>RODO</v>
      </c>
      <c r="S87" s="15" t="str">
        <f>IFERROR(__xludf.DUMMYFUNCTION("""COMPUTED_VALUE"""),"ITN")</f>
        <v>ITN</v>
      </c>
      <c r="T87" s="15" t="str">
        <f>IFERROR(__xludf.DUMMYFUNCTION("""COMPUTED_VALUE"""),"104")</f>
        <v>104</v>
      </c>
      <c r="U87" s="15" t="str">
        <f>IFERROR(__xludf.DUMMYFUNCTION("""COMPUTED_VALUE"""),"266803307 1305417 8176900 solange maria de oliveira ferreira - 310 trifil sjp 104")</f>
        <v>266803307 1305417 8176900 solange maria de oliveira ferreira - 310 trifil sjp 104</v>
      </c>
      <c r="V87" s="15" t="b">
        <f>IFERROR(__xludf.DUMMYFUNCTION("""COMPUTED_VALUE"""),FALSE)</f>
        <v>0</v>
      </c>
    </row>
    <row r="88">
      <c r="A88" s="19">
        <f>IFERROR(__xludf.DUMMYFUNCTION("""COMPUTED_VALUE"""),46304.0)</f>
        <v>46304</v>
      </c>
      <c r="B88" s="19">
        <f>IFERROR(__xludf.DUMMYFUNCTION("""COMPUTED_VALUE"""),46321.0)</f>
        <v>46321</v>
      </c>
      <c r="C88" s="15">
        <f>IFERROR(__xludf.DUMMYFUNCTION("""COMPUTED_VALUE"""),10.0)</f>
        <v>10</v>
      </c>
      <c r="D88" s="15" t="str">
        <f>IFERROR(__xludf.DUMMYFUNCTION("""COMPUTED_VALUE"""),"ARU")</f>
        <v>ARU</v>
      </c>
      <c r="E88" s="15" t="str">
        <f>IFERROR(__xludf.DUMMYFUNCTION("""COMPUTED_VALUE"""),"D NUNES DE OLIVEIRA ME")</f>
        <v>D NUNES DE OLIVEIRA ME</v>
      </c>
      <c r="F88" s="15" t="str">
        <f>IFERROR(__xludf.DUMMYFUNCTION("""COMPUTED_VALUE"""),"TRIFIL")</f>
        <v>TRIFIL</v>
      </c>
      <c r="G88" s="15" t="str">
        <f>IFERROR(__xludf.DUMMYFUNCTION("""COMPUTED_VALUE"""),"266803308")</f>
        <v>266803308</v>
      </c>
      <c r="H88" s="15" t="str">
        <f>IFERROR(__xludf.DUMMYFUNCTION("""COMPUTED_VALUE"""),"1305321")</f>
        <v>1305321</v>
      </c>
      <c r="I88" s="15" t="str">
        <f>IFERROR(__xludf.DUMMYFUNCTION("""COMPUTED_VALUE"""),"8176844")</f>
        <v>8176844</v>
      </c>
      <c r="J88" s="15" t="str">
        <f>IFERROR(__xludf.DUMMYFUNCTION("""COMPUTED_VALUE"""),"CIF")</f>
        <v>CIF</v>
      </c>
      <c r="K88" s="15" t="str">
        <f>IFERROR(__xludf.DUMMYFUNCTION("""COMPUTED_VALUE"""),"(sem célula)")</f>
        <v>(sem célula)</v>
      </c>
      <c r="L88" s="15" t="str">
        <f>IFERROR(__xludf.DUMMYFUNCTION("""COMPUTED_VALUE"""),"AUTORIZADO")</f>
        <v>AUTORIZADO</v>
      </c>
      <c r="M88" s="15" t="str">
        <f>IFERROR(__xludf.DUMMYFUNCTION("""COMPUTED_VALUE"""),"NA ORIGEM")</f>
        <v>NA ORIGEM</v>
      </c>
      <c r="N88" s="15" t="str">
        <f>IFERROR(__xludf.DUMMYFUNCTION("""COMPUTED_VALUE"""),"Antes Prazo")</f>
        <v>Antes Prazo</v>
      </c>
      <c r="O88" s="15" t="str">
        <f>IFERROR(__xludf.DUMMYFUNCTION("""COMPUTED_VALUE"""),"B2B")</f>
        <v>B2B</v>
      </c>
      <c r="P88" s="16">
        <f>IFERROR(__xludf.DUMMYFUNCTION("""COMPUTED_VALUE"""),38.46)</f>
        <v>38.46</v>
      </c>
      <c r="Q88" s="15">
        <f>IFERROR(__xludf.DUMMYFUNCTION("""COMPUTED_VALUE"""),1.0)</f>
        <v>1</v>
      </c>
      <c r="R88" s="15" t="str">
        <f>IFERROR(__xludf.DUMMYFUNCTION("""COMPUTED_VALUE"""),"RODO")</f>
        <v>RODO</v>
      </c>
      <c r="S88" s="15" t="str">
        <f>IFERROR(__xludf.DUMMYFUNCTION("""COMPUTED_VALUE"""),"ITN")</f>
        <v>ITN</v>
      </c>
      <c r="T88" s="15" t="str">
        <f>IFERROR(__xludf.DUMMYFUNCTION("""COMPUTED_VALUE"""),"111")</f>
        <v>111</v>
      </c>
      <c r="U88" s="15" t="str">
        <f>IFERROR(__xludf.DUMMYFUNCTION("""COMPUTED_VALUE"""),"266803308 1305321 8176844 d nunes de oliveira me trifil aru 111")</f>
        <v>266803308 1305321 8176844 d nunes de oliveira me trifil aru 111</v>
      </c>
      <c r="V88" s="15" t="b">
        <f>IFERROR(__xludf.DUMMYFUNCTION("""COMPUTED_VALUE"""),FALSE)</f>
        <v>0</v>
      </c>
    </row>
    <row r="89">
      <c r="A89" s="19">
        <f>IFERROR(__xludf.DUMMYFUNCTION("""COMPUTED_VALUE"""),46304.0)</f>
        <v>46304</v>
      </c>
      <c r="B89" s="19">
        <f>IFERROR(__xludf.DUMMYFUNCTION("""COMPUTED_VALUE"""),46316.0)</f>
        <v>46316</v>
      </c>
      <c r="C89" s="15">
        <f>IFERROR(__xludf.DUMMYFUNCTION("""COMPUTED_VALUE"""),7.0)</f>
        <v>7</v>
      </c>
      <c r="D89" s="15" t="str">
        <f>IFERROR(__xludf.DUMMYFUNCTION("""COMPUTED_VALUE"""),"BAU")</f>
        <v>BAU</v>
      </c>
      <c r="E89" s="15" t="str">
        <f>IFERROR(__xludf.DUMMYFUNCTION("""COMPUTED_VALUE"""),"ANA CLAUDIA GRACIANO SERDA ME")</f>
        <v>ANA CLAUDIA GRACIANO SERDA ME</v>
      </c>
      <c r="F89" s="15" t="str">
        <f>IFERROR(__xludf.DUMMYFUNCTION("""COMPUTED_VALUE"""),"TRIFIL")</f>
        <v>TRIFIL</v>
      </c>
      <c r="G89" s="15" t="str">
        <f>IFERROR(__xludf.DUMMYFUNCTION("""COMPUTED_VALUE"""),"266803309")</f>
        <v>266803309</v>
      </c>
      <c r="H89" s="15" t="str">
        <f>IFERROR(__xludf.DUMMYFUNCTION("""COMPUTED_VALUE"""),"1305481")</f>
        <v>1305481</v>
      </c>
      <c r="I89" s="15" t="str">
        <f>IFERROR(__xludf.DUMMYFUNCTION("""COMPUTED_VALUE"""),"8176868")</f>
        <v>8176868</v>
      </c>
      <c r="J89" s="15" t="str">
        <f>IFERROR(__xludf.DUMMYFUNCTION("""COMPUTED_VALUE"""),"CIF")</f>
        <v>CIF</v>
      </c>
      <c r="K89" s="15" t="str">
        <f>IFERROR(__xludf.DUMMYFUNCTION("""COMPUTED_VALUE"""),"(sem célula)")</f>
        <v>(sem célula)</v>
      </c>
      <c r="L89" s="15" t="str">
        <f>IFERROR(__xludf.DUMMYFUNCTION("""COMPUTED_VALUE"""),"AUTORIZADO")</f>
        <v>AUTORIZADO</v>
      </c>
      <c r="M89" s="15" t="str">
        <f>IFERROR(__xludf.DUMMYFUNCTION("""COMPUTED_VALUE"""),"NA ORIGEM")</f>
        <v>NA ORIGEM</v>
      </c>
      <c r="N89" s="15" t="str">
        <f>IFERROR(__xludf.DUMMYFUNCTION("""COMPUTED_VALUE"""),"Antes Prazo")</f>
        <v>Antes Prazo</v>
      </c>
      <c r="O89" s="15" t="str">
        <f>IFERROR(__xludf.DUMMYFUNCTION("""COMPUTED_VALUE"""),"B2B")</f>
        <v>B2B</v>
      </c>
      <c r="P89" s="16">
        <f>IFERROR(__xludf.DUMMYFUNCTION("""COMPUTED_VALUE"""),38.46)</f>
        <v>38.46</v>
      </c>
      <c r="Q89" s="15">
        <f>IFERROR(__xludf.DUMMYFUNCTION("""COMPUTED_VALUE"""),1.0)</f>
        <v>1</v>
      </c>
      <c r="R89" s="15" t="str">
        <f>IFERROR(__xludf.DUMMYFUNCTION("""COMPUTED_VALUE"""),"RODO")</f>
        <v>RODO</v>
      </c>
      <c r="S89" s="15" t="str">
        <f>IFERROR(__xludf.DUMMYFUNCTION("""COMPUTED_VALUE"""),"ITN")</f>
        <v>ITN</v>
      </c>
      <c r="T89" s="15" t="str">
        <f>IFERROR(__xludf.DUMMYFUNCTION("""COMPUTED_VALUE"""),"104")</f>
        <v>104</v>
      </c>
      <c r="U89" s="15" t="str">
        <f>IFERROR(__xludf.DUMMYFUNCTION("""COMPUTED_VALUE"""),"266803309 1305481 8176868 ana claudia graciano serda me trifil bau 104")</f>
        <v>266803309 1305481 8176868 ana claudia graciano serda me trifil bau 104</v>
      </c>
      <c r="V89" s="15" t="b">
        <f>IFERROR(__xludf.DUMMYFUNCTION("""COMPUTED_VALUE"""),FALSE)</f>
        <v>0</v>
      </c>
    </row>
    <row r="90">
      <c r="A90" s="19">
        <f>IFERROR(__xludf.DUMMYFUNCTION("""COMPUTED_VALUE"""),46304.0)</f>
        <v>46304</v>
      </c>
      <c r="B90" s="19">
        <f>IFERROR(__xludf.DUMMYFUNCTION("""COMPUTED_VALUE"""),46317.0)</f>
        <v>46317</v>
      </c>
      <c r="C90" s="15">
        <f>IFERROR(__xludf.DUMMYFUNCTION("""COMPUTED_VALUE"""),8.0)</f>
        <v>8</v>
      </c>
      <c r="D90" s="15" t="str">
        <f>IFERROR(__xludf.DUMMYFUNCTION("""COMPUTED_VALUE"""),"BAU")</f>
        <v>BAU</v>
      </c>
      <c r="E90" s="15" t="str">
        <f>IFERROR(__xludf.DUMMYFUNCTION("""COMPUTED_VALUE"""),"CRISTIANO TOLOI DE ALMEIDA")</f>
        <v>CRISTIANO TOLOI DE ALMEIDA</v>
      </c>
      <c r="F90" s="15" t="str">
        <f>IFERROR(__xludf.DUMMYFUNCTION("""COMPUTED_VALUE"""),"TRIFIL")</f>
        <v>TRIFIL</v>
      </c>
      <c r="G90" s="15" t="str">
        <f>IFERROR(__xludf.DUMMYFUNCTION("""COMPUTED_VALUE"""),"266803310")</f>
        <v>266803310</v>
      </c>
      <c r="H90" s="15" t="str">
        <f>IFERROR(__xludf.DUMMYFUNCTION("""COMPUTED_VALUE"""),"1305723")</f>
        <v>1305723</v>
      </c>
      <c r="I90" s="15" t="str">
        <f>IFERROR(__xludf.DUMMYFUNCTION("""COMPUTED_VALUE"""),"8176800")</f>
        <v>8176800</v>
      </c>
      <c r="J90" s="15" t="str">
        <f>IFERROR(__xludf.DUMMYFUNCTION("""COMPUTED_VALUE"""),"CIF")</f>
        <v>CIF</v>
      </c>
      <c r="K90" s="15" t="str">
        <f>IFERROR(__xludf.DUMMYFUNCTION("""COMPUTED_VALUE"""),"(sem célula)")</f>
        <v>(sem célula)</v>
      </c>
      <c r="L90" s="15" t="str">
        <f>IFERROR(__xludf.DUMMYFUNCTION("""COMPUTED_VALUE"""),"AUTORIZADO")</f>
        <v>AUTORIZADO</v>
      </c>
      <c r="M90" s="15" t="str">
        <f>IFERROR(__xludf.DUMMYFUNCTION("""COMPUTED_VALUE"""),"NA ORIGEM")</f>
        <v>NA ORIGEM</v>
      </c>
      <c r="N90" s="15" t="str">
        <f>IFERROR(__xludf.DUMMYFUNCTION("""COMPUTED_VALUE"""),"Antes Prazo")</f>
        <v>Antes Prazo</v>
      </c>
      <c r="O90" s="15" t="str">
        <f>IFERROR(__xludf.DUMMYFUNCTION("""COMPUTED_VALUE"""),"B2B")</f>
        <v>B2B</v>
      </c>
      <c r="P90" s="16">
        <f>IFERROR(__xludf.DUMMYFUNCTION("""COMPUTED_VALUE"""),38.46)</f>
        <v>38.46</v>
      </c>
      <c r="Q90" s="15">
        <f>IFERROR(__xludf.DUMMYFUNCTION("""COMPUTED_VALUE"""),1.0)</f>
        <v>1</v>
      </c>
      <c r="R90" s="15" t="str">
        <f>IFERROR(__xludf.DUMMYFUNCTION("""COMPUTED_VALUE"""),"RODO")</f>
        <v>RODO</v>
      </c>
      <c r="S90" s="15" t="str">
        <f>IFERROR(__xludf.DUMMYFUNCTION("""COMPUTED_VALUE"""),"ITN")</f>
        <v>ITN</v>
      </c>
      <c r="T90" s="15" t="str">
        <f>IFERROR(__xludf.DUMMYFUNCTION("""COMPUTED_VALUE"""),"118")</f>
        <v>118</v>
      </c>
      <c r="U90" s="15" t="str">
        <f>IFERROR(__xludf.DUMMYFUNCTION("""COMPUTED_VALUE"""),"266803310 1305723 8176800 cristiano toloi de almeida trifil bau 118")</f>
        <v>266803310 1305723 8176800 cristiano toloi de almeida trifil bau 118</v>
      </c>
      <c r="V90" s="15" t="b">
        <f>IFERROR(__xludf.DUMMYFUNCTION("""COMPUTED_VALUE"""),FALSE)</f>
        <v>0</v>
      </c>
    </row>
    <row r="91">
      <c r="A91" s="19">
        <f>IFERROR(__xludf.DUMMYFUNCTION("""COMPUTED_VALUE"""),46304.0)</f>
        <v>46304</v>
      </c>
      <c r="B91" s="19">
        <f>IFERROR(__xludf.DUMMYFUNCTION("""COMPUTED_VALUE"""),46317.0)</f>
        <v>46317</v>
      </c>
      <c r="C91" s="15">
        <f>IFERROR(__xludf.DUMMYFUNCTION("""COMPUTED_VALUE"""),8.0)</f>
        <v>8</v>
      </c>
      <c r="D91" s="15" t="str">
        <f>IFERROR(__xludf.DUMMYFUNCTION("""COMPUTED_VALUE"""),"BAU")</f>
        <v>BAU</v>
      </c>
      <c r="E91" s="15" t="str">
        <f>IFERROR(__xludf.DUMMYFUNCTION("""COMPUTED_VALUE"""),"Olinda Galhardo Confeccoes Ltda")</f>
        <v>Olinda Galhardo Confeccoes Ltda</v>
      </c>
      <c r="F91" s="15" t="str">
        <f>IFERROR(__xludf.DUMMYFUNCTION("""COMPUTED_VALUE"""),"TRIFIL")</f>
        <v>TRIFIL</v>
      </c>
      <c r="G91" s="15" t="str">
        <f>IFERROR(__xludf.DUMMYFUNCTION("""COMPUTED_VALUE"""),"266803311")</f>
        <v>266803311</v>
      </c>
      <c r="H91" s="15" t="str">
        <f>IFERROR(__xludf.DUMMYFUNCTION("""COMPUTED_VALUE"""),"1305793")</f>
        <v>1305793</v>
      </c>
      <c r="I91" s="15" t="str">
        <f>IFERROR(__xludf.DUMMYFUNCTION("""COMPUTED_VALUE"""),"8176869")</f>
        <v>8176869</v>
      </c>
      <c r="J91" s="15" t="str">
        <f>IFERROR(__xludf.DUMMYFUNCTION("""COMPUTED_VALUE"""),"CIF")</f>
        <v>CIF</v>
      </c>
      <c r="K91" s="15" t="str">
        <f>IFERROR(__xludf.DUMMYFUNCTION("""COMPUTED_VALUE"""),"(sem célula)")</f>
        <v>(sem célula)</v>
      </c>
      <c r="L91" s="15" t="str">
        <f>IFERROR(__xludf.DUMMYFUNCTION("""COMPUTED_VALUE"""),"AUTORIZADO")</f>
        <v>AUTORIZADO</v>
      </c>
      <c r="M91" s="15" t="str">
        <f>IFERROR(__xludf.DUMMYFUNCTION("""COMPUTED_VALUE"""),"NA ORIGEM")</f>
        <v>NA ORIGEM</v>
      </c>
      <c r="N91" s="15" t="str">
        <f>IFERROR(__xludf.DUMMYFUNCTION("""COMPUTED_VALUE"""),"Antes Prazo")</f>
        <v>Antes Prazo</v>
      </c>
      <c r="O91" s="15" t="str">
        <f>IFERROR(__xludf.DUMMYFUNCTION("""COMPUTED_VALUE"""),"B2B")</f>
        <v>B2B</v>
      </c>
      <c r="P91" s="16">
        <f>IFERROR(__xludf.DUMMYFUNCTION("""COMPUTED_VALUE"""),38.46)</f>
        <v>38.46</v>
      </c>
      <c r="Q91" s="15">
        <f>IFERROR(__xludf.DUMMYFUNCTION("""COMPUTED_VALUE"""),1.0)</f>
        <v>1</v>
      </c>
      <c r="R91" s="15" t="str">
        <f>IFERROR(__xludf.DUMMYFUNCTION("""COMPUTED_VALUE"""),"RODO")</f>
        <v>RODO</v>
      </c>
      <c r="S91" s="15" t="str">
        <f>IFERROR(__xludf.DUMMYFUNCTION("""COMPUTED_VALUE"""),"ITN")</f>
        <v>ITN</v>
      </c>
      <c r="T91" s="15" t="str">
        <f>IFERROR(__xludf.DUMMYFUNCTION("""COMPUTED_VALUE"""),"102")</f>
        <v>102</v>
      </c>
      <c r="U91" s="15" t="str">
        <f>IFERROR(__xludf.DUMMYFUNCTION("""COMPUTED_VALUE"""),"266803311 1305793 8176869 olinda galhardo confeccoes ltda trifil bau 102")</f>
        <v>266803311 1305793 8176869 olinda galhardo confeccoes ltda trifil bau 102</v>
      </c>
      <c r="V91" s="15" t="b">
        <f>IFERROR(__xludf.DUMMYFUNCTION("""COMPUTED_VALUE"""),FALSE)</f>
        <v>0</v>
      </c>
    </row>
    <row r="92">
      <c r="A92" s="19">
        <f>IFERROR(__xludf.DUMMYFUNCTION("""COMPUTED_VALUE"""),46304.0)</f>
        <v>46304</v>
      </c>
      <c r="B92" s="19">
        <f>IFERROR(__xludf.DUMMYFUNCTION("""COMPUTED_VALUE"""),46317.0)</f>
        <v>46317</v>
      </c>
      <c r="C92" s="15">
        <f>IFERROR(__xludf.DUMMYFUNCTION("""COMPUTED_VALUE"""),8.0)</f>
        <v>8</v>
      </c>
      <c r="D92" s="15" t="str">
        <f>IFERROR(__xludf.DUMMYFUNCTION("""COMPUTED_VALUE"""),"BAU")</f>
        <v>BAU</v>
      </c>
      <c r="E92" s="15" t="str">
        <f>IFERROR(__xludf.DUMMYFUNCTION("""COMPUTED_VALUE"""),"FNF COMERCIO DE CALCS LTDA EPP")</f>
        <v>FNF COMERCIO DE CALCS LTDA EPP</v>
      </c>
      <c r="F92" s="15" t="str">
        <f>IFERROR(__xludf.DUMMYFUNCTION("""COMPUTED_VALUE"""),"TRIFIL")</f>
        <v>TRIFIL</v>
      </c>
      <c r="G92" s="15" t="str">
        <f>IFERROR(__xludf.DUMMYFUNCTION("""COMPUTED_VALUE"""),"266803312")</f>
        <v>266803312</v>
      </c>
      <c r="H92" s="15" t="str">
        <f>IFERROR(__xludf.DUMMYFUNCTION("""COMPUTED_VALUE"""),"1305587")</f>
        <v>1305587</v>
      </c>
      <c r="I92" s="15" t="str">
        <f>IFERROR(__xludf.DUMMYFUNCTION("""COMPUTED_VALUE"""),"8176870")</f>
        <v>8176870</v>
      </c>
      <c r="J92" s="15" t="str">
        <f>IFERROR(__xludf.DUMMYFUNCTION("""COMPUTED_VALUE"""),"CIF")</f>
        <v>CIF</v>
      </c>
      <c r="K92" s="15" t="str">
        <f>IFERROR(__xludf.DUMMYFUNCTION("""COMPUTED_VALUE"""),"(sem célula)")</f>
        <v>(sem célula)</v>
      </c>
      <c r="L92" s="15" t="str">
        <f>IFERROR(__xludf.DUMMYFUNCTION("""COMPUTED_VALUE"""),"AUTORIZADO")</f>
        <v>AUTORIZADO</v>
      </c>
      <c r="M92" s="15" t="str">
        <f>IFERROR(__xludf.DUMMYFUNCTION("""COMPUTED_VALUE"""),"NA ORIGEM")</f>
        <v>NA ORIGEM</v>
      </c>
      <c r="N92" s="15" t="str">
        <f>IFERROR(__xludf.DUMMYFUNCTION("""COMPUTED_VALUE"""),"Antes Prazo")</f>
        <v>Antes Prazo</v>
      </c>
      <c r="O92" s="15" t="str">
        <f>IFERROR(__xludf.DUMMYFUNCTION("""COMPUTED_VALUE"""),"B2B")</f>
        <v>B2B</v>
      </c>
      <c r="P92" s="16">
        <f>IFERROR(__xludf.DUMMYFUNCTION("""COMPUTED_VALUE"""),38.46)</f>
        <v>38.46</v>
      </c>
      <c r="Q92" s="15">
        <f>IFERROR(__xludf.DUMMYFUNCTION("""COMPUTED_VALUE"""),1.0)</f>
        <v>1</v>
      </c>
      <c r="R92" s="15" t="str">
        <f>IFERROR(__xludf.DUMMYFUNCTION("""COMPUTED_VALUE"""),"RODO")</f>
        <v>RODO</v>
      </c>
      <c r="S92" s="15" t="str">
        <f>IFERROR(__xludf.DUMMYFUNCTION("""COMPUTED_VALUE"""),"ITN")</f>
        <v>ITN</v>
      </c>
      <c r="T92" s="15" t="str">
        <f>IFERROR(__xludf.DUMMYFUNCTION("""COMPUTED_VALUE"""),"102")</f>
        <v>102</v>
      </c>
      <c r="U92" s="15" t="str">
        <f>IFERROR(__xludf.DUMMYFUNCTION("""COMPUTED_VALUE"""),"266803312 1305587 8176870 fnf comercio de calcs ltda epp trifil bau 102")</f>
        <v>266803312 1305587 8176870 fnf comercio de calcs ltda epp trifil bau 102</v>
      </c>
      <c r="V92" s="15" t="b">
        <f>IFERROR(__xludf.DUMMYFUNCTION("""COMPUTED_VALUE"""),FALSE)</f>
        <v>0</v>
      </c>
    </row>
    <row r="93">
      <c r="A93" s="19">
        <f>IFERROR(__xludf.DUMMYFUNCTION("""COMPUTED_VALUE"""),46304.0)</f>
        <v>46304</v>
      </c>
      <c r="B93" s="19">
        <f>IFERROR(__xludf.DUMMYFUNCTION("""COMPUTED_VALUE"""),46316.0)</f>
        <v>46316</v>
      </c>
      <c r="C93" s="15">
        <f>IFERROR(__xludf.DUMMYFUNCTION("""COMPUTED_VALUE"""),7.0)</f>
        <v>7</v>
      </c>
      <c r="D93" s="15" t="str">
        <f>IFERROR(__xludf.DUMMYFUNCTION("""COMPUTED_VALUE"""),"MII")</f>
        <v>MII</v>
      </c>
      <c r="E93" s="15" t="str">
        <f>IFERROR(__xludf.DUMMYFUNCTION("""COMPUTED_VALUE"""),"ANA MARIA LINGERIE")</f>
        <v>ANA MARIA LINGERIE</v>
      </c>
      <c r="F93" s="15" t="str">
        <f>IFERROR(__xludf.DUMMYFUNCTION("""COMPUTED_VALUE"""),"TRIFIL")</f>
        <v>TRIFIL</v>
      </c>
      <c r="G93" s="15" t="str">
        <f>IFERROR(__xludf.DUMMYFUNCTION("""COMPUTED_VALUE"""),"266803313")</f>
        <v>266803313</v>
      </c>
      <c r="H93" s="15" t="str">
        <f>IFERROR(__xludf.DUMMYFUNCTION("""COMPUTED_VALUE"""),"1305987")</f>
        <v>1305987</v>
      </c>
      <c r="I93" s="15" t="str">
        <f>IFERROR(__xludf.DUMMYFUNCTION("""COMPUTED_VALUE"""),"8176969")</f>
        <v>8176969</v>
      </c>
      <c r="J93" s="15" t="str">
        <f>IFERROR(__xludf.DUMMYFUNCTION("""COMPUTED_VALUE"""),"CIF")</f>
        <v>CIF</v>
      </c>
      <c r="K93" s="15" t="str">
        <f>IFERROR(__xludf.DUMMYFUNCTION("""COMPUTED_VALUE"""),"SAO-1")</f>
        <v>SAO-1</v>
      </c>
      <c r="L93" s="15" t="str">
        <f>IFERROR(__xludf.DUMMYFUNCTION("""COMPUTED_VALUE"""),"AUTORIZADO")</f>
        <v>AUTORIZADO</v>
      </c>
      <c r="M93" s="15" t="str">
        <f>IFERROR(__xludf.DUMMYFUNCTION("""COMPUTED_VALUE"""),"NA ORIGEM")</f>
        <v>NA ORIGEM</v>
      </c>
      <c r="N93" s="15" t="str">
        <f>IFERROR(__xludf.DUMMYFUNCTION("""COMPUTED_VALUE"""),"Antes Prazo")</f>
        <v>Antes Prazo</v>
      </c>
      <c r="O93" s="15" t="str">
        <f>IFERROR(__xludf.DUMMYFUNCTION("""COMPUTED_VALUE"""),"B2B")</f>
        <v>B2B</v>
      </c>
      <c r="P93" s="16">
        <f>IFERROR(__xludf.DUMMYFUNCTION("""COMPUTED_VALUE"""),44.45)</f>
        <v>44.45</v>
      </c>
      <c r="Q93" s="15">
        <f>IFERROR(__xludf.DUMMYFUNCTION("""COMPUTED_VALUE"""),7.0)</f>
        <v>7</v>
      </c>
      <c r="R93" s="15" t="str">
        <f>IFERROR(__xludf.DUMMYFUNCTION("""COMPUTED_VALUE"""),"RODO")</f>
        <v>RODO</v>
      </c>
      <c r="S93" s="15" t="str">
        <f>IFERROR(__xludf.DUMMYFUNCTION("""COMPUTED_VALUE"""),"ITN")</f>
        <v>ITN</v>
      </c>
      <c r="T93" s="15" t="str">
        <f>IFERROR(__xludf.DUMMYFUNCTION("""COMPUTED_VALUE"""),"1")</f>
        <v>1</v>
      </c>
      <c r="U93" s="15" t="str">
        <f>IFERROR(__xludf.DUMMYFUNCTION("""COMPUTED_VALUE"""),"266803313 1305987 8176969 ana maria lingerie trifil mii 1")</f>
        <v>266803313 1305987 8176969 ana maria lingerie trifil mii 1</v>
      </c>
      <c r="V93" s="15" t="b">
        <f>IFERROR(__xludf.DUMMYFUNCTION("""COMPUTED_VALUE"""),FALSE)</f>
        <v>0</v>
      </c>
    </row>
    <row r="94">
      <c r="A94" s="19">
        <f>IFERROR(__xludf.DUMMYFUNCTION("""COMPUTED_VALUE"""),46304.0)</f>
        <v>46304</v>
      </c>
      <c r="B94" s="19">
        <f>IFERROR(__xludf.DUMMYFUNCTION("""COMPUTED_VALUE"""),46317.0)</f>
        <v>46317</v>
      </c>
      <c r="C94" s="15">
        <f>IFERROR(__xludf.DUMMYFUNCTION("""COMPUTED_VALUE"""),8.0)</f>
        <v>8</v>
      </c>
      <c r="D94" s="15" t="str">
        <f>IFERROR(__xludf.DUMMYFUNCTION("""COMPUTED_VALUE"""),"PPR")</f>
        <v>PPR</v>
      </c>
      <c r="E94" s="15" t="str">
        <f>IFERROR(__xludf.DUMMYFUNCTION("""COMPUTED_VALUE"""),"MILIANE AGUILAR RODRIGUES ME - 161976")</f>
        <v>MILIANE AGUILAR RODRIGUES ME - 161976</v>
      </c>
      <c r="F94" s="15" t="str">
        <f>IFERROR(__xludf.DUMMYFUNCTION("""COMPUTED_VALUE"""),"TRIFIL")</f>
        <v>TRIFIL</v>
      </c>
      <c r="G94" s="15" t="str">
        <f>IFERROR(__xludf.DUMMYFUNCTION("""COMPUTED_VALUE"""),"266803314")</f>
        <v>266803314</v>
      </c>
      <c r="H94" s="15" t="str">
        <f>IFERROR(__xludf.DUMMYFUNCTION("""COMPUTED_VALUE"""),"1305454")</f>
        <v>1305454</v>
      </c>
      <c r="I94" s="15" t="str">
        <f>IFERROR(__xludf.DUMMYFUNCTION("""COMPUTED_VALUE"""),"8176931")</f>
        <v>8176931</v>
      </c>
      <c r="J94" s="15" t="str">
        <f>IFERROR(__xludf.DUMMYFUNCTION("""COMPUTED_VALUE"""),"CIF")</f>
        <v>CIF</v>
      </c>
      <c r="K94" s="15" t="str">
        <f>IFERROR(__xludf.DUMMYFUNCTION("""COMPUTED_VALUE"""),"SAO-1")</f>
        <v>SAO-1</v>
      </c>
      <c r="L94" s="15" t="str">
        <f>IFERROR(__xludf.DUMMYFUNCTION("""COMPUTED_VALUE"""),"AUTORIZADO")</f>
        <v>AUTORIZADO</v>
      </c>
      <c r="M94" s="15" t="str">
        <f>IFERROR(__xludf.DUMMYFUNCTION("""COMPUTED_VALUE"""),"NA ORIGEM")</f>
        <v>NA ORIGEM</v>
      </c>
      <c r="N94" s="15" t="str">
        <f>IFERROR(__xludf.DUMMYFUNCTION("""COMPUTED_VALUE"""),"Antes Prazo")</f>
        <v>Antes Prazo</v>
      </c>
      <c r="O94" s="15" t="str">
        <f>IFERROR(__xludf.DUMMYFUNCTION("""COMPUTED_VALUE"""),"B2B")</f>
        <v>B2B</v>
      </c>
      <c r="P94" s="16">
        <f>IFERROR(__xludf.DUMMYFUNCTION("""COMPUTED_VALUE"""),38.46)</f>
        <v>38.46</v>
      </c>
      <c r="Q94" s="15">
        <f>IFERROR(__xludf.DUMMYFUNCTION("""COMPUTED_VALUE"""),1.0)</f>
        <v>1</v>
      </c>
      <c r="R94" s="15" t="str">
        <f>IFERROR(__xludf.DUMMYFUNCTION("""COMPUTED_VALUE"""),"RODO")</f>
        <v>RODO</v>
      </c>
      <c r="S94" s="15" t="str">
        <f>IFERROR(__xludf.DUMMYFUNCTION("""COMPUTED_VALUE"""),"ITN")</f>
        <v>ITN</v>
      </c>
      <c r="T94" s="15" t="str">
        <f>IFERROR(__xludf.DUMMYFUNCTION("""COMPUTED_VALUE"""),"108")</f>
        <v>108</v>
      </c>
      <c r="U94" s="15" t="str">
        <f>IFERROR(__xludf.DUMMYFUNCTION("""COMPUTED_VALUE"""),"266803314 1305454 8176931 miliane aguilar rodrigues me - 161976 trifil ppr 108")</f>
        <v>266803314 1305454 8176931 miliane aguilar rodrigues me - 161976 trifil ppr 108</v>
      </c>
      <c r="V94" s="15" t="b">
        <f>IFERROR(__xludf.DUMMYFUNCTION("""COMPUTED_VALUE"""),FALSE)</f>
        <v>0</v>
      </c>
    </row>
    <row r="95">
      <c r="A95" s="19">
        <f>IFERROR(__xludf.DUMMYFUNCTION("""COMPUTED_VALUE"""),46304.0)</f>
        <v>46304</v>
      </c>
      <c r="B95" s="19">
        <f>IFERROR(__xludf.DUMMYFUNCTION("""COMPUTED_VALUE"""),46318.0)</f>
        <v>46318</v>
      </c>
      <c r="C95" s="15">
        <f>IFERROR(__xludf.DUMMYFUNCTION("""COMPUTED_VALUE"""),9.0)</f>
        <v>9</v>
      </c>
      <c r="D95" s="15" t="str">
        <f>IFERROR(__xludf.DUMMYFUNCTION("""COMPUTED_VALUE"""),"PPR")</f>
        <v>PPR</v>
      </c>
      <c r="E95" s="15" t="str">
        <f>IFERROR(__xludf.DUMMYFUNCTION("""COMPUTED_VALUE"""),"O FEIRÃO DOS TECIDOS")</f>
        <v>O FEIRÃO DOS TECIDOS</v>
      </c>
      <c r="F95" s="15" t="str">
        <f>IFERROR(__xludf.DUMMYFUNCTION("""COMPUTED_VALUE"""),"TRIFIL")</f>
        <v>TRIFIL</v>
      </c>
      <c r="G95" s="15" t="str">
        <f>IFERROR(__xludf.DUMMYFUNCTION("""COMPUTED_VALUE"""),"266803315")</f>
        <v>266803315</v>
      </c>
      <c r="H95" s="15" t="str">
        <f>IFERROR(__xludf.DUMMYFUNCTION("""COMPUTED_VALUE"""),"1305916")</f>
        <v>1305916</v>
      </c>
      <c r="I95" s="15" t="str">
        <f>IFERROR(__xludf.DUMMYFUNCTION("""COMPUTED_VALUE"""),"8176718")</f>
        <v>8176718</v>
      </c>
      <c r="J95" s="15" t="str">
        <f>IFERROR(__xludf.DUMMYFUNCTION("""COMPUTED_VALUE"""),"CIF")</f>
        <v>CIF</v>
      </c>
      <c r="K95" s="15" t="str">
        <f>IFERROR(__xludf.DUMMYFUNCTION("""COMPUTED_VALUE"""),"SAO-1")</f>
        <v>SAO-1</v>
      </c>
      <c r="L95" s="15" t="str">
        <f>IFERROR(__xludf.DUMMYFUNCTION("""COMPUTED_VALUE"""),"AUTORIZADO")</f>
        <v>AUTORIZADO</v>
      </c>
      <c r="M95" s="15" t="str">
        <f>IFERROR(__xludf.DUMMYFUNCTION("""COMPUTED_VALUE"""),"NA ORIGEM")</f>
        <v>NA ORIGEM</v>
      </c>
      <c r="N95" s="15" t="str">
        <f>IFERROR(__xludf.DUMMYFUNCTION("""COMPUTED_VALUE"""),"Antes Prazo")</f>
        <v>Antes Prazo</v>
      </c>
      <c r="O95" s="15" t="str">
        <f>IFERROR(__xludf.DUMMYFUNCTION("""COMPUTED_VALUE"""),"B2B")</f>
        <v>B2B</v>
      </c>
      <c r="P95" s="16">
        <f>IFERROR(__xludf.DUMMYFUNCTION("""COMPUTED_VALUE"""),38.46)</f>
        <v>38.46</v>
      </c>
      <c r="Q95" s="15">
        <f>IFERROR(__xludf.DUMMYFUNCTION("""COMPUTED_VALUE"""),1.0)</f>
        <v>1</v>
      </c>
      <c r="R95" s="15" t="str">
        <f>IFERROR(__xludf.DUMMYFUNCTION("""COMPUTED_VALUE"""),"RODO")</f>
        <v>RODO</v>
      </c>
      <c r="S95" s="15" t="str">
        <f>IFERROR(__xludf.DUMMYFUNCTION("""COMPUTED_VALUE"""),"ITN")</f>
        <v>ITN</v>
      </c>
      <c r="T95" s="15" t="str">
        <f>IFERROR(__xludf.DUMMYFUNCTION("""COMPUTED_VALUE"""),"117")</f>
        <v>117</v>
      </c>
      <c r="U95" s="15" t="str">
        <f>IFERROR(__xludf.DUMMYFUNCTION("""COMPUTED_VALUE"""),"266803315 1305916 8176718 o feirão dos tecidos trifil ppr 117")</f>
        <v>266803315 1305916 8176718 o feirão dos tecidos trifil ppr 117</v>
      </c>
      <c r="V95" s="15" t="b">
        <f>IFERROR(__xludf.DUMMYFUNCTION("""COMPUTED_VALUE"""),FALSE)</f>
        <v>0</v>
      </c>
    </row>
    <row r="96">
      <c r="A96" s="19">
        <f>IFERROR(__xludf.DUMMYFUNCTION("""COMPUTED_VALUE"""),46304.0)</f>
        <v>46304</v>
      </c>
      <c r="B96" s="19">
        <f>IFERROR(__xludf.DUMMYFUNCTION("""COMPUTED_VALUE"""),46318.0)</f>
        <v>46318</v>
      </c>
      <c r="C96" s="15">
        <f>IFERROR(__xludf.DUMMYFUNCTION("""COMPUTED_VALUE"""),9.0)</f>
        <v>9</v>
      </c>
      <c r="D96" s="15" t="str">
        <f>IFERROR(__xludf.DUMMYFUNCTION("""COMPUTED_VALUE"""),"SOD")</f>
        <v>SOD</v>
      </c>
      <c r="E96" s="15" t="str">
        <f>IFERROR(__xludf.DUMMYFUNCTION("""COMPUTED_VALUE"""),"LUPO")</f>
        <v>LUPO</v>
      </c>
      <c r="F96" s="15" t="str">
        <f>IFERROR(__xludf.DUMMYFUNCTION("""COMPUTED_VALUE"""),"TRIFIL")</f>
        <v>TRIFIL</v>
      </c>
      <c r="G96" s="15" t="str">
        <f>IFERROR(__xludf.DUMMYFUNCTION("""COMPUTED_VALUE"""),"266803316")</f>
        <v>266803316</v>
      </c>
      <c r="H96" s="15" t="str">
        <f>IFERROR(__xludf.DUMMYFUNCTION("""COMPUTED_VALUE"""),"1305604")</f>
        <v>1305604</v>
      </c>
      <c r="I96" s="15" t="str">
        <f>IFERROR(__xludf.DUMMYFUNCTION("""COMPUTED_VALUE"""),"8176871")</f>
        <v>8176871</v>
      </c>
      <c r="J96" s="15" t="str">
        <f>IFERROR(__xludf.DUMMYFUNCTION("""COMPUTED_VALUE"""),"CIF")</f>
        <v>CIF</v>
      </c>
      <c r="K96" s="15" t="str">
        <f>IFERROR(__xludf.DUMMYFUNCTION("""COMPUTED_VALUE"""),"(sem célula)")</f>
        <v>(sem célula)</v>
      </c>
      <c r="L96" s="15" t="str">
        <f>IFERROR(__xludf.DUMMYFUNCTION("""COMPUTED_VALUE"""),"AUTORIZADO")</f>
        <v>AUTORIZADO</v>
      </c>
      <c r="M96" s="15" t="str">
        <f>IFERROR(__xludf.DUMMYFUNCTION("""COMPUTED_VALUE"""),"NA ORIGEM")</f>
        <v>NA ORIGEM</v>
      </c>
      <c r="N96" s="15" t="str">
        <f>IFERROR(__xludf.DUMMYFUNCTION("""COMPUTED_VALUE"""),"Antes Prazo")</f>
        <v>Antes Prazo</v>
      </c>
      <c r="O96" s="15" t="str">
        <f>IFERROR(__xludf.DUMMYFUNCTION("""COMPUTED_VALUE"""),"B2B")</f>
        <v>B2B</v>
      </c>
      <c r="P96" s="16">
        <f>IFERROR(__xludf.DUMMYFUNCTION("""COMPUTED_VALUE"""),38.46)</f>
        <v>38.46</v>
      </c>
      <c r="Q96" s="15">
        <f>IFERROR(__xludf.DUMMYFUNCTION("""COMPUTED_VALUE"""),1.0)</f>
        <v>1</v>
      </c>
      <c r="R96" s="15" t="str">
        <f>IFERROR(__xludf.DUMMYFUNCTION("""COMPUTED_VALUE"""),"RODO")</f>
        <v>RODO</v>
      </c>
      <c r="S96" s="15" t="str">
        <f>IFERROR(__xludf.DUMMYFUNCTION("""COMPUTED_VALUE"""),"ITN")</f>
        <v>ITN</v>
      </c>
      <c r="T96" s="15" t="str">
        <f>IFERROR(__xludf.DUMMYFUNCTION("""COMPUTED_VALUE"""),"106")</f>
        <v>106</v>
      </c>
      <c r="U96" s="15" t="str">
        <f>IFERROR(__xludf.DUMMYFUNCTION("""COMPUTED_VALUE"""),"266803316 1305604 8176871 lupo trifil sod 106")</f>
        <v>266803316 1305604 8176871 lupo trifil sod 106</v>
      </c>
      <c r="V96" s="15" t="b">
        <f>IFERROR(__xludf.DUMMYFUNCTION("""COMPUTED_VALUE"""),FALSE)</f>
        <v>0</v>
      </c>
    </row>
    <row r="97">
      <c r="A97" s="19">
        <f>IFERROR(__xludf.DUMMYFUNCTION("""COMPUTED_VALUE"""),46304.0)</f>
        <v>46304</v>
      </c>
      <c r="B97" s="19">
        <f>IFERROR(__xludf.DUMMYFUNCTION("""COMPUTED_VALUE"""),46318.0)</f>
        <v>46318</v>
      </c>
      <c r="C97" s="15">
        <f>IFERROR(__xludf.DUMMYFUNCTION("""COMPUTED_VALUE"""),9.0)</f>
        <v>9</v>
      </c>
      <c r="D97" s="15" t="str">
        <f>IFERROR(__xludf.DUMMYFUNCTION("""COMPUTED_VALUE"""),"SOD")</f>
        <v>SOD</v>
      </c>
      <c r="E97" s="15" t="str">
        <f>IFERROR(__xludf.DUMMYFUNCTION("""COMPUTED_VALUE"""),"MARCIA DA SILVA F. DE OLIVEIRA ME")</f>
        <v>MARCIA DA SILVA F. DE OLIVEIRA ME</v>
      </c>
      <c r="F97" s="15" t="str">
        <f>IFERROR(__xludf.DUMMYFUNCTION("""COMPUTED_VALUE"""),"TRIFIL")</f>
        <v>TRIFIL</v>
      </c>
      <c r="G97" s="15" t="str">
        <f>IFERROR(__xludf.DUMMYFUNCTION("""COMPUTED_VALUE"""),"266803317")</f>
        <v>266803317</v>
      </c>
      <c r="H97" s="15" t="str">
        <f>IFERROR(__xludf.DUMMYFUNCTION("""COMPUTED_VALUE"""),"1305654")</f>
        <v>1305654</v>
      </c>
      <c r="I97" s="15" t="str">
        <f>IFERROR(__xludf.DUMMYFUNCTION("""COMPUTED_VALUE"""),"8176872")</f>
        <v>8176872</v>
      </c>
      <c r="J97" s="15" t="str">
        <f>IFERROR(__xludf.DUMMYFUNCTION("""COMPUTED_VALUE"""),"CIF")</f>
        <v>CIF</v>
      </c>
      <c r="K97" s="15" t="str">
        <f>IFERROR(__xludf.DUMMYFUNCTION("""COMPUTED_VALUE"""),"SAO-1")</f>
        <v>SAO-1</v>
      </c>
      <c r="L97" s="15" t="str">
        <f>IFERROR(__xludf.DUMMYFUNCTION("""COMPUTED_VALUE"""),"AUTORIZADO")</f>
        <v>AUTORIZADO</v>
      </c>
      <c r="M97" s="15" t="str">
        <f>IFERROR(__xludf.DUMMYFUNCTION("""COMPUTED_VALUE"""),"NA ORIGEM")</f>
        <v>NA ORIGEM</v>
      </c>
      <c r="N97" s="15" t="str">
        <f>IFERROR(__xludf.DUMMYFUNCTION("""COMPUTED_VALUE"""),"Antes Prazo")</f>
        <v>Antes Prazo</v>
      </c>
      <c r="O97" s="15" t="str">
        <f>IFERROR(__xludf.DUMMYFUNCTION("""COMPUTED_VALUE"""),"B2B")</f>
        <v>B2B</v>
      </c>
      <c r="P97" s="16">
        <f>IFERROR(__xludf.DUMMYFUNCTION("""COMPUTED_VALUE"""),38.46)</f>
        <v>38.46</v>
      </c>
      <c r="Q97" s="15">
        <f>IFERROR(__xludf.DUMMYFUNCTION("""COMPUTED_VALUE"""),1.0)</f>
        <v>1</v>
      </c>
      <c r="R97" s="15" t="str">
        <f>IFERROR(__xludf.DUMMYFUNCTION("""COMPUTED_VALUE"""),"RODO")</f>
        <v>RODO</v>
      </c>
      <c r="S97" s="15" t="str">
        <f>IFERROR(__xludf.DUMMYFUNCTION("""COMPUTED_VALUE"""),"ITN")</f>
        <v>ITN</v>
      </c>
      <c r="T97" s="15" t="str">
        <f>IFERROR(__xludf.DUMMYFUNCTION("""COMPUTED_VALUE"""),"116")</f>
        <v>116</v>
      </c>
      <c r="U97" s="15" t="str">
        <f>IFERROR(__xludf.DUMMYFUNCTION("""COMPUTED_VALUE"""),"266803317 1305654 8176872 marcia da silva f. de oliveira me trifil sod 116")</f>
        <v>266803317 1305654 8176872 marcia da silva f. de oliveira me trifil sod 116</v>
      </c>
      <c r="V97" s="15" t="b">
        <f>IFERROR(__xludf.DUMMYFUNCTION("""COMPUTED_VALUE"""),FALSE)</f>
        <v>0</v>
      </c>
    </row>
    <row r="98">
      <c r="A98" s="19">
        <f>IFERROR(__xludf.DUMMYFUNCTION("""COMPUTED_VALUE"""),46304.0)</f>
        <v>46304</v>
      </c>
      <c r="B98" s="19">
        <f>IFERROR(__xludf.DUMMYFUNCTION("""COMPUTED_VALUE"""),46318.0)</f>
        <v>46318</v>
      </c>
      <c r="C98" s="15">
        <f>IFERROR(__xludf.DUMMYFUNCTION("""COMPUTED_VALUE"""),9.0)</f>
        <v>9</v>
      </c>
      <c r="D98" s="15" t="str">
        <f>IFERROR(__xludf.DUMMYFUNCTION("""COMPUTED_VALUE"""),"SOD")</f>
        <v>SOD</v>
      </c>
      <c r="E98" s="15" t="str">
        <f>IFERROR(__xludf.DUMMYFUNCTION("""COMPUTED_VALUE"""),"MARILDA PEREIRA ROLIM CASTANHO ME")</f>
        <v>MARILDA PEREIRA ROLIM CASTANHO ME</v>
      </c>
      <c r="F98" s="15" t="str">
        <f>IFERROR(__xludf.DUMMYFUNCTION("""COMPUTED_VALUE"""),"TRIFIL")</f>
        <v>TRIFIL</v>
      </c>
      <c r="G98" s="15" t="str">
        <f>IFERROR(__xludf.DUMMYFUNCTION("""COMPUTED_VALUE"""),"266803318")</f>
        <v>266803318</v>
      </c>
      <c r="H98" s="15" t="str">
        <f>IFERROR(__xludf.DUMMYFUNCTION("""COMPUTED_VALUE"""),"1305494")</f>
        <v>1305494</v>
      </c>
      <c r="I98" s="15" t="str">
        <f>IFERROR(__xludf.DUMMYFUNCTION("""COMPUTED_VALUE"""),"8176770")</f>
        <v>8176770</v>
      </c>
      <c r="J98" s="15" t="str">
        <f>IFERROR(__xludf.DUMMYFUNCTION("""COMPUTED_VALUE"""),"CIF")</f>
        <v>CIF</v>
      </c>
      <c r="K98" s="15" t="str">
        <f>IFERROR(__xludf.DUMMYFUNCTION("""COMPUTED_VALUE"""),"SAO-1")</f>
        <v>SAO-1</v>
      </c>
      <c r="L98" s="15" t="str">
        <f>IFERROR(__xludf.DUMMYFUNCTION("""COMPUTED_VALUE"""),"AUTORIZADO")</f>
        <v>AUTORIZADO</v>
      </c>
      <c r="M98" s="15" t="str">
        <f>IFERROR(__xludf.DUMMYFUNCTION("""COMPUTED_VALUE"""),"NA ORIGEM")</f>
        <v>NA ORIGEM</v>
      </c>
      <c r="N98" s="15" t="str">
        <f>IFERROR(__xludf.DUMMYFUNCTION("""COMPUTED_VALUE"""),"Antes Prazo")</f>
        <v>Antes Prazo</v>
      </c>
      <c r="O98" s="15" t="str">
        <f>IFERROR(__xludf.DUMMYFUNCTION("""COMPUTED_VALUE"""),"B2B")</f>
        <v>B2B</v>
      </c>
      <c r="P98" s="16">
        <f>IFERROR(__xludf.DUMMYFUNCTION("""COMPUTED_VALUE"""),38.46)</f>
        <v>38.46</v>
      </c>
      <c r="Q98" s="15">
        <f>IFERROR(__xludf.DUMMYFUNCTION("""COMPUTED_VALUE"""),1.0)</f>
        <v>1</v>
      </c>
      <c r="R98" s="15" t="str">
        <f>IFERROR(__xludf.DUMMYFUNCTION("""COMPUTED_VALUE"""),"RODO")</f>
        <v>RODO</v>
      </c>
      <c r="S98" s="15" t="str">
        <f>IFERROR(__xludf.DUMMYFUNCTION("""COMPUTED_VALUE"""),"ITN")</f>
        <v>ITN</v>
      </c>
      <c r="T98" s="15" t="str">
        <f>IFERROR(__xludf.DUMMYFUNCTION("""COMPUTED_VALUE"""),"112")</f>
        <v>112</v>
      </c>
      <c r="U98" s="15" t="str">
        <f>IFERROR(__xludf.DUMMYFUNCTION("""COMPUTED_VALUE"""),"266803318 1305494 8176770 marilda pereira rolim castanho me trifil sod 112")</f>
        <v>266803318 1305494 8176770 marilda pereira rolim castanho me trifil sod 112</v>
      </c>
      <c r="V98" s="15" t="b">
        <f>IFERROR(__xludf.DUMMYFUNCTION("""COMPUTED_VALUE"""),FALSE)</f>
        <v>0</v>
      </c>
    </row>
    <row r="99">
      <c r="A99" s="19">
        <f>IFERROR(__xludf.DUMMYFUNCTION("""COMPUTED_VALUE"""),46304.0)</f>
        <v>46304</v>
      </c>
      <c r="B99" s="19">
        <f>IFERROR(__xludf.DUMMYFUNCTION("""COMPUTED_VALUE"""),46318.0)</f>
        <v>46318</v>
      </c>
      <c r="C99" s="15">
        <f>IFERROR(__xludf.DUMMYFUNCTION("""COMPUTED_VALUE"""),9.0)</f>
        <v>9</v>
      </c>
      <c r="D99" s="15" t="str">
        <f>IFERROR(__xludf.DUMMYFUNCTION("""COMPUTED_VALUE"""),"SOD")</f>
        <v>SOD</v>
      </c>
      <c r="E99" s="15" t="str">
        <f>IFERROR(__xludf.DUMMYFUNCTION("""COMPUTED_VALUE"""),"LA SEDUCTION")</f>
        <v>LA SEDUCTION</v>
      </c>
      <c r="F99" s="15" t="str">
        <f>IFERROR(__xludf.DUMMYFUNCTION("""COMPUTED_VALUE"""),"TRIFIL")</f>
        <v>TRIFIL</v>
      </c>
      <c r="G99" s="15" t="str">
        <f>IFERROR(__xludf.DUMMYFUNCTION("""COMPUTED_VALUE"""),"266803319")</f>
        <v>266803319</v>
      </c>
      <c r="H99" s="15" t="str">
        <f>IFERROR(__xludf.DUMMYFUNCTION("""COMPUTED_VALUE"""),"1305034")</f>
        <v>1305034</v>
      </c>
      <c r="I99" s="15" t="str">
        <f>IFERROR(__xludf.DUMMYFUNCTION("""COMPUTED_VALUE"""),"8176801")</f>
        <v>8176801</v>
      </c>
      <c r="J99" s="15" t="str">
        <f>IFERROR(__xludf.DUMMYFUNCTION("""COMPUTED_VALUE"""),"CIF")</f>
        <v>CIF</v>
      </c>
      <c r="K99" s="15" t="str">
        <f>IFERROR(__xludf.DUMMYFUNCTION("""COMPUTED_VALUE"""),"(sem célula)")</f>
        <v>(sem célula)</v>
      </c>
      <c r="L99" s="15" t="str">
        <f>IFERROR(__xludf.DUMMYFUNCTION("""COMPUTED_VALUE"""),"AUTORIZADO")</f>
        <v>AUTORIZADO</v>
      </c>
      <c r="M99" s="15" t="str">
        <f>IFERROR(__xludf.DUMMYFUNCTION("""COMPUTED_VALUE"""),"NA ORIGEM")</f>
        <v>NA ORIGEM</v>
      </c>
      <c r="N99" s="15" t="str">
        <f>IFERROR(__xludf.DUMMYFUNCTION("""COMPUTED_VALUE"""),"Antes Prazo")</f>
        <v>Antes Prazo</v>
      </c>
      <c r="O99" s="15" t="str">
        <f>IFERROR(__xludf.DUMMYFUNCTION("""COMPUTED_VALUE"""),"B2B")</f>
        <v>B2B</v>
      </c>
      <c r="P99" s="16">
        <f>IFERROR(__xludf.DUMMYFUNCTION("""COMPUTED_VALUE"""),38.46)</f>
        <v>38.46</v>
      </c>
      <c r="Q99" s="15">
        <f>IFERROR(__xludf.DUMMYFUNCTION("""COMPUTED_VALUE"""),1.0)</f>
        <v>1</v>
      </c>
      <c r="R99" s="15" t="str">
        <f>IFERROR(__xludf.DUMMYFUNCTION("""COMPUTED_VALUE"""),"RODO")</f>
        <v>RODO</v>
      </c>
      <c r="S99" s="15" t="str">
        <f>IFERROR(__xludf.DUMMYFUNCTION("""COMPUTED_VALUE"""),"ITN")</f>
        <v>ITN</v>
      </c>
      <c r="T99" s="15" t="str">
        <f>IFERROR(__xludf.DUMMYFUNCTION("""COMPUTED_VALUE"""),"114")</f>
        <v>114</v>
      </c>
      <c r="U99" s="15" t="str">
        <f>IFERROR(__xludf.DUMMYFUNCTION("""COMPUTED_VALUE"""),"266803319 1305034 8176801 la seduction trifil sod 114")</f>
        <v>266803319 1305034 8176801 la seduction trifil sod 114</v>
      </c>
      <c r="V99" s="15" t="b">
        <f>IFERROR(__xludf.DUMMYFUNCTION("""COMPUTED_VALUE"""),FALSE)</f>
        <v>0</v>
      </c>
    </row>
    <row r="100">
      <c r="A100" s="19">
        <f>IFERROR(__xludf.DUMMYFUNCTION("""COMPUTED_VALUE"""),46304.0)</f>
        <v>46304</v>
      </c>
      <c r="B100" s="19">
        <f>IFERROR(__xludf.DUMMYFUNCTION("""COMPUTED_VALUE"""),46321.0)</f>
        <v>46321</v>
      </c>
      <c r="C100" s="15">
        <f>IFERROR(__xludf.DUMMYFUNCTION("""COMPUTED_VALUE"""),10.0)</f>
        <v>10</v>
      </c>
      <c r="D100" s="15" t="str">
        <f>IFERROR(__xludf.DUMMYFUNCTION("""COMPUTED_VALUE"""),"BAU")</f>
        <v>BAU</v>
      </c>
      <c r="E100" s="15" t="str">
        <f>IFERROR(__xludf.DUMMYFUNCTION("""COMPUTED_VALUE"""),"FURLAN MAGAZINE LTDA ''ME''")</f>
        <v>FURLAN MAGAZINE LTDA ''ME''</v>
      </c>
      <c r="F100" s="15" t="str">
        <f>IFERROR(__xludf.DUMMYFUNCTION("""COMPUTED_VALUE"""),"TRIFIL")</f>
        <v>TRIFIL</v>
      </c>
      <c r="G100" s="15" t="str">
        <f>IFERROR(__xludf.DUMMYFUNCTION("""COMPUTED_VALUE"""),"266803320")</f>
        <v>266803320</v>
      </c>
      <c r="H100" s="15" t="str">
        <f>IFERROR(__xludf.DUMMYFUNCTION("""COMPUTED_VALUE"""),"1305199")</f>
        <v>1305199</v>
      </c>
      <c r="I100" s="15" t="str">
        <f>IFERROR(__xludf.DUMMYFUNCTION("""COMPUTED_VALUE"""),"8176771")</f>
        <v>8176771</v>
      </c>
      <c r="J100" s="15" t="str">
        <f>IFERROR(__xludf.DUMMYFUNCTION("""COMPUTED_VALUE"""),"CIF")</f>
        <v>CIF</v>
      </c>
      <c r="K100" s="15" t="str">
        <f>IFERROR(__xludf.DUMMYFUNCTION("""COMPUTED_VALUE"""),"SAO-1")</f>
        <v>SAO-1</v>
      </c>
      <c r="L100" s="15" t="str">
        <f>IFERROR(__xludf.DUMMYFUNCTION("""COMPUTED_VALUE"""),"AUTORIZADO")</f>
        <v>AUTORIZADO</v>
      </c>
      <c r="M100" s="15" t="str">
        <f>IFERROR(__xludf.DUMMYFUNCTION("""COMPUTED_VALUE"""),"NA ORIGEM")</f>
        <v>NA ORIGEM</v>
      </c>
      <c r="N100" s="15" t="str">
        <f>IFERROR(__xludf.DUMMYFUNCTION("""COMPUTED_VALUE"""),"Antes Prazo")</f>
        <v>Antes Prazo</v>
      </c>
      <c r="O100" s="15" t="str">
        <f>IFERROR(__xludf.DUMMYFUNCTION("""COMPUTED_VALUE"""),"B2B")</f>
        <v>B2B</v>
      </c>
      <c r="P100" s="16">
        <f>IFERROR(__xludf.DUMMYFUNCTION("""COMPUTED_VALUE"""),38.46)</f>
        <v>38.46</v>
      </c>
      <c r="Q100" s="15">
        <f>IFERROR(__xludf.DUMMYFUNCTION("""COMPUTED_VALUE"""),1.0)</f>
        <v>1</v>
      </c>
      <c r="R100" s="15" t="str">
        <f>IFERROR(__xludf.DUMMYFUNCTION("""COMPUTED_VALUE"""),"RODO")</f>
        <v>RODO</v>
      </c>
      <c r="S100" s="15" t="str">
        <f>IFERROR(__xludf.DUMMYFUNCTION("""COMPUTED_VALUE"""),"ITN")</f>
        <v>ITN</v>
      </c>
      <c r="T100" s="15" t="str">
        <f>IFERROR(__xludf.DUMMYFUNCTION("""COMPUTED_VALUE"""),"119")</f>
        <v>119</v>
      </c>
      <c r="U100" s="15" t="str">
        <f>IFERROR(__xludf.DUMMYFUNCTION("""COMPUTED_VALUE"""),"266803320 1305199 8176771 furlan magazine ltda ''me'' trifil bau 119")</f>
        <v>266803320 1305199 8176771 furlan magazine ltda ''me'' trifil bau 119</v>
      </c>
      <c r="V100" s="15" t="b">
        <f>IFERROR(__xludf.DUMMYFUNCTION("""COMPUTED_VALUE"""),FALSE)</f>
        <v>0</v>
      </c>
    </row>
    <row r="101">
      <c r="A101" s="19">
        <f>IFERROR(__xludf.DUMMYFUNCTION("""COMPUTED_VALUE"""),46304.0)</f>
        <v>46304</v>
      </c>
      <c r="B101" s="19">
        <f>IFERROR(__xludf.DUMMYFUNCTION("""COMPUTED_VALUE"""),46316.0)</f>
        <v>46316</v>
      </c>
      <c r="C101" s="15">
        <f>IFERROR(__xludf.DUMMYFUNCTION("""COMPUTED_VALUE"""),7.0)</f>
        <v>7</v>
      </c>
      <c r="D101" s="15" t="str">
        <f>IFERROR(__xludf.DUMMYFUNCTION("""COMPUTED_VALUE"""),"BAU")</f>
        <v>BAU</v>
      </c>
      <c r="E101" s="15" t="str">
        <f>IFERROR(__xludf.DUMMYFUNCTION("""COMPUTED_VALUE"""),"TEREZINHA DA SILVA SENE - ME")</f>
        <v>TEREZINHA DA SILVA SENE - ME</v>
      </c>
      <c r="F101" s="15" t="str">
        <f>IFERROR(__xludf.DUMMYFUNCTION("""COMPUTED_VALUE"""),"TRIFIL")</f>
        <v>TRIFIL</v>
      </c>
      <c r="G101" s="15" t="str">
        <f>IFERROR(__xludf.DUMMYFUNCTION("""COMPUTED_VALUE"""),"266803321")</f>
        <v>266803321</v>
      </c>
      <c r="H101" s="15" t="str">
        <f>IFERROR(__xludf.DUMMYFUNCTION("""COMPUTED_VALUE"""),"1305444")</f>
        <v>1305444</v>
      </c>
      <c r="I101" s="15" t="str">
        <f>IFERROR(__xludf.DUMMYFUNCTION("""COMPUTED_VALUE"""),"8176873")</f>
        <v>8176873</v>
      </c>
      <c r="J101" s="15" t="str">
        <f>IFERROR(__xludf.DUMMYFUNCTION("""COMPUTED_VALUE"""),"CIF")</f>
        <v>CIF</v>
      </c>
      <c r="K101" s="15" t="str">
        <f>IFERROR(__xludf.DUMMYFUNCTION("""COMPUTED_VALUE"""),"(sem célula)")</f>
        <v>(sem célula)</v>
      </c>
      <c r="L101" s="15" t="str">
        <f>IFERROR(__xludf.DUMMYFUNCTION("""COMPUTED_VALUE"""),"AUTORIZADO")</f>
        <v>AUTORIZADO</v>
      </c>
      <c r="M101" s="15" t="str">
        <f>IFERROR(__xludf.DUMMYFUNCTION("""COMPUTED_VALUE"""),"NA ORIGEM")</f>
        <v>NA ORIGEM</v>
      </c>
      <c r="N101" s="15" t="str">
        <f>IFERROR(__xludf.DUMMYFUNCTION("""COMPUTED_VALUE"""),"Antes Prazo")</f>
        <v>Antes Prazo</v>
      </c>
      <c r="O101" s="15" t="str">
        <f>IFERROR(__xludf.DUMMYFUNCTION("""COMPUTED_VALUE"""),"B2B")</f>
        <v>B2B</v>
      </c>
      <c r="P101" s="16">
        <f>IFERROR(__xludf.DUMMYFUNCTION("""COMPUTED_VALUE"""),38.46)</f>
        <v>38.46</v>
      </c>
      <c r="Q101" s="15">
        <f>IFERROR(__xludf.DUMMYFUNCTION("""COMPUTED_VALUE"""),1.0)</f>
        <v>1</v>
      </c>
      <c r="R101" s="15" t="str">
        <f>IFERROR(__xludf.DUMMYFUNCTION("""COMPUTED_VALUE"""),"RODO")</f>
        <v>RODO</v>
      </c>
      <c r="S101" s="15" t="str">
        <f>IFERROR(__xludf.DUMMYFUNCTION("""COMPUTED_VALUE"""),"ITN")</f>
        <v>ITN</v>
      </c>
      <c r="T101" s="15" t="str">
        <f>IFERROR(__xludf.DUMMYFUNCTION("""COMPUTED_VALUE"""),"105")</f>
        <v>105</v>
      </c>
      <c r="U101" s="15" t="str">
        <f>IFERROR(__xludf.DUMMYFUNCTION("""COMPUTED_VALUE"""),"266803321 1305444 8176873 terezinha da silva sene - me trifil bau 105")</f>
        <v>266803321 1305444 8176873 terezinha da silva sene - me trifil bau 105</v>
      </c>
      <c r="V101" s="15" t="b">
        <f>IFERROR(__xludf.DUMMYFUNCTION("""COMPUTED_VALUE"""),FALSE)</f>
        <v>0</v>
      </c>
    </row>
    <row r="102">
      <c r="A102" s="19">
        <f>IFERROR(__xludf.DUMMYFUNCTION("""COMPUTED_VALUE"""),46304.0)</f>
        <v>46304</v>
      </c>
      <c r="B102" s="19">
        <f>IFERROR(__xludf.DUMMYFUNCTION("""COMPUTED_VALUE"""),46316.0)</f>
        <v>46316</v>
      </c>
      <c r="C102" s="15">
        <f>IFERROR(__xludf.DUMMYFUNCTION("""COMPUTED_VALUE"""),7.0)</f>
        <v>7</v>
      </c>
      <c r="D102" s="15" t="str">
        <f>IFERROR(__xludf.DUMMYFUNCTION("""COMPUTED_VALUE"""),"PPR")</f>
        <v>PPR</v>
      </c>
      <c r="E102" s="15" t="str">
        <f>IFERROR(__xludf.DUMMYFUNCTION("""COMPUTED_VALUE"""),"LUPO PRESIDENTE PRUDENTE")</f>
        <v>LUPO PRESIDENTE PRUDENTE</v>
      </c>
      <c r="F102" s="15" t="str">
        <f>IFERROR(__xludf.DUMMYFUNCTION("""COMPUTED_VALUE"""),"TRIFIL")</f>
        <v>TRIFIL</v>
      </c>
      <c r="G102" s="15" t="str">
        <f>IFERROR(__xludf.DUMMYFUNCTION("""COMPUTED_VALUE"""),"266803322")</f>
        <v>266803322</v>
      </c>
      <c r="H102" s="15" t="str">
        <f>IFERROR(__xludf.DUMMYFUNCTION("""COMPUTED_VALUE"""),"1304124")</f>
        <v>1304124</v>
      </c>
      <c r="I102" s="15" t="str">
        <f>IFERROR(__xludf.DUMMYFUNCTION("""COMPUTED_VALUE"""),"8176772")</f>
        <v>8176772</v>
      </c>
      <c r="J102" s="15" t="str">
        <f>IFERROR(__xludf.DUMMYFUNCTION("""COMPUTED_VALUE"""),"CIF")</f>
        <v>CIF</v>
      </c>
      <c r="K102" s="15" t="str">
        <f>IFERROR(__xludf.DUMMYFUNCTION("""COMPUTED_VALUE"""),"SAO-1")</f>
        <v>SAO-1</v>
      </c>
      <c r="L102" s="15" t="str">
        <f>IFERROR(__xludf.DUMMYFUNCTION("""COMPUTED_VALUE"""),"AUTORIZADO")</f>
        <v>AUTORIZADO</v>
      </c>
      <c r="M102" s="15" t="str">
        <f>IFERROR(__xludf.DUMMYFUNCTION("""COMPUTED_VALUE"""),"NA ORIGEM")</f>
        <v>NA ORIGEM</v>
      </c>
      <c r="N102" s="15" t="str">
        <f>IFERROR(__xludf.DUMMYFUNCTION("""COMPUTED_VALUE"""),"Antes Prazo")</f>
        <v>Antes Prazo</v>
      </c>
      <c r="O102" s="15" t="str">
        <f>IFERROR(__xludf.DUMMYFUNCTION("""COMPUTED_VALUE"""),"B2B")</f>
        <v>B2B</v>
      </c>
      <c r="P102" s="16">
        <f>IFERROR(__xludf.DUMMYFUNCTION("""COMPUTED_VALUE"""),38.46)</f>
        <v>38.46</v>
      </c>
      <c r="Q102" s="15">
        <f>IFERROR(__xludf.DUMMYFUNCTION("""COMPUTED_VALUE"""),1.0)</f>
        <v>1</v>
      </c>
      <c r="R102" s="15" t="str">
        <f>IFERROR(__xludf.DUMMYFUNCTION("""COMPUTED_VALUE"""),"RODO")</f>
        <v>RODO</v>
      </c>
      <c r="S102" s="15" t="str">
        <f>IFERROR(__xludf.DUMMYFUNCTION("""COMPUTED_VALUE"""),"ITN")</f>
        <v>ITN</v>
      </c>
      <c r="T102" s="15" t="str">
        <f>IFERROR(__xludf.DUMMYFUNCTION("""COMPUTED_VALUE"""),"1")</f>
        <v>1</v>
      </c>
      <c r="U102" s="15" t="str">
        <f>IFERROR(__xludf.DUMMYFUNCTION("""COMPUTED_VALUE"""),"266803322 1304124 8176772 lupo presidente prudente trifil ppr 1")</f>
        <v>266803322 1304124 8176772 lupo presidente prudente trifil ppr 1</v>
      </c>
      <c r="V102" s="15" t="b">
        <f>IFERROR(__xludf.DUMMYFUNCTION("""COMPUTED_VALUE"""),FALSE)</f>
        <v>0</v>
      </c>
    </row>
    <row r="103">
      <c r="A103" s="19">
        <f>IFERROR(__xludf.DUMMYFUNCTION("""COMPUTED_VALUE"""),46304.0)</f>
        <v>46304</v>
      </c>
      <c r="B103" s="19">
        <f>IFERROR(__xludf.DUMMYFUNCTION("""COMPUTED_VALUE"""),46318.0)</f>
        <v>46318</v>
      </c>
      <c r="C103" s="15">
        <f>IFERROR(__xludf.DUMMYFUNCTION("""COMPUTED_VALUE"""),9.0)</f>
        <v>9</v>
      </c>
      <c r="D103" s="15" t="str">
        <f>IFERROR(__xludf.DUMMYFUNCTION("""COMPUTED_VALUE"""),"PPR")</f>
        <v>PPR</v>
      </c>
      <c r="E103" s="15" t="str">
        <f>IFERROR(__xludf.DUMMYFUNCTION("""COMPUTED_VALUE"""),"LOJAS 10")</f>
        <v>LOJAS 10</v>
      </c>
      <c r="F103" s="15" t="str">
        <f>IFERROR(__xludf.DUMMYFUNCTION("""COMPUTED_VALUE"""),"TRIFIL")</f>
        <v>TRIFIL</v>
      </c>
      <c r="G103" s="15" t="str">
        <f>IFERROR(__xludf.DUMMYFUNCTION("""COMPUTED_VALUE"""),"266803324")</f>
        <v>266803324</v>
      </c>
      <c r="H103" s="15" t="str">
        <f>IFERROR(__xludf.DUMMYFUNCTION("""COMPUTED_VALUE"""),"1305004")</f>
        <v>1305004</v>
      </c>
      <c r="I103" s="15" t="str">
        <f>IFERROR(__xludf.DUMMYFUNCTION("""COMPUTED_VALUE"""),"8176802")</f>
        <v>8176802</v>
      </c>
      <c r="J103" s="15" t="str">
        <f>IFERROR(__xludf.DUMMYFUNCTION("""COMPUTED_VALUE"""),"CIF")</f>
        <v>CIF</v>
      </c>
      <c r="K103" s="15" t="str">
        <f>IFERROR(__xludf.DUMMYFUNCTION("""COMPUTED_VALUE"""),"(sem célula)")</f>
        <v>(sem célula)</v>
      </c>
      <c r="L103" s="15" t="str">
        <f>IFERROR(__xludf.DUMMYFUNCTION("""COMPUTED_VALUE"""),"AUTORIZADO")</f>
        <v>AUTORIZADO</v>
      </c>
      <c r="M103" s="15" t="str">
        <f>IFERROR(__xludf.DUMMYFUNCTION("""COMPUTED_VALUE"""),"NA ORIGEM")</f>
        <v>NA ORIGEM</v>
      </c>
      <c r="N103" s="15" t="str">
        <f>IFERROR(__xludf.DUMMYFUNCTION("""COMPUTED_VALUE"""),"Antes Prazo")</f>
        <v>Antes Prazo</v>
      </c>
      <c r="O103" s="15" t="str">
        <f>IFERROR(__xludf.DUMMYFUNCTION("""COMPUTED_VALUE"""),"B2B")</f>
        <v>B2B</v>
      </c>
      <c r="P103" s="16">
        <f>IFERROR(__xludf.DUMMYFUNCTION("""COMPUTED_VALUE"""),38.46)</f>
        <v>38.46</v>
      </c>
      <c r="Q103" s="15">
        <f>IFERROR(__xludf.DUMMYFUNCTION("""COMPUTED_VALUE"""),1.0)</f>
        <v>1</v>
      </c>
      <c r="R103" s="15" t="str">
        <f>IFERROR(__xludf.DUMMYFUNCTION("""COMPUTED_VALUE"""),"RODO")</f>
        <v>RODO</v>
      </c>
      <c r="S103" s="15" t="str">
        <f>IFERROR(__xludf.DUMMYFUNCTION("""COMPUTED_VALUE"""),"ITN")</f>
        <v>ITN</v>
      </c>
      <c r="T103" s="15" t="str">
        <f>IFERROR(__xludf.DUMMYFUNCTION("""COMPUTED_VALUE"""),"105")</f>
        <v>105</v>
      </c>
      <c r="U103" s="15" t="str">
        <f>IFERROR(__xludf.DUMMYFUNCTION("""COMPUTED_VALUE"""),"266803324 1305004 8176802 lojas 10 trifil ppr 105")</f>
        <v>266803324 1305004 8176802 lojas 10 trifil ppr 105</v>
      </c>
      <c r="V103" s="15" t="b">
        <f>IFERROR(__xludf.DUMMYFUNCTION("""COMPUTED_VALUE"""),FALSE)</f>
        <v>0</v>
      </c>
    </row>
    <row r="104">
      <c r="A104" s="19">
        <f>IFERROR(__xludf.DUMMYFUNCTION("""COMPUTED_VALUE"""),46304.0)</f>
        <v>46304</v>
      </c>
      <c r="B104" s="19">
        <f>IFERROR(__xludf.DUMMYFUNCTION("""COMPUTED_VALUE"""),46317.0)</f>
        <v>46317</v>
      </c>
      <c r="C104" s="15">
        <f>IFERROR(__xludf.DUMMYFUNCTION("""COMPUTED_VALUE"""),8.0)</f>
        <v>8</v>
      </c>
      <c r="D104" s="15" t="str">
        <f>IFERROR(__xludf.DUMMYFUNCTION("""COMPUTED_VALUE"""),"PPR")</f>
        <v>PPR</v>
      </c>
      <c r="E104" s="15" t="str">
        <f>IFERROR(__xludf.DUMMYFUNCTION("""COMPUTED_VALUE"""),"STILOS MODA INTIMA")</f>
        <v>STILOS MODA INTIMA</v>
      </c>
      <c r="F104" s="15" t="str">
        <f>IFERROR(__xludf.DUMMYFUNCTION("""COMPUTED_VALUE"""),"TRIFIL")</f>
        <v>TRIFIL</v>
      </c>
      <c r="G104" s="15" t="str">
        <f>IFERROR(__xludf.DUMMYFUNCTION("""COMPUTED_VALUE"""),"266803325")</f>
        <v>266803325</v>
      </c>
      <c r="H104" s="15" t="str">
        <f>IFERROR(__xludf.DUMMYFUNCTION("""COMPUTED_VALUE"""),"1305855")</f>
        <v>1305855</v>
      </c>
      <c r="I104" s="15" t="str">
        <f>IFERROR(__xludf.DUMMYFUNCTION("""COMPUTED_VALUE"""),"8176932")</f>
        <v>8176932</v>
      </c>
      <c r="J104" s="15" t="str">
        <f>IFERROR(__xludf.DUMMYFUNCTION("""COMPUTED_VALUE"""),"CIF")</f>
        <v>CIF</v>
      </c>
      <c r="K104" s="15" t="str">
        <f>IFERROR(__xludf.DUMMYFUNCTION("""COMPUTED_VALUE"""),"SAO-1")</f>
        <v>SAO-1</v>
      </c>
      <c r="L104" s="15" t="str">
        <f>IFERROR(__xludf.DUMMYFUNCTION("""COMPUTED_VALUE"""),"AUTORIZADO")</f>
        <v>AUTORIZADO</v>
      </c>
      <c r="M104" s="15" t="str">
        <f>IFERROR(__xludf.DUMMYFUNCTION("""COMPUTED_VALUE"""),"NA ORIGEM")</f>
        <v>NA ORIGEM</v>
      </c>
      <c r="N104" s="15" t="str">
        <f>IFERROR(__xludf.DUMMYFUNCTION("""COMPUTED_VALUE"""),"Antes Prazo")</f>
        <v>Antes Prazo</v>
      </c>
      <c r="O104" s="15" t="str">
        <f>IFERROR(__xludf.DUMMYFUNCTION("""COMPUTED_VALUE"""),"B2B")</f>
        <v>B2B</v>
      </c>
      <c r="P104" s="16">
        <f>IFERROR(__xludf.DUMMYFUNCTION("""COMPUTED_VALUE"""),38.46)</f>
        <v>38.46</v>
      </c>
      <c r="Q104" s="15">
        <f>IFERROR(__xludf.DUMMYFUNCTION("""COMPUTED_VALUE"""),2.0)</f>
        <v>2</v>
      </c>
      <c r="R104" s="15" t="str">
        <f>IFERROR(__xludf.DUMMYFUNCTION("""COMPUTED_VALUE"""),"RODO")</f>
        <v>RODO</v>
      </c>
      <c r="S104" s="15" t="str">
        <f>IFERROR(__xludf.DUMMYFUNCTION("""COMPUTED_VALUE"""),"ITN")</f>
        <v>ITN</v>
      </c>
      <c r="T104" s="15" t="str">
        <f>IFERROR(__xludf.DUMMYFUNCTION("""COMPUTED_VALUE"""),"101")</f>
        <v>101</v>
      </c>
      <c r="U104" s="15" t="str">
        <f>IFERROR(__xludf.DUMMYFUNCTION("""COMPUTED_VALUE"""),"266803325 1305855 8176932 stilos moda intima trifil ppr 101")</f>
        <v>266803325 1305855 8176932 stilos moda intima trifil ppr 101</v>
      </c>
      <c r="V104" s="15" t="b">
        <f>IFERROR(__xludf.DUMMYFUNCTION("""COMPUTED_VALUE"""),FALSE)</f>
        <v>0</v>
      </c>
    </row>
    <row r="105">
      <c r="A105" s="19">
        <f>IFERROR(__xludf.DUMMYFUNCTION("""COMPUTED_VALUE"""),46304.0)</f>
        <v>46304</v>
      </c>
      <c r="B105" s="19">
        <f>IFERROR(__xludf.DUMMYFUNCTION("""COMPUTED_VALUE"""),46322.0)</f>
        <v>46322</v>
      </c>
      <c r="C105" s="15">
        <f>IFERROR(__xludf.DUMMYFUNCTION("""COMPUTED_VALUE"""),11.0)</f>
        <v>11</v>
      </c>
      <c r="D105" s="15" t="str">
        <f>IFERROR(__xludf.DUMMYFUNCTION("""COMPUTED_VALUE"""),"PPR")</f>
        <v>PPR</v>
      </c>
      <c r="E105" s="15" t="str">
        <f>IFERROR(__xludf.DUMMYFUNCTION("""COMPUTED_VALUE"""),"CASA BARREIROS")</f>
        <v>CASA BARREIROS</v>
      </c>
      <c r="F105" s="15" t="str">
        <f>IFERROR(__xludf.DUMMYFUNCTION("""COMPUTED_VALUE"""),"TRIFIL")</f>
        <v>TRIFIL</v>
      </c>
      <c r="G105" s="15" t="str">
        <f>IFERROR(__xludf.DUMMYFUNCTION("""COMPUTED_VALUE"""),"266803326")</f>
        <v>266803326</v>
      </c>
      <c r="H105" s="15" t="str">
        <f>IFERROR(__xludf.DUMMYFUNCTION("""COMPUTED_VALUE"""),"1305669")</f>
        <v>1305669</v>
      </c>
      <c r="I105" s="15" t="str">
        <f>IFERROR(__xludf.DUMMYFUNCTION("""COMPUTED_VALUE"""),"8176845")</f>
        <v>8176845</v>
      </c>
      <c r="J105" s="15" t="str">
        <f>IFERROR(__xludf.DUMMYFUNCTION("""COMPUTED_VALUE"""),"CIF")</f>
        <v>CIF</v>
      </c>
      <c r="K105" s="15" t="str">
        <f>IFERROR(__xludf.DUMMYFUNCTION("""COMPUTED_VALUE"""),"(sem célula)")</f>
        <v>(sem célula)</v>
      </c>
      <c r="L105" s="15" t="str">
        <f>IFERROR(__xludf.DUMMYFUNCTION("""COMPUTED_VALUE"""),"AUTORIZADO")</f>
        <v>AUTORIZADO</v>
      </c>
      <c r="M105" s="15" t="str">
        <f>IFERROR(__xludf.DUMMYFUNCTION("""COMPUTED_VALUE"""),"NA ORIGEM")</f>
        <v>NA ORIGEM</v>
      </c>
      <c r="N105" s="15" t="str">
        <f>IFERROR(__xludf.DUMMYFUNCTION("""COMPUTED_VALUE"""),"Antes Prazo")</f>
        <v>Antes Prazo</v>
      </c>
      <c r="O105" s="15" t="str">
        <f>IFERROR(__xludf.DUMMYFUNCTION("""COMPUTED_VALUE"""),"B2B")</f>
        <v>B2B</v>
      </c>
      <c r="P105" s="16">
        <f>IFERROR(__xludf.DUMMYFUNCTION("""COMPUTED_VALUE"""),38.46)</f>
        <v>38.46</v>
      </c>
      <c r="Q105" s="15">
        <f>IFERROR(__xludf.DUMMYFUNCTION("""COMPUTED_VALUE"""),1.0)</f>
        <v>1</v>
      </c>
      <c r="R105" s="15" t="str">
        <f>IFERROR(__xludf.DUMMYFUNCTION("""COMPUTED_VALUE"""),"RODO")</f>
        <v>RODO</v>
      </c>
      <c r="S105" s="15" t="str">
        <f>IFERROR(__xludf.DUMMYFUNCTION("""COMPUTED_VALUE"""),"ITN")</f>
        <v>ITN</v>
      </c>
      <c r="T105" s="15" t="str">
        <f>IFERROR(__xludf.DUMMYFUNCTION("""COMPUTED_VALUE"""),"110")</f>
        <v>110</v>
      </c>
      <c r="U105" s="15" t="str">
        <f>IFERROR(__xludf.DUMMYFUNCTION("""COMPUTED_VALUE"""),"266803326 1305669 8176845 casa barreiros trifil ppr 110")</f>
        <v>266803326 1305669 8176845 casa barreiros trifil ppr 110</v>
      </c>
      <c r="V105" s="15" t="b">
        <f>IFERROR(__xludf.DUMMYFUNCTION("""COMPUTED_VALUE"""),FALSE)</f>
        <v>0</v>
      </c>
    </row>
    <row r="106">
      <c r="A106" s="19">
        <f>IFERROR(__xludf.DUMMYFUNCTION("""COMPUTED_VALUE"""),46304.0)</f>
        <v>46304</v>
      </c>
      <c r="B106" s="19">
        <f>IFERROR(__xludf.DUMMYFUNCTION("""COMPUTED_VALUE"""),46316.0)</f>
        <v>46316</v>
      </c>
      <c r="C106" s="15">
        <f>IFERROR(__xludf.DUMMYFUNCTION("""COMPUTED_VALUE"""),7.0)</f>
        <v>7</v>
      </c>
      <c r="D106" s="15" t="str">
        <f>IFERROR(__xludf.DUMMYFUNCTION("""COMPUTED_VALUE"""),"GRU")</f>
        <v>GRU</v>
      </c>
      <c r="E106" s="15" t="str">
        <f>IFERROR(__xludf.DUMMYFUNCTION("""COMPUTED_VALUE"""),"NEVES COMERCIO DE VESTUARIO EIRELI")</f>
        <v>NEVES COMERCIO DE VESTUARIO EIRELI</v>
      </c>
      <c r="F106" s="15" t="str">
        <f>IFERROR(__xludf.DUMMYFUNCTION("""COMPUTED_VALUE"""),"TRIFIL")</f>
        <v>TRIFIL</v>
      </c>
      <c r="G106" s="15" t="str">
        <f>IFERROR(__xludf.DUMMYFUNCTION("""COMPUTED_VALUE"""),"266803328")</f>
        <v>266803328</v>
      </c>
      <c r="H106" s="15" t="str">
        <f>IFERROR(__xludf.DUMMYFUNCTION("""COMPUTED_VALUE"""),"1305626")</f>
        <v>1305626</v>
      </c>
      <c r="I106" s="15" t="str">
        <f>IFERROR(__xludf.DUMMYFUNCTION("""COMPUTED_VALUE"""),"8176846")</f>
        <v>8176846</v>
      </c>
      <c r="J106" s="15" t="str">
        <f>IFERROR(__xludf.DUMMYFUNCTION("""COMPUTED_VALUE"""),"CIF")</f>
        <v>CIF</v>
      </c>
      <c r="K106" s="15" t="str">
        <f>IFERROR(__xludf.DUMMYFUNCTION("""COMPUTED_VALUE"""),"FSA-1")</f>
        <v>FSA-1</v>
      </c>
      <c r="L106" s="15" t="str">
        <f>IFERROR(__xludf.DUMMYFUNCTION("""COMPUTED_VALUE"""),"AUTORIZADO")</f>
        <v>AUTORIZADO</v>
      </c>
      <c r="M106" s="15" t="str">
        <f>IFERROR(__xludf.DUMMYFUNCTION("""COMPUTED_VALUE"""),"NA ORIGEM")</f>
        <v>NA ORIGEM</v>
      </c>
      <c r="N106" s="15" t="str">
        <f>IFERROR(__xludf.DUMMYFUNCTION("""COMPUTED_VALUE"""),"Antes Prazo")</f>
        <v>Antes Prazo</v>
      </c>
      <c r="O106" s="15" t="str">
        <f>IFERROR(__xludf.DUMMYFUNCTION("""COMPUTED_VALUE"""),"B2B")</f>
        <v>B2B</v>
      </c>
      <c r="P106" s="16">
        <f>IFERROR(__xludf.DUMMYFUNCTION("""COMPUTED_VALUE"""),45.49)</f>
        <v>45.49</v>
      </c>
      <c r="Q106" s="15">
        <f>IFERROR(__xludf.DUMMYFUNCTION("""COMPUTED_VALUE"""),1.0)</f>
        <v>1</v>
      </c>
      <c r="R106" s="15" t="str">
        <f>IFERROR(__xludf.DUMMYFUNCTION("""COMPUTED_VALUE"""),"RODO")</f>
        <v>RODO</v>
      </c>
      <c r="S106" s="15" t="str">
        <f>IFERROR(__xludf.DUMMYFUNCTION("""COMPUTED_VALUE"""),"ITN")</f>
        <v>ITN</v>
      </c>
      <c r="T106" s="15" t="str">
        <f>IFERROR(__xludf.DUMMYFUNCTION("""COMPUTED_VALUE"""),"2201")</f>
        <v>2201</v>
      </c>
      <c r="U106" s="15" t="str">
        <f>IFERROR(__xludf.DUMMYFUNCTION("""COMPUTED_VALUE"""),"266803328 1305626 8176846 neves comercio de vestuario eireli trifil gru 2201")</f>
        <v>266803328 1305626 8176846 neves comercio de vestuario eireli trifil gru 2201</v>
      </c>
      <c r="V106" s="15" t="b">
        <f>IFERROR(__xludf.DUMMYFUNCTION("""COMPUTED_VALUE"""),FALSE)</f>
        <v>0</v>
      </c>
    </row>
    <row r="107">
      <c r="A107" s="19">
        <f>IFERROR(__xludf.DUMMYFUNCTION("""COMPUTED_VALUE"""),46304.0)</f>
        <v>46304</v>
      </c>
      <c r="B107" s="19">
        <f>IFERROR(__xludf.DUMMYFUNCTION("""COMPUTED_VALUE"""),46316.0)</f>
        <v>46316</v>
      </c>
      <c r="C107" s="15">
        <f>IFERROR(__xludf.DUMMYFUNCTION("""COMPUTED_VALUE"""),7.0)</f>
        <v>7</v>
      </c>
      <c r="D107" s="15" t="str">
        <f>IFERROR(__xludf.DUMMYFUNCTION("""COMPUTED_VALUE"""),"RIO")</f>
        <v>RIO</v>
      </c>
      <c r="E107" s="15" t="str">
        <f>IFERROR(__xludf.DUMMYFUNCTION("""COMPUTED_VALUE"""),"LUPO- SHOPPING BOULEVARD")</f>
        <v>LUPO- SHOPPING BOULEVARD</v>
      </c>
      <c r="F107" s="15" t="str">
        <f>IFERROR(__xludf.DUMMYFUNCTION("""COMPUTED_VALUE"""),"TRIFIL")</f>
        <v>TRIFIL</v>
      </c>
      <c r="G107" s="15" t="str">
        <f>IFERROR(__xludf.DUMMYFUNCTION("""COMPUTED_VALUE"""),"266803329")</f>
        <v>266803329</v>
      </c>
      <c r="H107" s="15" t="str">
        <f>IFERROR(__xludf.DUMMYFUNCTION("""COMPUTED_VALUE"""),"1305192")</f>
        <v>1305192</v>
      </c>
      <c r="I107" s="15" t="str">
        <f>IFERROR(__xludf.DUMMYFUNCTION("""COMPUTED_VALUE"""),"8177023")</f>
        <v>8177023</v>
      </c>
      <c r="J107" s="15" t="str">
        <f>IFERROR(__xludf.DUMMYFUNCTION("""COMPUTED_VALUE"""),"CIF")</f>
        <v>CIF</v>
      </c>
      <c r="K107" s="15" t="str">
        <f>IFERROR(__xludf.DUMMYFUNCTION("""COMPUTED_VALUE"""),"(sem célula)")</f>
        <v>(sem célula)</v>
      </c>
      <c r="L107" s="15" t="str">
        <f>IFERROR(__xludf.DUMMYFUNCTION("""COMPUTED_VALUE"""),"AUTORIZADO")</f>
        <v>AUTORIZADO</v>
      </c>
      <c r="M107" s="15" t="str">
        <f>IFERROR(__xludf.DUMMYFUNCTION("""COMPUTED_VALUE"""),"NA ORIGEM")</f>
        <v>NA ORIGEM</v>
      </c>
      <c r="N107" s="15" t="str">
        <f>IFERROR(__xludf.DUMMYFUNCTION("""COMPUTED_VALUE"""),"Antes Prazo")</f>
        <v>Antes Prazo</v>
      </c>
      <c r="O107" s="15" t="str">
        <f>IFERROR(__xludf.DUMMYFUNCTION("""COMPUTED_VALUE"""),"B2B")</f>
        <v>B2B</v>
      </c>
      <c r="P107" s="16">
        <f>IFERROR(__xludf.DUMMYFUNCTION("""COMPUTED_VALUE"""),67.87)</f>
        <v>67.87</v>
      </c>
      <c r="Q107" s="15">
        <f>IFERROR(__xludf.DUMMYFUNCTION("""COMPUTED_VALUE"""),1.0)</f>
        <v>1</v>
      </c>
      <c r="R107" s="15" t="str">
        <f>IFERROR(__xludf.DUMMYFUNCTION("""COMPUTED_VALUE"""),"RODO")</f>
        <v>RODO</v>
      </c>
      <c r="S107" s="15" t="str">
        <f>IFERROR(__xludf.DUMMYFUNCTION("""COMPUTED_VALUE"""),"ITN")</f>
        <v>ITN</v>
      </c>
      <c r="T107" s="15" t="str">
        <f>IFERROR(__xludf.DUMMYFUNCTION("""COMPUTED_VALUE"""),"23")</f>
        <v>23</v>
      </c>
      <c r="U107" s="15" t="str">
        <f>IFERROR(__xludf.DUMMYFUNCTION("""COMPUTED_VALUE"""),"266803329 1305192 8177023 lupo- shopping boulevard trifil rio 23")</f>
        <v>266803329 1305192 8177023 lupo- shopping boulevard trifil rio 23</v>
      </c>
      <c r="V107" s="15" t="b">
        <f>IFERROR(__xludf.DUMMYFUNCTION("""COMPUTED_VALUE"""),FALSE)</f>
        <v>0</v>
      </c>
    </row>
    <row r="108">
      <c r="A108" s="19">
        <f>IFERROR(__xludf.DUMMYFUNCTION("""COMPUTED_VALUE"""),46304.0)</f>
        <v>46304</v>
      </c>
      <c r="B108" s="19">
        <f>IFERROR(__xludf.DUMMYFUNCTION("""COMPUTED_VALUE"""),46316.0)</f>
        <v>46316</v>
      </c>
      <c r="C108" s="15">
        <f>IFERROR(__xludf.DUMMYFUNCTION("""COMPUTED_VALUE"""),7.0)</f>
        <v>7</v>
      </c>
      <c r="D108" s="15" t="str">
        <f>IFERROR(__xludf.DUMMYFUNCTION("""COMPUTED_VALUE"""),"RIO")</f>
        <v>RIO</v>
      </c>
      <c r="E108" s="15" t="str">
        <f>IFERROR(__xludf.DUMMYFUNCTION("""COMPUTED_VALUE"""),"LUPO - SHOPPING MADUREIRA")</f>
        <v>LUPO - SHOPPING MADUREIRA</v>
      </c>
      <c r="F108" s="15" t="str">
        <f>IFERROR(__xludf.DUMMYFUNCTION("""COMPUTED_VALUE"""),"TRIFIL")</f>
        <v>TRIFIL</v>
      </c>
      <c r="G108" s="15" t="str">
        <f>IFERROR(__xludf.DUMMYFUNCTION("""COMPUTED_VALUE"""),"266803330")</f>
        <v>266803330</v>
      </c>
      <c r="H108" s="15" t="str">
        <f>IFERROR(__xludf.DUMMYFUNCTION("""COMPUTED_VALUE"""),"1305724")</f>
        <v>1305724</v>
      </c>
      <c r="I108" s="15" t="str">
        <f>IFERROR(__xludf.DUMMYFUNCTION("""COMPUTED_VALUE"""),"8176970")</f>
        <v>8176970</v>
      </c>
      <c r="J108" s="15" t="str">
        <f>IFERROR(__xludf.DUMMYFUNCTION("""COMPUTED_VALUE"""),"CIF")</f>
        <v>CIF</v>
      </c>
      <c r="K108" s="15" t="str">
        <f>IFERROR(__xludf.DUMMYFUNCTION("""COMPUTED_VALUE"""),"(sem célula)")</f>
        <v>(sem célula)</v>
      </c>
      <c r="L108" s="15" t="str">
        <f>IFERROR(__xludf.DUMMYFUNCTION("""COMPUTED_VALUE"""),"AUTORIZADO")</f>
        <v>AUTORIZADO</v>
      </c>
      <c r="M108" s="15" t="str">
        <f>IFERROR(__xludf.DUMMYFUNCTION("""COMPUTED_VALUE"""),"NA ORIGEM")</f>
        <v>NA ORIGEM</v>
      </c>
      <c r="N108" s="15" t="str">
        <f>IFERROR(__xludf.DUMMYFUNCTION("""COMPUTED_VALUE"""),"Antes Prazo")</f>
        <v>Antes Prazo</v>
      </c>
      <c r="O108" s="15" t="str">
        <f>IFERROR(__xludf.DUMMYFUNCTION("""COMPUTED_VALUE"""),"B2B")</f>
        <v>B2B</v>
      </c>
      <c r="P108" s="16">
        <f>IFERROR(__xludf.DUMMYFUNCTION("""COMPUTED_VALUE"""),68.58)</f>
        <v>68.58</v>
      </c>
      <c r="Q108" s="15">
        <f>IFERROR(__xludf.DUMMYFUNCTION("""COMPUTED_VALUE"""),1.0)</f>
        <v>1</v>
      </c>
      <c r="R108" s="15" t="str">
        <f>IFERROR(__xludf.DUMMYFUNCTION("""COMPUTED_VALUE"""),"RODO")</f>
        <v>RODO</v>
      </c>
      <c r="S108" s="15" t="str">
        <f>IFERROR(__xludf.DUMMYFUNCTION("""COMPUTED_VALUE"""),"ITN")</f>
        <v>ITN</v>
      </c>
      <c r="T108" s="15" t="str">
        <f>IFERROR(__xludf.DUMMYFUNCTION("""COMPUTED_VALUE"""),"37")</f>
        <v>37</v>
      </c>
      <c r="U108" s="15" t="str">
        <f>IFERROR(__xludf.DUMMYFUNCTION("""COMPUTED_VALUE"""),"266803330 1305724 8176970 lupo - shopping madureira trifil rio 37")</f>
        <v>266803330 1305724 8176970 lupo - shopping madureira trifil rio 37</v>
      </c>
      <c r="V108" s="15" t="b">
        <f>IFERROR(__xludf.DUMMYFUNCTION("""COMPUTED_VALUE"""),FALSE)</f>
        <v>0</v>
      </c>
    </row>
    <row r="109">
      <c r="A109" s="19">
        <f>IFERROR(__xludf.DUMMYFUNCTION("""COMPUTED_VALUE"""),46304.0)</f>
        <v>46304</v>
      </c>
      <c r="B109" s="19">
        <f>IFERROR(__xludf.DUMMYFUNCTION("""COMPUTED_VALUE"""),46316.0)</f>
        <v>46316</v>
      </c>
      <c r="C109" s="15">
        <f>IFERROR(__xludf.DUMMYFUNCTION("""COMPUTED_VALUE"""),7.0)</f>
        <v>7</v>
      </c>
      <c r="D109" s="15" t="str">
        <f>IFERROR(__xludf.DUMMYFUNCTION("""COMPUTED_VALUE"""),"RIO")</f>
        <v>RIO</v>
      </c>
      <c r="E109" s="15" t="str">
        <f>IFERROR(__xludf.DUMMYFUNCTION("""COMPUTED_VALUE"""),"SUPERLAR LOJAS DE DEPARTAMENTOS LTDA")</f>
        <v>SUPERLAR LOJAS DE DEPARTAMENTOS LTDA</v>
      </c>
      <c r="F109" s="15" t="str">
        <f>IFERROR(__xludf.DUMMYFUNCTION("""COMPUTED_VALUE"""),"TRIFIL")</f>
        <v>TRIFIL</v>
      </c>
      <c r="G109" s="15" t="str">
        <f>IFERROR(__xludf.DUMMYFUNCTION("""COMPUTED_VALUE"""),"266803331")</f>
        <v>266803331</v>
      </c>
      <c r="H109" s="15" t="str">
        <f>IFERROR(__xludf.DUMMYFUNCTION("""COMPUTED_VALUE"""),"1305789")</f>
        <v>1305789</v>
      </c>
      <c r="I109" s="15" t="str">
        <f>IFERROR(__xludf.DUMMYFUNCTION("""COMPUTED_VALUE"""),"8176933")</f>
        <v>8176933</v>
      </c>
      <c r="J109" s="15" t="str">
        <f>IFERROR(__xludf.DUMMYFUNCTION("""COMPUTED_VALUE"""),"CIF")</f>
        <v>CIF</v>
      </c>
      <c r="K109" s="15" t="str">
        <f>IFERROR(__xludf.DUMMYFUNCTION("""COMPUTED_VALUE"""),"(sem célula)")</f>
        <v>(sem célula)</v>
      </c>
      <c r="L109" s="15" t="str">
        <f>IFERROR(__xludf.DUMMYFUNCTION("""COMPUTED_VALUE"""),"AUTORIZADO")</f>
        <v>AUTORIZADO</v>
      </c>
      <c r="M109" s="15" t="str">
        <f>IFERROR(__xludf.DUMMYFUNCTION("""COMPUTED_VALUE"""),"NA ORIGEM")</f>
        <v>NA ORIGEM</v>
      </c>
      <c r="N109" s="15" t="str">
        <f>IFERROR(__xludf.DUMMYFUNCTION("""COMPUTED_VALUE"""),"Antes Prazo")</f>
        <v>Antes Prazo</v>
      </c>
      <c r="O109" s="15" t="str">
        <f>IFERROR(__xludf.DUMMYFUNCTION("""COMPUTED_VALUE"""),"B2B")</f>
        <v>B2B</v>
      </c>
      <c r="P109" s="16">
        <f>IFERROR(__xludf.DUMMYFUNCTION("""COMPUTED_VALUE"""),114.4)</f>
        <v>114.4</v>
      </c>
      <c r="Q109" s="15">
        <f>IFERROR(__xludf.DUMMYFUNCTION("""COMPUTED_VALUE"""),6.0)</f>
        <v>6</v>
      </c>
      <c r="R109" s="15" t="str">
        <f>IFERROR(__xludf.DUMMYFUNCTION("""COMPUTED_VALUE"""),"RODO")</f>
        <v>RODO</v>
      </c>
      <c r="S109" s="15" t="str">
        <f>IFERROR(__xludf.DUMMYFUNCTION("""COMPUTED_VALUE"""),"ITN")</f>
        <v>ITN</v>
      </c>
      <c r="T109" s="15" t="str">
        <f>IFERROR(__xludf.DUMMYFUNCTION("""COMPUTED_VALUE"""),"90")</f>
        <v>90</v>
      </c>
      <c r="U109" s="15" t="str">
        <f>IFERROR(__xludf.DUMMYFUNCTION("""COMPUTED_VALUE"""),"266803331 1305789 8176933 superlar lojas de departamentos ltda trifil rio 90")</f>
        <v>266803331 1305789 8176933 superlar lojas de departamentos ltda trifil rio 90</v>
      </c>
      <c r="V109" s="15" t="b">
        <f>IFERROR(__xludf.DUMMYFUNCTION("""COMPUTED_VALUE"""),FALSE)</f>
        <v>0</v>
      </c>
    </row>
    <row r="110">
      <c r="A110" s="19">
        <f>IFERROR(__xludf.DUMMYFUNCTION("""COMPUTED_VALUE"""),46304.0)</f>
        <v>46304</v>
      </c>
      <c r="B110" s="19">
        <f>IFERROR(__xludf.DUMMYFUNCTION("""COMPUTED_VALUE"""),46316.0)</f>
        <v>46316</v>
      </c>
      <c r="C110" s="15">
        <f>IFERROR(__xludf.DUMMYFUNCTION("""COMPUTED_VALUE"""),7.0)</f>
        <v>7</v>
      </c>
      <c r="D110" s="15" t="str">
        <f>IFERROR(__xludf.DUMMYFUNCTION("""COMPUTED_VALUE"""),"RIO")</f>
        <v>RIO</v>
      </c>
      <c r="E110" s="15" t="str">
        <f>IFERROR(__xludf.DUMMYFUNCTION("""COMPUTED_VALUE"""),"LUPO BANGU")</f>
        <v>LUPO BANGU</v>
      </c>
      <c r="F110" s="15" t="str">
        <f>IFERROR(__xludf.DUMMYFUNCTION("""COMPUTED_VALUE"""),"TRIFIL")</f>
        <v>TRIFIL</v>
      </c>
      <c r="G110" s="15" t="str">
        <f>IFERROR(__xludf.DUMMYFUNCTION("""COMPUTED_VALUE"""),"266803332")</f>
        <v>266803332</v>
      </c>
      <c r="H110" s="15" t="str">
        <f>IFERROR(__xludf.DUMMYFUNCTION("""COMPUTED_VALUE"""),"1305319")</f>
        <v>1305319</v>
      </c>
      <c r="I110" s="15" t="str">
        <f>IFERROR(__xludf.DUMMYFUNCTION("""COMPUTED_VALUE"""),"8176971")</f>
        <v>8176971</v>
      </c>
      <c r="J110" s="15" t="str">
        <f>IFERROR(__xludf.DUMMYFUNCTION("""COMPUTED_VALUE"""),"CIF")</f>
        <v>CIF</v>
      </c>
      <c r="K110" s="15" t="str">
        <f>IFERROR(__xludf.DUMMYFUNCTION("""COMPUTED_VALUE"""),"(sem célula)")</f>
        <v>(sem célula)</v>
      </c>
      <c r="L110" s="15" t="str">
        <f>IFERROR(__xludf.DUMMYFUNCTION("""COMPUTED_VALUE"""),"AUTORIZADO")</f>
        <v>AUTORIZADO</v>
      </c>
      <c r="M110" s="15" t="str">
        <f>IFERROR(__xludf.DUMMYFUNCTION("""COMPUTED_VALUE"""),"NA ORIGEM")</f>
        <v>NA ORIGEM</v>
      </c>
      <c r="N110" s="15" t="str">
        <f>IFERROR(__xludf.DUMMYFUNCTION("""COMPUTED_VALUE"""),"Antes Prazo")</f>
        <v>Antes Prazo</v>
      </c>
      <c r="O110" s="15" t="str">
        <f>IFERROR(__xludf.DUMMYFUNCTION("""COMPUTED_VALUE"""),"B2B")</f>
        <v>B2B</v>
      </c>
      <c r="P110" s="16">
        <f>IFERROR(__xludf.DUMMYFUNCTION("""COMPUTED_VALUE"""),68.99)</f>
        <v>68.99</v>
      </c>
      <c r="Q110" s="15">
        <f>IFERROR(__xludf.DUMMYFUNCTION("""COMPUTED_VALUE"""),1.0)</f>
        <v>1</v>
      </c>
      <c r="R110" s="15" t="str">
        <f>IFERROR(__xludf.DUMMYFUNCTION("""COMPUTED_VALUE"""),"RODO")</f>
        <v>RODO</v>
      </c>
      <c r="S110" s="15" t="str">
        <f>IFERROR(__xludf.DUMMYFUNCTION("""COMPUTED_VALUE"""),"ITN")</f>
        <v>ITN</v>
      </c>
      <c r="T110" s="15" t="str">
        <f>IFERROR(__xludf.DUMMYFUNCTION("""COMPUTED_VALUE"""),"39")</f>
        <v>39</v>
      </c>
      <c r="U110" s="15" t="str">
        <f>IFERROR(__xludf.DUMMYFUNCTION("""COMPUTED_VALUE"""),"266803332 1305319 8176971 lupo bangu trifil rio 39")</f>
        <v>266803332 1305319 8176971 lupo bangu trifil rio 39</v>
      </c>
      <c r="V110" s="15" t="b">
        <f>IFERROR(__xludf.DUMMYFUNCTION("""COMPUTED_VALUE"""),FALSE)</f>
        <v>0</v>
      </c>
    </row>
    <row r="111">
      <c r="A111" s="19">
        <f>IFERROR(__xludf.DUMMYFUNCTION("""COMPUTED_VALUE"""),46304.0)</f>
        <v>46304</v>
      </c>
      <c r="B111" s="19">
        <f>IFERROR(__xludf.DUMMYFUNCTION("""COMPUTED_VALUE"""),46316.0)</f>
        <v>46316</v>
      </c>
      <c r="C111" s="15">
        <f>IFERROR(__xludf.DUMMYFUNCTION("""COMPUTED_VALUE"""),7.0)</f>
        <v>7</v>
      </c>
      <c r="D111" s="15" t="str">
        <f>IFERROR(__xludf.DUMMYFUNCTION("""COMPUTED_VALUE"""),"RIO")</f>
        <v>RIO</v>
      </c>
      <c r="E111" s="15" t="str">
        <f>IFERROR(__xludf.DUMMYFUNCTION("""COMPUTED_VALUE"""),"CADUVI COMERCIO DE ROUPAS LTDA.")</f>
        <v>CADUVI COMERCIO DE ROUPAS LTDA.</v>
      </c>
      <c r="F111" s="15" t="str">
        <f>IFERROR(__xludf.DUMMYFUNCTION("""COMPUTED_VALUE"""),"TRIFIL")</f>
        <v>TRIFIL</v>
      </c>
      <c r="G111" s="15" t="str">
        <f>IFERROR(__xludf.DUMMYFUNCTION("""COMPUTED_VALUE"""),"266803333")</f>
        <v>266803333</v>
      </c>
      <c r="H111" s="15" t="str">
        <f>IFERROR(__xludf.DUMMYFUNCTION("""COMPUTED_VALUE"""),"1305656")</f>
        <v>1305656</v>
      </c>
      <c r="I111" s="15" t="str">
        <f>IFERROR(__xludf.DUMMYFUNCTION("""COMPUTED_VALUE"""),"8176719")</f>
        <v>8176719</v>
      </c>
      <c r="J111" s="15" t="str">
        <f>IFERROR(__xludf.DUMMYFUNCTION("""COMPUTED_VALUE"""),"CIF")</f>
        <v>CIF</v>
      </c>
      <c r="K111" s="15" t="str">
        <f>IFERROR(__xludf.DUMMYFUNCTION("""COMPUTED_VALUE"""),"(sem célula)")</f>
        <v>(sem célula)</v>
      </c>
      <c r="L111" s="15" t="str">
        <f>IFERROR(__xludf.DUMMYFUNCTION("""COMPUTED_VALUE"""),"AUTORIZADO")</f>
        <v>AUTORIZADO</v>
      </c>
      <c r="M111" s="15" t="str">
        <f>IFERROR(__xludf.DUMMYFUNCTION("""COMPUTED_VALUE"""),"NA ORIGEM")</f>
        <v>NA ORIGEM</v>
      </c>
      <c r="N111" s="15" t="str">
        <f>IFERROR(__xludf.DUMMYFUNCTION("""COMPUTED_VALUE"""),"Antes Prazo")</f>
        <v>Antes Prazo</v>
      </c>
      <c r="O111" s="15" t="str">
        <f>IFERROR(__xludf.DUMMYFUNCTION("""COMPUTED_VALUE"""),"B2B")</f>
        <v>B2B</v>
      </c>
      <c r="P111" s="16">
        <f>IFERROR(__xludf.DUMMYFUNCTION("""COMPUTED_VALUE"""),74.16)</f>
        <v>74.16</v>
      </c>
      <c r="Q111" s="15">
        <f>IFERROR(__xludf.DUMMYFUNCTION("""COMPUTED_VALUE"""),2.0)</f>
        <v>2</v>
      </c>
      <c r="R111" s="15" t="str">
        <f>IFERROR(__xludf.DUMMYFUNCTION("""COMPUTED_VALUE"""),"RODO")</f>
        <v>RODO</v>
      </c>
      <c r="S111" s="15" t="str">
        <f>IFERROR(__xludf.DUMMYFUNCTION("""COMPUTED_VALUE"""),"ITN")</f>
        <v>ITN</v>
      </c>
      <c r="T111" s="15" t="str">
        <f>IFERROR(__xludf.DUMMYFUNCTION("""COMPUTED_VALUE"""),"27")</f>
        <v>27</v>
      </c>
      <c r="U111" s="15" t="str">
        <f>IFERROR(__xludf.DUMMYFUNCTION("""COMPUTED_VALUE"""),"266803333 1305656 8176719 caduvi comercio de roupas ltda. trifil rio 27")</f>
        <v>266803333 1305656 8176719 caduvi comercio de roupas ltda. trifil rio 27</v>
      </c>
      <c r="V111" s="15" t="b">
        <f>IFERROR(__xludf.DUMMYFUNCTION("""COMPUTED_VALUE"""),FALSE)</f>
        <v>0</v>
      </c>
    </row>
    <row r="112">
      <c r="A112" s="19">
        <f>IFERROR(__xludf.DUMMYFUNCTION("""COMPUTED_VALUE"""),46304.0)</f>
        <v>46304</v>
      </c>
      <c r="B112" s="19">
        <f>IFERROR(__xludf.DUMMYFUNCTION("""COMPUTED_VALUE"""),46316.0)</f>
        <v>46316</v>
      </c>
      <c r="C112" s="15">
        <f>IFERROR(__xludf.DUMMYFUNCTION("""COMPUTED_VALUE"""),7.0)</f>
        <v>7</v>
      </c>
      <c r="D112" s="15" t="str">
        <f>IFERROR(__xludf.DUMMYFUNCTION("""COMPUTED_VALUE"""),"RIO")</f>
        <v>RIO</v>
      </c>
      <c r="E112" s="15" t="str">
        <f>IFERROR(__xludf.DUMMYFUNCTION("""COMPUTED_VALUE"""),"M NILZA MODAS LTDA")</f>
        <v>M NILZA MODAS LTDA</v>
      </c>
      <c r="F112" s="15" t="str">
        <f>IFERROR(__xludf.DUMMYFUNCTION("""COMPUTED_VALUE"""),"TRIFIL")</f>
        <v>TRIFIL</v>
      </c>
      <c r="G112" s="15" t="str">
        <f>IFERROR(__xludf.DUMMYFUNCTION("""COMPUTED_VALUE"""),"266803334")</f>
        <v>266803334</v>
      </c>
      <c r="H112" s="15" t="str">
        <f>IFERROR(__xludf.DUMMYFUNCTION("""COMPUTED_VALUE"""),"1305520")</f>
        <v>1305520</v>
      </c>
      <c r="I112" s="15" t="str">
        <f>IFERROR(__xludf.DUMMYFUNCTION("""COMPUTED_VALUE"""),"8176972")</f>
        <v>8176972</v>
      </c>
      <c r="J112" s="15" t="str">
        <f>IFERROR(__xludf.DUMMYFUNCTION("""COMPUTED_VALUE"""),"CIF")</f>
        <v>CIF</v>
      </c>
      <c r="K112" s="15" t="str">
        <f>IFERROR(__xludf.DUMMYFUNCTION("""COMPUTED_VALUE"""),"(sem célula)")</f>
        <v>(sem célula)</v>
      </c>
      <c r="L112" s="15" t="str">
        <f>IFERROR(__xludf.DUMMYFUNCTION("""COMPUTED_VALUE"""),"AUTORIZADO")</f>
        <v>AUTORIZADO</v>
      </c>
      <c r="M112" s="15" t="str">
        <f>IFERROR(__xludf.DUMMYFUNCTION("""COMPUTED_VALUE"""),"NA ORIGEM")</f>
        <v>NA ORIGEM</v>
      </c>
      <c r="N112" s="15" t="str">
        <f>IFERROR(__xludf.DUMMYFUNCTION("""COMPUTED_VALUE"""),"Antes Prazo")</f>
        <v>Antes Prazo</v>
      </c>
      <c r="O112" s="15" t="str">
        <f>IFERROR(__xludf.DUMMYFUNCTION("""COMPUTED_VALUE"""),"B2B")</f>
        <v>B2B</v>
      </c>
      <c r="P112" s="16">
        <f>IFERROR(__xludf.DUMMYFUNCTION("""COMPUTED_VALUE"""),68.06)</f>
        <v>68.06</v>
      </c>
      <c r="Q112" s="15">
        <f>IFERROR(__xludf.DUMMYFUNCTION("""COMPUTED_VALUE"""),1.0)</f>
        <v>1</v>
      </c>
      <c r="R112" s="15" t="str">
        <f>IFERROR(__xludf.DUMMYFUNCTION("""COMPUTED_VALUE"""),"RODO")</f>
        <v>RODO</v>
      </c>
      <c r="S112" s="15" t="str">
        <f>IFERROR(__xludf.DUMMYFUNCTION("""COMPUTED_VALUE"""),"ITN")</f>
        <v>ITN</v>
      </c>
      <c r="T112" s="15" t="str">
        <f>IFERROR(__xludf.DUMMYFUNCTION("""COMPUTED_VALUE"""),"10")</f>
        <v>10</v>
      </c>
      <c r="U112" s="15" t="str">
        <f>IFERROR(__xludf.DUMMYFUNCTION("""COMPUTED_VALUE"""),"266803334 1305520 8176972 m nilza modas ltda trifil rio 10")</f>
        <v>266803334 1305520 8176972 m nilza modas ltda trifil rio 10</v>
      </c>
      <c r="V112" s="15" t="b">
        <f>IFERROR(__xludf.DUMMYFUNCTION("""COMPUTED_VALUE"""),FALSE)</f>
        <v>0</v>
      </c>
    </row>
    <row r="113">
      <c r="A113" s="19">
        <f>IFERROR(__xludf.DUMMYFUNCTION("""COMPUTED_VALUE"""),46304.0)</f>
        <v>46304</v>
      </c>
      <c r="B113" s="19">
        <f>IFERROR(__xludf.DUMMYFUNCTION("""COMPUTED_VALUE"""),46316.0)</f>
        <v>46316</v>
      </c>
      <c r="C113" s="15">
        <f>IFERROR(__xludf.DUMMYFUNCTION("""COMPUTED_VALUE"""),7.0)</f>
        <v>7</v>
      </c>
      <c r="D113" s="15" t="str">
        <f>IFERROR(__xludf.DUMMYFUNCTION("""COMPUTED_VALUE"""),"RIO")</f>
        <v>RIO</v>
      </c>
      <c r="E113" s="15" t="str">
        <f>IFERROR(__xludf.DUMMYFUNCTION("""COMPUTED_VALUE"""),"SUPERLAR LOJAS DE DEPARTAMENTOS LTDA")</f>
        <v>SUPERLAR LOJAS DE DEPARTAMENTOS LTDA</v>
      </c>
      <c r="F113" s="15" t="str">
        <f>IFERROR(__xludf.DUMMYFUNCTION("""COMPUTED_VALUE"""),"TRIFIL")</f>
        <v>TRIFIL</v>
      </c>
      <c r="G113" s="15" t="str">
        <f>IFERROR(__xludf.DUMMYFUNCTION("""COMPUTED_VALUE"""),"266803335")</f>
        <v>266803335</v>
      </c>
      <c r="H113" s="15" t="str">
        <f>IFERROR(__xludf.DUMMYFUNCTION("""COMPUTED_VALUE"""),"1305839")</f>
        <v>1305839</v>
      </c>
      <c r="I113" s="15" t="str">
        <f>IFERROR(__xludf.DUMMYFUNCTION("""COMPUTED_VALUE"""),"8176709")</f>
        <v>8176709</v>
      </c>
      <c r="J113" s="15" t="str">
        <f>IFERROR(__xludf.DUMMYFUNCTION("""COMPUTED_VALUE"""),"CIF")</f>
        <v>CIF</v>
      </c>
      <c r="K113" s="15" t="str">
        <f>IFERROR(__xludf.DUMMYFUNCTION("""COMPUTED_VALUE"""),"(sem célula)")</f>
        <v>(sem célula)</v>
      </c>
      <c r="L113" s="15" t="str">
        <f>IFERROR(__xludf.DUMMYFUNCTION("""COMPUTED_VALUE"""),"AUTORIZADO")</f>
        <v>AUTORIZADO</v>
      </c>
      <c r="M113" s="15" t="str">
        <f>IFERROR(__xludf.DUMMYFUNCTION("""COMPUTED_VALUE"""),"NA ORIGEM")</f>
        <v>NA ORIGEM</v>
      </c>
      <c r="N113" s="15" t="str">
        <f>IFERROR(__xludf.DUMMYFUNCTION("""COMPUTED_VALUE"""),"Antes Prazo")</f>
        <v>Antes Prazo</v>
      </c>
      <c r="O113" s="15" t="str">
        <f>IFERROR(__xludf.DUMMYFUNCTION("""COMPUTED_VALUE"""),"B2B")</f>
        <v>B2B</v>
      </c>
      <c r="P113" s="16">
        <f>IFERROR(__xludf.DUMMYFUNCTION("""COMPUTED_VALUE"""),120.87)</f>
        <v>120.87</v>
      </c>
      <c r="Q113" s="15">
        <f>IFERROR(__xludf.DUMMYFUNCTION("""COMPUTED_VALUE"""),6.0)</f>
        <v>6</v>
      </c>
      <c r="R113" s="15" t="str">
        <f>IFERROR(__xludf.DUMMYFUNCTION("""COMPUTED_VALUE"""),"RODO")</f>
        <v>RODO</v>
      </c>
      <c r="S113" s="15" t="str">
        <f>IFERROR(__xludf.DUMMYFUNCTION("""COMPUTED_VALUE"""),"ITN")</f>
        <v>ITN</v>
      </c>
      <c r="T113" s="15" t="str">
        <f>IFERROR(__xludf.DUMMYFUNCTION("""COMPUTED_VALUE"""),"90")</f>
        <v>90</v>
      </c>
      <c r="U113" s="15" t="str">
        <f>IFERROR(__xludf.DUMMYFUNCTION("""COMPUTED_VALUE"""),"266803335 1305839 8176709 superlar lojas de departamentos ltda trifil rio 90")</f>
        <v>266803335 1305839 8176709 superlar lojas de departamentos ltda trifil rio 90</v>
      </c>
      <c r="V113" s="15" t="b">
        <f>IFERROR(__xludf.DUMMYFUNCTION("""COMPUTED_VALUE"""),FALSE)</f>
        <v>0</v>
      </c>
    </row>
    <row r="114">
      <c r="A114" s="19">
        <f>IFERROR(__xludf.DUMMYFUNCTION("""COMPUTED_VALUE"""),46304.0)</f>
        <v>46304</v>
      </c>
      <c r="B114" s="19">
        <f>IFERROR(__xludf.DUMMYFUNCTION("""COMPUTED_VALUE"""),46317.0)</f>
        <v>46317</v>
      </c>
      <c r="C114" s="15">
        <f>IFERROR(__xludf.DUMMYFUNCTION("""COMPUTED_VALUE"""),8.0)</f>
        <v>8</v>
      </c>
      <c r="D114" s="15" t="str">
        <f>IFERROR(__xludf.DUMMYFUNCTION("""COMPUTED_VALUE"""),"RIO")</f>
        <v>RIO</v>
      </c>
      <c r="E114" s="15" t="str">
        <f>IFERROR(__xludf.DUMMYFUNCTION("""COMPUTED_VALUE"""),"ALZEMIRA DA VEIGA CARDOSO 09696108745")</f>
        <v>ALZEMIRA DA VEIGA CARDOSO 09696108745</v>
      </c>
      <c r="F114" s="15" t="str">
        <f>IFERROR(__xludf.DUMMYFUNCTION("""COMPUTED_VALUE"""),"TRIFIL")</f>
        <v>TRIFIL</v>
      </c>
      <c r="G114" s="15" t="str">
        <f>IFERROR(__xludf.DUMMYFUNCTION("""COMPUTED_VALUE"""),"266803336")</f>
        <v>266803336</v>
      </c>
      <c r="H114" s="15" t="str">
        <f>IFERROR(__xludf.DUMMYFUNCTION("""COMPUTED_VALUE"""),"1305594")</f>
        <v>1305594</v>
      </c>
      <c r="I114" s="15" t="str">
        <f>IFERROR(__xludf.DUMMYFUNCTION("""COMPUTED_VALUE"""),"8176847")</f>
        <v>8176847</v>
      </c>
      <c r="J114" s="15" t="str">
        <f>IFERROR(__xludf.DUMMYFUNCTION("""COMPUTED_VALUE"""),"CIF")</f>
        <v>CIF</v>
      </c>
      <c r="K114" s="15" t="str">
        <f>IFERROR(__xludf.DUMMYFUNCTION("""COMPUTED_VALUE"""),"(sem célula)")</f>
        <v>(sem célula)</v>
      </c>
      <c r="L114" s="15" t="str">
        <f>IFERROR(__xludf.DUMMYFUNCTION("""COMPUTED_VALUE"""),"AUTORIZADO")</f>
        <v>AUTORIZADO</v>
      </c>
      <c r="M114" s="15" t="str">
        <f>IFERROR(__xludf.DUMMYFUNCTION("""COMPUTED_VALUE"""),"NA ORIGEM")</f>
        <v>NA ORIGEM</v>
      </c>
      <c r="N114" s="15" t="str">
        <f>IFERROR(__xludf.DUMMYFUNCTION("""COMPUTED_VALUE"""),"Antes Prazo")</f>
        <v>Antes Prazo</v>
      </c>
      <c r="O114" s="15" t="str">
        <f>IFERROR(__xludf.DUMMYFUNCTION("""COMPUTED_VALUE"""),"B2B")</f>
        <v>B2B</v>
      </c>
      <c r="P114" s="16">
        <f>IFERROR(__xludf.DUMMYFUNCTION("""COMPUTED_VALUE"""),69.43)</f>
        <v>69.43</v>
      </c>
      <c r="Q114" s="15">
        <f>IFERROR(__xludf.DUMMYFUNCTION("""COMPUTED_VALUE"""),1.0)</f>
        <v>1</v>
      </c>
      <c r="R114" s="15" t="str">
        <f>IFERROR(__xludf.DUMMYFUNCTION("""COMPUTED_VALUE"""),"RODO")</f>
        <v>RODO</v>
      </c>
      <c r="S114" s="15" t="str">
        <f>IFERROR(__xludf.DUMMYFUNCTION("""COMPUTED_VALUE"""),"ITN")</f>
        <v>ITN</v>
      </c>
      <c r="T114" s="15" t="str">
        <f>IFERROR(__xludf.DUMMYFUNCTION("""COMPUTED_VALUE"""),"101")</f>
        <v>101</v>
      </c>
      <c r="U114" s="15" t="str">
        <f>IFERROR(__xludf.DUMMYFUNCTION("""COMPUTED_VALUE"""),"266803336 1305594 8176847 alzemira da veiga cardoso 09696108745 trifil rio 101")</f>
        <v>266803336 1305594 8176847 alzemira da veiga cardoso 09696108745 trifil rio 101</v>
      </c>
      <c r="V114" s="15" t="b">
        <f>IFERROR(__xludf.DUMMYFUNCTION("""COMPUTED_VALUE"""),FALSE)</f>
        <v>0</v>
      </c>
    </row>
    <row r="115">
      <c r="A115" s="19">
        <f>IFERROR(__xludf.DUMMYFUNCTION("""COMPUTED_VALUE"""),46304.0)</f>
        <v>46304</v>
      </c>
      <c r="B115" s="19">
        <f>IFERROR(__xludf.DUMMYFUNCTION("""COMPUTED_VALUE"""),46316.0)</f>
        <v>46316</v>
      </c>
      <c r="C115" s="15">
        <f>IFERROR(__xludf.DUMMYFUNCTION("""COMPUTED_VALUE"""),7.0)</f>
        <v>7</v>
      </c>
      <c r="D115" s="15" t="str">
        <f>IFERROR(__xludf.DUMMYFUNCTION("""COMPUTED_VALUE"""),"R3J")</f>
        <v>R3J</v>
      </c>
      <c r="E115" s="15" t="str">
        <f>IFERROR(__xludf.DUMMYFUNCTION("""COMPUTED_VALUE"""),"CADUVIMA COMERCIO DE ROUPAS E ACESSORIOS")</f>
        <v>CADUVIMA COMERCIO DE ROUPAS E ACESSORIOS</v>
      </c>
      <c r="F115" s="15" t="str">
        <f>IFERROR(__xludf.DUMMYFUNCTION("""COMPUTED_VALUE"""),"TRIFIL")</f>
        <v>TRIFIL</v>
      </c>
      <c r="G115" s="15" t="str">
        <f>IFERROR(__xludf.DUMMYFUNCTION("""COMPUTED_VALUE"""),"266803337")</f>
        <v>266803337</v>
      </c>
      <c r="H115" s="15" t="str">
        <f>IFERROR(__xludf.DUMMYFUNCTION("""COMPUTED_VALUE"""),"1305630")</f>
        <v>1305630</v>
      </c>
      <c r="I115" s="15" t="str">
        <f>IFERROR(__xludf.DUMMYFUNCTION("""COMPUTED_VALUE"""),"8176973")</f>
        <v>8176973</v>
      </c>
      <c r="J115" s="15" t="str">
        <f>IFERROR(__xludf.DUMMYFUNCTION("""COMPUTED_VALUE"""),"CIF")</f>
        <v>CIF</v>
      </c>
      <c r="K115" s="15" t="str">
        <f>IFERROR(__xludf.DUMMYFUNCTION("""COMPUTED_VALUE"""),"(sem célula)")</f>
        <v>(sem célula)</v>
      </c>
      <c r="L115" s="15" t="str">
        <f>IFERROR(__xludf.DUMMYFUNCTION("""COMPUTED_VALUE"""),"AUTORIZADO")</f>
        <v>AUTORIZADO</v>
      </c>
      <c r="M115" s="15" t="str">
        <f>IFERROR(__xludf.DUMMYFUNCTION("""COMPUTED_VALUE"""),"NA ORIGEM")</f>
        <v>NA ORIGEM</v>
      </c>
      <c r="N115" s="15" t="str">
        <f>IFERROR(__xludf.DUMMYFUNCTION("""COMPUTED_VALUE"""),"Antes Prazo")</f>
        <v>Antes Prazo</v>
      </c>
      <c r="O115" s="15" t="str">
        <f>IFERROR(__xludf.DUMMYFUNCTION("""COMPUTED_VALUE"""),"B2B")</f>
        <v>B2B</v>
      </c>
      <c r="P115" s="16">
        <f>IFERROR(__xludf.DUMMYFUNCTION("""COMPUTED_VALUE"""),69.65)</f>
        <v>69.65</v>
      </c>
      <c r="Q115" s="15">
        <f>IFERROR(__xludf.DUMMYFUNCTION("""COMPUTED_VALUE"""),1.0)</f>
        <v>1</v>
      </c>
      <c r="R115" s="15" t="str">
        <f>IFERROR(__xludf.DUMMYFUNCTION("""COMPUTED_VALUE"""),"RODO")</f>
        <v>RODO</v>
      </c>
      <c r="S115" s="15" t="str">
        <f>IFERROR(__xludf.DUMMYFUNCTION("""COMPUTED_VALUE"""),"ITN")</f>
        <v>ITN</v>
      </c>
      <c r="T115" s="15" t="str">
        <f>IFERROR(__xludf.DUMMYFUNCTION("""COMPUTED_VALUE"""),"45")</f>
        <v>45</v>
      </c>
      <c r="U115" s="15" t="str">
        <f>IFERROR(__xludf.DUMMYFUNCTION("""COMPUTED_VALUE"""),"266803337 1305630 8176973 caduvima comercio de roupas e acessorios trifil r3j 45")</f>
        <v>266803337 1305630 8176973 caduvima comercio de roupas e acessorios trifil r3j 45</v>
      </c>
      <c r="V115" s="15" t="b">
        <f>IFERROR(__xludf.DUMMYFUNCTION("""COMPUTED_VALUE"""),FALSE)</f>
        <v>0</v>
      </c>
    </row>
    <row r="116">
      <c r="A116" s="19">
        <f>IFERROR(__xludf.DUMMYFUNCTION("""COMPUTED_VALUE"""),46304.0)</f>
        <v>46304</v>
      </c>
      <c r="B116" s="19">
        <f>IFERROR(__xludf.DUMMYFUNCTION("""COMPUTED_VALUE"""),46317.0)</f>
        <v>46317</v>
      </c>
      <c r="C116" s="15">
        <f>IFERROR(__xludf.DUMMYFUNCTION("""COMPUTED_VALUE"""),8.0)</f>
        <v>8</v>
      </c>
      <c r="D116" s="15" t="str">
        <f>IFERROR(__xludf.DUMMYFUNCTION("""COMPUTED_VALUE"""),"R3J")</f>
        <v>R3J</v>
      </c>
      <c r="E116" s="15" t="str">
        <f>IFERROR(__xludf.DUMMYFUNCTION("""COMPUTED_VALUE"""),"LIPO - SHOPPING AMERICO SILVA")</f>
        <v>LIPO - SHOPPING AMERICO SILVA</v>
      </c>
      <c r="F116" s="15" t="str">
        <f>IFERROR(__xludf.DUMMYFUNCTION("""COMPUTED_VALUE"""),"TRIFIL")</f>
        <v>TRIFIL</v>
      </c>
      <c r="G116" s="15" t="str">
        <f>IFERROR(__xludf.DUMMYFUNCTION("""COMPUTED_VALUE"""),"266803338")</f>
        <v>266803338</v>
      </c>
      <c r="H116" s="15" t="str">
        <f>IFERROR(__xludf.DUMMYFUNCTION("""COMPUTED_VALUE"""),"1305546")</f>
        <v>1305546</v>
      </c>
      <c r="I116" s="15" t="str">
        <f>IFERROR(__xludf.DUMMYFUNCTION("""COMPUTED_VALUE"""),"8176934")</f>
        <v>8176934</v>
      </c>
      <c r="J116" s="15" t="str">
        <f>IFERROR(__xludf.DUMMYFUNCTION("""COMPUTED_VALUE"""),"CIF")</f>
        <v>CIF</v>
      </c>
      <c r="K116" s="15" t="str">
        <f>IFERROR(__xludf.DUMMYFUNCTION("""COMPUTED_VALUE"""),"(sem célula)")</f>
        <v>(sem célula)</v>
      </c>
      <c r="L116" s="15" t="str">
        <f>IFERROR(__xludf.DUMMYFUNCTION("""COMPUTED_VALUE"""),"AUTORIZADO")</f>
        <v>AUTORIZADO</v>
      </c>
      <c r="M116" s="15" t="str">
        <f>IFERROR(__xludf.DUMMYFUNCTION("""COMPUTED_VALUE"""),"NA ORIGEM")</f>
        <v>NA ORIGEM</v>
      </c>
      <c r="N116" s="15" t="str">
        <f>IFERROR(__xludf.DUMMYFUNCTION("""COMPUTED_VALUE"""),"Antes Prazo")</f>
        <v>Antes Prazo</v>
      </c>
      <c r="O116" s="15" t="str">
        <f>IFERROR(__xludf.DUMMYFUNCTION("""COMPUTED_VALUE"""),"B2B")</f>
        <v>B2B</v>
      </c>
      <c r="P116" s="16">
        <f>IFERROR(__xludf.DUMMYFUNCTION("""COMPUTED_VALUE"""),83.65)</f>
        <v>83.65</v>
      </c>
      <c r="Q116" s="15">
        <f>IFERROR(__xludf.DUMMYFUNCTION("""COMPUTED_VALUE"""),3.0)</f>
        <v>3</v>
      </c>
      <c r="R116" s="15" t="str">
        <f>IFERROR(__xludf.DUMMYFUNCTION("""COMPUTED_VALUE"""),"RODO")</f>
        <v>RODO</v>
      </c>
      <c r="S116" s="15" t="str">
        <f>IFERROR(__xludf.DUMMYFUNCTION("""COMPUTED_VALUE"""),"ITN")</f>
        <v>ITN</v>
      </c>
      <c r="T116" s="15" t="str">
        <f>IFERROR(__xludf.DUMMYFUNCTION("""COMPUTED_VALUE"""),"1107")</f>
        <v>1107</v>
      </c>
      <c r="U116" s="15" t="str">
        <f>IFERROR(__xludf.DUMMYFUNCTION("""COMPUTED_VALUE"""),"266803338 1305546 8176934 lipo - shopping americo silva trifil r3j 1107")</f>
        <v>266803338 1305546 8176934 lipo - shopping americo silva trifil r3j 1107</v>
      </c>
      <c r="V116" s="15" t="b">
        <f>IFERROR(__xludf.DUMMYFUNCTION("""COMPUTED_VALUE"""),FALSE)</f>
        <v>0</v>
      </c>
    </row>
    <row r="117">
      <c r="A117" s="19">
        <f>IFERROR(__xludf.DUMMYFUNCTION("""COMPUTED_VALUE"""),46304.0)</f>
        <v>46304</v>
      </c>
      <c r="B117" s="19">
        <f>IFERROR(__xludf.DUMMYFUNCTION("""COMPUTED_VALUE"""),46317.0)</f>
        <v>46317</v>
      </c>
      <c r="C117" s="15">
        <f>IFERROR(__xludf.DUMMYFUNCTION("""COMPUTED_VALUE"""),8.0)</f>
        <v>8</v>
      </c>
      <c r="D117" s="15" t="str">
        <f>IFERROR(__xludf.DUMMYFUNCTION("""COMPUTED_VALUE"""),"R3J")</f>
        <v>R3J</v>
      </c>
      <c r="E117" s="15" t="str">
        <f>IFERROR(__xludf.DUMMYFUNCTION("""COMPUTED_VALUE"""),"MEGA VALE JF COSMETICOS LTDA")</f>
        <v>MEGA VALE JF COSMETICOS LTDA</v>
      </c>
      <c r="F117" s="15" t="str">
        <f>IFERROR(__xludf.DUMMYFUNCTION("""COMPUTED_VALUE"""),"TRIFIL")</f>
        <v>TRIFIL</v>
      </c>
      <c r="G117" s="15" t="str">
        <f>IFERROR(__xludf.DUMMYFUNCTION("""COMPUTED_VALUE"""),"266803339")</f>
        <v>266803339</v>
      </c>
      <c r="H117" s="15" t="str">
        <f>IFERROR(__xludf.DUMMYFUNCTION("""COMPUTED_VALUE"""),"1305949")</f>
        <v>1305949</v>
      </c>
      <c r="I117" s="15" t="str">
        <f>IFERROR(__xludf.DUMMYFUNCTION("""COMPUTED_VALUE"""),"8176732")</f>
        <v>8176732</v>
      </c>
      <c r="J117" s="15" t="str">
        <f>IFERROR(__xludf.DUMMYFUNCTION("""COMPUTED_VALUE"""),"CIF")</f>
        <v>CIF</v>
      </c>
      <c r="K117" s="15" t="str">
        <f>IFERROR(__xludf.DUMMYFUNCTION("""COMPUTED_VALUE"""),"(sem célula)")</f>
        <v>(sem célula)</v>
      </c>
      <c r="L117" s="15" t="str">
        <f>IFERROR(__xludf.DUMMYFUNCTION("""COMPUTED_VALUE"""),"AUTORIZADO")</f>
        <v>AUTORIZADO</v>
      </c>
      <c r="M117" s="15" t="str">
        <f>IFERROR(__xludf.DUMMYFUNCTION("""COMPUTED_VALUE"""),"NA ORIGEM")</f>
        <v>NA ORIGEM</v>
      </c>
      <c r="N117" s="15" t="str">
        <f>IFERROR(__xludf.DUMMYFUNCTION("""COMPUTED_VALUE"""),"Antes Prazo")</f>
        <v>Antes Prazo</v>
      </c>
      <c r="O117" s="15" t="str">
        <f>IFERROR(__xludf.DUMMYFUNCTION("""COMPUTED_VALUE"""),"B2B")</f>
        <v>B2B</v>
      </c>
      <c r="P117" s="16">
        <f>IFERROR(__xludf.DUMMYFUNCTION("""COMPUTED_VALUE"""),75.78)</f>
        <v>75.78</v>
      </c>
      <c r="Q117" s="15">
        <f>IFERROR(__xludf.DUMMYFUNCTION("""COMPUTED_VALUE"""),1.0)</f>
        <v>1</v>
      </c>
      <c r="R117" s="15" t="str">
        <f>IFERROR(__xludf.DUMMYFUNCTION("""COMPUTED_VALUE"""),"RODO")</f>
        <v>RODO</v>
      </c>
      <c r="S117" s="15" t="str">
        <f>IFERROR(__xludf.DUMMYFUNCTION("""COMPUTED_VALUE"""),"ITN")</f>
        <v>ITN</v>
      </c>
      <c r="T117" s="15" t="str">
        <f>IFERROR(__xludf.DUMMYFUNCTION("""COMPUTED_VALUE"""),"1107")</f>
        <v>1107</v>
      </c>
      <c r="U117" s="15" t="str">
        <f>IFERROR(__xludf.DUMMYFUNCTION("""COMPUTED_VALUE"""),"266803339 1305949 8176732 mega vale jf cosmeticos ltda trifil r3j 1107")</f>
        <v>266803339 1305949 8176732 mega vale jf cosmeticos ltda trifil r3j 1107</v>
      </c>
      <c r="V117" s="15" t="b">
        <f>IFERROR(__xludf.DUMMYFUNCTION("""COMPUTED_VALUE"""),FALSE)</f>
        <v>0</v>
      </c>
    </row>
    <row r="118">
      <c r="A118" s="19">
        <f>IFERROR(__xludf.DUMMYFUNCTION("""COMPUTED_VALUE"""),46304.0)</f>
        <v>46304</v>
      </c>
      <c r="B118" s="19">
        <f>IFERROR(__xludf.DUMMYFUNCTION("""COMPUTED_VALUE"""),46316.0)</f>
        <v>46316</v>
      </c>
      <c r="C118" s="15">
        <f>IFERROR(__xludf.DUMMYFUNCTION("""COMPUTED_VALUE"""),7.0)</f>
        <v>7</v>
      </c>
      <c r="D118" s="15" t="str">
        <f>IFERROR(__xludf.DUMMYFUNCTION("""COMPUTED_VALUE"""),"RIO")</f>
        <v>RIO</v>
      </c>
      <c r="E118" s="15" t="str">
        <f>IFERROR(__xludf.DUMMYFUNCTION("""COMPUTED_VALUE"""),"JAJA DA VEPLAN ROUPAS LTDA - ME")</f>
        <v>JAJA DA VEPLAN ROUPAS LTDA - ME</v>
      </c>
      <c r="F118" s="15" t="str">
        <f>IFERROR(__xludf.DUMMYFUNCTION("""COMPUTED_VALUE"""),"TRIFIL")</f>
        <v>TRIFIL</v>
      </c>
      <c r="G118" s="15" t="str">
        <f>IFERROR(__xludf.DUMMYFUNCTION("""COMPUTED_VALUE"""),"266803340")</f>
        <v>266803340</v>
      </c>
      <c r="H118" s="15" t="str">
        <f>IFERROR(__xludf.DUMMYFUNCTION("""COMPUTED_VALUE"""),"1305170")</f>
        <v>1305170</v>
      </c>
      <c r="I118" s="15" t="str">
        <f>IFERROR(__xludf.DUMMYFUNCTION("""COMPUTED_VALUE"""),"8177024")</f>
        <v>8177024</v>
      </c>
      <c r="J118" s="15" t="str">
        <f>IFERROR(__xludf.DUMMYFUNCTION("""COMPUTED_VALUE"""),"CIF")</f>
        <v>CIF</v>
      </c>
      <c r="K118" s="15" t="str">
        <f>IFERROR(__xludf.DUMMYFUNCTION("""COMPUTED_VALUE"""),"(sem célula)")</f>
        <v>(sem célula)</v>
      </c>
      <c r="L118" s="15" t="str">
        <f>IFERROR(__xludf.DUMMYFUNCTION("""COMPUTED_VALUE"""),"AUTORIZADO")</f>
        <v>AUTORIZADO</v>
      </c>
      <c r="M118" s="15" t="str">
        <f>IFERROR(__xludf.DUMMYFUNCTION("""COMPUTED_VALUE"""),"NA ORIGEM")</f>
        <v>NA ORIGEM</v>
      </c>
      <c r="N118" s="15" t="str">
        <f>IFERROR(__xludf.DUMMYFUNCTION("""COMPUTED_VALUE"""),"Antes Prazo")</f>
        <v>Antes Prazo</v>
      </c>
      <c r="O118" s="15" t="str">
        <f>IFERROR(__xludf.DUMMYFUNCTION("""COMPUTED_VALUE"""),"B2B")</f>
        <v>B2B</v>
      </c>
      <c r="P118" s="16">
        <f>IFERROR(__xludf.DUMMYFUNCTION("""COMPUTED_VALUE"""),68.58)</f>
        <v>68.58</v>
      </c>
      <c r="Q118" s="15">
        <f>IFERROR(__xludf.DUMMYFUNCTION("""COMPUTED_VALUE"""),1.0)</f>
        <v>1</v>
      </c>
      <c r="R118" s="15" t="str">
        <f>IFERROR(__xludf.DUMMYFUNCTION("""COMPUTED_VALUE"""),"RODO")</f>
        <v>RODO</v>
      </c>
      <c r="S118" s="15" t="str">
        <f>IFERROR(__xludf.DUMMYFUNCTION("""COMPUTED_VALUE"""),"ITN")</f>
        <v>ITN</v>
      </c>
      <c r="T118" s="15" t="str">
        <f>IFERROR(__xludf.DUMMYFUNCTION("""COMPUTED_VALUE"""),"71")</f>
        <v>71</v>
      </c>
      <c r="U118" s="15" t="str">
        <f>IFERROR(__xludf.DUMMYFUNCTION("""COMPUTED_VALUE"""),"266803340 1305170 8177024 jaja da veplan roupas ltda - me trifil rio 71")</f>
        <v>266803340 1305170 8177024 jaja da veplan roupas ltda - me trifil rio 71</v>
      </c>
      <c r="V118" s="15" t="b">
        <f>IFERROR(__xludf.DUMMYFUNCTION("""COMPUTED_VALUE"""),FALSE)</f>
        <v>0</v>
      </c>
    </row>
    <row r="119">
      <c r="A119" s="19">
        <f>IFERROR(__xludf.DUMMYFUNCTION("""COMPUTED_VALUE"""),46304.0)</f>
        <v>46304</v>
      </c>
      <c r="B119" s="19">
        <f>IFERROR(__xludf.DUMMYFUNCTION("""COMPUTED_VALUE"""),46316.0)</f>
        <v>46316</v>
      </c>
      <c r="C119" s="15">
        <f>IFERROR(__xludf.DUMMYFUNCTION("""COMPUTED_VALUE"""),7.0)</f>
        <v>7</v>
      </c>
      <c r="D119" s="15" t="str">
        <f>IFERROR(__xludf.DUMMYFUNCTION("""COMPUTED_VALUE"""),"RIO")</f>
        <v>RIO</v>
      </c>
      <c r="E119" s="15" t="str">
        <f>IFERROR(__xludf.DUMMYFUNCTION("""COMPUTED_VALUE"""),"NOU SHOPPING")</f>
        <v>NOU SHOPPING</v>
      </c>
      <c r="F119" s="15" t="str">
        <f>IFERROR(__xludf.DUMMYFUNCTION("""COMPUTED_VALUE"""),"TRIFIL")</f>
        <v>TRIFIL</v>
      </c>
      <c r="G119" s="15" t="str">
        <f>IFERROR(__xludf.DUMMYFUNCTION("""COMPUTED_VALUE"""),"266803341")</f>
        <v>266803341</v>
      </c>
      <c r="H119" s="15" t="str">
        <f>IFERROR(__xludf.DUMMYFUNCTION("""COMPUTED_VALUE"""),"1305095")</f>
        <v>1305095</v>
      </c>
      <c r="I119" s="15" t="str">
        <f>IFERROR(__xludf.DUMMYFUNCTION("""COMPUTED_VALUE"""),"8176773")</f>
        <v>8176773</v>
      </c>
      <c r="J119" s="15" t="str">
        <f>IFERROR(__xludf.DUMMYFUNCTION("""COMPUTED_VALUE"""),"CIF")</f>
        <v>CIF</v>
      </c>
      <c r="K119" s="15" t="str">
        <f>IFERROR(__xludf.DUMMYFUNCTION("""COMPUTED_VALUE"""),"(sem célula)")</f>
        <v>(sem célula)</v>
      </c>
      <c r="L119" s="15" t="str">
        <f>IFERROR(__xludf.DUMMYFUNCTION("""COMPUTED_VALUE"""),"AUTORIZADO")</f>
        <v>AUTORIZADO</v>
      </c>
      <c r="M119" s="15" t="str">
        <f>IFERROR(__xludf.DUMMYFUNCTION("""COMPUTED_VALUE"""),"NA ORIGEM")</f>
        <v>NA ORIGEM</v>
      </c>
      <c r="N119" s="15" t="str">
        <f>IFERROR(__xludf.DUMMYFUNCTION("""COMPUTED_VALUE"""),"Antes Prazo")</f>
        <v>Antes Prazo</v>
      </c>
      <c r="O119" s="15" t="str">
        <f>IFERROR(__xludf.DUMMYFUNCTION("""COMPUTED_VALUE"""),"B2B")</f>
        <v>B2B</v>
      </c>
      <c r="P119" s="16">
        <f>IFERROR(__xludf.DUMMYFUNCTION("""COMPUTED_VALUE"""),68.88)</f>
        <v>68.88</v>
      </c>
      <c r="Q119" s="15">
        <f>IFERROR(__xludf.DUMMYFUNCTION("""COMPUTED_VALUE"""),1.0)</f>
        <v>1</v>
      </c>
      <c r="R119" s="15" t="str">
        <f>IFERROR(__xludf.DUMMYFUNCTION("""COMPUTED_VALUE"""),"RODO")</f>
        <v>RODO</v>
      </c>
      <c r="S119" s="15" t="str">
        <f>IFERROR(__xludf.DUMMYFUNCTION("""COMPUTED_VALUE"""),"ITN")</f>
        <v>ITN</v>
      </c>
      <c r="T119" s="15" t="str">
        <f>IFERROR(__xludf.DUMMYFUNCTION("""COMPUTED_VALUE"""),"71")</f>
        <v>71</v>
      </c>
      <c r="U119" s="15" t="str">
        <f>IFERROR(__xludf.DUMMYFUNCTION("""COMPUTED_VALUE"""),"266803341 1305095 8176773 nou shopping trifil rio 71")</f>
        <v>266803341 1305095 8176773 nou shopping trifil rio 71</v>
      </c>
      <c r="V119" s="15" t="b">
        <f>IFERROR(__xludf.DUMMYFUNCTION("""COMPUTED_VALUE"""),FALSE)</f>
        <v>0</v>
      </c>
    </row>
    <row r="120">
      <c r="A120" s="19">
        <f>IFERROR(__xludf.DUMMYFUNCTION("""COMPUTED_VALUE"""),46304.0)</f>
        <v>46304</v>
      </c>
      <c r="B120" s="19">
        <f>IFERROR(__xludf.DUMMYFUNCTION("""COMPUTED_VALUE"""),46316.0)</f>
        <v>46316</v>
      </c>
      <c r="C120" s="15">
        <f>IFERROR(__xludf.DUMMYFUNCTION("""COMPUTED_VALUE"""),7.0)</f>
        <v>7</v>
      </c>
      <c r="D120" s="15" t="str">
        <f>IFERROR(__xludf.DUMMYFUNCTION("""COMPUTED_VALUE"""),"SDR")</f>
        <v>SDR</v>
      </c>
      <c r="E120" s="15" t="str">
        <f>IFERROR(__xludf.DUMMYFUNCTION("""COMPUTED_VALUE"""),"DUVIMACA COMERCIO DE ROUPAS E ACESSORIOS")</f>
        <v>DUVIMACA COMERCIO DE ROUPAS E ACESSORIOS</v>
      </c>
      <c r="F120" s="15" t="str">
        <f>IFERROR(__xludf.DUMMYFUNCTION("""COMPUTED_VALUE"""),"TRIFIL")</f>
        <v>TRIFIL</v>
      </c>
      <c r="G120" s="15" t="str">
        <f>IFERROR(__xludf.DUMMYFUNCTION("""COMPUTED_VALUE"""),"266803342")</f>
        <v>266803342</v>
      </c>
      <c r="H120" s="15" t="str">
        <f>IFERROR(__xludf.DUMMYFUNCTION("""COMPUTED_VALUE"""),"1305568")</f>
        <v>1305568</v>
      </c>
      <c r="I120" s="15" t="str">
        <f>IFERROR(__xludf.DUMMYFUNCTION("""COMPUTED_VALUE"""),"8176974")</f>
        <v>8176974</v>
      </c>
      <c r="J120" s="15" t="str">
        <f>IFERROR(__xludf.DUMMYFUNCTION("""COMPUTED_VALUE"""),"CIF")</f>
        <v>CIF</v>
      </c>
      <c r="K120" s="15" t="str">
        <f>IFERROR(__xludf.DUMMYFUNCTION("""COMPUTED_VALUE"""),"(sem célula)")</f>
        <v>(sem célula)</v>
      </c>
      <c r="L120" s="15" t="str">
        <f>IFERROR(__xludf.DUMMYFUNCTION("""COMPUTED_VALUE"""),"AUTORIZADO")</f>
        <v>AUTORIZADO</v>
      </c>
      <c r="M120" s="15" t="str">
        <f>IFERROR(__xludf.DUMMYFUNCTION("""COMPUTED_VALUE"""),"NA ORIGEM")</f>
        <v>NA ORIGEM</v>
      </c>
      <c r="N120" s="15" t="str">
        <f>IFERROR(__xludf.DUMMYFUNCTION("""COMPUTED_VALUE"""),"Antes Prazo")</f>
        <v>Antes Prazo</v>
      </c>
      <c r="O120" s="15" t="str">
        <f>IFERROR(__xludf.DUMMYFUNCTION("""COMPUTED_VALUE"""),"B2B")</f>
        <v>B2B</v>
      </c>
      <c r="P120" s="16">
        <f>IFERROR(__xludf.DUMMYFUNCTION("""COMPUTED_VALUE"""),58.93)</f>
        <v>58.93</v>
      </c>
      <c r="Q120" s="15">
        <f>IFERROR(__xludf.DUMMYFUNCTION("""COMPUTED_VALUE"""),1.0)</f>
        <v>1</v>
      </c>
      <c r="R120" s="15" t="str">
        <f>IFERROR(__xludf.DUMMYFUNCTION("""COMPUTED_VALUE"""),"RODO")</f>
        <v>RODO</v>
      </c>
      <c r="S120" s="15" t="str">
        <f>IFERROR(__xludf.DUMMYFUNCTION("""COMPUTED_VALUE"""),"ITN")</f>
        <v>ITN</v>
      </c>
      <c r="T120" s="15" t="str">
        <f>IFERROR(__xludf.DUMMYFUNCTION("""COMPUTED_VALUE"""),"101")</f>
        <v>101</v>
      </c>
      <c r="U120" s="15" t="str">
        <f>IFERROR(__xludf.DUMMYFUNCTION("""COMPUTED_VALUE"""),"266803342 1305568 8176974 duvimaca comercio de roupas e acessorios trifil sdr 101")</f>
        <v>266803342 1305568 8176974 duvimaca comercio de roupas e acessorios trifil sdr 101</v>
      </c>
      <c r="V120" s="15" t="b">
        <f>IFERROR(__xludf.DUMMYFUNCTION("""COMPUTED_VALUE"""),FALSE)</f>
        <v>0</v>
      </c>
    </row>
    <row r="121">
      <c r="A121" s="19">
        <f>IFERROR(__xludf.DUMMYFUNCTION("""COMPUTED_VALUE"""),46304.0)</f>
        <v>46304</v>
      </c>
      <c r="B121" s="19">
        <f>IFERROR(__xludf.DUMMYFUNCTION("""COMPUTED_VALUE"""),46316.0)</f>
        <v>46316</v>
      </c>
      <c r="C121" s="15">
        <f>IFERROR(__xludf.DUMMYFUNCTION("""COMPUTED_VALUE"""),7.0)</f>
        <v>7</v>
      </c>
      <c r="D121" s="15" t="str">
        <f>IFERROR(__xludf.DUMMYFUNCTION("""COMPUTED_VALUE"""),"SDR")</f>
        <v>SDR</v>
      </c>
      <c r="E121" s="15" t="str">
        <f>IFERROR(__xludf.DUMMYFUNCTION("""COMPUTED_VALUE"""),"CATIA BATISTA SILVA")</f>
        <v>CATIA BATISTA SILVA</v>
      </c>
      <c r="F121" s="15" t="str">
        <f>IFERROR(__xludf.DUMMYFUNCTION("""COMPUTED_VALUE"""),"TRIFIL")</f>
        <v>TRIFIL</v>
      </c>
      <c r="G121" s="15" t="str">
        <f>IFERROR(__xludf.DUMMYFUNCTION("""COMPUTED_VALUE"""),"266803343")</f>
        <v>266803343</v>
      </c>
      <c r="H121" s="15" t="str">
        <f>IFERROR(__xludf.DUMMYFUNCTION("""COMPUTED_VALUE"""),"1305699")</f>
        <v>1305699</v>
      </c>
      <c r="I121" s="15" t="str">
        <f>IFERROR(__xludf.DUMMYFUNCTION("""COMPUTED_VALUE"""),"8176874")</f>
        <v>8176874</v>
      </c>
      <c r="J121" s="15" t="str">
        <f>IFERROR(__xludf.DUMMYFUNCTION("""COMPUTED_VALUE"""),"CIF")</f>
        <v>CIF</v>
      </c>
      <c r="K121" s="15" t="str">
        <f>IFERROR(__xludf.DUMMYFUNCTION("""COMPUTED_VALUE"""),"(sem célula)")</f>
        <v>(sem célula)</v>
      </c>
      <c r="L121" s="15" t="str">
        <f>IFERROR(__xludf.DUMMYFUNCTION("""COMPUTED_VALUE"""),"AUTORIZADO")</f>
        <v>AUTORIZADO</v>
      </c>
      <c r="M121" s="15" t="str">
        <f>IFERROR(__xludf.DUMMYFUNCTION("""COMPUTED_VALUE"""),"NA ORIGEM")</f>
        <v>NA ORIGEM</v>
      </c>
      <c r="N121" s="15" t="str">
        <f>IFERROR(__xludf.DUMMYFUNCTION("""COMPUTED_VALUE"""),"Antes Prazo")</f>
        <v>Antes Prazo</v>
      </c>
      <c r="O121" s="15" t="str">
        <f>IFERROR(__xludf.DUMMYFUNCTION("""COMPUTED_VALUE"""),"B2B")</f>
        <v>B2B</v>
      </c>
      <c r="P121" s="16">
        <f>IFERROR(__xludf.DUMMYFUNCTION("""COMPUTED_VALUE"""),58.93)</f>
        <v>58.93</v>
      </c>
      <c r="Q121" s="15">
        <f>IFERROR(__xludf.DUMMYFUNCTION("""COMPUTED_VALUE"""),1.0)</f>
        <v>1</v>
      </c>
      <c r="R121" s="15" t="str">
        <f>IFERROR(__xludf.DUMMYFUNCTION("""COMPUTED_VALUE"""),"RODO")</f>
        <v>RODO</v>
      </c>
      <c r="S121" s="15" t="str">
        <f>IFERROR(__xludf.DUMMYFUNCTION("""COMPUTED_VALUE"""),"ITN")</f>
        <v>ITN</v>
      </c>
      <c r="T121" s="15" t="str">
        <f>IFERROR(__xludf.DUMMYFUNCTION("""COMPUTED_VALUE"""),"103")</f>
        <v>103</v>
      </c>
      <c r="U121" s="15" t="str">
        <f>IFERROR(__xludf.DUMMYFUNCTION("""COMPUTED_VALUE"""),"266803343 1305699 8176874 catia batista silva trifil sdr 103")</f>
        <v>266803343 1305699 8176874 catia batista silva trifil sdr 103</v>
      </c>
      <c r="V121" s="15" t="b">
        <f>IFERROR(__xludf.DUMMYFUNCTION("""COMPUTED_VALUE"""),FALSE)</f>
        <v>0</v>
      </c>
    </row>
    <row r="122">
      <c r="A122" s="19">
        <f>IFERROR(__xludf.DUMMYFUNCTION("""COMPUTED_VALUE"""),46304.0)</f>
        <v>46304</v>
      </c>
      <c r="B122" s="19">
        <f>IFERROR(__xludf.DUMMYFUNCTION("""COMPUTED_VALUE"""),46316.0)</f>
        <v>46316</v>
      </c>
      <c r="C122" s="15">
        <f>IFERROR(__xludf.DUMMYFUNCTION("""COMPUTED_VALUE"""),7.0)</f>
        <v>7</v>
      </c>
      <c r="D122" s="15" t="str">
        <f>IFERROR(__xludf.DUMMYFUNCTION("""COMPUTED_VALUE"""),"SDR")</f>
        <v>SDR</v>
      </c>
      <c r="E122" s="15" t="str">
        <f>IFERROR(__xludf.DUMMYFUNCTION("""COMPUTED_VALUE"""),"715 MODAS")</f>
        <v>715 MODAS</v>
      </c>
      <c r="F122" s="15" t="str">
        <f>IFERROR(__xludf.DUMMYFUNCTION("""COMPUTED_VALUE"""),"TRIFIL")</f>
        <v>TRIFIL</v>
      </c>
      <c r="G122" s="15" t="str">
        <f>IFERROR(__xludf.DUMMYFUNCTION("""COMPUTED_VALUE"""),"266803344")</f>
        <v>266803344</v>
      </c>
      <c r="H122" s="15" t="str">
        <f>IFERROR(__xludf.DUMMYFUNCTION("""COMPUTED_VALUE"""),"1305313")</f>
        <v>1305313</v>
      </c>
      <c r="I122" s="15" t="str">
        <f>IFERROR(__xludf.DUMMYFUNCTION("""COMPUTED_VALUE"""),"8176803")</f>
        <v>8176803</v>
      </c>
      <c r="J122" s="15" t="str">
        <f>IFERROR(__xludf.DUMMYFUNCTION("""COMPUTED_VALUE"""),"CIF")</f>
        <v>CIF</v>
      </c>
      <c r="K122" s="15" t="str">
        <f>IFERROR(__xludf.DUMMYFUNCTION("""COMPUTED_VALUE"""),"(sem célula)")</f>
        <v>(sem célula)</v>
      </c>
      <c r="L122" s="15" t="str">
        <f>IFERROR(__xludf.DUMMYFUNCTION("""COMPUTED_VALUE"""),"AUTORIZADO")</f>
        <v>AUTORIZADO</v>
      </c>
      <c r="M122" s="15" t="str">
        <f>IFERROR(__xludf.DUMMYFUNCTION("""COMPUTED_VALUE"""),"NA ORIGEM")</f>
        <v>NA ORIGEM</v>
      </c>
      <c r="N122" s="15" t="str">
        <f>IFERROR(__xludf.DUMMYFUNCTION("""COMPUTED_VALUE"""),"Antes Prazo")</f>
        <v>Antes Prazo</v>
      </c>
      <c r="O122" s="15" t="str">
        <f>IFERROR(__xludf.DUMMYFUNCTION("""COMPUTED_VALUE"""),"B2B")</f>
        <v>B2B</v>
      </c>
      <c r="P122" s="16">
        <f>IFERROR(__xludf.DUMMYFUNCTION("""COMPUTED_VALUE"""),58.93)</f>
        <v>58.93</v>
      </c>
      <c r="Q122" s="15">
        <f>IFERROR(__xludf.DUMMYFUNCTION("""COMPUTED_VALUE"""),1.0)</f>
        <v>1</v>
      </c>
      <c r="R122" s="15" t="str">
        <f>IFERROR(__xludf.DUMMYFUNCTION("""COMPUTED_VALUE"""),"RODO")</f>
        <v>RODO</v>
      </c>
      <c r="S122" s="15" t="str">
        <f>IFERROR(__xludf.DUMMYFUNCTION("""COMPUTED_VALUE"""),"ITN")</f>
        <v>ITN</v>
      </c>
      <c r="T122" s="15" t="str">
        <f>IFERROR(__xludf.DUMMYFUNCTION("""COMPUTED_VALUE"""),"107")</f>
        <v>107</v>
      </c>
      <c r="U122" s="15" t="str">
        <f>IFERROR(__xludf.DUMMYFUNCTION("""COMPUTED_VALUE"""),"266803344 1305313 8176803 715 modas trifil sdr 107")</f>
        <v>266803344 1305313 8176803 715 modas trifil sdr 107</v>
      </c>
      <c r="V122" s="15" t="b">
        <f>IFERROR(__xludf.DUMMYFUNCTION("""COMPUTED_VALUE"""),FALSE)</f>
        <v>0</v>
      </c>
    </row>
    <row r="123">
      <c r="A123" s="19">
        <f>IFERROR(__xludf.DUMMYFUNCTION("""COMPUTED_VALUE"""),46304.0)</f>
        <v>46304</v>
      </c>
      <c r="B123" s="19">
        <f>IFERROR(__xludf.DUMMYFUNCTION("""COMPUTED_VALUE"""),46316.0)</f>
        <v>46316</v>
      </c>
      <c r="C123" s="15">
        <f>IFERROR(__xludf.DUMMYFUNCTION("""COMPUTED_VALUE"""),7.0)</f>
        <v>7</v>
      </c>
      <c r="D123" s="15" t="str">
        <f>IFERROR(__xludf.DUMMYFUNCTION("""COMPUTED_VALUE"""),"SDR")</f>
        <v>SDR</v>
      </c>
      <c r="E123" s="15" t="str">
        <f>IFERROR(__xludf.DUMMYFUNCTION("""COMPUTED_VALUE"""),"SPORT E CIA")</f>
        <v>SPORT E CIA</v>
      </c>
      <c r="F123" s="15" t="str">
        <f>IFERROR(__xludf.DUMMYFUNCTION("""COMPUTED_VALUE"""),"TRIFIL")</f>
        <v>TRIFIL</v>
      </c>
      <c r="G123" s="15" t="str">
        <f>IFERROR(__xludf.DUMMYFUNCTION("""COMPUTED_VALUE"""),"266803345")</f>
        <v>266803345</v>
      </c>
      <c r="H123" s="15" t="str">
        <f>IFERROR(__xludf.DUMMYFUNCTION("""COMPUTED_VALUE"""),"1305672")</f>
        <v>1305672</v>
      </c>
      <c r="I123" s="15" t="str">
        <f>IFERROR(__xludf.DUMMYFUNCTION("""COMPUTED_VALUE"""),"8176848")</f>
        <v>8176848</v>
      </c>
      <c r="J123" s="15" t="str">
        <f>IFERROR(__xludf.DUMMYFUNCTION("""COMPUTED_VALUE"""),"CIF")</f>
        <v>CIF</v>
      </c>
      <c r="K123" s="15" t="str">
        <f>IFERROR(__xludf.DUMMYFUNCTION("""COMPUTED_VALUE"""),"(sem célula)")</f>
        <v>(sem célula)</v>
      </c>
      <c r="L123" s="15" t="str">
        <f>IFERROR(__xludf.DUMMYFUNCTION("""COMPUTED_VALUE"""),"AUTORIZADO")</f>
        <v>AUTORIZADO</v>
      </c>
      <c r="M123" s="15" t="str">
        <f>IFERROR(__xludf.DUMMYFUNCTION("""COMPUTED_VALUE"""),"NA ORIGEM")</f>
        <v>NA ORIGEM</v>
      </c>
      <c r="N123" s="15" t="str">
        <f>IFERROR(__xludf.DUMMYFUNCTION("""COMPUTED_VALUE"""),"Antes Prazo")</f>
        <v>Antes Prazo</v>
      </c>
      <c r="O123" s="15" t="str">
        <f>IFERROR(__xludf.DUMMYFUNCTION("""COMPUTED_VALUE"""),"B2B")</f>
        <v>B2B</v>
      </c>
      <c r="P123" s="16">
        <f>IFERROR(__xludf.DUMMYFUNCTION("""COMPUTED_VALUE"""),58.93)</f>
        <v>58.93</v>
      </c>
      <c r="Q123" s="15">
        <f>IFERROR(__xludf.DUMMYFUNCTION("""COMPUTED_VALUE"""),1.0)</f>
        <v>1</v>
      </c>
      <c r="R123" s="15" t="str">
        <f>IFERROR(__xludf.DUMMYFUNCTION("""COMPUTED_VALUE"""),"RODO")</f>
        <v>RODO</v>
      </c>
      <c r="S123" s="15" t="str">
        <f>IFERROR(__xludf.DUMMYFUNCTION("""COMPUTED_VALUE"""),"ITN")</f>
        <v>ITN</v>
      </c>
      <c r="T123" s="15" t="str">
        <f>IFERROR(__xludf.DUMMYFUNCTION("""COMPUTED_VALUE"""),"107")</f>
        <v>107</v>
      </c>
      <c r="U123" s="15" t="str">
        <f>IFERROR(__xludf.DUMMYFUNCTION("""COMPUTED_VALUE"""),"266803345 1305672 8176848 sport e cia trifil sdr 107")</f>
        <v>266803345 1305672 8176848 sport e cia trifil sdr 107</v>
      </c>
      <c r="V123" s="15" t="b">
        <f>IFERROR(__xludf.DUMMYFUNCTION("""COMPUTED_VALUE"""),FALSE)</f>
        <v>0</v>
      </c>
    </row>
    <row r="124">
      <c r="A124" s="19">
        <f>IFERROR(__xludf.DUMMYFUNCTION("""COMPUTED_VALUE"""),46304.0)</f>
        <v>46304</v>
      </c>
      <c r="B124" s="19">
        <f>IFERROR(__xludf.DUMMYFUNCTION("""COMPUTED_VALUE"""),46317.0)</f>
        <v>46317</v>
      </c>
      <c r="C124" s="15">
        <f>IFERROR(__xludf.DUMMYFUNCTION("""COMPUTED_VALUE"""),8.0)</f>
        <v>8</v>
      </c>
      <c r="D124" s="15" t="str">
        <f>IFERROR(__xludf.DUMMYFUNCTION("""COMPUTED_VALUE"""),"CAW")</f>
        <v>CAW</v>
      </c>
      <c r="E124" s="15" t="str">
        <f>IFERROR(__xludf.DUMMYFUNCTION("""COMPUTED_VALUE"""),"SAHJA COMERCIO")</f>
        <v>SAHJA COMERCIO</v>
      </c>
      <c r="F124" s="15" t="str">
        <f>IFERROR(__xludf.DUMMYFUNCTION("""COMPUTED_VALUE"""),"TRIFIL")</f>
        <v>TRIFIL</v>
      </c>
      <c r="G124" s="15" t="str">
        <f>IFERROR(__xludf.DUMMYFUNCTION("""COMPUTED_VALUE"""),"266803346")</f>
        <v>266803346</v>
      </c>
      <c r="H124" s="15" t="str">
        <f>IFERROR(__xludf.DUMMYFUNCTION("""COMPUTED_VALUE"""),"1305439")</f>
        <v>1305439</v>
      </c>
      <c r="I124" s="15" t="str">
        <f>IFERROR(__xludf.DUMMYFUNCTION("""COMPUTED_VALUE"""),"8176774")</f>
        <v>8176774</v>
      </c>
      <c r="J124" s="15" t="str">
        <f>IFERROR(__xludf.DUMMYFUNCTION("""COMPUTED_VALUE"""),"CIF")</f>
        <v>CIF</v>
      </c>
      <c r="K124" s="15" t="str">
        <f>IFERROR(__xludf.DUMMYFUNCTION("""COMPUTED_VALUE"""),"(sem célula)")</f>
        <v>(sem célula)</v>
      </c>
      <c r="L124" s="15" t="str">
        <f>IFERROR(__xludf.DUMMYFUNCTION("""COMPUTED_VALUE"""),"AUTORIZADO")</f>
        <v>AUTORIZADO</v>
      </c>
      <c r="M124" s="15" t="str">
        <f>IFERROR(__xludf.DUMMYFUNCTION("""COMPUTED_VALUE"""),"NA ORIGEM")</f>
        <v>NA ORIGEM</v>
      </c>
      <c r="N124" s="15" t="str">
        <f>IFERROR(__xludf.DUMMYFUNCTION("""COMPUTED_VALUE"""),"Antes Prazo")</f>
        <v>Antes Prazo</v>
      </c>
      <c r="O124" s="15" t="str">
        <f>IFERROR(__xludf.DUMMYFUNCTION("""COMPUTED_VALUE"""),"B2B")</f>
        <v>B2B</v>
      </c>
      <c r="P124" s="16">
        <f>IFERROR(__xludf.DUMMYFUNCTION("""COMPUTED_VALUE"""),52.4)</f>
        <v>52.4</v>
      </c>
      <c r="Q124" s="15">
        <f>IFERROR(__xludf.DUMMYFUNCTION("""COMPUTED_VALUE"""),1.0)</f>
        <v>1</v>
      </c>
      <c r="R124" s="15" t="str">
        <f>IFERROR(__xludf.DUMMYFUNCTION("""COMPUTED_VALUE"""),"RODO")</f>
        <v>RODO</v>
      </c>
      <c r="S124" s="15" t="str">
        <f>IFERROR(__xludf.DUMMYFUNCTION("""COMPUTED_VALUE"""),"ITN")</f>
        <v>ITN</v>
      </c>
      <c r="T124" s="15" t="str">
        <f>IFERROR(__xludf.DUMMYFUNCTION("""COMPUTED_VALUE"""),"3")</f>
        <v>3</v>
      </c>
      <c r="U124" s="15" t="str">
        <f>IFERROR(__xludf.DUMMYFUNCTION("""COMPUTED_VALUE"""),"266803346 1305439 8176774 sahja comercio trifil caw 3")</f>
        <v>266803346 1305439 8176774 sahja comercio trifil caw 3</v>
      </c>
      <c r="V124" s="15" t="b">
        <f>IFERROR(__xludf.DUMMYFUNCTION("""COMPUTED_VALUE"""),FALSE)</f>
        <v>0</v>
      </c>
    </row>
    <row r="125">
      <c r="A125" s="19">
        <f>IFERROR(__xludf.DUMMYFUNCTION("""COMPUTED_VALUE"""),46304.0)</f>
        <v>46304</v>
      </c>
      <c r="B125" s="19">
        <f>IFERROR(__xludf.DUMMYFUNCTION("""COMPUTED_VALUE"""),46317.0)</f>
        <v>46317</v>
      </c>
      <c r="C125" s="15">
        <f>IFERROR(__xludf.DUMMYFUNCTION("""COMPUTED_VALUE"""),8.0)</f>
        <v>8</v>
      </c>
      <c r="D125" s="15" t="str">
        <f>IFERROR(__xludf.DUMMYFUNCTION("""COMPUTED_VALUE"""),"CAW")</f>
        <v>CAW</v>
      </c>
      <c r="E125" s="15" t="str">
        <f>IFERROR(__xludf.DUMMYFUNCTION("""COMPUTED_VALUE"""),"TECIDOS CAMARA DE APERIBE LTDA")</f>
        <v>TECIDOS CAMARA DE APERIBE LTDA</v>
      </c>
      <c r="F125" s="15" t="str">
        <f>IFERROR(__xludf.DUMMYFUNCTION("""COMPUTED_VALUE"""),"TRIFIL")</f>
        <v>TRIFIL</v>
      </c>
      <c r="G125" s="15" t="str">
        <f>IFERROR(__xludf.DUMMYFUNCTION("""COMPUTED_VALUE"""),"266803347")</f>
        <v>266803347</v>
      </c>
      <c r="H125" s="15" t="str">
        <f>IFERROR(__xludf.DUMMYFUNCTION("""COMPUTED_VALUE"""),"1304856")</f>
        <v>1304856</v>
      </c>
      <c r="I125" s="15" t="str">
        <f>IFERROR(__xludf.DUMMYFUNCTION("""COMPUTED_VALUE"""),"8177025")</f>
        <v>8177025</v>
      </c>
      <c r="J125" s="15" t="str">
        <f>IFERROR(__xludf.DUMMYFUNCTION("""COMPUTED_VALUE"""),"CIF")</f>
        <v>CIF</v>
      </c>
      <c r="K125" s="15" t="str">
        <f>IFERROR(__xludf.DUMMYFUNCTION("""COMPUTED_VALUE"""),"FSA-1")</f>
        <v>FSA-1</v>
      </c>
      <c r="L125" s="15" t="str">
        <f>IFERROR(__xludf.DUMMYFUNCTION("""COMPUTED_VALUE"""),"AUTORIZADO")</f>
        <v>AUTORIZADO</v>
      </c>
      <c r="M125" s="15" t="str">
        <f>IFERROR(__xludf.DUMMYFUNCTION("""COMPUTED_VALUE"""),"NA ORIGEM")</f>
        <v>NA ORIGEM</v>
      </c>
      <c r="N125" s="15" t="str">
        <f>IFERROR(__xludf.DUMMYFUNCTION("""COMPUTED_VALUE"""),"Antes Prazo")</f>
        <v>Antes Prazo</v>
      </c>
      <c r="O125" s="15" t="str">
        <f>IFERROR(__xludf.DUMMYFUNCTION("""COMPUTED_VALUE"""),"B2B")</f>
        <v>B2B</v>
      </c>
      <c r="P125" s="16">
        <f>IFERROR(__xludf.DUMMYFUNCTION("""COMPUTED_VALUE"""),58.93)</f>
        <v>58.93</v>
      </c>
      <c r="Q125" s="15">
        <f>IFERROR(__xludf.DUMMYFUNCTION("""COMPUTED_VALUE"""),1.0)</f>
        <v>1</v>
      </c>
      <c r="R125" s="15" t="str">
        <f>IFERROR(__xludf.DUMMYFUNCTION("""COMPUTED_VALUE"""),"RODO")</f>
        <v>RODO</v>
      </c>
      <c r="S125" s="15" t="str">
        <f>IFERROR(__xludf.DUMMYFUNCTION("""COMPUTED_VALUE"""),"ITN")</f>
        <v>ITN</v>
      </c>
      <c r="T125" s="15" t="str">
        <f>IFERROR(__xludf.DUMMYFUNCTION("""COMPUTED_VALUE"""),"")</f>
        <v/>
      </c>
      <c r="U125" s="15" t="str">
        <f>IFERROR(__xludf.DUMMYFUNCTION("""COMPUTED_VALUE"""),"266803347 1304856 8177025 tecidos camara de aperibe ltda trifil caw ")</f>
        <v>266803347 1304856 8177025 tecidos camara de aperibe ltda trifil caw </v>
      </c>
      <c r="V125" s="15" t="b">
        <f>IFERROR(__xludf.DUMMYFUNCTION("""COMPUTED_VALUE"""),FALSE)</f>
        <v>0</v>
      </c>
    </row>
    <row r="126">
      <c r="A126" s="19">
        <f>IFERROR(__xludf.DUMMYFUNCTION("""COMPUTED_VALUE"""),46304.0)</f>
        <v>46304</v>
      </c>
      <c r="B126" s="19">
        <f>IFERROR(__xludf.DUMMYFUNCTION("""COMPUTED_VALUE"""),46321.0)</f>
        <v>46321</v>
      </c>
      <c r="C126" s="15">
        <f>IFERROR(__xludf.DUMMYFUNCTION("""COMPUTED_VALUE"""),10.0)</f>
        <v>10</v>
      </c>
      <c r="D126" s="15" t="str">
        <f>IFERROR(__xludf.DUMMYFUNCTION("""COMPUTED_VALUE"""),"NFG")</f>
        <v>NFG</v>
      </c>
      <c r="E126" s="15" t="str">
        <f>IFERROR(__xludf.DUMMYFUNCTION("""COMPUTED_VALUE"""),"LUPO FRIBURGO")</f>
        <v>LUPO FRIBURGO</v>
      </c>
      <c r="F126" s="15" t="str">
        <f>IFERROR(__xludf.DUMMYFUNCTION("""COMPUTED_VALUE"""),"TRIFIL")</f>
        <v>TRIFIL</v>
      </c>
      <c r="G126" s="15" t="str">
        <f>IFERROR(__xludf.DUMMYFUNCTION("""COMPUTED_VALUE"""),"266803348")</f>
        <v>266803348</v>
      </c>
      <c r="H126" s="15" t="str">
        <f>IFERROR(__xludf.DUMMYFUNCTION("""COMPUTED_VALUE"""),"1305451")</f>
        <v>1305451</v>
      </c>
      <c r="I126" s="15" t="str">
        <f>IFERROR(__xludf.DUMMYFUNCTION("""COMPUTED_VALUE"""),"8176975")</f>
        <v>8176975</v>
      </c>
      <c r="J126" s="15" t="str">
        <f>IFERROR(__xludf.DUMMYFUNCTION("""COMPUTED_VALUE"""),"CIF")</f>
        <v>CIF</v>
      </c>
      <c r="K126" s="15" t="str">
        <f>IFERROR(__xludf.DUMMYFUNCTION("""COMPUTED_VALUE"""),"(sem célula)")</f>
        <v>(sem célula)</v>
      </c>
      <c r="L126" s="15" t="str">
        <f>IFERROR(__xludf.DUMMYFUNCTION("""COMPUTED_VALUE"""),"AUTORIZADO")</f>
        <v>AUTORIZADO</v>
      </c>
      <c r="M126" s="15" t="str">
        <f>IFERROR(__xludf.DUMMYFUNCTION("""COMPUTED_VALUE"""),"NA ORIGEM")</f>
        <v>NA ORIGEM</v>
      </c>
      <c r="N126" s="15" t="str">
        <f>IFERROR(__xludf.DUMMYFUNCTION("""COMPUTED_VALUE"""),"Antes Prazo")</f>
        <v>Antes Prazo</v>
      </c>
      <c r="O126" s="15" t="str">
        <f>IFERROR(__xludf.DUMMYFUNCTION("""COMPUTED_VALUE"""),"B2B")</f>
        <v>B2B</v>
      </c>
      <c r="P126" s="16">
        <f>IFERROR(__xludf.DUMMYFUNCTION("""COMPUTED_VALUE"""),52.4)</f>
        <v>52.4</v>
      </c>
      <c r="Q126" s="15">
        <f>IFERROR(__xludf.DUMMYFUNCTION("""COMPUTED_VALUE"""),1.0)</f>
        <v>1</v>
      </c>
      <c r="R126" s="15" t="str">
        <f>IFERROR(__xludf.DUMMYFUNCTION("""COMPUTED_VALUE"""),"RODO")</f>
        <v>RODO</v>
      </c>
      <c r="S126" s="15" t="str">
        <f>IFERROR(__xludf.DUMMYFUNCTION("""COMPUTED_VALUE"""),"ITN")</f>
        <v>ITN</v>
      </c>
      <c r="T126" s="15" t="str">
        <f>IFERROR(__xludf.DUMMYFUNCTION("""COMPUTED_VALUE"""),"5")</f>
        <v>5</v>
      </c>
      <c r="U126" s="15" t="str">
        <f>IFERROR(__xludf.DUMMYFUNCTION("""COMPUTED_VALUE"""),"266803348 1305451 8176975 lupo friburgo trifil nfg 5")</f>
        <v>266803348 1305451 8176975 lupo friburgo trifil nfg 5</v>
      </c>
      <c r="V126" s="15" t="b">
        <f>IFERROR(__xludf.DUMMYFUNCTION("""COMPUTED_VALUE"""),FALSE)</f>
        <v>0</v>
      </c>
    </row>
    <row r="127">
      <c r="A127" s="19">
        <f>IFERROR(__xludf.DUMMYFUNCTION("""COMPUTED_VALUE"""),46304.0)</f>
        <v>46304</v>
      </c>
      <c r="B127" s="19">
        <f>IFERROR(__xludf.DUMMYFUNCTION("""COMPUTED_VALUE"""),46316.0)</f>
        <v>46316</v>
      </c>
      <c r="C127" s="15">
        <f>IFERROR(__xludf.DUMMYFUNCTION("""COMPUTED_VALUE"""),7.0)</f>
        <v>7</v>
      </c>
      <c r="D127" s="15" t="str">
        <f>IFERROR(__xludf.DUMMYFUNCTION("""COMPUTED_VALUE"""),"GRU")</f>
        <v>GRU</v>
      </c>
      <c r="E127" s="15" t="str">
        <f>IFERROR(__xludf.DUMMYFUNCTION("""COMPUTED_VALUE"""),"M DE O TURCI INTIMAS ME")</f>
        <v>M DE O TURCI INTIMAS ME</v>
      </c>
      <c r="F127" s="15" t="str">
        <f>IFERROR(__xludf.DUMMYFUNCTION("""COMPUTED_VALUE"""),"TRIFIL")</f>
        <v>TRIFIL</v>
      </c>
      <c r="G127" s="15" t="str">
        <f>IFERROR(__xludf.DUMMYFUNCTION("""COMPUTED_VALUE"""),"266803349")</f>
        <v>266803349</v>
      </c>
      <c r="H127" s="15" t="str">
        <f>IFERROR(__xludf.DUMMYFUNCTION("""COMPUTED_VALUE"""),"1305080")</f>
        <v>1305080</v>
      </c>
      <c r="I127" s="15" t="str">
        <f>IFERROR(__xludf.DUMMYFUNCTION("""COMPUTED_VALUE"""),"8177026")</f>
        <v>8177026</v>
      </c>
      <c r="J127" s="15" t="str">
        <f>IFERROR(__xludf.DUMMYFUNCTION("""COMPUTED_VALUE"""),"CIF")</f>
        <v>CIF</v>
      </c>
      <c r="K127" s="15" t="str">
        <f>IFERROR(__xludf.DUMMYFUNCTION("""COMPUTED_VALUE"""),"SAO-1")</f>
        <v>SAO-1</v>
      </c>
      <c r="L127" s="15" t="str">
        <f>IFERROR(__xludf.DUMMYFUNCTION("""COMPUTED_VALUE"""),"AUTORIZADO")</f>
        <v>AUTORIZADO</v>
      </c>
      <c r="M127" s="15" t="str">
        <f>IFERROR(__xludf.DUMMYFUNCTION("""COMPUTED_VALUE"""),"NA ORIGEM")</f>
        <v>NA ORIGEM</v>
      </c>
      <c r="N127" s="15" t="str">
        <f>IFERROR(__xludf.DUMMYFUNCTION("""COMPUTED_VALUE"""),"Antes Prazo")</f>
        <v>Antes Prazo</v>
      </c>
      <c r="O127" s="15" t="str">
        <f>IFERROR(__xludf.DUMMYFUNCTION("""COMPUTED_VALUE"""),"B2B")</f>
        <v>B2B</v>
      </c>
      <c r="P127" s="16">
        <f>IFERROR(__xludf.DUMMYFUNCTION("""COMPUTED_VALUE"""),45.49)</f>
        <v>45.49</v>
      </c>
      <c r="Q127" s="15">
        <f>IFERROR(__xludf.DUMMYFUNCTION("""COMPUTED_VALUE"""),1.0)</f>
        <v>1</v>
      </c>
      <c r="R127" s="15" t="str">
        <f>IFERROR(__xludf.DUMMYFUNCTION("""COMPUTED_VALUE"""),"RODO")</f>
        <v>RODO</v>
      </c>
      <c r="S127" s="15" t="str">
        <f>IFERROR(__xludf.DUMMYFUNCTION("""COMPUTED_VALUE"""),"ITN")</f>
        <v>ITN</v>
      </c>
      <c r="T127" s="15" t="str">
        <f>IFERROR(__xludf.DUMMYFUNCTION("""COMPUTED_VALUE"""),"2708")</f>
        <v>2708</v>
      </c>
      <c r="U127" s="15" t="str">
        <f>IFERROR(__xludf.DUMMYFUNCTION("""COMPUTED_VALUE"""),"266803349 1305080 8177026 m de o turci intimas me trifil gru 2708")</f>
        <v>266803349 1305080 8177026 m de o turci intimas me trifil gru 2708</v>
      </c>
      <c r="V127" s="15" t="b">
        <f>IFERROR(__xludf.DUMMYFUNCTION("""COMPUTED_VALUE"""),FALSE)</f>
        <v>0</v>
      </c>
    </row>
    <row r="128">
      <c r="A128" s="19">
        <f>IFERROR(__xludf.DUMMYFUNCTION("""COMPUTED_VALUE"""),46304.0)</f>
        <v>46304</v>
      </c>
      <c r="B128" s="19">
        <f>IFERROR(__xludf.DUMMYFUNCTION("""COMPUTED_VALUE"""),46316.0)</f>
        <v>46316</v>
      </c>
      <c r="C128" s="15">
        <f>IFERROR(__xludf.DUMMYFUNCTION("""COMPUTED_VALUE"""),7.0)</f>
        <v>7</v>
      </c>
      <c r="D128" s="15" t="str">
        <f>IFERROR(__xludf.DUMMYFUNCTION("""COMPUTED_VALUE"""),"VIX")</f>
        <v>VIX</v>
      </c>
      <c r="E128" s="15" t="str">
        <f>IFERROR(__xludf.DUMMYFUNCTION("""COMPUTED_VALUE"""),"SCALA")</f>
        <v>SCALA</v>
      </c>
      <c r="F128" s="15" t="str">
        <f>IFERROR(__xludf.DUMMYFUNCTION("""COMPUTED_VALUE"""),"TRIFIL")</f>
        <v>TRIFIL</v>
      </c>
      <c r="G128" s="15" t="str">
        <f>IFERROR(__xludf.DUMMYFUNCTION("""COMPUTED_VALUE"""),"266803350")</f>
        <v>266803350</v>
      </c>
      <c r="H128" s="15" t="str">
        <f>IFERROR(__xludf.DUMMYFUNCTION("""COMPUTED_VALUE"""),"1305978")</f>
        <v>1305978</v>
      </c>
      <c r="I128" s="15" t="str">
        <f>IFERROR(__xludf.DUMMYFUNCTION("""COMPUTED_VALUE"""),"8176755")</f>
        <v>8176755</v>
      </c>
      <c r="J128" s="15" t="str">
        <f>IFERROR(__xludf.DUMMYFUNCTION("""COMPUTED_VALUE"""),"CIF")</f>
        <v>CIF</v>
      </c>
      <c r="K128" s="15" t="str">
        <f>IFERROR(__xludf.DUMMYFUNCTION("""COMPUTED_VALUE"""),"(sem célula)")</f>
        <v>(sem célula)</v>
      </c>
      <c r="L128" s="15" t="str">
        <f>IFERROR(__xludf.DUMMYFUNCTION("""COMPUTED_VALUE"""),"AUTORIZADO")</f>
        <v>AUTORIZADO</v>
      </c>
      <c r="M128" s="15" t="str">
        <f>IFERROR(__xludf.DUMMYFUNCTION("""COMPUTED_VALUE"""),"NA ORIGEM")</f>
        <v>NA ORIGEM</v>
      </c>
      <c r="N128" s="15" t="str">
        <f>IFERROR(__xludf.DUMMYFUNCTION("""COMPUTED_VALUE"""),"Antes Prazo")</f>
        <v>Antes Prazo</v>
      </c>
      <c r="O128" s="15" t="str">
        <f>IFERROR(__xludf.DUMMYFUNCTION("""COMPUTED_VALUE"""),"B2B")</f>
        <v>B2B</v>
      </c>
      <c r="P128" s="16">
        <f>IFERROR(__xludf.DUMMYFUNCTION("""COMPUTED_VALUE"""),44.77)</f>
        <v>44.77</v>
      </c>
      <c r="Q128" s="15">
        <f>IFERROR(__xludf.DUMMYFUNCTION("""COMPUTED_VALUE"""),2.0)</f>
        <v>2</v>
      </c>
      <c r="R128" s="15" t="str">
        <f>IFERROR(__xludf.DUMMYFUNCTION("""COMPUTED_VALUE"""),"RODO")</f>
        <v>RODO</v>
      </c>
      <c r="S128" s="15" t="str">
        <f>IFERROR(__xludf.DUMMYFUNCTION("""COMPUTED_VALUE"""),"ITN")</f>
        <v>ITN</v>
      </c>
      <c r="T128" s="15" t="str">
        <f>IFERROR(__xludf.DUMMYFUNCTION("""COMPUTED_VALUE"""),"5")</f>
        <v>5</v>
      </c>
      <c r="U128" s="15" t="str">
        <f>IFERROR(__xludf.DUMMYFUNCTION("""COMPUTED_VALUE"""),"266803350 1305978 8176755 scala trifil vix 5")</f>
        <v>266803350 1305978 8176755 scala trifil vix 5</v>
      </c>
      <c r="V128" s="15" t="b">
        <f>IFERROR(__xludf.DUMMYFUNCTION("""COMPUTED_VALUE"""),FALSE)</f>
        <v>0</v>
      </c>
    </row>
    <row r="129">
      <c r="A129" s="19">
        <f>IFERROR(__xludf.DUMMYFUNCTION("""COMPUTED_VALUE"""),46304.0)</f>
        <v>46304</v>
      </c>
      <c r="B129" s="19">
        <f>IFERROR(__xludf.DUMMYFUNCTION("""COMPUTED_VALUE"""),46316.0)</f>
        <v>46316</v>
      </c>
      <c r="C129" s="15">
        <f>IFERROR(__xludf.DUMMYFUNCTION("""COMPUTED_VALUE"""),7.0)</f>
        <v>7</v>
      </c>
      <c r="D129" s="15" t="str">
        <f>IFERROR(__xludf.DUMMYFUNCTION("""COMPUTED_VALUE"""),"VIX")</f>
        <v>VIX</v>
      </c>
      <c r="E129" s="15" t="str">
        <f>IFERROR(__xludf.DUMMYFUNCTION("""COMPUTED_VALUE"""),"LUPO")</f>
        <v>LUPO</v>
      </c>
      <c r="F129" s="15" t="str">
        <f>IFERROR(__xludf.DUMMYFUNCTION("""COMPUTED_VALUE"""),"TRIFIL")</f>
        <v>TRIFIL</v>
      </c>
      <c r="G129" s="15" t="str">
        <f>IFERROR(__xludf.DUMMYFUNCTION("""COMPUTED_VALUE"""),"266803351")</f>
        <v>266803351</v>
      </c>
      <c r="H129" s="15" t="str">
        <f>IFERROR(__xludf.DUMMYFUNCTION("""COMPUTED_VALUE"""),"1305609")</f>
        <v>1305609</v>
      </c>
      <c r="I129" s="15" t="str">
        <f>IFERROR(__xludf.DUMMYFUNCTION("""COMPUTED_VALUE"""),"8176849")</f>
        <v>8176849</v>
      </c>
      <c r="J129" s="15" t="str">
        <f>IFERROR(__xludf.DUMMYFUNCTION("""COMPUTED_VALUE"""),"CIF")</f>
        <v>CIF</v>
      </c>
      <c r="K129" s="15" t="str">
        <f>IFERROR(__xludf.DUMMYFUNCTION("""COMPUTED_VALUE"""),"(sem célula)")</f>
        <v>(sem célula)</v>
      </c>
      <c r="L129" s="15" t="str">
        <f>IFERROR(__xludf.DUMMYFUNCTION("""COMPUTED_VALUE"""),"AUTORIZADO")</f>
        <v>AUTORIZADO</v>
      </c>
      <c r="M129" s="15" t="str">
        <f>IFERROR(__xludf.DUMMYFUNCTION("""COMPUTED_VALUE"""),"NA ORIGEM")</f>
        <v>NA ORIGEM</v>
      </c>
      <c r="N129" s="15" t="str">
        <f>IFERROR(__xludf.DUMMYFUNCTION("""COMPUTED_VALUE"""),"Antes Prazo")</f>
        <v>Antes Prazo</v>
      </c>
      <c r="O129" s="15" t="str">
        <f>IFERROR(__xludf.DUMMYFUNCTION("""COMPUTED_VALUE"""),"B2B")</f>
        <v>B2B</v>
      </c>
      <c r="P129" s="16">
        <f>IFERROR(__xludf.DUMMYFUNCTION("""COMPUTED_VALUE"""),44.77)</f>
        <v>44.77</v>
      </c>
      <c r="Q129" s="15">
        <f>IFERROR(__xludf.DUMMYFUNCTION("""COMPUTED_VALUE"""),1.0)</f>
        <v>1</v>
      </c>
      <c r="R129" s="15" t="str">
        <f>IFERROR(__xludf.DUMMYFUNCTION("""COMPUTED_VALUE"""),"RODO")</f>
        <v>RODO</v>
      </c>
      <c r="S129" s="15" t="str">
        <f>IFERROR(__xludf.DUMMYFUNCTION("""COMPUTED_VALUE"""),"ITN")</f>
        <v>ITN</v>
      </c>
      <c r="T129" s="15" t="str">
        <f>IFERROR(__xludf.DUMMYFUNCTION("""COMPUTED_VALUE"""),"5")</f>
        <v>5</v>
      </c>
      <c r="U129" s="15" t="str">
        <f>IFERROR(__xludf.DUMMYFUNCTION("""COMPUTED_VALUE"""),"266803351 1305609 8176849 lupo trifil vix 5")</f>
        <v>266803351 1305609 8176849 lupo trifil vix 5</v>
      </c>
      <c r="V129" s="15" t="b">
        <f>IFERROR(__xludf.DUMMYFUNCTION("""COMPUTED_VALUE"""),FALSE)</f>
        <v>0</v>
      </c>
    </row>
    <row r="130">
      <c r="A130" s="19">
        <f>IFERROR(__xludf.DUMMYFUNCTION("""COMPUTED_VALUE"""),46304.0)</f>
        <v>46304</v>
      </c>
      <c r="B130" s="19">
        <f>IFERROR(__xludf.DUMMYFUNCTION("""COMPUTED_VALUE"""),46316.0)</f>
        <v>46316</v>
      </c>
      <c r="C130" s="15">
        <f>IFERROR(__xludf.DUMMYFUNCTION("""COMPUTED_VALUE"""),7.0)</f>
        <v>7</v>
      </c>
      <c r="D130" s="15" t="str">
        <f>IFERROR(__xludf.DUMMYFUNCTION("""COMPUTED_VALUE"""),"VIX")</f>
        <v>VIX</v>
      </c>
      <c r="E130" s="15" t="str">
        <f>IFERROR(__xludf.DUMMYFUNCTION("""COMPUTED_VALUE"""),"FLOR DO CANTO")</f>
        <v>FLOR DO CANTO</v>
      </c>
      <c r="F130" s="15" t="str">
        <f>IFERROR(__xludf.DUMMYFUNCTION("""COMPUTED_VALUE"""),"TRIFIL")</f>
        <v>TRIFIL</v>
      </c>
      <c r="G130" s="15" t="str">
        <f>IFERROR(__xludf.DUMMYFUNCTION("""COMPUTED_VALUE"""),"266803352")</f>
        <v>266803352</v>
      </c>
      <c r="H130" s="15" t="str">
        <f>IFERROR(__xludf.DUMMYFUNCTION("""COMPUTED_VALUE"""),"1305402")</f>
        <v>1305402</v>
      </c>
      <c r="I130" s="15" t="str">
        <f>IFERROR(__xludf.DUMMYFUNCTION("""COMPUTED_VALUE"""),"8176804")</f>
        <v>8176804</v>
      </c>
      <c r="J130" s="15" t="str">
        <f>IFERROR(__xludf.DUMMYFUNCTION("""COMPUTED_VALUE"""),"CIF")</f>
        <v>CIF</v>
      </c>
      <c r="K130" s="15" t="str">
        <f>IFERROR(__xludf.DUMMYFUNCTION("""COMPUTED_VALUE"""),"(sem célula)")</f>
        <v>(sem célula)</v>
      </c>
      <c r="L130" s="15" t="str">
        <f>IFERROR(__xludf.DUMMYFUNCTION("""COMPUTED_VALUE"""),"AUTORIZADO")</f>
        <v>AUTORIZADO</v>
      </c>
      <c r="M130" s="15" t="str">
        <f>IFERROR(__xludf.DUMMYFUNCTION("""COMPUTED_VALUE"""),"NA ORIGEM")</f>
        <v>NA ORIGEM</v>
      </c>
      <c r="N130" s="15" t="str">
        <f>IFERROR(__xludf.DUMMYFUNCTION("""COMPUTED_VALUE"""),"Antes Prazo")</f>
        <v>Antes Prazo</v>
      </c>
      <c r="O130" s="15" t="str">
        <f>IFERROR(__xludf.DUMMYFUNCTION("""COMPUTED_VALUE"""),"B2B")</f>
        <v>B2B</v>
      </c>
      <c r="P130" s="16">
        <f>IFERROR(__xludf.DUMMYFUNCTION("""COMPUTED_VALUE"""),44.77)</f>
        <v>44.77</v>
      </c>
      <c r="Q130" s="15">
        <f>IFERROR(__xludf.DUMMYFUNCTION("""COMPUTED_VALUE"""),1.0)</f>
        <v>1</v>
      </c>
      <c r="R130" s="15" t="str">
        <f>IFERROR(__xludf.DUMMYFUNCTION("""COMPUTED_VALUE"""),"RODO")</f>
        <v>RODO</v>
      </c>
      <c r="S130" s="15" t="str">
        <f>IFERROR(__xludf.DUMMYFUNCTION("""COMPUTED_VALUE"""),"ITN")</f>
        <v>ITN</v>
      </c>
      <c r="T130" s="15" t="str">
        <f>IFERROR(__xludf.DUMMYFUNCTION("""COMPUTED_VALUE"""),"6")</f>
        <v>6</v>
      </c>
      <c r="U130" s="15" t="str">
        <f>IFERROR(__xludf.DUMMYFUNCTION("""COMPUTED_VALUE"""),"266803352 1305402 8176804 flor do canto trifil vix 6")</f>
        <v>266803352 1305402 8176804 flor do canto trifil vix 6</v>
      </c>
      <c r="V130" s="15" t="b">
        <f>IFERROR(__xludf.DUMMYFUNCTION("""COMPUTED_VALUE"""),FALSE)</f>
        <v>0</v>
      </c>
    </row>
    <row r="131">
      <c r="A131" s="19">
        <f>IFERROR(__xludf.DUMMYFUNCTION("""COMPUTED_VALUE"""),46304.0)</f>
        <v>46304</v>
      </c>
      <c r="B131" s="19">
        <f>IFERROR(__xludf.DUMMYFUNCTION("""COMPUTED_VALUE"""),46316.0)</f>
        <v>46316</v>
      </c>
      <c r="C131" s="15">
        <f>IFERROR(__xludf.DUMMYFUNCTION("""COMPUTED_VALUE"""),7.0)</f>
        <v>7</v>
      </c>
      <c r="D131" s="15" t="str">
        <f>IFERROR(__xludf.DUMMYFUNCTION("""COMPUTED_VALUE"""),"VIX")</f>
        <v>VIX</v>
      </c>
      <c r="E131" s="15" t="str">
        <f>IFERROR(__xludf.DUMMYFUNCTION("""COMPUTED_VALUE"""),"FLOR DO CAMPO LTDA")</f>
        <v>FLOR DO CAMPO LTDA</v>
      </c>
      <c r="F131" s="15" t="str">
        <f>IFERROR(__xludf.DUMMYFUNCTION("""COMPUTED_VALUE"""),"TRIFIL")</f>
        <v>TRIFIL</v>
      </c>
      <c r="G131" s="15" t="str">
        <f>IFERROR(__xludf.DUMMYFUNCTION("""COMPUTED_VALUE"""),"266803353")</f>
        <v>266803353</v>
      </c>
      <c r="H131" s="15" t="str">
        <f>IFERROR(__xludf.DUMMYFUNCTION("""COMPUTED_VALUE"""),"1305397")</f>
        <v>1305397</v>
      </c>
      <c r="I131" s="15" t="str">
        <f>IFERROR(__xludf.DUMMYFUNCTION("""COMPUTED_VALUE"""),"8176901")</f>
        <v>8176901</v>
      </c>
      <c r="J131" s="15" t="str">
        <f>IFERROR(__xludf.DUMMYFUNCTION("""COMPUTED_VALUE"""),"CIF")</f>
        <v>CIF</v>
      </c>
      <c r="K131" s="15" t="str">
        <f>IFERROR(__xludf.DUMMYFUNCTION("""COMPUTED_VALUE"""),"(sem célula)")</f>
        <v>(sem célula)</v>
      </c>
      <c r="L131" s="15" t="str">
        <f>IFERROR(__xludf.DUMMYFUNCTION("""COMPUTED_VALUE"""),"AUTORIZADO")</f>
        <v>AUTORIZADO</v>
      </c>
      <c r="M131" s="15" t="str">
        <f>IFERROR(__xludf.DUMMYFUNCTION("""COMPUTED_VALUE"""),"NA ORIGEM")</f>
        <v>NA ORIGEM</v>
      </c>
      <c r="N131" s="15" t="str">
        <f>IFERROR(__xludf.DUMMYFUNCTION("""COMPUTED_VALUE"""),"Antes Prazo")</f>
        <v>Antes Prazo</v>
      </c>
      <c r="O131" s="15" t="str">
        <f>IFERROR(__xludf.DUMMYFUNCTION("""COMPUTED_VALUE"""),"B2B")</f>
        <v>B2B</v>
      </c>
      <c r="P131" s="16">
        <f>IFERROR(__xludf.DUMMYFUNCTION("""COMPUTED_VALUE"""),44.77)</f>
        <v>44.77</v>
      </c>
      <c r="Q131" s="15">
        <f>IFERROR(__xludf.DUMMYFUNCTION("""COMPUTED_VALUE"""),1.0)</f>
        <v>1</v>
      </c>
      <c r="R131" s="15" t="str">
        <f>IFERROR(__xludf.DUMMYFUNCTION("""COMPUTED_VALUE"""),"RODO")</f>
        <v>RODO</v>
      </c>
      <c r="S131" s="15" t="str">
        <f>IFERROR(__xludf.DUMMYFUNCTION("""COMPUTED_VALUE"""),"ITN")</f>
        <v>ITN</v>
      </c>
      <c r="T131" s="15" t="str">
        <f>IFERROR(__xludf.DUMMYFUNCTION("""COMPUTED_VALUE"""),"6")</f>
        <v>6</v>
      </c>
      <c r="U131" s="15" t="str">
        <f>IFERROR(__xludf.DUMMYFUNCTION("""COMPUTED_VALUE"""),"266803353 1305397 8176901 flor do campo ltda trifil vix 6")</f>
        <v>266803353 1305397 8176901 flor do campo ltda trifil vix 6</v>
      </c>
      <c r="V131" s="15" t="b">
        <f>IFERROR(__xludf.DUMMYFUNCTION("""COMPUTED_VALUE"""),FALSE)</f>
        <v>0</v>
      </c>
    </row>
    <row r="132">
      <c r="A132" s="19">
        <f>IFERROR(__xludf.DUMMYFUNCTION("""COMPUTED_VALUE"""),46304.0)</f>
        <v>46304</v>
      </c>
      <c r="B132" s="19">
        <f>IFERROR(__xludf.DUMMYFUNCTION("""COMPUTED_VALUE"""),46316.0)</f>
        <v>46316</v>
      </c>
      <c r="C132" s="15">
        <f>IFERROR(__xludf.DUMMYFUNCTION("""COMPUTED_VALUE"""),7.0)</f>
        <v>7</v>
      </c>
      <c r="D132" s="15" t="str">
        <f>IFERROR(__xludf.DUMMYFUNCTION("""COMPUTED_VALUE"""),"VIX")</f>
        <v>VIX</v>
      </c>
      <c r="E132" s="15" t="str">
        <f>IFERROR(__xludf.DUMMYFUNCTION("""COMPUTED_VALUE"""),"BRUNA APARECIDA DE BRITO ROMAO")</f>
        <v>BRUNA APARECIDA DE BRITO ROMAO</v>
      </c>
      <c r="F132" s="15" t="str">
        <f>IFERROR(__xludf.DUMMYFUNCTION("""COMPUTED_VALUE"""),"TRIFIL")</f>
        <v>TRIFIL</v>
      </c>
      <c r="G132" s="15" t="str">
        <f>IFERROR(__xludf.DUMMYFUNCTION("""COMPUTED_VALUE"""),"266803354")</f>
        <v>266803354</v>
      </c>
      <c r="H132" s="15" t="str">
        <f>IFERROR(__xludf.DUMMYFUNCTION("""COMPUTED_VALUE"""),"1305066")</f>
        <v>1305066</v>
      </c>
      <c r="I132" s="15" t="str">
        <f>IFERROR(__xludf.DUMMYFUNCTION("""COMPUTED_VALUE"""),"8176805")</f>
        <v>8176805</v>
      </c>
      <c r="J132" s="15" t="str">
        <f>IFERROR(__xludf.DUMMYFUNCTION("""COMPUTED_VALUE"""),"CIF")</f>
        <v>CIF</v>
      </c>
      <c r="K132" s="15" t="str">
        <f>IFERROR(__xludf.DUMMYFUNCTION("""COMPUTED_VALUE"""),"(sem célula)")</f>
        <v>(sem célula)</v>
      </c>
      <c r="L132" s="15" t="str">
        <f>IFERROR(__xludf.DUMMYFUNCTION("""COMPUTED_VALUE"""),"AUTORIZADO")</f>
        <v>AUTORIZADO</v>
      </c>
      <c r="M132" s="15" t="str">
        <f>IFERROR(__xludf.DUMMYFUNCTION("""COMPUTED_VALUE"""),"NA ORIGEM")</f>
        <v>NA ORIGEM</v>
      </c>
      <c r="N132" s="15" t="str">
        <f>IFERROR(__xludf.DUMMYFUNCTION("""COMPUTED_VALUE"""),"Antes Prazo")</f>
        <v>Antes Prazo</v>
      </c>
      <c r="O132" s="15" t="str">
        <f>IFERROR(__xludf.DUMMYFUNCTION("""COMPUTED_VALUE"""),"B2B")</f>
        <v>B2B</v>
      </c>
      <c r="P132" s="16">
        <f>IFERROR(__xludf.DUMMYFUNCTION("""COMPUTED_VALUE"""),44.77)</f>
        <v>44.77</v>
      </c>
      <c r="Q132" s="15">
        <f>IFERROR(__xludf.DUMMYFUNCTION("""COMPUTED_VALUE"""),1.0)</f>
        <v>1</v>
      </c>
      <c r="R132" s="15" t="str">
        <f>IFERROR(__xludf.DUMMYFUNCTION("""COMPUTED_VALUE"""),"RODO")</f>
        <v>RODO</v>
      </c>
      <c r="S132" s="15" t="str">
        <f>IFERROR(__xludf.DUMMYFUNCTION("""COMPUTED_VALUE"""),"ITN")</f>
        <v>ITN</v>
      </c>
      <c r="T132" s="15" t="str">
        <f>IFERROR(__xludf.DUMMYFUNCTION("""COMPUTED_VALUE"""),"14")</f>
        <v>14</v>
      </c>
      <c r="U132" s="15" t="str">
        <f>IFERROR(__xludf.DUMMYFUNCTION("""COMPUTED_VALUE"""),"266803354 1305066 8176805 bruna aparecida de brito romao trifil vix 14")</f>
        <v>266803354 1305066 8176805 bruna aparecida de brito romao trifil vix 14</v>
      </c>
      <c r="V132" s="15" t="b">
        <f>IFERROR(__xludf.DUMMYFUNCTION("""COMPUTED_VALUE"""),FALSE)</f>
        <v>0</v>
      </c>
    </row>
    <row r="133">
      <c r="A133" s="19">
        <f>IFERROR(__xludf.DUMMYFUNCTION("""COMPUTED_VALUE"""),46304.0)</f>
        <v>46304</v>
      </c>
      <c r="B133" s="19">
        <f>IFERROR(__xludf.DUMMYFUNCTION("""COMPUTED_VALUE"""),46316.0)</f>
        <v>46316</v>
      </c>
      <c r="C133" s="15">
        <f>IFERROR(__xludf.DUMMYFUNCTION("""COMPUTED_VALUE"""),7.0)</f>
        <v>7</v>
      </c>
      <c r="D133" s="15" t="str">
        <f>IFERROR(__xludf.DUMMYFUNCTION("""COMPUTED_VALUE"""),"V2C")</f>
        <v>V2C</v>
      </c>
      <c r="E133" s="15" t="str">
        <f>IFERROR(__xludf.DUMMYFUNCTION("""COMPUTED_VALUE"""),"NAUTICA BEACH WEAR COM LTDA")</f>
        <v>NAUTICA BEACH WEAR COM LTDA</v>
      </c>
      <c r="F133" s="15" t="str">
        <f>IFERROR(__xludf.DUMMYFUNCTION("""COMPUTED_VALUE"""),"TRIFIL")</f>
        <v>TRIFIL</v>
      </c>
      <c r="G133" s="15" t="str">
        <f>IFERROR(__xludf.DUMMYFUNCTION("""COMPUTED_VALUE"""),"266803355")</f>
        <v>266803355</v>
      </c>
      <c r="H133" s="15" t="str">
        <f>IFERROR(__xludf.DUMMYFUNCTION("""COMPUTED_VALUE"""),"1305243")</f>
        <v>1305243</v>
      </c>
      <c r="I133" s="15" t="str">
        <f>IFERROR(__xludf.DUMMYFUNCTION("""COMPUTED_VALUE"""),"8176775")</f>
        <v>8176775</v>
      </c>
      <c r="J133" s="15" t="str">
        <f>IFERROR(__xludf.DUMMYFUNCTION("""COMPUTED_VALUE"""),"CIF")</f>
        <v>CIF</v>
      </c>
      <c r="K133" s="15" t="str">
        <f>IFERROR(__xludf.DUMMYFUNCTION("""COMPUTED_VALUE"""),"(sem célula)")</f>
        <v>(sem célula)</v>
      </c>
      <c r="L133" s="15" t="str">
        <f>IFERROR(__xludf.DUMMYFUNCTION("""COMPUTED_VALUE"""),"AUTORIZADO")</f>
        <v>AUTORIZADO</v>
      </c>
      <c r="M133" s="15" t="str">
        <f>IFERROR(__xludf.DUMMYFUNCTION("""COMPUTED_VALUE"""),"NA ORIGEM")</f>
        <v>NA ORIGEM</v>
      </c>
      <c r="N133" s="15" t="str">
        <f>IFERROR(__xludf.DUMMYFUNCTION("""COMPUTED_VALUE"""),"Antes Prazo")</f>
        <v>Antes Prazo</v>
      </c>
      <c r="O133" s="15" t="str">
        <f>IFERROR(__xludf.DUMMYFUNCTION("""COMPUTED_VALUE"""),"B2B")</f>
        <v>B2B</v>
      </c>
      <c r="P133" s="16">
        <f>IFERROR(__xludf.DUMMYFUNCTION("""COMPUTED_VALUE"""),44.77)</f>
        <v>44.77</v>
      </c>
      <c r="Q133" s="15">
        <f>IFERROR(__xludf.DUMMYFUNCTION("""COMPUTED_VALUE"""),1.0)</f>
        <v>1</v>
      </c>
      <c r="R133" s="15" t="str">
        <f>IFERROR(__xludf.DUMMYFUNCTION("""COMPUTED_VALUE"""),"RODO")</f>
        <v>RODO</v>
      </c>
      <c r="S133" s="15" t="str">
        <f>IFERROR(__xludf.DUMMYFUNCTION("""COMPUTED_VALUE"""),"ITN")</f>
        <v>ITN</v>
      </c>
      <c r="T133" s="15" t="str">
        <f>IFERROR(__xludf.DUMMYFUNCTION("""COMPUTED_VALUE"""),"301")</f>
        <v>301</v>
      </c>
      <c r="U133" s="15" t="str">
        <f>IFERROR(__xludf.DUMMYFUNCTION("""COMPUTED_VALUE"""),"266803355 1305243 8176775 nautica beach wear com ltda trifil v2c 301")</f>
        <v>266803355 1305243 8176775 nautica beach wear com ltda trifil v2c 301</v>
      </c>
      <c r="V133" s="15" t="b">
        <f>IFERROR(__xludf.DUMMYFUNCTION("""COMPUTED_VALUE"""),FALSE)</f>
        <v>0</v>
      </c>
    </row>
    <row r="134">
      <c r="A134" s="19">
        <f>IFERROR(__xludf.DUMMYFUNCTION("""COMPUTED_VALUE"""),46304.0)</f>
        <v>46304</v>
      </c>
      <c r="B134" s="19">
        <f>IFERROR(__xludf.DUMMYFUNCTION("""COMPUTED_VALUE"""),46321.0)</f>
        <v>46321</v>
      </c>
      <c r="C134" s="15">
        <f>IFERROR(__xludf.DUMMYFUNCTION("""COMPUTED_VALUE"""),10.0)</f>
        <v>10</v>
      </c>
      <c r="D134" s="15" t="str">
        <f>IFERROR(__xludf.DUMMYFUNCTION("""COMPUTED_VALUE"""),"CXO")</f>
        <v>CXO</v>
      </c>
      <c r="E134" s="15" t="str">
        <f>IFERROR(__xludf.DUMMYFUNCTION("""COMPUTED_VALUE"""),"I.E Calcados E Acessorios Ltda")</f>
        <v>I.E Calcados E Acessorios Ltda</v>
      </c>
      <c r="F134" s="15" t="str">
        <f>IFERROR(__xludf.DUMMYFUNCTION("""COMPUTED_VALUE"""),"TRIFIL")</f>
        <v>TRIFIL</v>
      </c>
      <c r="G134" s="15" t="str">
        <f>IFERROR(__xludf.DUMMYFUNCTION("""COMPUTED_VALUE"""),"266803356")</f>
        <v>266803356</v>
      </c>
      <c r="H134" s="15" t="str">
        <f>IFERROR(__xludf.DUMMYFUNCTION("""COMPUTED_VALUE"""),"1305851")</f>
        <v>1305851</v>
      </c>
      <c r="I134" s="15" t="str">
        <f>IFERROR(__xludf.DUMMYFUNCTION("""COMPUTED_VALUE"""),"8176710")</f>
        <v>8176710</v>
      </c>
      <c r="J134" s="15" t="str">
        <f>IFERROR(__xludf.DUMMYFUNCTION("""COMPUTED_VALUE"""),"CIF")</f>
        <v>CIF</v>
      </c>
      <c r="K134" s="15" t="str">
        <f>IFERROR(__xludf.DUMMYFUNCTION("""COMPUTED_VALUE"""),"(sem célula)")</f>
        <v>(sem célula)</v>
      </c>
      <c r="L134" s="15" t="str">
        <f>IFERROR(__xludf.DUMMYFUNCTION("""COMPUTED_VALUE"""),"AUTORIZADO")</f>
        <v>AUTORIZADO</v>
      </c>
      <c r="M134" s="15" t="str">
        <f>IFERROR(__xludf.DUMMYFUNCTION("""COMPUTED_VALUE"""),"NA ORIGEM")</f>
        <v>NA ORIGEM</v>
      </c>
      <c r="N134" s="15" t="str">
        <f>IFERROR(__xludf.DUMMYFUNCTION("""COMPUTED_VALUE"""),"Antes Prazo")</f>
        <v>Antes Prazo</v>
      </c>
      <c r="O134" s="15" t="str">
        <f>IFERROR(__xludf.DUMMYFUNCTION("""COMPUTED_VALUE"""),"B2B")</f>
        <v>B2B</v>
      </c>
      <c r="P134" s="16">
        <f>IFERROR(__xludf.DUMMYFUNCTION("""COMPUTED_VALUE"""),50.14)</f>
        <v>50.14</v>
      </c>
      <c r="Q134" s="15">
        <f>IFERROR(__xludf.DUMMYFUNCTION("""COMPUTED_VALUE"""),1.0)</f>
        <v>1</v>
      </c>
      <c r="R134" s="15" t="str">
        <f>IFERROR(__xludf.DUMMYFUNCTION("""COMPUTED_VALUE"""),"RODO")</f>
        <v>RODO</v>
      </c>
      <c r="S134" s="15" t="str">
        <f>IFERROR(__xludf.DUMMYFUNCTION("""COMPUTED_VALUE"""),"ITN")</f>
        <v>ITN</v>
      </c>
      <c r="T134" s="15" t="str">
        <f>IFERROR(__xludf.DUMMYFUNCTION("""COMPUTED_VALUE"""),"108")</f>
        <v>108</v>
      </c>
      <c r="U134" s="15" t="str">
        <f>IFERROR(__xludf.DUMMYFUNCTION("""COMPUTED_VALUE"""),"266803356 1305851 8176710 i.e calcados e acessorios ltda trifil cxo 108")</f>
        <v>266803356 1305851 8176710 i.e calcados e acessorios ltda trifil cxo 108</v>
      </c>
      <c r="V134" s="15" t="b">
        <f>IFERROR(__xludf.DUMMYFUNCTION("""COMPUTED_VALUE"""),FALSE)</f>
        <v>0</v>
      </c>
    </row>
    <row r="135">
      <c r="A135" s="19">
        <f>IFERROR(__xludf.DUMMYFUNCTION("""COMPUTED_VALUE"""),46304.0)</f>
        <v>46304</v>
      </c>
      <c r="B135" s="19">
        <f>IFERROR(__xludf.DUMMYFUNCTION("""COMPUTED_VALUE"""),46318.0)</f>
        <v>46318</v>
      </c>
      <c r="C135" s="15">
        <f>IFERROR(__xludf.DUMMYFUNCTION("""COMPUTED_VALUE"""),9.0)</f>
        <v>9</v>
      </c>
      <c r="D135" s="15" t="str">
        <f>IFERROR(__xludf.DUMMYFUNCTION("""COMPUTED_VALUE"""),"CXO")</f>
        <v>CXO</v>
      </c>
      <c r="E135" s="15" t="str">
        <f>IFERROR(__xludf.DUMMYFUNCTION("""COMPUTED_VALUE"""),"A ECONOMIA")</f>
        <v>A ECONOMIA</v>
      </c>
      <c r="F135" s="15" t="str">
        <f>IFERROR(__xludf.DUMMYFUNCTION("""COMPUTED_VALUE"""),"TRIFIL")</f>
        <v>TRIFIL</v>
      </c>
      <c r="G135" s="15" t="str">
        <f>IFERROR(__xludf.DUMMYFUNCTION("""COMPUTED_VALUE"""),"266803357")</f>
        <v>266803357</v>
      </c>
      <c r="H135" s="15" t="str">
        <f>IFERROR(__xludf.DUMMYFUNCTION("""COMPUTED_VALUE"""),"1305525")</f>
        <v>1305525</v>
      </c>
      <c r="I135" s="15" t="str">
        <f>IFERROR(__xludf.DUMMYFUNCTION("""COMPUTED_VALUE"""),"8176806")</f>
        <v>8176806</v>
      </c>
      <c r="J135" s="15" t="str">
        <f>IFERROR(__xludf.DUMMYFUNCTION("""COMPUTED_VALUE"""),"CIF")</f>
        <v>CIF</v>
      </c>
      <c r="K135" s="15" t="str">
        <f>IFERROR(__xludf.DUMMYFUNCTION("""COMPUTED_VALUE"""),"(sem célula)")</f>
        <v>(sem célula)</v>
      </c>
      <c r="L135" s="15" t="str">
        <f>IFERROR(__xludf.DUMMYFUNCTION("""COMPUTED_VALUE"""),"AUTORIZADO")</f>
        <v>AUTORIZADO</v>
      </c>
      <c r="M135" s="15" t="str">
        <f>IFERROR(__xludf.DUMMYFUNCTION("""COMPUTED_VALUE"""),"NA ORIGEM")</f>
        <v>NA ORIGEM</v>
      </c>
      <c r="N135" s="15" t="str">
        <f>IFERROR(__xludf.DUMMYFUNCTION("""COMPUTED_VALUE"""),"Antes Prazo")</f>
        <v>Antes Prazo</v>
      </c>
      <c r="O135" s="15" t="str">
        <f>IFERROR(__xludf.DUMMYFUNCTION("""COMPUTED_VALUE"""),"B2B")</f>
        <v>B2B</v>
      </c>
      <c r="P135" s="16">
        <f>IFERROR(__xludf.DUMMYFUNCTION("""COMPUTED_VALUE"""),50.14)</f>
        <v>50.14</v>
      </c>
      <c r="Q135" s="15">
        <f>IFERROR(__xludf.DUMMYFUNCTION("""COMPUTED_VALUE"""),1.0)</f>
        <v>1</v>
      </c>
      <c r="R135" s="15" t="str">
        <f>IFERROR(__xludf.DUMMYFUNCTION("""COMPUTED_VALUE"""),"RODO")</f>
        <v>RODO</v>
      </c>
      <c r="S135" s="15" t="str">
        <f>IFERROR(__xludf.DUMMYFUNCTION("""COMPUTED_VALUE"""),"ITN")</f>
        <v>ITN</v>
      </c>
      <c r="T135" s="15" t="str">
        <f>IFERROR(__xludf.DUMMYFUNCTION("""COMPUTED_VALUE"""),"101")</f>
        <v>101</v>
      </c>
      <c r="U135" s="15" t="str">
        <f>IFERROR(__xludf.DUMMYFUNCTION("""COMPUTED_VALUE"""),"266803357 1305525 8176806 a economia trifil cxo 101")</f>
        <v>266803357 1305525 8176806 a economia trifil cxo 101</v>
      </c>
      <c r="V135" s="15" t="b">
        <f>IFERROR(__xludf.DUMMYFUNCTION("""COMPUTED_VALUE"""),FALSE)</f>
        <v>0</v>
      </c>
    </row>
    <row r="136">
      <c r="A136" s="19">
        <f>IFERROR(__xludf.DUMMYFUNCTION("""COMPUTED_VALUE"""),46304.0)</f>
        <v>46304</v>
      </c>
      <c r="B136" s="19">
        <f>IFERROR(__xludf.DUMMYFUNCTION("""COMPUTED_VALUE"""),46321.0)</f>
        <v>46321</v>
      </c>
      <c r="C136" s="15">
        <f>IFERROR(__xludf.DUMMYFUNCTION("""COMPUTED_VALUE"""),10.0)</f>
        <v>10</v>
      </c>
      <c r="D136" s="15" t="str">
        <f>IFERROR(__xludf.DUMMYFUNCTION("""COMPUTED_VALUE"""),"COL")</f>
        <v>COL</v>
      </c>
      <c r="E136" s="15" t="str">
        <f>IFERROR(__xludf.DUMMYFUNCTION("""COMPUTED_VALUE"""),"MAYLADY")</f>
        <v>MAYLADY</v>
      </c>
      <c r="F136" s="15" t="str">
        <f>IFERROR(__xludf.DUMMYFUNCTION("""COMPUTED_VALUE"""),"TRIFIL")</f>
        <v>TRIFIL</v>
      </c>
      <c r="G136" s="15" t="str">
        <f>IFERROR(__xludf.DUMMYFUNCTION("""COMPUTED_VALUE"""),"266803358")</f>
        <v>266803358</v>
      </c>
      <c r="H136" s="15" t="str">
        <f>IFERROR(__xludf.DUMMYFUNCTION("""COMPUTED_VALUE"""),"1305265")</f>
        <v>1305265</v>
      </c>
      <c r="I136" s="15" t="str">
        <f>IFERROR(__xludf.DUMMYFUNCTION("""COMPUTED_VALUE"""),"8176935")</f>
        <v>8176935</v>
      </c>
      <c r="J136" s="15" t="str">
        <f>IFERROR(__xludf.DUMMYFUNCTION("""COMPUTED_VALUE"""),"CIF")</f>
        <v>CIF</v>
      </c>
      <c r="K136" s="15" t="str">
        <f>IFERROR(__xludf.DUMMYFUNCTION("""COMPUTED_VALUE"""),"(sem célula)")</f>
        <v>(sem célula)</v>
      </c>
      <c r="L136" s="15" t="str">
        <f>IFERROR(__xludf.DUMMYFUNCTION("""COMPUTED_VALUE"""),"AUTORIZADO")</f>
        <v>AUTORIZADO</v>
      </c>
      <c r="M136" s="15" t="str">
        <f>IFERROR(__xludf.DUMMYFUNCTION("""COMPUTED_VALUE"""),"NA ORIGEM")</f>
        <v>NA ORIGEM</v>
      </c>
      <c r="N136" s="15" t="str">
        <f>IFERROR(__xludf.DUMMYFUNCTION("""COMPUTED_VALUE"""),"Antes Prazo")</f>
        <v>Antes Prazo</v>
      </c>
      <c r="O136" s="15" t="str">
        <f>IFERROR(__xludf.DUMMYFUNCTION("""COMPUTED_VALUE"""),"B2B")</f>
        <v>B2B</v>
      </c>
      <c r="P136" s="16">
        <f>IFERROR(__xludf.DUMMYFUNCTION("""COMPUTED_VALUE"""),50.14)</f>
        <v>50.14</v>
      </c>
      <c r="Q136" s="15">
        <f>IFERROR(__xludf.DUMMYFUNCTION("""COMPUTED_VALUE"""),1.0)</f>
        <v>1</v>
      </c>
      <c r="R136" s="15" t="str">
        <f>IFERROR(__xludf.DUMMYFUNCTION("""COMPUTED_VALUE"""),"RODO")</f>
        <v>RODO</v>
      </c>
      <c r="S136" s="15" t="str">
        <f>IFERROR(__xludf.DUMMYFUNCTION("""COMPUTED_VALUE"""),"ITN")</f>
        <v>ITN</v>
      </c>
      <c r="T136" s="15" t="str">
        <f>IFERROR(__xludf.DUMMYFUNCTION("""COMPUTED_VALUE"""),"101")</f>
        <v>101</v>
      </c>
      <c r="U136" s="15" t="str">
        <f>IFERROR(__xludf.DUMMYFUNCTION("""COMPUTED_VALUE"""),"266803358 1305265 8176935 maylady trifil col 101")</f>
        <v>266803358 1305265 8176935 maylady trifil col 101</v>
      </c>
      <c r="V136" s="15" t="b">
        <f>IFERROR(__xludf.DUMMYFUNCTION("""COMPUTED_VALUE"""),FALSE)</f>
        <v>0</v>
      </c>
    </row>
    <row r="137">
      <c r="A137" s="19">
        <f>IFERROR(__xludf.DUMMYFUNCTION("""COMPUTED_VALUE"""),46304.0)</f>
        <v>46304</v>
      </c>
      <c r="B137" s="19">
        <f>IFERROR(__xludf.DUMMYFUNCTION("""COMPUTED_VALUE"""),46322.0)</f>
        <v>46322</v>
      </c>
      <c r="C137" s="15">
        <f>IFERROR(__xludf.DUMMYFUNCTION("""COMPUTED_VALUE"""),11.0)</f>
        <v>11</v>
      </c>
      <c r="D137" s="15" t="str">
        <f>IFERROR(__xludf.DUMMYFUNCTION("""COMPUTED_VALUE"""),"COL")</f>
        <v>COL</v>
      </c>
      <c r="E137" s="15" t="str">
        <f>IFERROR(__xludf.DUMMYFUNCTION("""COMPUTED_VALUE"""),"COMERCIAL VEIGA")</f>
        <v>COMERCIAL VEIGA</v>
      </c>
      <c r="F137" s="15" t="str">
        <f>IFERROR(__xludf.DUMMYFUNCTION("""COMPUTED_VALUE"""),"TRIFIL")</f>
        <v>TRIFIL</v>
      </c>
      <c r="G137" s="15" t="str">
        <f>IFERROR(__xludf.DUMMYFUNCTION("""COMPUTED_VALUE"""),"266803359")</f>
        <v>266803359</v>
      </c>
      <c r="H137" s="15" t="str">
        <f>IFERROR(__xludf.DUMMYFUNCTION("""COMPUTED_VALUE"""),"1305496")</f>
        <v>1305496</v>
      </c>
      <c r="I137" s="15" t="str">
        <f>IFERROR(__xludf.DUMMYFUNCTION("""COMPUTED_VALUE"""),"8176976")</f>
        <v>8176976</v>
      </c>
      <c r="J137" s="15" t="str">
        <f>IFERROR(__xludf.DUMMYFUNCTION("""COMPUTED_VALUE"""),"CIF")</f>
        <v>CIF</v>
      </c>
      <c r="K137" s="15" t="str">
        <f>IFERROR(__xludf.DUMMYFUNCTION("""COMPUTED_VALUE"""),"(sem célula)")</f>
        <v>(sem célula)</v>
      </c>
      <c r="L137" s="15" t="str">
        <f>IFERROR(__xludf.DUMMYFUNCTION("""COMPUTED_VALUE"""),"AUTORIZADO")</f>
        <v>AUTORIZADO</v>
      </c>
      <c r="M137" s="15" t="str">
        <f>IFERROR(__xludf.DUMMYFUNCTION("""COMPUTED_VALUE"""),"NA ORIGEM")</f>
        <v>NA ORIGEM</v>
      </c>
      <c r="N137" s="15" t="str">
        <f>IFERROR(__xludf.DUMMYFUNCTION("""COMPUTED_VALUE"""),"Antes Prazo")</f>
        <v>Antes Prazo</v>
      </c>
      <c r="O137" s="15" t="str">
        <f>IFERROR(__xludf.DUMMYFUNCTION("""COMPUTED_VALUE"""),"B2B")</f>
        <v>B2B</v>
      </c>
      <c r="P137" s="16">
        <f>IFERROR(__xludf.DUMMYFUNCTION("""COMPUTED_VALUE"""),50.14)</f>
        <v>50.14</v>
      </c>
      <c r="Q137" s="15">
        <f>IFERROR(__xludf.DUMMYFUNCTION("""COMPUTED_VALUE"""),1.0)</f>
        <v>1</v>
      </c>
      <c r="R137" s="15" t="str">
        <f>IFERROR(__xludf.DUMMYFUNCTION("""COMPUTED_VALUE"""),"RODO")</f>
        <v>RODO</v>
      </c>
      <c r="S137" s="15" t="str">
        <f>IFERROR(__xludf.DUMMYFUNCTION("""COMPUTED_VALUE"""),"ITN")</f>
        <v>ITN</v>
      </c>
      <c r="T137" s="15" t="str">
        <f>IFERROR(__xludf.DUMMYFUNCTION("""COMPUTED_VALUE"""),"105")</f>
        <v>105</v>
      </c>
      <c r="U137" s="15" t="str">
        <f>IFERROR(__xludf.DUMMYFUNCTION("""COMPUTED_VALUE"""),"266803359 1305496 8176976 comercial veiga trifil col 105")</f>
        <v>266803359 1305496 8176976 comercial veiga trifil col 105</v>
      </c>
      <c r="V137" s="15" t="b">
        <f>IFERROR(__xludf.DUMMYFUNCTION("""COMPUTED_VALUE"""),FALSE)</f>
        <v>0</v>
      </c>
    </row>
    <row r="138">
      <c r="A138" s="19">
        <f>IFERROR(__xludf.DUMMYFUNCTION("""COMPUTED_VALUE"""),46304.0)</f>
        <v>46304</v>
      </c>
      <c r="B138" s="19">
        <f>IFERROR(__xludf.DUMMYFUNCTION("""COMPUTED_VALUE"""),46322.0)</f>
        <v>46322</v>
      </c>
      <c r="C138" s="15">
        <f>IFERROR(__xludf.DUMMYFUNCTION("""COMPUTED_VALUE"""),11.0)</f>
        <v>11</v>
      </c>
      <c r="D138" s="15" t="str">
        <f>IFERROR(__xludf.DUMMYFUNCTION("""COMPUTED_VALUE"""),"COL")</f>
        <v>COL</v>
      </c>
      <c r="E138" s="15" t="str">
        <f>IFERROR(__xludf.DUMMYFUNCTION("""COMPUTED_VALUE"""),"JANALLIMA")</f>
        <v>JANALLIMA</v>
      </c>
      <c r="F138" s="15" t="str">
        <f>IFERROR(__xludf.DUMMYFUNCTION("""COMPUTED_VALUE"""),"TRIFIL")</f>
        <v>TRIFIL</v>
      </c>
      <c r="G138" s="15" t="str">
        <f>IFERROR(__xludf.DUMMYFUNCTION("""COMPUTED_VALUE"""),"266803360")</f>
        <v>266803360</v>
      </c>
      <c r="H138" s="15" t="str">
        <f>IFERROR(__xludf.DUMMYFUNCTION("""COMPUTED_VALUE"""),"1305445")</f>
        <v>1305445</v>
      </c>
      <c r="I138" s="15" t="str">
        <f>IFERROR(__xludf.DUMMYFUNCTION("""COMPUTED_VALUE"""),"8176902")</f>
        <v>8176902</v>
      </c>
      <c r="J138" s="15" t="str">
        <f>IFERROR(__xludf.DUMMYFUNCTION("""COMPUTED_VALUE"""),"CIF")</f>
        <v>CIF</v>
      </c>
      <c r="K138" s="15" t="str">
        <f>IFERROR(__xludf.DUMMYFUNCTION("""COMPUTED_VALUE"""),"(sem célula)")</f>
        <v>(sem célula)</v>
      </c>
      <c r="L138" s="15" t="str">
        <f>IFERROR(__xludf.DUMMYFUNCTION("""COMPUTED_VALUE"""),"AUTORIZADO")</f>
        <v>AUTORIZADO</v>
      </c>
      <c r="M138" s="15" t="str">
        <f>IFERROR(__xludf.DUMMYFUNCTION("""COMPUTED_VALUE"""),"NA ORIGEM")</f>
        <v>NA ORIGEM</v>
      </c>
      <c r="N138" s="15" t="str">
        <f>IFERROR(__xludf.DUMMYFUNCTION("""COMPUTED_VALUE"""),"Antes Prazo")</f>
        <v>Antes Prazo</v>
      </c>
      <c r="O138" s="15" t="str">
        <f>IFERROR(__xludf.DUMMYFUNCTION("""COMPUTED_VALUE"""),"B2B")</f>
        <v>B2B</v>
      </c>
      <c r="P138" s="16">
        <f>IFERROR(__xludf.DUMMYFUNCTION("""COMPUTED_VALUE"""),50.14)</f>
        <v>50.14</v>
      </c>
      <c r="Q138" s="15">
        <f>IFERROR(__xludf.DUMMYFUNCTION("""COMPUTED_VALUE"""),1.0)</f>
        <v>1</v>
      </c>
      <c r="R138" s="15" t="str">
        <f>IFERROR(__xludf.DUMMYFUNCTION("""COMPUTED_VALUE"""),"RODO")</f>
        <v>RODO</v>
      </c>
      <c r="S138" s="15" t="str">
        <f>IFERROR(__xludf.DUMMYFUNCTION("""COMPUTED_VALUE"""),"ITN")</f>
        <v>ITN</v>
      </c>
      <c r="T138" s="15" t="str">
        <f>IFERROR(__xludf.DUMMYFUNCTION("""COMPUTED_VALUE"""),"105")</f>
        <v>105</v>
      </c>
      <c r="U138" s="15" t="str">
        <f>IFERROR(__xludf.DUMMYFUNCTION("""COMPUTED_VALUE"""),"266803360 1305445 8176902 janallima trifil col 105")</f>
        <v>266803360 1305445 8176902 janallima trifil col 105</v>
      </c>
      <c r="V138" s="15" t="b">
        <f>IFERROR(__xludf.DUMMYFUNCTION("""COMPUTED_VALUE"""),FALSE)</f>
        <v>0</v>
      </c>
    </row>
    <row r="139">
      <c r="A139" s="19">
        <f>IFERROR(__xludf.DUMMYFUNCTION("""COMPUTED_VALUE"""),46304.0)</f>
        <v>46304</v>
      </c>
      <c r="B139" s="19">
        <f>IFERROR(__xludf.DUMMYFUNCTION("""COMPUTED_VALUE"""),46322.0)</f>
        <v>46322</v>
      </c>
      <c r="C139" s="15">
        <f>IFERROR(__xludf.DUMMYFUNCTION("""COMPUTED_VALUE"""),11.0)</f>
        <v>11</v>
      </c>
      <c r="D139" s="15" t="str">
        <f>IFERROR(__xludf.DUMMYFUNCTION("""COMPUTED_VALUE"""),"COL")</f>
        <v>COL</v>
      </c>
      <c r="E139" s="15" t="str">
        <f>IFERROR(__xludf.DUMMYFUNCTION("""COMPUTED_VALUE"""),"DIBRUM MODAS LTDA")</f>
        <v>DIBRUM MODAS LTDA</v>
      </c>
      <c r="F139" s="15" t="str">
        <f>IFERROR(__xludf.DUMMYFUNCTION("""COMPUTED_VALUE"""),"TRIFIL")</f>
        <v>TRIFIL</v>
      </c>
      <c r="G139" s="15" t="str">
        <f>IFERROR(__xludf.DUMMYFUNCTION("""COMPUTED_VALUE"""),"266803361")</f>
        <v>266803361</v>
      </c>
      <c r="H139" s="15" t="str">
        <f>IFERROR(__xludf.DUMMYFUNCTION("""COMPUTED_VALUE"""),"1305407")</f>
        <v>1305407</v>
      </c>
      <c r="I139" s="15" t="str">
        <f>IFERROR(__xludf.DUMMYFUNCTION("""COMPUTED_VALUE"""),"8176875")</f>
        <v>8176875</v>
      </c>
      <c r="J139" s="15" t="str">
        <f>IFERROR(__xludf.DUMMYFUNCTION("""COMPUTED_VALUE"""),"CIF")</f>
        <v>CIF</v>
      </c>
      <c r="K139" s="15" t="str">
        <f>IFERROR(__xludf.DUMMYFUNCTION("""COMPUTED_VALUE"""),"(sem célula)")</f>
        <v>(sem célula)</v>
      </c>
      <c r="L139" s="15" t="str">
        <f>IFERROR(__xludf.DUMMYFUNCTION("""COMPUTED_VALUE"""),"AUTORIZADO")</f>
        <v>AUTORIZADO</v>
      </c>
      <c r="M139" s="15" t="str">
        <f>IFERROR(__xludf.DUMMYFUNCTION("""COMPUTED_VALUE"""),"NA ORIGEM")</f>
        <v>NA ORIGEM</v>
      </c>
      <c r="N139" s="15" t="str">
        <f>IFERROR(__xludf.DUMMYFUNCTION("""COMPUTED_VALUE"""),"Antes Prazo")</f>
        <v>Antes Prazo</v>
      </c>
      <c r="O139" s="15" t="str">
        <f>IFERROR(__xludf.DUMMYFUNCTION("""COMPUTED_VALUE"""),"B2B")</f>
        <v>B2B</v>
      </c>
      <c r="P139" s="16">
        <f>IFERROR(__xludf.DUMMYFUNCTION("""COMPUTED_VALUE"""),50.14)</f>
        <v>50.14</v>
      </c>
      <c r="Q139" s="15">
        <f>IFERROR(__xludf.DUMMYFUNCTION("""COMPUTED_VALUE"""),1.0)</f>
        <v>1</v>
      </c>
      <c r="R139" s="15" t="str">
        <f>IFERROR(__xludf.DUMMYFUNCTION("""COMPUTED_VALUE"""),"RODO")</f>
        <v>RODO</v>
      </c>
      <c r="S139" s="15" t="str">
        <f>IFERROR(__xludf.DUMMYFUNCTION("""COMPUTED_VALUE"""),"ITN")</f>
        <v>ITN</v>
      </c>
      <c r="T139" s="15" t="str">
        <f>IFERROR(__xludf.DUMMYFUNCTION("""COMPUTED_VALUE"""),"1091")</f>
        <v>1091</v>
      </c>
      <c r="U139" s="15" t="str">
        <f>IFERROR(__xludf.DUMMYFUNCTION("""COMPUTED_VALUE"""),"266803361 1305407 8176875 dibrum modas ltda trifil col 1091")</f>
        <v>266803361 1305407 8176875 dibrum modas ltda trifil col 1091</v>
      </c>
      <c r="V139" s="15" t="b">
        <f>IFERROR(__xludf.DUMMYFUNCTION("""COMPUTED_VALUE"""),FALSE)</f>
        <v>0</v>
      </c>
    </row>
    <row r="140">
      <c r="A140" s="19">
        <f>IFERROR(__xludf.DUMMYFUNCTION("""COMPUTED_VALUE"""),46304.0)</f>
        <v>46304</v>
      </c>
      <c r="B140" s="19">
        <f>IFERROR(__xludf.DUMMYFUNCTION("""COMPUTED_VALUE"""),46322.0)</f>
        <v>46322</v>
      </c>
      <c r="C140" s="15">
        <f>IFERROR(__xludf.DUMMYFUNCTION("""COMPUTED_VALUE"""),11.0)</f>
        <v>11</v>
      </c>
      <c r="D140" s="15" t="str">
        <f>IFERROR(__xludf.DUMMYFUNCTION("""COMPUTED_VALUE"""),"COL")</f>
        <v>COL</v>
      </c>
      <c r="E140" s="15" t="str">
        <f>IFERROR(__xludf.DUMMYFUNCTION("""COMPUTED_VALUE"""),"VIDIO CONFECCOES LTDA")</f>
        <v>VIDIO CONFECCOES LTDA</v>
      </c>
      <c r="F140" s="15" t="str">
        <f>IFERROR(__xludf.DUMMYFUNCTION("""COMPUTED_VALUE"""),"TRIFIL")</f>
        <v>TRIFIL</v>
      </c>
      <c r="G140" s="15" t="str">
        <f>IFERROR(__xludf.DUMMYFUNCTION("""COMPUTED_VALUE"""),"266803362")</f>
        <v>266803362</v>
      </c>
      <c r="H140" s="15" t="str">
        <f>IFERROR(__xludf.DUMMYFUNCTION("""COMPUTED_VALUE"""),"1305693")</f>
        <v>1305693</v>
      </c>
      <c r="I140" s="15" t="str">
        <f>IFERROR(__xludf.DUMMYFUNCTION("""COMPUTED_VALUE"""),"8176776")</f>
        <v>8176776</v>
      </c>
      <c r="J140" s="15" t="str">
        <f>IFERROR(__xludf.DUMMYFUNCTION("""COMPUTED_VALUE"""),"CIF")</f>
        <v>CIF</v>
      </c>
      <c r="K140" s="15" t="str">
        <f>IFERROR(__xludf.DUMMYFUNCTION("""COMPUTED_VALUE"""),"(sem célula)")</f>
        <v>(sem célula)</v>
      </c>
      <c r="L140" s="15" t="str">
        <f>IFERROR(__xludf.DUMMYFUNCTION("""COMPUTED_VALUE"""),"AUTORIZADO")</f>
        <v>AUTORIZADO</v>
      </c>
      <c r="M140" s="15" t="str">
        <f>IFERROR(__xludf.DUMMYFUNCTION("""COMPUTED_VALUE"""),"NA ORIGEM")</f>
        <v>NA ORIGEM</v>
      </c>
      <c r="N140" s="15" t="str">
        <f>IFERROR(__xludf.DUMMYFUNCTION("""COMPUTED_VALUE"""),"Antes Prazo")</f>
        <v>Antes Prazo</v>
      </c>
      <c r="O140" s="15" t="str">
        <f>IFERROR(__xludf.DUMMYFUNCTION("""COMPUTED_VALUE"""),"B2B")</f>
        <v>B2B</v>
      </c>
      <c r="P140" s="16">
        <f>IFERROR(__xludf.DUMMYFUNCTION("""COMPUTED_VALUE"""),50.14)</f>
        <v>50.14</v>
      </c>
      <c r="Q140" s="15">
        <f>IFERROR(__xludf.DUMMYFUNCTION("""COMPUTED_VALUE"""),1.0)</f>
        <v>1</v>
      </c>
      <c r="R140" s="15" t="str">
        <f>IFERROR(__xludf.DUMMYFUNCTION("""COMPUTED_VALUE"""),"RODO")</f>
        <v>RODO</v>
      </c>
      <c r="S140" s="15" t="str">
        <f>IFERROR(__xludf.DUMMYFUNCTION("""COMPUTED_VALUE"""),"ITN")</f>
        <v>ITN</v>
      </c>
      <c r="T140" s="15" t="str">
        <f>IFERROR(__xludf.DUMMYFUNCTION("""COMPUTED_VALUE"""),"1091")</f>
        <v>1091</v>
      </c>
      <c r="U140" s="15" t="str">
        <f>IFERROR(__xludf.DUMMYFUNCTION("""COMPUTED_VALUE"""),"266803362 1305693 8176776 vidio confeccoes ltda trifil col 1091")</f>
        <v>266803362 1305693 8176776 vidio confeccoes ltda trifil col 1091</v>
      </c>
      <c r="V140" s="15" t="b">
        <f>IFERROR(__xludf.DUMMYFUNCTION("""COMPUTED_VALUE"""),FALSE)</f>
        <v>0</v>
      </c>
    </row>
    <row r="141">
      <c r="A141" s="19">
        <f>IFERROR(__xludf.DUMMYFUNCTION("""COMPUTED_VALUE"""),46304.0)</f>
        <v>46304</v>
      </c>
      <c r="B141" s="19">
        <f>IFERROR(__xludf.DUMMYFUNCTION("""COMPUTED_VALUE"""),46317.0)</f>
        <v>46317</v>
      </c>
      <c r="C141" s="15">
        <f>IFERROR(__xludf.DUMMYFUNCTION("""COMPUTED_VALUE"""),8.0)</f>
        <v>8</v>
      </c>
      <c r="D141" s="15" t="str">
        <f>IFERROR(__xludf.DUMMYFUNCTION("""COMPUTED_VALUE"""),"BCG")</f>
        <v>BCG</v>
      </c>
      <c r="E141" s="15" t="str">
        <f>IFERROR(__xludf.DUMMYFUNCTION("""COMPUTED_VALUE"""),"IBIRITE CALCADOS LTDA")</f>
        <v>IBIRITE CALCADOS LTDA</v>
      </c>
      <c r="F141" s="15" t="str">
        <f>IFERROR(__xludf.DUMMYFUNCTION("""COMPUTED_VALUE"""),"TRIFIL")</f>
        <v>TRIFIL</v>
      </c>
      <c r="G141" s="15" t="str">
        <f>IFERROR(__xludf.DUMMYFUNCTION("""COMPUTED_VALUE"""),"266803363")</f>
        <v>266803363</v>
      </c>
      <c r="H141" s="15" t="str">
        <f>IFERROR(__xludf.DUMMYFUNCTION("""COMPUTED_VALUE"""),"1305678")</f>
        <v>1305678</v>
      </c>
      <c r="I141" s="15" t="str">
        <f>IFERROR(__xludf.DUMMYFUNCTION("""COMPUTED_VALUE"""),"8176733")</f>
        <v>8176733</v>
      </c>
      <c r="J141" s="15" t="str">
        <f>IFERROR(__xludf.DUMMYFUNCTION("""COMPUTED_VALUE"""),"CIF")</f>
        <v>CIF</v>
      </c>
      <c r="K141" s="15" t="str">
        <f>IFERROR(__xludf.DUMMYFUNCTION("""COMPUTED_VALUE"""),"(sem célula)")</f>
        <v>(sem célula)</v>
      </c>
      <c r="L141" s="15" t="str">
        <f>IFERROR(__xludf.DUMMYFUNCTION("""COMPUTED_VALUE"""),"AUTORIZADO")</f>
        <v>AUTORIZADO</v>
      </c>
      <c r="M141" s="15" t="str">
        <f>IFERROR(__xludf.DUMMYFUNCTION("""COMPUTED_VALUE"""),"NA ORIGEM")</f>
        <v>NA ORIGEM</v>
      </c>
      <c r="N141" s="15" t="str">
        <f>IFERROR(__xludf.DUMMYFUNCTION("""COMPUTED_VALUE"""),"Antes Prazo")</f>
        <v>Antes Prazo</v>
      </c>
      <c r="O141" s="15" t="str">
        <f>IFERROR(__xludf.DUMMYFUNCTION("""COMPUTED_VALUE"""),"B2B")</f>
        <v>B2B</v>
      </c>
      <c r="P141" s="16">
        <f>IFERROR(__xludf.DUMMYFUNCTION("""COMPUTED_VALUE"""),51.62)</f>
        <v>51.62</v>
      </c>
      <c r="Q141" s="15">
        <f>IFERROR(__xludf.DUMMYFUNCTION("""COMPUTED_VALUE"""),1.0)</f>
        <v>1</v>
      </c>
      <c r="R141" s="15" t="str">
        <f>IFERROR(__xludf.DUMMYFUNCTION("""COMPUTED_VALUE"""),"RODO")</f>
        <v>RODO</v>
      </c>
      <c r="S141" s="15" t="str">
        <f>IFERROR(__xludf.DUMMYFUNCTION("""COMPUTED_VALUE"""),"ITN")</f>
        <v>ITN</v>
      </c>
      <c r="T141" s="15" t="str">
        <f>IFERROR(__xludf.DUMMYFUNCTION("""COMPUTED_VALUE"""),"115")</f>
        <v>115</v>
      </c>
      <c r="U141" s="15" t="str">
        <f>IFERROR(__xludf.DUMMYFUNCTION("""COMPUTED_VALUE"""),"266803363 1305678 8176733 ibirite calcados ltda trifil bcg 115")</f>
        <v>266803363 1305678 8176733 ibirite calcados ltda trifil bcg 115</v>
      </c>
      <c r="V141" s="15" t="b">
        <f>IFERROR(__xludf.DUMMYFUNCTION("""COMPUTED_VALUE"""),FALSE)</f>
        <v>0</v>
      </c>
    </row>
    <row r="142">
      <c r="A142" s="19">
        <f>IFERROR(__xludf.DUMMYFUNCTION("""COMPUTED_VALUE"""),46304.0)</f>
        <v>46304</v>
      </c>
      <c r="B142" s="19">
        <f>IFERROR(__xludf.DUMMYFUNCTION("""COMPUTED_VALUE"""),46317.0)</f>
        <v>46317</v>
      </c>
      <c r="C142" s="15">
        <f>IFERROR(__xludf.DUMMYFUNCTION("""COMPUTED_VALUE"""),8.0)</f>
        <v>8</v>
      </c>
      <c r="D142" s="15" t="str">
        <f>IFERROR(__xludf.DUMMYFUNCTION("""COMPUTED_VALUE"""),"BCG")</f>
        <v>BCG</v>
      </c>
      <c r="E142" s="15" t="str">
        <f>IFERROR(__xludf.DUMMYFUNCTION("""COMPUTED_VALUE"""),"LOJAS FERNANDES LTDA")</f>
        <v>LOJAS FERNANDES LTDA</v>
      </c>
      <c r="F142" s="15" t="str">
        <f>IFERROR(__xludf.DUMMYFUNCTION("""COMPUTED_VALUE"""),"TRIFIL")</f>
        <v>TRIFIL</v>
      </c>
      <c r="G142" s="15" t="str">
        <f>IFERROR(__xludf.DUMMYFUNCTION("""COMPUTED_VALUE"""),"266803364")</f>
        <v>266803364</v>
      </c>
      <c r="H142" s="15" t="str">
        <f>IFERROR(__xludf.DUMMYFUNCTION("""COMPUTED_VALUE"""),"1305580")</f>
        <v>1305580</v>
      </c>
      <c r="I142" s="15" t="str">
        <f>IFERROR(__xludf.DUMMYFUNCTION("""COMPUTED_VALUE"""),"8176749")</f>
        <v>8176749</v>
      </c>
      <c r="J142" s="15" t="str">
        <f>IFERROR(__xludf.DUMMYFUNCTION("""COMPUTED_VALUE"""),"CIF")</f>
        <v>CIF</v>
      </c>
      <c r="K142" s="15" t="str">
        <f>IFERROR(__xludf.DUMMYFUNCTION("""COMPUTED_VALUE"""),"(sem célula)")</f>
        <v>(sem célula)</v>
      </c>
      <c r="L142" s="15" t="str">
        <f>IFERROR(__xludf.DUMMYFUNCTION("""COMPUTED_VALUE"""),"AUTORIZADO")</f>
        <v>AUTORIZADO</v>
      </c>
      <c r="M142" s="15" t="str">
        <f>IFERROR(__xludf.DUMMYFUNCTION("""COMPUTED_VALUE"""),"NA ORIGEM")</f>
        <v>NA ORIGEM</v>
      </c>
      <c r="N142" s="15" t="str">
        <f>IFERROR(__xludf.DUMMYFUNCTION("""COMPUTED_VALUE"""),"Antes Prazo")</f>
        <v>Antes Prazo</v>
      </c>
      <c r="O142" s="15" t="str">
        <f>IFERROR(__xludf.DUMMYFUNCTION("""COMPUTED_VALUE"""),"B2B")</f>
        <v>B2B</v>
      </c>
      <c r="P142" s="16">
        <f>IFERROR(__xludf.DUMMYFUNCTION("""COMPUTED_VALUE"""),51.62)</f>
        <v>51.62</v>
      </c>
      <c r="Q142" s="15">
        <f>IFERROR(__xludf.DUMMYFUNCTION("""COMPUTED_VALUE"""),2.0)</f>
        <v>2</v>
      </c>
      <c r="R142" s="15" t="str">
        <f>IFERROR(__xludf.DUMMYFUNCTION("""COMPUTED_VALUE"""),"RODO")</f>
        <v>RODO</v>
      </c>
      <c r="S142" s="15" t="str">
        <f>IFERROR(__xludf.DUMMYFUNCTION("""COMPUTED_VALUE"""),"ITN")</f>
        <v>ITN</v>
      </c>
      <c r="T142" s="15" t="str">
        <f>IFERROR(__xludf.DUMMYFUNCTION("""COMPUTED_VALUE"""),"128")</f>
        <v>128</v>
      </c>
      <c r="U142" s="15" t="str">
        <f>IFERROR(__xludf.DUMMYFUNCTION("""COMPUTED_VALUE"""),"266803364 1305580 8176749 lojas fernandes ltda trifil bcg 128")</f>
        <v>266803364 1305580 8176749 lojas fernandes ltda trifil bcg 128</v>
      </c>
      <c r="V142" s="15" t="b">
        <f>IFERROR(__xludf.DUMMYFUNCTION("""COMPUTED_VALUE"""),FALSE)</f>
        <v>0</v>
      </c>
    </row>
    <row r="143">
      <c r="A143" s="19">
        <f>IFERROR(__xludf.DUMMYFUNCTION("""COMPUTED_VALUE"""),46304.0)</f>
        <v>46304</v>
      </c>
      <c r="B143" s="19">
        <f>IFERROR(__xludf.DUMMYFUNCTION("""COMPUTED_VALUE"""),46317.0)</f>
        <v>46317</v>
      </c>
      <c r="C143" s="15">
        <f>IFERROR(__xludf.DUMMYFUNCTION("""COMPUTED_VALUE"""),8.0)</f>
        <v>8</v>
      </c>
      <c r="D143" s="15" t="str">
        <f>IFERROR(__xludf.DUMMYFUNCTION("""COMPUTED_VALUE"""),"BCG")</f>
        <v>BCG</v>
      </c>
      <c r="E143" s="15" t="str">
        <f>IFERROR(__xludf.DUMMYFUNCTION("""COMPUTED_VALUE"""),"MALU MAGAZINE COMERCIAL LTDA - ME")</f>
        <v>MALU MAGAZINE COMERCIAL LTDA - ME</v>
      </c>
      <c r="F143" s="15" t="str">
        <f>IFERROR(__xludf.DUMMYFUNCTION("""COMPUTED_VALUE"""),"TRIFIL")</f>
        <v>TRIFIL</v>
      </c>
      <c r="G143" s="15" t="str">
        <f>IFERROR(__xludf.DUMMYFUNCTION("""COMPUTED_VALUE"""),"266803365")</f>
        <v>266803365</v>
      </c>
      <c r="H143" s="15" t="str">
        <f>IFERROR(__xludf.DUMMYFUNCTION("""COMPUTED_VALUE"""),"1305682")</f>
        <v>1305682</v>
      </c>
      <c r="I143" s="15" t="str">
        <f>IFERROR(__xludf.DUMMYFUNCTION("""COMPUTED_VALUE"""),"8176876")</f>
        <v>8176876</v>
      </c>
      <c r="J143" s="15" t="str">
        <f>IFERROR(__xludf.DUMMYFUNCTION("""COMPUTED_VALUE"""),"CIF")</f>
        <v>CIF</v>
      </c>
      <c r="K143" s="15" t="str">
        <f>IFERROR(__xludf.DUMMYFUNCTION("""COMPUTED_VALUE"""),"(sem célula)")</f>
        <v>(sem célula)</v>
      </c>
      <c r="L143" s="15" t="str">
        <f>IFERROR(__xludf.DUMMYFUNCTION("""COMPUTED_VALUE"""),"AUTORIZADO")</f>
        <v>AUTORIZADO</v>
      </c>
      <c r="M143" s="15" t="str">
        <f>IFERROR(__xludf.DUMMYFUNCTION("""COMPUTED_VALUE"""),"NA ORIGEM")</f>
        <v>NA ORIGEM</v>
      </c>
      <c r="N143" s="15" t="str">
        <f>IFERROR(__xludf.DUMMYFUNCTION("""COMPUTED_VALUE"""),"Antes Prazo")</f>
        <v>Antes Prazo</v>
      </c>
      <c r="O143" s="15" t="str">
        <f>IFERROR(__xludf.DUMMYFUNCTION("""COMPUTED_VALUE"""),"B2B")</f>
        <v>B2B</v>
      </c>
      <c r="P143" s="16">
        <f>IFERROR(__xludf.DUMMYFUNCTION("""COMPUTED_VALUE"""),51.62)</f>
        <v>51.62</v>
      </c>
      <c r="Q143" s="15">
        <f>IFERROR(__xludf.DUMMYFUNCTION("""COMPUTED_VALUE"""),1.0)</f>
        <v>1</v>
      </c>
      <c r="R143" s="15" t="str">
        <f>IFERROR(__xludf.DUMMYFUNCTION("""COMPUTED_VALUE"""),"RODO")</f>
        <v>RODO</v>
      </c>
      <c r="S143" s="15" t="str">
        <f>IFERROR(__xludf.DUMMYFUNCTION("""COMPUTED_VALUE"""),"ITN")</f>
        <v>ITN</v>
      </c>
      <c r="T143" s="15" t="str">
        <f>IFERROR(__xludf.DUMMYFUNCTION("""COMPUTED_VALUE"""),"128")</f>
        <v>128</v>
      </c>
      <c r="U143" s="15" t="str">
        <f>IFERROR(__xludf.DUMMYFUNCTION("""COMPUTED_VALUE"""),"266803365 1305682 8176876 malu magazine comercial ltda - me trifil bcg 128")</f>
        <v>266803365 1305682 8176876 malu magazine comercial ltda - me trifil bcg 128</v>
      </c>
      <c r="V143" s="15" t="b">
        <f>IFERROR(__xludf.DUMMYFUNCTION("""COMPUTED_VALUE"""),FALSE)</f>
        <v>0</v>
      </c>
    </row>
    <row r="144">
      <c r="A144" s="19">
        <f>IFERROR(__xludf.DUMMYFUNCTION("""COMPUTED_VALUE"""),46304.0)</f>
        <v>46304</v>
      </c>
      <c r="B144" s="19">
        <f>IFERROR(__xludf.DUMMYFUNCTION("""COMPUTED_VALUE"""),46316.0)</f>
        <v>46316</v>
      </c>
      <c r="C144" s="15">
        <f>IFERROR(__xludf.DUMMYFUNCTION("""COMPUTED_VALUE"""),7.0)</f>
        <v>7</v>
      </c>
      <c r="D144" s="15" t="str">
        <f>IFERROR(__xludf.DUMMYFUNCTION("""COMPUTED_VALUE"""),"GRU")</f>
        <v>GRU</v>
      </c>
      <c r="E144" s="15" t="str">
        <f>IFERROR(__xludf.DUMMYFUNCTION("""COMPUTED_VALUE"""),"BIA INTIMATES LTDA")</f>
        <v>BIA INTIMATES LTDA</v>
      </c>
      <c r="F144" s="15" t="str">
        <f>IFERROR(__xludf.DUMMYFUNCTION("""COMPUTED_VALUE"""),"TRIFIL")</f>
        <v>TRIFIL</v>
      </c>
      <c r="G144" s="15" t="str">
        <f>IFERROR(__xludf.DUMMYFUNCTION("""COMPUTED_VALUE"""),"266803366")</f>
        <v>266803366</v>
      </c>
      <c r="H144" s="15" t="str">
        <f>IFERROR(__xludf.DUMMYFUNCTION("""COMPUTED_VALUE"""),"1305365")</f>
        <v>1305365</v>
      </c>
      <c r="I144" s="15" t="str">
        <f>IFERROR(__xludf.DUMMYFUNCTION("""COMPUTED_VALUE"""),"8176977")</f>
        <v>8176977</v>
      </c>
      <c r="J144" s="15" t="str">
        <f>IFERROR(__xludf.DUMMYFUNCTION("""COMPUTED_VALUE"""),"CIF")</f>
        <v>CIF</v>
      </c>
      <c r="K144" s="15" t="str">
        <f>IFERROR(__xludf.DUMMYFUNCTION("""COMPUTED_VALUE"""),"SAO-1")</f>
        <v>SAO-1</v>
      </c>
      <c r="L144" s="15" t="str">
        <f>IFERROR(__xludf.DUMMYFUNCTION("""COMPUTED_VALUE"""),"AUTORIZADO")</f>
        <v>AUTORIZADO</v>
      </c>
      <c r="M144" s="15" t="str">
        <f>IFERROR(__xludf.DUMMYFUNCTION("""COMPUTED_VALUE"""),"NA ORIGEM")</f>
        <v>NA ORIGEM</v>
      </c>
      <c r="N144" s="15" t="str">
        <f>IFERROR(__xludf.DUMMYFUNCTION("""COMPUTED_VALUE"""),"Antes Prazo")</f>
        <v>Antes Prazo</v>
      </c>
      <c r="O144" s="15" t="str">
        <f>IFERROR(__xludf.DUMMYFUNCTION("""COMPUTED_VALUE"""),"B2B")</f>
        <v>B2B</v>
      </c>
      <c r="P144" s="16">
        <f>IFERROR(__xludf.DUMMYFUNCTION("""COMPUTED_VALUE"""),45.49)</f>
        <v>45.49</v>
      </c>
      <c r="Q144" s="15">
        <f>IFERROR(__xludf.DUMMYFUNCTION("""COMPUTED_VALUE"""),1.0)</f>
        <v>1</v>
      </c>
      <c r="R144" s="15" t="str">
        <f>IFERROR(__xludf.DUMMYFUNCTION("""COMPUTED_VALUE"""),"RODO")</f>
        <v>RODO</v>
      </c>
      <c r="S144" s="15" t="str">
        <f>IFERROR(__xludf.DUMMYFUNCTION("""COMPUTED_VALUE"""),"ITN")</f>
        <v>ITN</v>
      </c>
      <c r="T144" s="15" t="str">
        <f>IFERROR(__xludf.DUMMYFUNCTION("""COMPUTED_VALUE"""),"2330")</f>
        <v>2330</v>
      </c>
      <c r="U144" s="15" t="str">
        <f>IFERROR(__xludf.DUMMYFUNCTION("""COMPUTED_VALUE"""),"266803366 1305365 8176977 bia intimates ltda trifil gru 2330")</f>
        <v>266803366 1305365 8176977 bia intimates ltda trifil gru 2330</v>
      </c>
      <c r="V144" s="15" t="b">
        <f>IFERROR(__xludf.DUMMYFUNCTION("""COMPUTED_VALUE"""),FALSE)</f>
        <v>0</v>
      </c>
    </row>
    <row r="145">
      <c r="A145" s="19">
        <f>IFERROR(__xludf.DUMMYFUNCTION("""COMPUTED_VALUE"""),46304.0)</f>
        <v>46304</v>
      </c>
      <c r="B145" s="19">
        <f>IFERROR(__xludf.DUMMYFUNCTION("""COMPUTED_VALUE"""),46317.0)</f>
        <v>46317</v>
      </c>
      <c r="C145" s="15">
        <f>IFERROR(__xludf.DUMMYFUNCTION("""COMPUTED_VALUE"""),8.0)</f>
        <v>8</v>
      </c>
      <c r="D145" s="15" t="str">
        <f>IFERROR(__xludf.DUMMYFUNCTION("""COMPUTED_VALUE"""),"BCG")</f>
        <v>BCG</v>
      </c>
      <c r="E145" s="15" t="str">
        <f>IFERROR(__xludf.DUMMYFUNCTION("""COMPUTED_VALUE"""),"RONALDO AMARAL DE JESUS")</f>
        <v>RONALDO AMARAL DE JESUS</v>
      </c>
      <c r="F145" s="15" t="str">
        <f>IFERROR(__xludf.DUMMYFUNCTION("""COMPUTED_VALUE"""),"TRIFIL")</f>
        <v>TRIFIL</v>
      </c>
      <c r="G145" s="15" t="str">
        <f>IFERROR(__xludf.DUMMYFUNCTION("""COMPUTED_VALUE"""),"266803367")</f>
        <v>266803367</v>
      </c>
      <c r="H145" s="15" t="str">
        <f>IFERROR(__xludf.DUMMYFUNCTION("""COMPUTED_VALUE"""),"1305006")</f>
        <v>1305006</v>
      </c>
      <c r="I145" s="15" t="str">
        <f>IFERROR(__xludf.DUMMYFUNCTION("""COMPUTED_VALUE"""),"8176777")</f>
        <v>8176777</v>
      </c>
      <c r="J145" s="15" t="str">
        <f>IFERROR(__xludf.DUMMYFUNCTION("""COMPUTED_VALUE"""),"CIF")</f>
        <v>CIF</v>
      </c>
      <c r="K145" s="15" t="str">
        <f>IFERROR(__xludf.DUMMYFUNCTION("""COMPUTED_VALUE"""),"(sem célula)")</f>
        <v>(sem célula)</v>
      </c>
      <c r="L145" s="15" t="str">
        <f>IFERROR(__xludf.DUMMYFUNCTION("""COMPUTED_VALUE"""),"AUTORIZADO")</f>
        <v>AUTORIZADO</v>
      </c>
      <c r="M145" s="15" t="str">
        <f>IFERROR(__xludf.DUMMYFUNCTION("""COMPUTED_VALUE"""),"NA ORIGEM")</f>
        <v>NA ORIGEM</v>
      </c>
      <c r="N145" s="15" t="str">
        <f>IFERROR(__xludf.DUMMYFUNCTION("""COMPUTED_VALUE"""),"Antes Prazo")</f>
        <v>Antes Prazo</v>
      </c>
      <c r="O145" s="15" t="str">
        <f>IFERROR(__xludf.DUMMYFUNCTION("""COMPUTED_VALUE"""),"B2B")</f>
        <v>B2B</v>
      </c>
      <c r="P145" s="16">
        <f>IFERROR(__xludf.DUMMYFUNCTION("""COMPUTED_VALUE"""),51.62)</f>
        <v>51.62</v>
      </c>
      <c r="Q145" s="15">
        <f>IFERROR(__xludf.DUMMYFUNCTION("""COMPUTED_VALUE"""),1.0)</f>
        <v>1</v>
      </c>
      <c r="R145" s="15" t="str">
        <f>IFERROR(__xludf.DUMMYFUNCTION("""COMPUTED_VALUE"""),"RODO")</f>
        <v>RODO</v>
      </c>
      <c r="S145" s="15" t="str">
        <f>IFERROR(__xludf.DUMMYFUNCTION("""COMPUTED_VALUE"""),"ITN")</f>
        <v>ITN</v>
      </c>
      <c r="T145" s="15" t="str">
        <f>IFERROR(__xludf.DUMMYFUNCTION("""COMPUTED_VALUE"""),"122")</f>
        <v>122</v>
      </c>
      <c r="U145" s="15" t="str">
        <f>IFERROR(__xludf.DUMMYFUNCTION("""COMPUTED_VALUE"""),"266803367 1305006 8176777 ronaldo amaral de jesus trifil bcg 122")</f>
        <v>266803367 1305006 8176777 ronaldo amaral de jesus trifil bcg 122</v>
      </c>
      <c r="V145" s="15" t="b">
        <f>IFERROR(__xludf.DUMMYFUNCTION("""COMPUTED_VALUE"""),FALSE)</f>
        <v>0</v>
      </c>
    </row>
    <row r="146">
      <c r="A146" s="19">
        <f>IFERROR(__xludf.DUMMYFUNCTION("""COMPUTED_VALUE"""),46304.0)</f>
        <v>46304</v>
      </c>
      <c r="B146" s="19">
        <f>IFERROR(__xludf.DUMMYFUNCTION("""COMPUTED_VALUE"""),46318.0)</f>
        <v>46318</v>
      </c>
      <c r="C146" s="15">
        <f>IFERROR(__xludf.DUMMYFUNCTION("""COMPUTED_VALUE"""),9.0)</f>
        <v>9</v>
      </c>
      <c r="D146" s="15" t="str">
        <f>IFERROR(__xludf.DUMMYFUNCTION("""COMPUTED_VALUE"""),"BCG")</f>
        <v>BCG</v>
      </c>
      <c r="E146" s="15" t="str">
        <f>IFERROR(__xludf.DUMMYFUNCTION("""COMPUTED_VALUE"""),"MARIA DALVA FERREIRA DOS SANTOS")</f>
        <v>MARIA DALVA FERREIRA DOS SANTOS</v>
      </c>
      <c r="F146" s="15" t="str">
        <f>IFERROR(__xludf.DUMMYFUNCTION("""COMPUTED_VALUE"""),"TRIFIL")</f>
        <v>TRIFIL</v>
      </c>
      <c r="G146" s="15" t="str">
        <f>IFERROR(__xludf.DUMMYFUNCTION("""COMPUTED_VALUE"""),"266803368")</f>
        <v>266803368</v>
      </c>
      <c r="H146" s="15" t="str">
        <f>IFERROR(__xludf.DUMMYFUNCTION("""COMPUTED_VALUE"""),"1305958")</f>
        <v>1305958</v>
      </c>
      <c r="I146" s="15" t="str">
        <f>IFERROR(__xludf.DUMMYFUNCTION("""COMPUTED_VALUE"""),"8176734")</f>
        <v>8176734</v>
      </c>
      <c r="J146" s="15" t="str">
        <f>IFERROR(__xludf.DUMMYFUNCTION("""COMPUTED_VALUE"""),"CIF")</f>
        <v>CIF</v>
      </c>
      <c r="K146" s="15" t="str">
        <f>IFERROR(__xludf.DUMMYFUNCTION("""COMPUTED_VALUE"""),"(sem célula)")</f>
        <v>(sem célula)</v>
      </c>
      <c r="L146" s="15" t="str">
        <f>IFERROR(__xludf.DUMMYFUNCTION("""COMPUTED_VALUE"""),"AUTORIZADO")</f>
        <v>AUTORIZADO</v>
      </c>
      <c r="M146" s="15" t="str">
        <f>IFERROR(__xludf.DUMMYFUNCTION("""COMPUTED_VALUE"""),"NA ORIGEM")</f>
        <v>NA ORIGEM</v>
      </c>
      <c r="N146" s="15" t="str">
        <f>IFERROR(__xludf.DUMMYFUNCTION("""COMPUTED_VALUE"""),"Antes Prazo")</f>
        <v>Antes Prazo</v>
      </c>
      <c r="O146" s="15" t="str">
        <f>IFERROR(__xludf.DUMMYFUNCTION("""COMPUTED_VALUE"""),"B2B")</f>
        <v>B2B</v>
      </c>
      <c r="P146" s="16">
        <f>IFERROR(__xludf.DUMMYFUNCTION("""COMPUTED_VALUE"""),51.62)</f>
        <v>51.62</v>
      </c>
      <c r="Q146" s="15">
        <f>IFERROR(__xludf.DUMMYFUNCTION("""COMPUTED_VALUE"""),1.0)</f>
        <v>1</v>
      </c>
      <c r="R146" s="15" t="str">
        <f>IFERROR(__xludf.DUMMYFUNCTION("""COMPUTED_VALUE"""),"RODO")</f>
        <v>RODO</v>
      </c>
      <c r="S146" s="15" t="str">
        <f>IFERROR(__xludf.DUMMYFUNCTION("""COMPUTED_VALUE"""),"ITN")</f>
        <v>ITN</v>
      </c>
      <c r="T146" s="15" t="str">
        <f>IFERROR(__xludf.DUMMYFUNCTION("""COMPUTED_VALUE"""),"127")</f>
        <v>127</v>
      </c>
      <c r="U146" s="15" t="str">
        <f>IFERROR(__xludf.DUMMYFUNCTION("""COMPUTED_VALUE"""),"266803368 1305958 8176734 maria dalva ferreira dos santos trifil bcg 127")</f>
        <v>266803368 1305958 8176734 maria dalva ferreira dos santos trifil bcg 127</v>
      </c>
      <c r="V146" s="15" t="b">
        <f>IFERROR(__xludf.DUMMYFUNCTION("""COMPUTED_VALUE"""),FALSE)</f>
        <v>0</v>
      </c>
    </row>
    <row r="147">
      <c r="A147" s="19">
        <f>IFERROR(__xludf.DUMMYFUNCTION("""COMPUTED_VALUE"""),46304.0)</f>
        <v>46304</v>
      </c>
      <c r="B147" s="19">
        <f>IFERROR(__xludf.DUMMYFUNCTION("""COMPUTED_VALUE"""),46318.0)</f>
        <v>46318</v>
      </c>
      <c r="C147" s="15">
        <f>IFERROR(__xludf.DUMMYFUNCTION("""COMPUTED_VALUE"""),9.0)</f>
        <v>9</v>
      </c>
      <c r="D147" s="15" t="str">
        <f>IFERROR(__xludf.DUMMYFUNCTION("""COMPUTED_VALUE"""),"IPN")</f>
        <v>IPN</v>
      </c>
      <c r="E147" s="15" t="str">
        <f>IFERROR(__xludf.DUMMYFUNCTION("""COMPUTED_VALUE"""),"LEONARDO ALVES REIS")</f>
        <v>LEONARDO ALVES REIS</v>
      </c>
      <c r="F147" s="15" t="str">
        <f>IFERROR(__xludf.DUMMYFUNCTION("""COMPUTED_VALUE"""),"TRIFIL")</f>
        <v>TRIFIL</v>
      </c>
      <c r="G147" s="15" t="str">
        <f>IFERROR(__xludf.DUMMYFUNCTION("""COMPUTED_VALUE"""),"266803369")</f>
        <v>266803369</v>
      </c>
      <c r="H147" s="15" t="str">
        <f>IFERROR(__xludf.DUMMYFUNCTION("""COMPUTED_VALUE"""),"1305077")</f>
        <v>1305077</v>
      </c>
      <c r="I147" s="15" t="str">
        <f>IFERROR(__xludf.DUMMYFUNCTION("""COMPUTED_VALUE"""),"8177027")</f>
        <v>8177027</v>
      </c>
      <c r="J147" s="15" t="str">
        <f>IFERROR(__xludf.DUMMYFUNCTION("""COMPUTED_VALUE"""),"CIF")</f>
        <v>CIF</v>
      </c>
      <c r="K147" s="15" t="str">
        <f>IFERROR(__xludf.DUMMYFUNCTION("""COMPUTED_VALUE"""),"(sem célula)")</f>
        <v>(sem célula)</v>
      </c>
      <c r="L147" s="15" t="str">
        <f>IFERROR(__xludf.DUMMYFUNCTION("""COMPUTED_VALUE"""),"AUTORIZADO")</f>
        <v>AUTORIZADO</v>
      </c>
      <c r="M147" s="15" t="str">
        <f>IFERROR(__xludf.DUMMYFUNCTION("""COMPUTED_VALUE"""),"NA ORIGEM")</f>
        <v>NA ORIGEM</v>
      </c>
      <c r="N147" s="15" t="str">
        <f>IFERROR(__xludf.DUMMYFUNCTION("""COMPUTED_VALUE"""),"Antes Prazo")</f>
        <v>Antes Prazo</v>
      </c>
      <c r="O147" s="15" t="str">
        <f>IFERROR(__xludf.DUMMYFUNCTION("""COMPUTED_VALUE"""),"B2B")</f>
        <v>B2B</v>
      </c>
      <c r="P147" s="16">
        <f>IFERROR(__xludf.DUMMYFUNCTION("""COMPUTED_VALUE"""),44.59)</f>
        <v>44.59</v>
      </c>
      <c r="Q147" s="15">
        <f>IFERROR(__xludf.DUMMYFUNCTION("""COMPUTED_VALUE"""),1.0)</f>
        <v>1</v>
      </c>
      <c r="R147" s="15" t="str">
        <f>IFERROR(__xludf.DUMMYFUNCTION("""COMPUTED_VALUE"""),"RODO")</f>
        <v>RODO</v>
      </c>
      <c r="S147" s="15" t="str">
        <f>IFERROR(__xludf.DUMMYFUNCTION("""COMPUTED_VALUE"""),"ITN")</f>
        <v>ITN</v>
      </c>
      <c r="T147" s="15" t="str">
        <f>IFERROR(__xludf.DUMMYFUNCTION("""COMPUTED_VALUE"""),"1")</f>
        <v>1</v>
      </c>
      <c r="U147" s="15" t="str">
        <f>IFERROR(__xludf.DUMMYFUNCTION("""COMPUTED_VALUE"""),"266803369 1305077 8177027 leonardo alves reis trifil ipn 1")</f>
        <v>266803369 1305077 8177027 leonardo alves reis trifil ipn 1</v>
      </c>
      <c r="V147" s="15" t="b">
        <f>IFERROR(__xludf.DUMMYFUNCTION("""COMPUTED_VALUE"""),FALSE)</f>
        <v>0</v>
      </c>
    </row>
    <row r="148">
      <c r="A148" s="19">
        <f>IFERROR(__xludf.DUMMYFUNCTION("""COMPUTED_VALUE"""),46304.0)</f>
        <v>46304</v>
      </c>
      <c r="B148" s="19">
        <f>IFERROR(__xludf.DUMMYFUNCTION("""COMPUTED_VALUE"""),46318.0)</f>
        <v>46318</v>
      </c>
      <c r="C148" s="15">
        <f>IFERROR(__xludf.DUMMYFUNCTION("""COMPUTED_VALUE"""),9.0)</f>
        <v>9</v>
      </c>
      <c r="D148" s="15" t="str">
        <f>IFERROR(__xludf.DUMMYFUNCTION("""COMPUTED_VALUE"""),"IPN")</f>
        <v>IPN</v>
      </c>
      <c r="E148" s="15" t="str">
        <f>IFERROR(__xludf.DUMMYFUNCTION("""COMPUTED_VALUE"""),"MARIA H. FERREIRA - ME")</f>
        <v>MARIA H. FERREIRA - ME</v>
      </c>
      <c r="F148" s="15" t="str">
        <f>IFERROR(__xludf.DUMMYFUNCTION("""COMPUTED_VALUE"""),"TRIFIL")</f>
        <v>TRIFIL</v>
      </c>
      <c r="G148" s="15" t="str">
        <f>IFERROR(__xludf.DUMMYFUNCTION("""COMPUTED_VALUE"""),"266803370")</f>
        <v>266803370</v>
      </c>
      <c r="H148" s="15" t="str">
        <f>IFERROR(__xludf.DUMMYFUNCTION("""COMPUTED_VALUE"""),"1305610")</f>
        <v>1305610</v>
      </c>
      <c r="I148" s="15" t="str">
        <f>IFERROR(__xludf.DUMMYFUNCTION("""COMPUTED_VALUE"""),"8176850")</f>
        <v>8176850</v>
      </c>
      <c r="J148" s="15" t="str">
        <f>IFERROR(__xludf.DUMMYFUNCTION("""COMPUTED_VALUE"""),"CIF")</f>
        <v>CIF</v>
      </c>
      <c r="K148" s="15" t="str">
        <f>IFERROR(__xludf.DUMMYFUNCTION("""COMPUTED_VALUE"""),"(sem célula)")</f>
        <v>(sem célula)</v>
      </c>
      <c r="L148" s="15" t="str">
        <f>IFERROR(__xludf.DUMMYFUNCTION("""COMPUTED_VALUE"""),"AUTORIZADO")</f>
        <v>AUTORIZADO</v>
      </c>
      <c r="M148" s="15" t="str">
        <f>IFERROR(__xludf.DUMMYFUNCTION("""COMPUTED_VALUE"""),"NA ORIGEM")</f>
        <v>NA ORIGEM</v>
      </c>
      <c r="N148" s="15" t="str">
        <f>IFERROR(__xludf.DUMMYFUNCTION("""COMPUTED_VALUE"""),"Antes Prazo")</f>
        <v>Antes Prazo</v>
      </c>
      <c r="O148" s="15" t="str">
        <f>IFERROR(__xludf.DUMMYFUNCTION("""COMPUTED_VALUE"""),"B2B")</f>
        <v>B2B</v>
      </c>
      <c r="P148" s="16">
        <f>IFERROR(__xludf.DUMMYFUNCTION("""COMPUTED_VALUE"""),49.43)</f>
        <v>49.43</v>
      </c>
      <c r="Q148" s="15">
        <f>IFERROR(__xludf.DUMMYFUNCTION("""COMPUTED_VALUE"""),1.0)</f>
        <v>1</v>
      </c>
      <c r="R148" s="15" t="str">
        <f>IFERROR(__xludf.DUMMYFUNCTION("""COMPUTED_VALUE"""),"RODO")</f>
        <v>RODO</v>
      </c>
      <c r="S148" s="15" t="str">
        <f>IFERROR(__xludf.DUMMYFUNCTION("""COMPUTED_VALUE"""),"ITN")</f>
        <v>ITN</v>
      </c>
      <c r="T148" s="15" t="str">
        <f>IFERROR(__xludf.DUMMYFUNCTION("""COMPUTED_VALUE"""),"104")</f>
        <v>104</v>
      </c>
      <c r="U148" s="15" t="str">
        <f>IFERROR(__xludf.DUMMYFUNCTION("""COMPUTED_VALUE"""),"266803370 1305610 8176850 maria h. ferreira - me trifil ipn 104")</f>
        <v>266803370 1305610 8176850 maria h. ferreira - me trifil ipn 104</v>
      </c>
      <c r="V148" s="15" t="b">
        <f>IFERROR(__xludf.DUMMYFUNCTION("""COMPUTED_VALUE"""),FALSE)</f>
        <v>0</v>
      </c>
    </row>
    <row r="149">
      <c r="A149" s="19">
        <f>IFERROR(__xludf.DUMMYFUNCTION("""COMPUTED_VALUE"""),46304.0)</f>
        <v>46304</v>
      </c>
      <c r="B149" s="19">
        <f>IFERROR(__xludf.DUMMYFUNCTION("""COMPUTED_VALUE"""),46322.0)</f>
        <v>46322</v>
      </c>
      <c r="C149" s="15">
        <f>IFERROR(__xludf.DUMMYFUNCTION("""COMPUTED_VALUE"""),11.0)</f>
        <v>11</v>
      </c>
      <c r="D149" s="15" t="str">
        <f>IFERROR(__xludf.DUMMYFUNCTION("""COMPUTED_VALUE"""),"GVR")</f>
        <v>GVR</v>
      </c>
      <c r="E149" s="15" t="str">
        <f>IFERROR(__xludf.DUMMYFUNCTION("""COMPUTED_VALUE"""),"TOP LOJA")</f>
        <v>TOP LOJA</v>
      </c>
      <c r="F149" s="15" t="str">
        <f>IFERROR(__xludf.DUMMYFUNCTION("""COMPUTED_VALUE"""),"TRIFIL")</f>
        <v>TRIFIL</v>
      </c>
      <c r="G149" s="15" t="str">
        <f>IFERROR(__xludf.DUMMYFUNCTION("""COMPUTED_VALUE"""),"266803371")</f>
        <v>266803371</v>
      </c>
      <c r="H149" s="15" t="str">
        <f>IFERROR(__xludf.DUMMYFUNCTION("""COMPUTED_VALUE"""),"1305716")</f>
        <v>1305716</v>
      </c>
      <c r="I149" s="15" t="str">
        <f>IFERROR(__xludf.DUMMYFUNCTION("""COMPUTED_VALUE"""),"8176851")</f>
        <v>8176851</v>
      </c>
      <c r="J149" s="15" t="str">
        <f>IFERROR(__xludf.DUMMYFUNCTION("""COMPUTED_VALUE"""),"CIF")</f>
        <v>CIF</v>
      </c>
      <c r="K149" s="15" t="str">
        <f>IFERROR(__xludf.DUMMYFUNCTION("""COMPUTED_VALUE"""),"(sem célula)")</f>
        <v>(sem célula)</v>
      </c>
      <c r="L149" s="15" t="str">
        <f>IFERROR(__xludf.DUMMYFUNCTION("""COMPUTED_VALUE"""),"AUTORIZADO")</f>
        <v>AUTORIZADO</v>
      </c>
      <c r="M149" s="15" t="str">
        <f>IFERROR(__xludf.DUMMYFUNCTION("""COMPUTED_VALUE"""),"NA ORIGEM")</f>
        <v>NA ORIGEM</v>
      </c>
      <c r="N149" s="15" t="str">
        <f>IFERROR(__xludf.DUMMYFUNCTION("""COMPUTED_VALUE"""),"Antes Prazo")</f>
        <v>Antes Prazo</v>
      </c>
      <c r="O149" s="15" t="str">
        <f>IFERROR(__xludf.DUMMYFUNCTION("""COMPUTED_VALUE"""),"B2B")</f>
        <v>B2B</v>
      </c>
      <c r="P149" s="16">
        <f>IFERROR(__xludf.DUMMYFUNCTION("""COMPUTED_VALUE"""),49.43)</f>
        <v>49.43</v>
      </c>
      <c r="Q149" s="15">
        <f>IFERROR(__xludf.DUMMYFUNCTION("""COMPUTED_VALUE"""),1.0)</f>
        <v>1</v>
      </c>
      <c r="R149" s="15" t="str">
        <f>IFERROR(__xludf.DUMMYFUNCTION("""COMPUTED_VALUE"""),"RODO")</f>
        <v>RODO</v>
      </c>
      <c r="S149" s="15" t="str">
        <f>IFERROR(__xludf.DUMMYFUNCTION("""COMPUTED_VALUE"""),"ITN")</f>
        <v>ITN</v>
      </c>
      <c r="T149" s="15" t="str">
        <f>IFERROR(__xludf.DUMMYFUNCTION("""COMPUTED_VALUE"""),"103")</f>
        <v>103</v>
      </c>
      <c r="U149" s="15" t="str">
        <f>IFERROR(__xludf.DUMMYFUNCTION("""COMPUTED_VALUE"""),"266803371 1305716 8176851 top loja trifil gvr 103")</f>
        <v>266803371 1305716 8176851 top loja trifil gvr 103</v>
      </c>
      <c r="V149" s="15" t="b">
        <f>IFERROR(__xludf.DUMMYFUNCTION("""COMPUTED_VALUE"""),FALSE)</f>
        <v>0</v>
      </c>
    </row>
    <row r="150">
      <c r="A150" s="19">
        <f>IFERROR(__xludf.DUMMYFUNCTION("""COMPUTED_VALUE"""),46304.0)</f>
        <v>46304</v>
      </c>
      <c r="B150" s="19">
        <f>IFERROR(__xludf.DUMMYFUNCTION("""COMPUTED_VALUE"""),46321.0)</f>
        <v>46321</v>
      </c>
      <c r="C150" s="15">
        <f>IFERROR(__xludf.DUMMYFUNCTION("""COMPUTED_VALUE"""),10.0)</f>
        <v>10</v>
      </c>
      <c r="D150" s="15" t="str">
        <f>IFERROR(__xludf.DUMMYFUNCTION("""COMPUTED_VALUE"""),"BCG")</f>
        <v>BCG</v>
      </c>
      <c r="E150" s="15" t="str">
        <f>IFERROR(__xludf.DUMMYFUNCTION("""COMPUTED_VALUE"""),"CALCADOS PROCOPIO LTDA ME")</f>
        <v>CALCADOS PROCOPIO LTDA ME</v>
      </c>
      <c r="F150" s="15" t="str">
        <f>IFERROR(__xludf.DUMMYFUNCTION("""COMPUTED_VALUE"""),"TRIFIL")</f>
        <v>TRIFIL</v>
      </c>
      <c r="G150" s="15" t="str">
        <f>IFERROR(__xludf.DUMMYFUNCTION("""COMPUTED_VALUE"""),"266803372")</f>
        <v>266803372</v>
      </c>
      <c r="H150" s="15" t="str">
        <f>IFERROR(__xludf.DUMMYFUNCTION("""COMPUTED_VALUE"""),"1305888")</f>
        <v>1305888</v>
      </c>
      <c r="I150" s="15" t="str">
        <f>IFERROR(__xludf.DUMMYFUNCTION("""COMPUTED_VALUE"""),"8176720")</f>
        <v>8176720</v>
      </c>
      <c r="J150" s="15" t="str">
        <f>IFERROR(__xludf.DUMMYFUNCTION("""COMPUTED_VALUE"""),"CIF")</f>
        <v>CIF</v>
      </c>
      <c r="K150" s="15" t="str">
        <f>IFERROR(__xludf.DUMMYFUNCTION("""COMPUTED_VALUE"""),"(sem célula)")</f>
        <v>(sem célula)</v>
      </c>
      <c r="L150" s="15" t="str">
        <f>IFERROR(__xludf.DUMMYFUNCTION("""COMPUTED_VALUE"""),"AUTORIZADO")</f>
        <v>AUTORIZADO</v>
      </c>
      <c r="M150" s="15" t="str">
        <f>IFERROR(__xludf.DUMMYFUNCTION("""COMPUTED_VALUE"""),"NA ORIGEM")</f>
        <v>NA ORIGEM</v>
      </c>
      <c r="N150" s="15" t="str">
        <f>IFERROR(__xludf.DUMMYFUNCTION("""COMPUTED_VALUE"""),"Antes Prazo")</f>
        <v>Antes Prazo</v>
      </c>
      <c r="O150" s="15" t="str">
        <f>IFERROR(__xludf.DUMMYFUNCTION("""COMPUTED_VALUE"""),"B2B")</f>
        <v>B2B</v>
      </c>
      <c r="P150" s="16">
        <f>IFERROR(__xludf.DUMMYFUNCTION("""COMPUTED_VALUE"""),56.46)</f>
        <v>56.46</v>
      </c>
      <c r="Q150" s="15">
        <f>IFERROR(__xludf.DUMMYFUNCTION("""COMPUTED_VALUE"""),1.0)</f>
        <v>1</v>
      </c>
      <c r="R150" s="15" t="str">
        <f>IFERROR(__xludf.DUMMYFUNCTION("""COMPUTED_VALUE"""),"RODO")</f>
        <v>RODO</v>
      </c>
      <c r="S150" s="15" t="str">
        <f>IFERROR(__xludf.DUMMYFUNCTION("""COMPUTED_VALUE"""),"ITN")</f>
        <v>ITN</v>
      </c>
      <c r="T150" s="15" t="str">
        <f>IFERROR(__xludf.DUMMYFUNCTION("""COMPUTED_VALUE"""),"118")</f>
        <v>118</v>
      </c>
      <c r="U150" s="15" t="str">
        <f>IFERROR(__xludf.DUMMYFUNCTION("""COMPUTED_VALUE"""),"266803372 1305888 8176720 calcados procopio ltda me trifil bcg 118")</f>
        <v>266803372 1305888 8176720 calcados procopio ltda me trifil bcg 118</v>
      </c>
      <c r="V150" s="15" t="b">
        <f>IFERROR(__xludf.DUMMYFUNCTION("""COMPUTED_VALUE"""),FALSE)</f>
        <v>0</v>
      </c>
    </row>
    <row r="151">
      <c r="A151" s="19">
        <f>IFERROR(__xludf.DUMMYFUNCTION("""COMPUTED_VALUE"""),46304.0)</f>
        <v>46304</v>
      </c>
      <c r="B151" s="19">
        <f>IFERROR(__xludf.DUMMYFUNCTION("""COMPUTED_VALUE"""),46322.0)</f>
        <v>46322</v>
      </c>
      <c r="C151" s="15">
        <f>IFERROR(__xludf.DUMMYFUNCTION("""COMPUTED_VALUE"""),11.0)</f>
        <v>11</v>
      </c>
      <c r="D151" s="15" t="str">
        <f>IFERROR(__xludf.DUMMYFUNCTION("""COMPUTED_VALUE"""),"DIQ")</f>
        <v>DIQ</v>
      </c>
      <c r="E151" s="15" t="str">
        <f>IFERROR(__xludf.DUMMYFUNCTION("""COMPUTED_VALUE"""),"MUNDO NOVO")</f>
        <v>MUNDO NOVO</v>
      </c>
      <c r="F151" s="15" t="str">
        <f>IFERROR(__xludf.DUMMYFUNCTION("""COMPUTED_VALUE"""),"TRIFIL")</f>
        <v>TRIFIL</v>
      </c>
      <c r="G151" s="15" t="str">
        <f>IFERROR(__xludf.DUMMYFUNCTION("""COMPUTED_VALUE"""),"266803373")</f>
        <v>266803373</v>
      </c>
      <c r="H151" s="15" t="str">
        <f>IFERROR(__xludf.DUMMYFUNCTION("""COMPUTED_VALUE"""),"1305469")</f>
        <v>1305469</v>
      </c>
      <c r="I151" s="15" t="str">
        <f>IFERROR(__xludf.DUMMYFUNCTION("""COMPUTED_VALUE"""),"8176778")</f>
        <v>8176778</v>
      </c>
      <c r="J151" s="15" t="str">
        <f>IFERROR(__xludf.DUMMYFUNCTION("""COMPUTED_VALUE"""),"CIF")</f>
        <v>CIF</v>
      </c>
      <c r="K151" s="15" t="str">
        <f>IFERROR(__xludf.DUMMYFUNCTION("""COMPUTED_VALUE"""),"(sem célula)")</f>
        <v>(sem célula)</v>
      </c>
      <c r="L151" s="15" t="str">
        <f>IFERROR(__xludf.DUMMYFUNCTION("""COMPUTED_VALUE"""),"AUTORIZADO")</f>
        <v>AUTORIZADO</v>
      </c>
      <c r="M151" s="15" t="str">
        <f>IFERROR(__xludf.DUMMYFUNCTION("""COMPUTED_VALUE"""),"NA ORIGEM")</f>
        <v>NA ORIGEM</v>
      </c>
      <c r="N151" s="15" t="str">
        <f>IFERROR(__xludf.DUMMYFUNCTION("""COMPUTED_VALUE"""),"Antes Prazo")</f>
        <v>Antes Prazo</v>
      </c>
      <c r="O151" s="15" t="str">
        <f>IFERROR(__xludf.DUMMYFUNCTION("""COMPUTED_VALUE"""),"B2B")</f>
        <v>B2B</v>
      </c>
      <c r="P151" s="16">
        <f>IFERROR(__xludf.DUMMYFUNCTION("""COMPUTED_VALUE"""),49.43)</f>
        <v>49.43</v>
      </c>
      <c r="Q151" s="15">
        <f>IFERROR(__xludf.DUMMYFUNCTION("""COMPUTED_VALUE"""),1.0)</f>
        <v>1</v>
      </c>
      <c r="R151" s="15" t="str">
        <f>IFERROR(__xludf.DUMMYFUNCTION("""COMPUTED_VALUE"""),"RODO")</f>
        <v>RODO</v>
      </c>
      <c r="S151" s="15" t="str">
        <f>IFERROR(__xludf.DUMMYFUNCTION("""COMPUTED_VALUE"""),"ITN")</f>
        <v>ITN</v>
      </c>
      <c r="T151" s="15" t="str">
        <f>IFERROR(__xludf.DUMMYFUNCTION("""COMPUTED_VALUE"""),"103")</f>
        <v>103</v>
      </c>
      <c r="U151" s="15" t="str">
        <f>IFERROR(__xludf.DUMMYFUNCTION("""COMPUTED_VALUE"""),"266803373 1305469 8176778 mundo novo trifil diq 103")</f>
        <v>266803373 1305469 8176778 mundo novo trifil diq 103</v>
      </c>
      <c r="V151" s="15" t="b">
        <f>IFERROR(__xludf.DUMMYFUNCTION("""COMPUTED_VALUE"""),FALSE)</f>
        <v>0</v>
      </c>
    </row>
    <row r="152">
      <c r="A152" s="19">
        <f>IFERROR(__xludf.DUMMYFUNCTION("""COMPUTED_VALUE"""),46304.0)</f>
        <v>46304</v>
      </c>
      <c r="B152" s="19">
        <f>IFERROR(__xludf.DUMMYFUNCTION("""COMPUTED_VALUE"""),46322.0)</f>
        <v>46322</v>
      </c>
      <c r="C152" s="15">
        <f>IFERROR(__xludf.DUMMYFUNCTION("""COMPUTED_VALUE"""),11.0)</f>
        <v>11</v>
      </c>
      <c r="D152" s="15" t="str">
        <f>IFERROR(__xludf.DUMMYFUNCTION("""COMPUTED_VALUE"""),"DIQ")</f>
        <v>DIQ</v>
      </c>
      <c r="E152" s="15" t="str">
        <f>IFERROR(__xludf.DUMMYFUNCTION("""COMPUTED_VALUE"""),"ALEXANDER COLI AZEVEDO COMERCIO DE ROUPA")</f>
        <v>ALEXANDER COLI AZEVEDO COMERCIO DE ROUPA</v>
      </c>
      <c r="F152" s="15" t="str">
        <f>IFERROR(__xludf.DUMMYFUNCTION("""COMPUTED_VALUE"""),"TRIFIL")</f>
        <v>TRIFIL</v>
      </c>
      <c r="G152" s="15" t="str">
        <f>IFERROR(__xludf.DUMMYFUNCTION("""COMPUTED_VALUE"""),"266803374")</f>
        <v>266803374</v>
      </c>
      <c r="H152" s="15" t="str">
        <f>IFERROR(__xludf.DUMMYFUNCTION("""COMPUTED_VALUE"""),"1305097")</f>
        <v>1305097</v>
      </c>
      <c r="I152" s="15" t="str">
        <f>IFERROR(__xludf.DUMMYFUNCTION("""COMPUTED_VALUE"""),"8176807")</f>
        <v>8176807</v>
      </c>
      <c r="J152" s="15" t="str">
        <f>IFERROR(__xludf.DUMMYFUNCTION("""COMPUTED_VALUE"""),"CIF")</f>
        <v>CIF</v>
      </c>
      <c r="K152" s="15" t="str">
        <f>IFERROR(__xludf.DUMMYFUNCTION("""COMPUTED_VALUE"""),"(sem célula)")</f>
        <v>(sem célula)</v>
      </c>
      <c r="L152" s="15" t="str">
        <f>IFERROR(__xludf.DUMMYFUNCTION("""COMPUTED_VALUE"""),"AUTORIZADO")</f>
        <v>AUTORIZADO</v>
      </c>
      <c r="M152" s="15" t="str">
        <f>IFERROR(__xludf.DUMMYFUNCTION("""COMPUTED_VALUE"""),"NA ORIGEM")</f>
        <v>NA ORIGEM</v>
      </c>
      <c r="N152" s="15" t="str">
        <f>IFERROR(__xludf.DUMMYFUNCTION("""COMPUTED_VALUE"""),"Antes Prazo")</f>
        <v>Antes Prazo</v>
      </c>
      <c r="O152" s="15" t="str">
        <f>IFERROR(__xludf.DUMMYFUNCTION("""COMPUTED_VALUE"""),"B2B")</f>
        <v>B2B</v>
      </c>
      <c r="P152" s="16">
        <f>IFERROR(__xludf.DUMMYFUNCTION("""COMPUTED_VALUE"""),49.43)</f>
        <v>49.43</v>
      </c>
      <c r="Q152" s="15">
        <f>IFERROR(__xludf.DUMMYFUNCTION("""COMPUTED_VALUE"""),1.0)</f>
        <v>1</v>
      </c>
      <c r="R152" s="15" t="str">
        <f>IFERROR(__xludf.DUMMYFUNCTION("""COMPUTED_VALUE"""),"RODO")</f>
        <v>RODO</v>
      </c>
      <c r="S152" s="15" t="str">
        <f>IFERROR(__xludf.DUMMYFUNCTION("""COMPUTED_VALUE"""),"ITN")</f>
        <v>ITN</v>
      </c>
      <c r="T152" s="15" t="str">
        <f>IFERROR(__xludf.DUMMYFUNCTION("""COMPUTED_VALUE"""),"103")</f>
        <v>103</v>
      </c>
      <c r="U152" s="15" t="str">
        <f>IFERROR(__xludf.DUMMYFUNCTION("""COMPUTED_VALUE"""),"266803374 1305097 8176807 alexander coli azevedo comercio de roupa trifil diq 103")</f>
        <v>266803374 1305097 8176807 alexander coli azevedo comercio de roupa trifil diq 103</v>
      </c>
      <c r="V152" s="15" t="b">
        <f>IFERROR(__xludf.DUMMYFUNCTION("""COMPUTED_VALUE"""),FALSE)</f>
        <v>0</v>
      </c>
    </row>
    <row r="153">
      <c r="A153" s="19">
        <f>IFERROR(__xludf.DUMMYFUNCTION("""COMPUTED_VALUE"""),46304.0)</f>
        <v>46304</v>
      </c>
      <c r="B153" s="19">
        <f>IFERROR(__xludf.DUMMYFUNCTION("""COMPUTED_VALUE"""),46323.0)</f>
        <v>46323</v>
      </c>
      <c r="C153" s="15">
        <f>IFERROR(__xludf.DUMMYFUNCTION("""COMPUTED_VALUE"""),12.0)</f>
        <v>12</v>
      </c>
      <c r="D153" s="15" t="str">
        <f>IFERROR(__xludf.DUMMYFUNCTION("""COMPUTED_VALUE"""),"DIQ")</f>
        <v>DIQ</v>
      </c>
      <c r="E153" s="15" t="str">
        <f>IFERROR(__xludf.DUMMYFUNCTION("""COMPUTED_VALUE"""),"LUCIANA G FERREIRA CIA LTDA")</f>
        <v>LUCIANA G FERREIRA CIA LTDA</v>
      </c>
      <c r="F153" s="15" t="str">
        <f>IFERROR(__xludf.DUMMYFUNCTION("""COMPUTED_VALUE"""),"TRIFIL")</f>
        <v>TRIFIL</v>
      </c>
      <c r="G153" s="15" t="str">
        <f>IFERROR(__xludf.DUMMYFUNCTION("""COMPUTED_VALUE"""),"266803375")</f>
        <v>266803375</v>
      </c>
      <c r="H153" s="15" t="str">
        <f>IFERROR(__xludf.DUMMYFUNCTION("""COMPUTED_VALUE"""),"1305337")</f>
        <v>1305337</v>
      </c>
      <c r="I153" s="15" t="str">
        <f>IFERROR(__xludf.DUMMYFUNCTION("""COMPUTED_VALUE"""),"8176936")</f>
        <v>8176936</v>
      </c>
      <c r="J153" s="15" t="str">
        <f>IFERROR(__xludf.DUMMYFUNCTION("""COMPUTED_VALUE"""),"CIF")</f>
        <v>CIF</v>
      </c>
      <c r="K153" s="15" t="str">
        <f>IFERROR(__xludf.DUMMYFUNCTION("""COMPUTED_VALUE"""),"(sem célula)")</f>
        <v>(sem célula)</v>
      </c>
      <c r="L153" s="15" t="str">
        <f>IFERROR(__xludf.DUMMYFUNCTION("""COMPUTED_VALUE"""),"AUTORIZADO")</f>
        <v>AUTORIZADO</v>
      </c>
      <c r="M153" s="15" t="str">
        <f>IFERROR(__xludf.DUMMYFUNCTION("""COMPUTED_VALUE"""),"NA ORIGEM")</f>
        <v>NA ORIGEM</v>
      </c>
      <c r="N153" s="15" t="str">
        <f>IFERROR(__xludf.DUMMYFUNCTION("""COMPUTED_VALUE"""),"Antes Prazo")</f>
        <v>Antes Prazo</v>
      </c>
      <c r="O153" s="15" t="str">
        <f>IFERROR(__xludf.DUMMYFUNCTION("""COMPUTED_VALUE"""),"B2B")</f>
        <v>B2B</v>
      </c>
      <c r="P153" s="16">
        <f>IFERROR(__xludf.DUMMYFUNCTION("""COMPUTED_VALUE"""),49.43)</f>
        <v>49.43</v>
      </c>
      <c r="Q153" s="15">
        <f>IFERROR(__xludf.DUMMYFUNCTION("""COMPUTED_VALUE"""),1.0)</f>
        <v>1</v>
      </c>
      <c r="R153" s="15" t="str">
        <f>IFERROR(__xludf.DUMMYFUNCTION("""COMPUTED_VALUE"""),"RODO")</f>
        <v>RODO</v>
      </c>
      <c r="S153" s="15" t="str">
        <f>IFERROR(__xludf.DUMMYFUNCTION("""COMPUTED_VALUE"""),"ITN")</f>
        <v>ITN</v>
      </c>
      <c r="T153" s="15" t="str">
        <f>IFERROR(__xludf.DUMMYFUNCTION("""COMPUTED_VALUE"""),"108")</f>
        <v>108</v>
      </c>
      <c r="U153" s="15" t="str">
        <f>IFERROR(__xludf.DUMMYFUNCTION("""COMPUTED_VALUE"""),"266803375 1305337 8176936 luciana g ferreira cia ltda trifil diq 108")</f>
        <v>266803375 1305337 8176936 luciana g ferreira cia ltda trifil diq 108</v>
      </c>
      <c r="V153" s="15" t="b">
        <f>IFERROR(__xludf.DUMMYFUNCTION("""COMPUTED_VALUE"""),FALSE)</f>
        <v>0</v>
      </c>
    </row>
    <row r="154">
      <c r="A154" s="19">
        <f>IFERROR(__xludf.DUMMYFUNCTION("""COMPUTED_VALUE"""),46304.0)</f>
        <v>46304</v>
      </c>
      <c r="B154" s="19">
        <f>IFERROR(__xludf.DUMMYFUNCTION("""COMPUTED_VALUE"""),46322.0)</f>
        <v>46322</v>
      </c>
      <c r="C154" s="15">
        <f>IFERROR(__xludf.DUMMYFUNCTION("""COMPUTED_VALUE"""),11.0)</f>
        <v>11</v>
      </c>
      <c r="D154" s="15" t="str">
        <f>IFERROR(__xludf.DUMMYFUNCTION("""COMPUTED_VALUE"""),"RSN")</f>
        <v>RSN</v>
      </c>
      <c r="E154" s="15" t="str">
        <f>IFERROR(__xludf.DUMMYFUNCTION("""COMPUTED_VALUE"""),"META ESPORTE LTDA")</f>
        <v>META ESPORTE LTDA</v>
      </c>
      <c r="F154" s="15" t="str">
        <f>IFERROR(__xludf.DUMMYFUNCTION("""COMPUTED_VALUE"""),"TRIFIL")</f>
        <v>TRIFIL</v>
      </c>
      <c r="G154" s="15" t="str">
        <f>IFERROR(__xludf.DUMMYFUNCTION("""COMPUTED_VALUE"""),"266803376")</f>
        <v>266803376</v>
      </c>
      <c r="H154" s="15" t="str">
        <f>IFERROR(__xludf.DUMMYFUNCTION("""COMPUTED_VALUE"""),"1305026")</f>
        <v>1305026</v>
      </c>
      <c r="I154" s="15" t="str">
        <f>IFERROR(__xludf.DUMMYFUNCTION("""COMPUTED_VALUE"""),"8176808")</f>
        <v>8176808</v>
      </c>
      <c r="J154" s="15" t="str">
        <f>IFERROR(__xludf.DUMMYFUNCTION("""COMPUTED_VALUE"""),"CIF")</f>
        <v>CIF</v>
      </c>
      <c r="K154" s="15" t="str">
        <f>IFERROR(__xludf.DUMMYFUNCTION("""COMPUTED_VALUE"""),"(sem célula)")</f>
        <v>(sem célula)</v>
      </c>
      <c r="L154" s="15" t="str">
        <f>IFERROR(__xludf.DUMMYFUNCTION("""COMPUTED_VALUE"""),"AUTORIZADO")</f>
        <v>AUTORIZADO</v>
      </c>
      <c r="M154" s="15" t="str">
        <f>IFERROR(__xludf.DUMMYFUNCTION("""COMPUTED_VALUE"""),"NA ORIGEM")</f>
        <v>NA ORIGEM</v>
      </c>
      <c r="N154" s="15" t="str">
        <f>IFERROR(__xludf.DUMMYFUNCTION("""COMPUTED_VALUE"""),"Antes Prazo")</f>
        <v>Antes Prazo</v>
      </c>
      <c r="O154" s="15" t="str">
        <f>IFERROR(__xludf.DUMMYFUNCTION("""COMPUTED_VALUE"""),"B2B")</f>
        <v>B2B</v>
      </c>
      <c r="P154" s="16">
        <f>IFERROR(__xludf.DUMMYFUNCTION("""COMPUTED_VALUE"""),49.43)</f>
        <v>49.43</v>
      </c>
      <c r="Q154" s="15">
        <f>IFERROR(__xludf.DUMMYFUNCTION("""COMPUTED_VALUE"""),1.0)</f>
        <v>1</v>
      </c>
      <c r="R154" s="15" t="str">
        <f>IFERROR(__xludf.DUMMYFUNCTION("""COMPUTED_VALUE"""),"RODO")</f>
        <v>RODO</v>
      </c>
      <c r="S154" s="15" t="str">
        <f>IFERROR(__xludf.DUMMYFUNCTION("""COMPUTED_VALUE"""),"ITN")</f>
        <v>ITN</v>
      </c>
      <c r="T154" s="15" t="str">
        <f>IFERROR(__xludf.DUMMYFUNCTION("""COMPUTED_VALUE"""),"1103")</f>
        <v>1103</v>
      </c>
      <c r="U154" s="15" t="str">
        <f>IFERROR(__xludf.DUMMYFUNCTION("""COMPUTED_VALUE"""),"266803376 1305026 8176808 meta esporte ltda trifil rsn 1103")</f>
        <v>266803376 1305026 8176808 meta esporte ltda trifil rsn 1103</v>
      </c>
      <c r="V154" s="15" t="b">
        <f>IFERROR(__xludf.DUMMYFUNCTION("""COMPUTED_VALUE"""),FALSE)</f>
        <v>0</v>
      </c>
    </row>
    <row r="155">
      <c r="A155" s="19">
        <f>IFERROR(__xludf.DUMMYFUNCTION("""COMPUTED_VALUE"""),46304.0)</f>
        <v>46304</v>
      </c>
      <c r="B155" s="19">
        <f>IFERROR(__xludf.DUMMYFUNCTION("""COMPUTED_VALUE"""),46317.0)</f>
        <v>46317</v>
      </c>
      <c r="C155" s="15">
        <f>IFERROR(__xludf.DUMMYFUNCTION("""COMPUTED_VALUE"""),8.0)</f>
        <v>8</v>
      </c>
      <c r="D155" s="15" t="str">
        <f>IFERROR(__xludf.DUMMYFUNCTION("""COMPUTED_VALUE"""),"BCG")</f>
        <v>BCG</v>
      </c>
      <c r="E155" s="15" t="str">
        <f>IFERROR(__xludf.DUMMYFUNCTION("""COMPUTED_VALUE"""),"PARA MEIAS E CONFECCOES LTDA - EPP")</f>
        <v>PARA MEIAS E CONFECCOES LTDA - EPP</v>
      </c>
      <c r="F155" s="15" t="str">
        <f>IFERROR(__xludf.DUMMYFUNCTION("""COMPUTED_VALUE"""),"TRIFIL")</f>
        <v>TRIFIL</v>
      </c>
      <c r="G155" s="15" t="str">
        <f>IFERROR(__xludf.DUMMYFUNCTION("""COMPUTED_VALUE"""),"266803378")</f>
        <v>266803378</v>
      </c>
      <c r="H155" s="15" t="str">
        <f>IFERROR(__xludf.DUMMYFUNCTION("""COMPUTED_VALUE"""),"1305430")</f>
        <v>1305430</v>
      </c>
      <c r="I155" s="15" t="str">
        <f>IFERROR(__xludf.DUMMYFUNCTION("""COMPUTED_VALUE"""),"8176978")</f>
        <v>8176978</v>
      </c>
      <c r="J155" s="15" t="str">
        <f>IFERROR(__xludf.DUMMYFUNCTION("""COMPUTED_VALUE"""),"CIF")</f>
        <v>CIF</v>
      </c>
      <c r="K155" s="15" t="str">
        <f>IFERROR(__xludf.DUMMYFUNCTION("""COMPUTED_VALUE"""),"(sem célula)")</f>
        <v>(sem célula)</v>
      </c>
      <c r="L155" s="15" t="str">
        <f>IFERROR(__xludf.DUMMYFUNCTION("""COMPUTED_VALUE"""),"AUTORIZADO")</f>
        <v>AUTORIZADO</v>
      </c>
      <c r="M155" s="15" t="str">
        <f>IFERROR(__xludf.DUMMYFUNCTION("""COMPUTED_VALUE"""),"NA ORIGEM")</f>
        <v>NA ORIGEM</v>
      </c>
      <c r="N155" s="15" t="str">
        <f>IFERROR(__xludf.DUMMYFUNCTION("""COMPUTED_VALUE"""),"Antes Prazo")</f>
        <v>Antes Prazo</v>
      </c>
      <c r="O155" s="15" t="str">
        <f>IFERROR(__xludf.DUMMYFUNCTION("""COMPUTED_VALUE"""),"B2B")</f>
        <v>B2B</v>
      </c>
      <c r="P155" s="16">
        <f>IFERROR(__xludf.DUMMYFUNCTION("""COMPUTED_VALUE"""),56.46)</f>
        <v>56.46</v>
      </c>
      <c r="Q155" s="15">
        <f>IFERROR(__xludf.DUMMYFUNCTION("""COMPUTED_VALUE"""),1.0)</f>
        <v>1</v>
      </c>
      <c r="R155" s="15" t="str">
        <f>IFERROR(__xludf.DUMMYFUNCTION("""COMPUTED_VALUE"""),"RODO")</f>
        <v>RODO</v>
      </c>
      <c r="S155" s="15" t="str">
        <f>IFERROR(__xludf.DUMMYFUNCTION("""COMPUTED_VALUE"""),"ITN")</f>
        <v>ITN</v>
      </c>
      <c r="T155" s="15" t="str">
        <f>IFERROR(__xludf.DUMMYFUNCTION("""COMPUTED_VALUE"""),"113")</f>
        <v>113</v>
      </c>
      <c r="U155" s="15" t="str">
        <f>IFERROR(__xludf.DUMMYFUNCTION("""COMPUTED_VALUE"""),"266803378 1305430 8176978 para meias e confeccoes ltda - epp trifil bcg 113")</f>
        <v>266803378 1305430 8176978 para meias e confeccoes ltda - epp trifil bcg 113</v>
      </c>
      <c r="V155" s="15" t="b">
        <f>IFERROR(__xludf.DUMMYFUNCTION("""COMPUTED_VALUE"""),FALSE)</f>
        <v>0</v>
      </c>
    </row>
    <row r="156">
      <c r="A156" s="19">
        <f>IFERROR(__xludf.DUMMYFUNCTION("""COMPUTED_VALUE"""),46304.0)</f>
        <v>46304</v>
      </c>
      <c r="B156" s="19">
        <f>IFERROR(__xludf.DUMMYFUNCTION("""COMPUTED_VALUE"""),46322.0)</f>
        <v>46322</v>
      </c>
      <c r="C156" s="15">
        <f>IFERROR(__xludf.DUMMYFUNCTION("""COMPUTED_VALUE"""),11.0)</f>
        <v>11</v>
      </c>
      <c r="D156" s="15" t="str">
        <f>IFERROR(__xludf.DUMMYFUNCTION("""COMPUTED_VALUE"""),"IPN")</f>
        <v>IPN</v>
      </c>
      <c r="E156" s="15" t="str">
        <f>IFERROR(__xludf.DUMMYFUNCTION("""COMPUTED_VALUE"""),"CASA J FLORENTINO NETO LTDA")</f>
        <v>CASA J FLORENTINO NETO LTDA</v>
      </c>
      <c r="F156" s="15" t="str">
        <f>IFERROR(__xludf.DUMMYFUNCTION("""COMPUTED_VALUE"""),"TRIFIL")</f>
        <v>TRIFIL</v>
      </c>
      <c r="G156" s="15" t="str">
        <f>IFERROR(__xludf.DUMMYFUNCTION("""COMPUTED_VALUE"""),"266803380")</f>
        <v>266803380</v>
      </c>
      <c r="H156" s="15" t="str">
        <f>IFERROR(__xludf.DUMMYFUNCTION("""COMPUTED_VALUE"""),"1305948")</f>
        <v>1305948</v>
      </c>
      <c r="I156" s="15" t="str">
        <f>IFERROR(__xludf.DUMMYFUNCTION("""COMPUTED_VALUE"""),"8176735")</f>
        <v>8176735</v>
      </c>
      <c r="J156" s="15" t="str">
        <f>IFERROR(__xludf.DUMMYFUNCTION("""COMPUTED_VALUE"""),"CIF")</f>
        <v>CIF</v>
      </c>
      <c r="K156" s="15" t="str">
        <f>IFERROR(__xludf.DUMMYFUNCTION("""COMPUTED_VALUE"""),"(sem célula)")</f>
        <v>(sem célula)</v>
      </c>
      <c r="L156" s="15" t="str">
        <f>IFERROR(__xludf.DUMMYFUNCTION("""COMPUTED_VALUE"""),"AUTORIZADO")</f>
        <v>AUTORIZADO</v>
      </c>
      <c r="M156" s="15" t="str">
        <f>IFERROR(__xludf.DUMMYFUNCTION("""COMPUTED_VALUE"""),"NA ORIGEM")</f>
        <v>NA ORIGEM</v>
      </c>
      <c r="N156" s="15" t="str">
        <f>IFERROR(__xludf.DUMMYFUNCTION("""COMPUTED_VALUE"""),"Antes Prazo")</f>
        <v>Antes Prazo</v>
      </c>
      <c r="O156" s="15" t="str">
        <f>IFERROR(__xludf.DUMMYFUNCTION("""COMPUTED_VALUE"""),"B2B")</f>
        <v>B2B</v>
      </c>
      <c r="P156" s="16">
        <f>IFERROR(__xludf.DUMMYFUNCTION("""COMPUTED_VALUE"""),49.43)</f>
        <v>49.43</v>
      </c>
      <c r="Q156" s="15">
        <f>IFERROR(__xludf.DUMMYFUNCTION("""COMPUTED_VALUE"""),1.0)</f>
        <v>1</v>
      </c>
      <c r="R156" s="15" t="str">
        <f>IFERROR(__xludf.DUMMYFUNCTION("""COMPUTED_VALUE"""),"RODO")</f>
        <v>RODO</v>
      </c>
      <c r="S156" s="15" t="str">
        <f>IFERROR(__xludf.DUMMYFUNCTION("""COMPUTED_VALUE"""),"ITN")</f>
        <v>ITN</v>
      </c>
      <c r="T156" s="15" t="str">
        <f>IFERROR(__xludf.DUMMYFUNCTION("""COMPUTED_VALUE"""),"107")</f>
        <v>107</v>
      </c>
      <c r="U156" s="15" t="str">
        <f>IFERROR(__xludf.DUMMYFUNCTION("""COMPUTED_VALUE"""),"266803380 1305948 8176735 casa j florentino neto ltda trifil ipn 107")</f>
        <v>266803380 1305948 8176735 casa j florentino neto ltda trifil ipn 107</v>
      </c>
      <c r="V156" s="15" t="b">
        <f>IFERROR(__xludf.DUMMYFUNCTION("""COMPUTED_VALUE"""),FALSE)</f>
        <v>0</v>
      </c>
    </row>
    <row r="157">
      <c r="A157" s="19">
        <f>IFERROR(__xludf.DUMMYFUNCTION("""COMPUTED_VALUE"""),46304.0)</f>
        <v>46304</v>
      </c>
      <c r="B157" s="19">
        <f>IFERROR(__xludf.DUMMYFUNCTION("""COMPUTED_VALUE"""),46317.0)</f>
        <v>46317</v>
      </c>
      <c r="C157" s="15">
        <f>IFERROR(__xludf.DUMMYFUNCTION("""COMPUTED_VALUE"""),8.0)</f>
        <v>8</v>
      </c>
      <c r="D157" s="15" t="str">
        <f>IFERROR(__xludf.DUMMYFUNCTION("""COMPUTED_VALUE"""),"JDF")</f>
        <v>JDF</v>
      </c>
      <c r="E157" s="15" t="str">
        <f>IFERROR(__xludf.DUMMYFUNCTION("""COMPUTED_VALUE"""),"LUPO JARDIM NORTE")</f>
        <v>LUPO JARDIM NORTE</v>
      </c>
      <c r="F157" s="15" t="str">
        <f>IFERROR(__xludf.DUMMYFUNCTION("""COMPUTED_VALUE"""),"TRIFIL")</f>
        <v>TRIFIL</v>
      </c>
      <c r="G157" s="15" t="str">
        <f>IFERROR(__xludf.DUMMYFUNCTION("""COMPUTED_VALUE"""),"266803381")</f>
        <v>266803381</v>
      </c>
      <c r="H157" s="15" t="str">
        <f>IFERROR(__xludf.DUMMYFUNCTION("""COMPUTED_VALUE"""),"1305726")</f>
        <v>1305726</v>
      </c>
      <c r="I157" s="15" t="str">
        <f>IFERROR(__xludf.DUMMYFUNCTION("""COMPUTED_VALUE"""),"8176979")</f>
        <v>8176979</v>
      </c>
      <c r="J157" s="15" t="str">
        <f>IFERROR(__xludf.DUMMYFUNCTION("""COMPUTED_VALUE"""),"CIF")</f>
        <v>CIF</v>
      </c>
      <c r="K157" s="15" t="str">
        <f>IFERROR(__xludf.DUMMYFUNCTION("""COMPUTED_VALUE"""),"(sem célula)")</f>
        <v>(sem célula)</v>
      </c>
      <c r="L157" s="15" t="str">
        <f>IFERROR(__xludf.DUMMYFUNCTION("""COMPUTED_VALUE"""),"AUTORIZADO")</f>
        <v>AUTORIZADO</v>
      </c>
      <c r="M157" s="15" t="str">
        <f>IFERROR(__xludf.DUMMYFUNCTION("""COMPUTED_VALUE"""),"NA ORIGEM")</f>
        <v>NA ORIGEM</v>
      </c>
      <c r="N157" s="15" t="str">
        <f>IFERROR(__xludf.DUMMYFUNCTION("""COMPUTED_VALUE"""),"Antes Prazo")</f>
        <v>Antes Prazo</v>
      </c>
      <c r="O157" s="15" t="str">
        <f>IFERROR(__xludf.DUMMYFUNCTION("""COMPUTED_VALUE"""),"B2B")</f>
        <v>B2B</v>
      </c>
      <c r="P157" s="16">
        <f>IFERROR(__xludf.DUMMYFUNCTION("""COMPUTED_VALUE"""),44.59)</f>
        <v>44.59</v>
      </c>
      <c r="Q157" s="15">
        <f>IFERROR(__xludf.DUMMYFUNCTION("""COMPUTED_VALUE"""),1.0)</f>
        <v>1</v>
      </c>
      <c r="R157" s="15" t="str">
        <f>IFERROR(__xludf.DUMMYFUNCTION("""COMPUTED_VALUE"""),"RODO")</f>
        <v>RODO</v>
      </c>
      <c r="S157" s="15" t="str">
        <f>IFERROR(__xludf.DUMMYFUNCTION("""COMPUTED_VALUE"""),"ITN")</f>
        <v>ITN</v>
      </c>
      <c r="T157" s="15" t="str">
        <f>IFERROR(__xludf.DUMMYFUNCTION("""COMPUTED_VALUE"""),"2")</f>
        <v>2</v>
      </c>
      <c r="U157" s="15" t="str">
        <f>IFERROR(__xludf.DUMMYFUNCTION("""COMPUTED_VALUE"""),"266803381 1305726 8176979 lupo jardim norte trifil jdf 2")</f>
        <v>266803381 1305726 8176979 lupo jardim norte trifil jdf 2</v>
      </c>
      <c r="V157" s="15" t="b">
        <f>IFERROR(__xludf.DUMMYFUNCTION("""COMPUTED_VALUE"""),FALSE)</f>
        <v>0</v>
      </c>
    </row>
    <row r="158">
      <c r="A158" s="19">
        <f>IFERROR(__xludf.DUMMYFUNCTION("""COMPUTED_VALUE"""),46304.0)</f>
        <v>46304</v>
      </c>
      <c r="B158" s="19">
        <f>IFERROR(__xludf.DUMMYFUNCTION("""COMPUTED_VALUE"""),46322.0)</f>
        <v>46322</v>
      </c>
      <c r="C158" s="15">
        <f>IFERROR(__xludf.DUMMYFUNCTION("""COMPUTED_VALUE"""),11.0)</f>
        <v>11</v>
      </c>
      <c r="D158" s="15" t="str">
        <f>IFERROR(__xludf.DUMMYFUNCTION("""COMPUTED_VALUE"""),"JDF")</f>
        <v>JDF</v>
      </c>
      <c r="E158" s="15" t="str">
        <f>IFERROR(__xludf.DUMMYFUNCTION("""COMPUTED_VALUE"""),"LUCIANO BERNADINO TOLEDO")</f>
        <v>LUCIANO BERNADINO TOLEDO</v>
      </c>
      <c r="F158" s="15" t="str">
        <f>IFERROR(__xludf.DUMMYFUNCTION("""COMPUTED_VALUE"""),"TRIFIL")</f>
        <v>TRIFIL</v>
      </c>
      <c r="G158" s="15" t="str">
        <f>IFERROR(__xludf.DUMMYFUNCTION("""COMPUTED_VALUE"""),"266803383")</f>
        <v>266803383</v>
      </c>
      <c r="H158" s="15" t="str">
        <f>IFERROR(__xludf.DUMMYFUNCTION("""COMPUTED_VALUE"""),"1305829, 1305852")</f>
        <v>1305829, 1305852</v>
      </c>
      <c r="I158" s="15" t="str">
        <f>IFERROR(__xludf.DUMMYFUNCTION("""COMPUTED_VALUE"""),"8176736")</f>
        <v>8176736</v>
      </c>
      <c r="J158" s="15" t="str">
        <f>IFERROR(__xludf.DUMMYFUNCTION("""COMPUTED_VALUE"""),"CIF")</f>
        <v>CIF</v>
      </c>
      <c r="K158" s="15" t="str">
        <f>IFERROR(__xludf.DUMMYFUNCTION("""COMPUTED_VALUE"""),"(sem célula)")</f>
        <v>(sem célula)</v>
      </c>
      <c r="L158" s="15" t="str">
        <f>IFERROR(__xludf.DUMMYFUNCTION("""COMPUTED_VALUE"""),"AUTORIZADO")</f>
        <v>AUTORIZADO</v>
      </c>
      <c r="M158" s="15" t="str">
        <f>IFERROR(__xludf.DUMMYFUNCTION("""COMPUTED_VALUE"""),"NA ORIGEM")</f>
        <v>NA ORIGEM</v>
      </c>
      <c r="N158" s="15" t="str">
        <f>IFERROR(__xludf.DUMMYFUNCTION("""COMPUTED_VALUE"""),"Antes Prazo")</f>
        <v>Antes Prazo</v>
      </c>
      <c r="O158" s="15" t="str">
        <f>IFERROR(__xludf.DUMMYFUNCTION("""COMPUTED_VALUE"""),"B2B")</f>
        <v>B2B</v>
      </c>
      <c r="P158" s="16">
        <f>IFERROR(__xludf.DUMMYFUNCTION("""COMPUTED_VALUE"""),49.43)</f>
        <v>49.43</v>
      </c>
      <c r="Q158" s="15">
        <f>IFERROR(__xludf.DUMMYFUNCTION("""COMPUTED_VALUE"""),2.0)</f>
        <v>2</v>
      </c>
      <c r="R158" s="15" t="str">
        <f>IFERROR(__xludf.DUMMYFUNCTION("""COMPUTED_VALUE"""),"RODO")</f>
        <v>RODO</v>
      </c>
      <c r="S158" s="15" t="str">
        <f>IFERROR(__xludf.DUMMYFUNCTION("""COMPUTED_VALUE"""),"ITN")</f>
        <v>ITN</v>
      </c>
      <c r="T158" s="15" t="str">
        <f>IFERROR(__xludf.DUMMYFUNCTION("""COMPUTED_VALUE"""),"111")</f>
        <v>111</v>
      </c>
      <c r="U158" s="15" t="str">
        <f>IFERROR(__xludf.DUMMYFUNCTION("""COMPUTED_VALUE"""),"266803383 1305829, 1305852 8176736 luciano bernadino toledo trifil jdf 111")</f>
        <v>266803383 1305829, 1305852 8176736 luciano bernadino toledo trifil jdf 111</v>
      </c>
      <c r="V158" s="15" t="b">
        <f>IFERROR(__xludf.DUMMYFUNCTION("""COMPUTED_VALUE"""),FALSE)</f>
        <v>0</v>
      </c>
    </row>
    <row r="159">
      <c r="A159" s="19">
        <f>IFERROR(__xludf.DUMMYFUNCTION("""COMPUTED_VALUE"""),46304.0)</f>
        <v>46304</v>
      </c>
      <c r="B159" s="19">
        <f>IFERROR(__xludf.DUMMYFUNCTION("""COMPUTED_VALUE"""),46322.0)</f>
        <v>46322</v>
      </c>
      <c r="C159" s="15">
        <f>IFERROR(__xludf.DUMMYFUNCTION("""COMPUTED_VALUE"""),11.0)</f>
        <v>11</v>
      </c>
      <c r="D159" s="15" t="str">
        <f>IFERROR(__xludf.DUMMYFUNCTION("""COMPUTED_VALUE"""),"JDF")</f>
        <v>JDF</v>
      </c>
      <c r="E159" s="15" t="str">
        <f>IFERROR(__xludf.DUMMYFUNCTION("""COMPUTED_VALUE"""),"REIS E SANDIM CONFECÇOES E ACESS. LTDA")</f>
        <v>REIS E SANDIM CONFECÇOES E ACESS. LTDA</v>
      </c>
      <c r="F159" s="15" t="str">
        <f>IFERROR(__xludf.DUMMYFUNCTION("""COMPUTED_VALUE"""),"TRIFIL")</f>
        <v>TRIFIL</v>
      </c>
      <c r="G159" s="15" t="str">
        <f>IFERROR(__xludf.DUMMYFUNCTION("""COMPUTED_VALUE"""),"266803385")</f>
        <v>266803385</v>
      </c>
      <c r="H159" s="15" t="str">
        <f>IFERROR(__xludf.DUMMYFUNCTION("""COMPUTED_VALUE"""),"1305028")</f>
        <v>1305028</v>
      </c>
      <c r="I159" s="15" t="str">
        <f>IFERROR(__xludf.DUMMYFUNCTION("""COMPUTED_VALUE"""),"8176779")</f>
        <v>8176779</v>
      </c>
      <c r="J159" s="15" t="str">
        <f>IFERROR(__xludf.DUMMYFUNCTION("""COMPUTED_VALUE"""),"CIF")</f>
        <v>CIF</v>
      </c>
      <c r="K159" s="15" t="str">
        <f>IFERROR(__xludf.DUMMYFUNCTION("""COMPUTED_VALUE"""),"(sem célula)")</f>
        <v>(sem célula)</v>
      </c>
      <c r="L159" s="15" t="str">
        <f>IFERROR(__xludf.DUMMYFUNCTION("""COMPUTED_VALUE"""),"AUTORIZADO")</f>
        <v>AUTORIZADO</v>
      </c>
      <c r="M159" s="15" t="str">
        <f>IFERROR(__xludf.DUMMYFUNCTION("""COMPUTED_VALUE"""),"NA ORIGEM")</f>
        <v>NA ORIGEM</v>
      </c>
      <c r="N159" s="15" t="str">
        <f>IFERROR(__xludf.DUMMYFUNCTION("""COMPUTED_VALUE"""),"Antes Prazo")</f>
        <v>Antes Prazo</v>
      </c>
      <c r="O159" s="15" t="str">
        <f>IFERROR(__xludf.DUMMYFUNCTION("""COMPUTED_VALUE"""),"B2B")</f>
        <v>B2B</v>
      </c>
      <c r="P159" s="16">
        <f>IFERROR(__xludf.DUMMYFUNCTION("""COMPUTED_VALUE"""),49.43)</f>
        <v>49.43</v>
      </c>
      <c r="Q159" s="15">
        <f>IFERROR(__xludf.DUMMYFUNCTION("""COMPUTED_VALUE"""),1.0)</f>
        <v>1</v>
      </c>
      <c r="R159" s="15" t="str">
        <f>IFERROR(__xludf.DUMMYFUNCTION("""COMPUTED_VALUE"""),"RODO")</f>
        <v>RODO</v>
      </c>
      <c r="S159" s="15" t="str">
        <f>IFERROR(__xludf.DUMMYFUNCTION("""COMPUTED_VALUE"""),"ITN")</f>
        <v>ITN</v>
      </c>
      <c r="T159" s="15" t="str">
        <f>IFERROR(__xludf.DUMMYFUNCTION("""COMPUTED_VALUE"""),"106")</f>
        <v>106</v>
      </c>
      <c r="U159" s="15" t="str">
        <f>IFERROR(__xludf.DUMMYFUNCTION("""COMPUTED_VALUE"""),"266803385 1305028 8176779 reis e sandim confecçoes e acess. ltda trifil jdf 106")</f>
        <v>266803385 1305028 8176779 reis e sandim confecçoes e acess. ltda trifil jdf 106</v>
      </c>
      <c r="V159" s="15" t="b">
        <f>IFERROR(__xludf.DUMMYFUNCTION("""COMPUTED_VALUE"""),FALSE)</f>
        <v>0</v>
      </c>
    </row>
    <row r="160">
      <c r="A160" s="19">
        <f>IFERROR(__xludf.DUMMYFUNCTION("""COMPUTED_VALUE"""),46304.0)</f>
        <v>46304</v>
      </c>
      <c r="B160" s="19">
        <f>IFERROR(__xludf.DUMMYFUNCTION("""COMPUTED_VALUE"""),46322.0)</f>
        <v>46322</v>
      </c>
      <c r="C160" s="15">
        <f>IFERROR(__xludf.DUMMYFUNCTION("""COMPUTED_VALUE"""),11.0)</f>
        <v>11</v>
      </c>
      <c r="D160" s="15" t="str">
        <f>IFERROR(__xludf.DUMMYFUNCTION("""COMPUTED_VALUE"""),"JDF")</f>
        <v>JDF</v>
      </c>
      <c r="E160" s="15" t="str">
        <f>IFERROR(__xludf.DUMMYFUNCTION("""COMPUTED_VALUE"""),"ROSIANI DIAS DA SILVA 05702861663")</f>
        <v>ROSIANI DIAS DA SILVA 05702861663</v>
      </c>
      <c r="F160" s="15" t="str">
        <f>IFERROR(__xludf.DUMMYFUNCTION("""COMPUTED_VALUE"""),"TRIFIL")</f>
        <v>TRIFIL</v>
      </c>
      <c r="G160" s="15" t="str">
        <f>IFERROR(__xludf.DUMMYFUNCTION("""COMPUTED_VALUE"""),"266803386")</f>
        <v>266803386</v>
      </c>
      <c r="H160" s="15" t="str">
        <f>IFERROR(__xludf.DUMMYFUNCTION("""COMPUTED_VALUE"""),"1306060")</f>
        <v>1306060</v>
      </c>
      <c r="I160" s="15" t="str">
        <f>IFERROR(__xludf.DUMMYFUNCTION("""COMPUTED_VALUE"""),"8176937")</f>
        <v>8176937</v>
      </c>
      <c r="J160" s="15" t="str">
        <f>IFERROR(__xludf.DUMMYFUNCTION("""COMPUTED_VALUE"""),"CIF")</f>
        <v>CIF</v>
      </c>
      <c r="K160" s="15" t="str">
        <f>IFERROR(__xludf.DUMMYFUNCTION("""COMPUTED_VALUE"""),"(sem célula)")</f>
        <v>(sem célula)</v>
      </c>
      <c r="L160" s="15" t="str">
        <f>IFERROR(__xludf.DUMMYFUNCTION("""COMPUTED_VALUE"""),"AUTORIZADO")</f>
        <v>AUTORIZADO</v>
      </c>
      <c r="M160" s="15" t="str">
        <f>IFERROR(__xludf.DUMMYFUNCTION("""COMPUTED_VALUE"""),"NA ORIGEM")</f>
        <v>NA ORIGEM</v>
      </c>
      <c r="N160" s="15" t="str">
        <f>IFERROR(__xludf.DUMMYFUNCTION("""COMPUTED_VALUE"""),"Antes Prazo")</f>
        <v>Antes Prazo</v>
      </c>
      <c r="O160" s="15" t="str">
        <f>IFERROR(__xludf.DUMMYFUNCTION("""COMPUTED_VALUE"""),"B2B")</f>
        <v>B2B</v>
      </c>
      <c r="P160" s="16">
        <f>IFERROR(__xludf.DUMMYFUNCTION("""COMPUTED_VALUE"""),49.43)</f>
        <v>49.43</v>
      </c>
      <c r="Q160" s="15">
        <f>IFERROR(__xludf.DUMMYFUNCTION("""COMPUTED_VALUE"""),4.0)</f>
        <v>4</v>
      </c>
      <c r="R160" s="15" t="str">
        <f>IFERROR(__xludf.DUMMYFUNCTION("""COMPUTED_VALUE"""),"RODO")</f>
        <v>RODO</v>
      </c>
      <c r="S160" s="15" t="str">
        <f>IFERROR(__xludf.DUMMYFUNCTION("""COMPUTED_VALUE"""),"ITN")</f>
        <v>ITN</v>
      </c>
      <c r="T160" s="15" t="str">
        <f>IFERROR(__xludf.DUMMYFUNCTION("""COMPUTED_VALUE"""),"107")</f>
        <v>107</v>
      </c>
      <c r="U160" s="15" t="str">
        <f>IFERROR(__xludf.DUMMYFUNCTION("""COMPUTED_VALUE"""),"266803386 1306060 8176937 rosiani dias da silva 05702861663 trifil jdf 107")</f>
        <v>266803386 1306060 8176937 rosiani dias da silva 05702861663 trifil jdf 107</v>
      </c>
      <c r="V160" s="15" t="b">
        <f>IFERROR(__xludf.DUMMYFUNCTION("""COMPUTED_VALUE"""),FALSE)</f>
        <v>0</v>
      </c>
    </row>
    <row r="161">
      <c r="A161" s="19">
        <f>IFERROR(__xludf.DUMMYFUNCTION("""COMPUTED_VALUE"""),46304.0)</f>
        <v>46304</v>
      </c>
      <c r="B161" s="19">
        <f>IFERROR(__xludf.DUMMYFUNCTION("""COMPUTED_VALUE"""),46322.0)</f>
        <v>46322</v>
      </c>
      <c r="C161" s="15">
        <f>IFERROR(__xludf.DUMMYFUNCTION("""COMPUTED_VALUE"""),11.0)</f>
        <v>11</v>
      </c>
      <c r="D161" s="15" t="str">
        <f>IFERROR(__xludf.DUMMYFUNCTION("""COMPUTED_VALUE"""),"JDF")</f>
        <v>JDF</v>
      </c>
      <c r="E161" s="15" t="str">
        <f>IFERROR(__xludf.DUMMYFUNCTION("""COMPUTED_VALUE"""),"TECIDOS RENE LTDA ME")</f>
        <v>TECIDOS RENE LTDA ME</v>
      </c>
      <c r="F161" s="15" t="str">
        <f>IFERROR(__xludf.DUMMYFUNCTION("""COMPUTED_VALUE"""),"TRIFIL")</f>
        <v>TRIFIL</v>
      </c>
      <c r="G161" s="15" t="str">
        <f>IFERROR(__xludf.DUMMYFUNCTION("""COMPUTED_VALUE"""),"266803388")</f>
        <v>266803388</v>
      </c>
      <c r="H161" s="15" t="str">
        <f>IFERROR(__xludf.DUMMYFUNCTION("""COMPUTED_VALUE"""),"1305903")</f>
        <v>1305903</v>
      </c>
      <c r="I161" s="15" t="str">
        <f>IFERROR(__xludf.DUMMYFUNCTION("""COMPUTED_VALUE"""),"8176780")</f>
        <v>8176780</v>
      </c>
      <c r="J161" s="15" t="str">
        <f>IFERROR(__xludf.DUMMYFUNCTION("""COMPUTED_VALUE"""),"CIF")</f>
        <v>CIF</v>
      </c>
      <c r="K161" s="15" t="str">
        <f>IFERROR(__xludf.DUMMYFUNCTION("""COMPUTED_VALUE"""),"(sem célula)")</f>
        <v>(sem célula)</v>
      </c>
      <c r="L161" s="15" t="str">
        <f>IFERROR(__xludf.DUMMYFUNCTION("""COMPUTED_VALUE"""),"AUTORIZADO")</f>
        <v>AUTORIZADO</v>
      </c>
      <c r="M161" s="15" t="str">
        <f>IFERROR(__xludf.DUMMYFUNCTION("""COMPUTED_VALUE"""),"NA ORIGEM")</f>
        <v>NA ORIGEM</v>
      </c>
      <c r="N161" s="15" t="str">
        <f>IFERROR(__xludf.DUMMYFUNCTION("""COMPUTED_VALUE"""),"Antes Prazo")</f>
        <v>Antes Prazo</v>
      </c>
      <c r="O161" s="15" t="str">
        <f>IFERROR(__xludf.DUMMYFUNCTION("""COMPUTED_VALUE"""),"B2B")</f>
        <v>B2B</v>
      </c>
      <c r="P161" s="16">
        <f>IFERROR(__xludf.DUMMYFUNCTION("""COMPUTED_VALUE"""),49.43)</f>
        <v>49.43</v>
      </c>
      <c r="Q161" s="15">
        <f>IFERROR(__xludf.DUMMYFUNCTION("""COMPUTED_VALUE"""),1.0)</f>
        <v>1</v>
      </c>
      <c r="R161" s="15" t="str">
        <f>IFERROR(__xludf.DUMMYFUNCTION("""COMPUTED_VALUE"""),"RODO")</f>
        <v>RODO</v>
      </c>
      <c r="S161" s="15" t="str">
        <f>IFERROR(__xludf.DUMMYFUNCTION("""COMPUTED_VALUE"""),"ITN")</f>
        <v>ITN</v>
      </c>
      <c r="T161" s="15" t="str">
        <f>IFERROR(__xludf.DUMMYFUNCTION("""COMPUTED_VALUE"""),"105")</f>
        <v>105</v>
      </c>
      <c r="U161" s="15" t="str">
        <f>IFERROR(__xludf.DUMMYFUNCTION("""COMPUTED_VALUE"""),"266803388 1305903 8176780 tecidos rene ltda me trifil jdf 105")</f>
        <v>266803388 1305903 8176780 tecidos rene ltda me trifil jdf 105</v>
      </c>
      <c r="V161" s="15" t="b">
        <f>IFERROR(__xludf.DUMMYFUNCTION("""COMPUTED_VALUE"""),FALSE)</f>
        <v>0</v>
      </c>
    </row>
    <row r="162">
      <c r="A162" s="19">
        <f>IFERROR(__xludf.DUMMYFUNCTION("""COMPUTED_VALUE"""),46304.0)</f>
        <v>46304</v>
      </c>
      <c r="B162" s="19">
        <f>IFERROR(__xludf.DUMMYFUNCTION("""COMPUTED_VALUE"""),46322.0)</f>
        <v>46322</v>
      </c>
      <c r="C162" s="15">
        <f>IFERROR(__xludf.DUMMYFUNCTION("""COMPUTED_VALUE"""),11.0)</f>
        <v>11</v>
      </c>
      <c r="D162" s="15" t="str">
        <f>IFERROR(__xludf.DUMMYFUNCTION("""COMPUTED_VALUE"""),"JDF")</f>
        <v>JDF</v>
      </c>
      <c r="E162" s="15" t="str">
        <f>IFERROR(__xludf.DUMMYFUNCTION("""COMPUTED_VALUE"""),"FRANQUIA LUPO")</f>
        <v>FRANQUIA LUPO</v>
      </c>
      <c r="F162" s="15" t="str">
        <f>IFERROR(__xludf.DUMMYFUNCTION("""COMPUTED_VALUE"""),"TRIFIL")</f>
        <v>TRIFIL</v>
      </c>
      <c r="G162" s="15" t="str">
        <f>IFERROR(__xludf.DUMMYFUNCTION("""COMPUTED_VALUE"""),"266803390")</f>
        <v>266803390</v>
      </c>
      <c r="H162" s="15" t="str">
        <f>IFERROR(__xludf.DUMMYFUNCTION("""COMPUTED_VALUE"""),"1305498")</f>
        <v>1305498</v>
      </c>
      <c r="I162" s="15" t="str">
        <f>IFERROR(__xludf.DUMMYFUNCTION("""COMPUTED_VALUE"""),"8176938")</f>
        <v>8176938</v>
      </c>
      <c r="J162" s="15" t="str">
        <f>IFERROR(__xludf.DUMMYFUNCTION("""COMPUTED_VALUE"""),"CIF")</f>
        <v>CIF</v>
      </c>
      <c r="K162" s="15" t="str">
        <f>IFERROR(__xludf.DUMMYFUNCTION("""COMPUTED_VALUE"""),"(sem célula)")</f>
        <v>(sem célula)</v>
      </c>
      <c r="L162" s="15" t="str">
        <f>IFERROR(__xludf.DUMMYFUNCTION("""COMPUTED_VALUE"""),"AUTORIZADO")</f>
        <v>AUTORIZADO</v>
      </c>
      <c r="M162" s="15" t="str">
        <f>IFERROR(__xludf.DUMMYFUNCTION("""COMPUTED_VALUE"""),"NA ORIGEM")</f>
        <v>NA ORIGEM</v>
      </c>
      <c r="N162" s="15" t="str">
        <f>IFERROR(__xludf.DUMMYFUNCTION("""COMPUTED_VALUE"""),"Antes Prazo")</f>
        <v>Antes Prazo</v>
      </c>
      <c r="O162" s="15" t="str">
        <f>IFERROR(__xludf.DUMMYFUNCTION("""COMPUTED_VALUE"""),"B2B")</f>
        <v>B2B</v>
      </c>
      <c r="P162" s="16">
        <f>IFERROR(__xludf.DUMMYFUNCTION("""COMPUTED_VALUE"""),49.43)</f>
        <v>49.43</v>
      </c>
      <c r="Q162" s="15">
        <f>IFERROR(__xludf.DUMMYFUNCTION("""COMPUTED_VALUE"""),1.0)</f>
        <v>1</v>
      </c>
      <c r="R162" s="15" t="str">
        <f>IFERROR(__xludf.DUMMYFUNCTION("""COMPUTED_VALUE"""),"RODO")</f>
        <v>RODO</v>
      </c>
      <c r="S162" s="15" t="str">
        <f>IFERROR(__xludf.DUMMYFUNCTION("""COMPUTED_VALUE"""),"ITN")</f>
        <v>ITN</v>
      </c>
      <c r="T162" s="15" t="str">
        <f>IFERROR(__xludf.DUMMYFUNCTION("""COMPUTED_VALUE"""),"102")</f>
        <v>102</v>
      </c>
      <c r="U162" s="15" t="str">
        <f>IFERROR(__xludf.DUMMYFUNCTION("""COMPUTED_VALUE"""),"266803390 1305498 8176938 franquia lupo trifil jdf 102")</f>
        <v>266803390 1305498 8176938 franquia lupo trifil jdf 102</v>
      </c>
      <c r="V162" s="15" t="b">
        <f>IFERROR(__xludf.DUMMYFUNCTION("""COMPUTED_VALUE"""),FALSE)</f>
        <v>0</v>
      </c>
    </row>
    <row r="163">
      <c r="A163" s="19">
        <f>IFERROR(__xludf.DUMMYFUNCTION("""COMPUTED_VALUE"""),46304.0)</f>
        <v>46304</v>
      </c>
      <c r="B163" s="19">
        <f>IFERROR(__xludf.DUMMYFUNCTION("""COMPUTED_VALUE"""),46321.0)</f>
        <v>46321</v>
      </c>
      <c r="C163" s="15">
        <f>IFERROR(__xludf.DUMMYFUNCTION("""COMPUTED_VALUE"""),10.0)</f>
        <v>10</v>
      </c>
      <c r="D163" s="15" t="str">
        <f>IFERROR(__xludf.DUMMYFUNCTION("""COMPUTED_VALUE"""),"IPN")</f>
        <v>IPN</v>
      </c>
      <c r="E163" s="15" t="str">
        <f>IFERROR(__xludf.DUMMYFUNCTION("""COMPUTED_VALUE"""),"Breder Comercio LTDA ME")</f>
        <v>Breder Comercio LTDA ME</v>
      </c>
      <c r="F163" s="15" t="str">
        <f>IFERROR(__xludf.DUMMYFUNCTION("""COMPUTED_VALUE"""),"TRIFIL")</f>
        <v>TRIFIL</v>
      </c>
      <c r="G163" s="15" t="str">
        <f>IFERROR(__xludf.DUMMYFUNCTION("""COMPUTED_VALUE"""),"266803391")</f>
        <v>266803391</v>
      </c>
      <c r="H163" s="15" t="str">
        <f>IFERROR(__xludf.DUMMYFUNCTION("""COMPUTED_VALUE"""),"1304964")</f>
        <v>1304964</v>
      </c>
      <c r="I163" s="15" t="str">
        <f>IFERROR(__xludf.DUMMYFUNCTION("""COMPUTED_VALUE"""),"8177028")</f>
        <v>8177028</v>
      </c>
      <c r="J163" s="15" t="str">
        <f>IFERROR(__xludf.DUMMYFUNCTION("""COMPUTED_VALUE"""),"CIF")</f>
        <v>CIF</v>
      </c>
      <c r="K163" s="15" t="str">
        <f>IFERROR(__xludf.DUMMYFUNCTION("""COMPUTED_VALUE"""),"(sem célula)")</f>
        <v>(sem célula)</v>
      </c>
      <c r="L163" s="15" t="str">
        <f>IFERROR(__xludf.DUMMYFUNCTION("""COMPUTED_VALUE"""),"AUTORIZADO")</f>
        <v>AUTORIZADO</v>
      </c>
      <c r="M163" s="15" t="str">
        <f>IFERROR(__xludf.DUMMYFUNCTION("""COMPUTED_VALUE"""),"NA ORIGEM")</f>
        <v>NA ORIGEM</v>
      </c>
      <c r="N163" s="15" t="str">
        <f>IFERROR(__xludf.DUMMYFUNCTION("""COMPUTED_VALUE"""),"Antes Prazo")</f>
        <v>Antes Prazo</v>
      </c>
      <c r="O163" s="15" t="str">
        <f>IFERROR(__xludf.DUMMYFUNCTION("""COMPUTED_VALUE"""),"B2B")</f>
        <v>B2B</v>
      </c>
      <c r="P163" s="16">
        <f>IFERROR(__xludf.DUMMYFUNCTION("""COMPUTED_VALUE"""),49.43)</f>
        <v>49.43</v>
      </c>
      <c r="Q163" s="15">
        <f>IFERROR(__xludf.DUMMYFUNCTION("""COMPUTED_VALUE"""),1.0)</f>
        <v>1</v>
      </c>
      <c r="R163" s="15" t="str">
        <f>IFERROR(__xludf.DUMMYFUNCTION("""COMPUTED_VALUE"""),"RODO")</f>
        <v>RODO</v>
      </c>
      <c r="S163" s="15" t="str">
        <f>IFERROR(__xludf.DUMMYFUNCTION("""COMPUTED_VALUE"""),"ITN")</f>
        <v>ITN</v>
      </c>
      <c r="T163" s="15" t="str">
        <f>IFERROR(__xludf.DUMMYFUNCTION("""COMPUTED_VALUE"""),"102")</f>
        <v>102</v>
      </c>
      <c r="U163" s="15" t="str">
        <f>IFERROR(__xludf.DUMMYFUNCTION("""COMPUTED_VALUE"""),"266803391 1304964 8177028 breder comercio ltda me trifil ipn 102")</f>
        <v>266803391 1304964 8177028 breder comercio ltda me trifil ipn 102</v>
      </c>
      <c r="V163" s="15" t="b">
        <f>IFERROR(__xludf.DUMMYFUNCTION("""COMPUTED_VALUE"""),FALSE)</f>
        <v>0</v>
      </c>
    </row>
    <row r="164">
      <c r="A164" s="19">
        <f>IFERROR(__xludf.DUMMYFUNCTION("""COMPUTED_VALUE"""),46304.0)</f>
        <v>46304</v>
      </c>
      <c r="B164" s="19">
        <f>IFERROR(__xludf.DUMMYFUNCTION("""COMPUTED_VALUE"""),46317.0)</f>
        <v>46317</v>
      </c>
      <c r="C164" s="15">
        <f>IFERROR(__xludf.DUMMYFUNCTION("""COMPUTED_VALUE"""),8.0)</f>
        <v>8</v>
      </c>
      <c r="D164" s="15" t="str">
        <f>IFERROR(__xludf.DUMMYFUNCTION("""COMPUTED_VALUE"""),"VAG")</f>
        <v>VAG</v>
      </c>
      <c r="E164" s="15" t="str">
        <f>IFERROR(__xludf.DUMMYFUNCTION("""COMPUTED_VALUE"""),"REAL MODAS")</f>
        <v>REAL MODAS</v>
      </c>
      <c r="F164" s="15" t="str">
        <f>IFERROR(__xludf.DUMMYFUNCTION("""COMPUTED_VALUE"""),"TRIFIL")</f>
        <v>TRIFIL</v>
      </c>
      <c r="G164" s="15" t="str">
        <f>IFERROR(__xludf.DUMMYFUNCTION("""COMPUTED_VALUE"""),"266803393")</f>
        <v>266803393</v>
      </c>
      <c r="H164" s="15" t="str">
        <f>IFERROR(__xludf.DUMMYFUNCTION("""COMPUTED_VALUE"""),"1305720")</f>
        <v>1305720</v>
      </c>
      <c r="I164" s="15" t="str">
        <f>IFERROR(__xludf.DUMMYFUNCTION("""COMPUTED_VALUE"""),"8176877")</f>
        <v>8176877</v>
      </c>
      <c r="J164" s="15" t="str">
        <f>IFERROR(__xludf.DUMMYFUNCTION("""COMPUTED_VALUE"""),"CIF")</f>
        <v>CIF</v>
      </c>
      <c r="K164" s="15" t="str">
        <f>IFERROR(__xludf.DUMMYFUNCTION("""COMPUTED_VALUE"""),"(sem célula)")</f>
        <v>(sem célula)</v>
      </c>
      <c r="L164" s="15" t="str">
        <f>IFERROR(__xludf.DUMMYFUNCTION("""COMPUTED_VALUE"""),"AUTORIZADO")</f>
        <v>AUTORIZADO</v>
      </c>
      <c r="M164" s="15" t="str">
        <f>IFERROR(__xludf.DUMMYFUNCTION("""COMPUTED_VALUE"""),"NA ORIGEM")</f>
        <v>NA ORIGEM</v>
      </c>
      <c r="N164" s="15" t="str">
        <f>IFERROR(__xludf.DUMMYFUNCTION("""COMPUTED_VALUE"""),"Antes Prazo")</f>
        <v>Antes Prazo</v>
      </c>
      <c r="O164" s="15" t="str">
        <f>IFERROR(__xludf.DUMMYFUNCTION("""COMPUTED_VALUE"""),"B2B")</f>
        <v>B2B</v>
      </c>
      <c r="P164" s="16">
        <f>IFERROR(__xludf.DUMMYFUNCTION("""COMPUTED_VALUE"""),49.43)</f>
        <v>49.43</v>
      </c>
      <c r="Q164" s="15">
        <f>IFERROR(__xludf.DUMMYFUNCTION("""COMPUTED_VALUE"""),1.0)</f>
        <v>1</v>
      </c>
      <c r="R164" s="15" t="str">
        <f>IFERROR(__xludf.DUMMYFUNCTION("""COMPUTED_VALUE"""),"RODO")</f>
        <v>RODO</v>
      </c>
      <c r="S164" s="15" t="str">
        <f>IFERROR(__xludf.DUMMYFUNCTION("""COMPUTED_VALUE"""),"ITN")</f>
        <v>ITN</v>
      </c>
      <c r="T164" s="15" t="str">
        <f>IFERROR(__xludf.DUMMYFUNCTION("""COMPUTED_VALUE"""),"104")</f>
        <v>104</v>
      </c>
      <c r="U164" s="15" t="str">
        <f>IFERROR(__xludf.DUMMYFUNCTION("""COMPUTED_VALUE"""),"266803393 1305720 8176877 real modas trifil vag 104")</f>
        <v>266803393 1305720 8176877 real modas trifil vag 104</v>
      </c>
      <c r="V164" s="15" t="b">
        <f>IFERROR(__xludf.DUMMYFUNCTION("""COMPUTED_VALUE"""),FALSE)</f>
        <v>0</v>
      </c>
    </row>
    <row r="165">
      <c r="A165" s="19">
        <f>IFERROR(__xludf.DUMMYFUNCTION("""COMPUTED_VALUE"""),46304.0)</f>
        <v>46304</v>
      </c>
      <c r="B165" s="19">
        <f>IFERROR(__xludf.DUMMYFUNCTION("""COMPUTED_VALUE"""),46318.0)</f>
        <v>46318</v>
      </c>
      <c r="C165" s="15">
        <f>IFERROR(__xludf.DUMMYFUNCTION("""COMPUTED_VALUE"""),9.0)</f>
        <v>9</v>
      </c>
      <c r="D165" s="15" t="str">
        <f>IFERROR(__xludf.DUMMYFUNCTION("""COMPUTED_VALUE"""),"FRC")</f>
        <v>FRC</v>
      </c>
      <c r="E165" s="15" t="str">
        <f>IFERROR(__xludf.DUMMYFUNCTION("""COMPUTED_VALUE"""),"CASA MAFRA LTDA")</f>
        <v>CASA MAFRA LTDA</v>
      </c>
      <c r="F165" s="15" t="str">
        <f>IFERROR(__xludf.DUMMYFUNCTION("""COMPUTED_VALUE"""),"TRIFIL")</f>
        <v>TRIFIL</v>
      </c>
      <c r="G165" s="15" t="str">
        <f>IFERROR(__xludf.DUMMYFUNCTION("""COMPUTED_VALUE"""),"266803394")</f>
        <v>266803394</v>
      </c>
      <c r="H165" s="15" t="str">
        <f>IFERROR(__xludf.DUMMYFUNCTION("""COMPUTED_VALUE"""),"1305930")</f>
        <v>1305930</v>
      </c>
      <c r="I165" s="15" t="str">
        <f>IFERROR(__xludf.DUMMYFUNCTION("""COMPUTED_VALUE"""),"8176939")</f>
        <v>8176939</v>
      </c>
      <c r="J165" s="15" t="str">
        <f>IFERROR(__xludf.DUMMYFUNCTION("""COMPUTED_VALUE"""),"CIF")</f>
        <v>CIF</v>
      </c>
      <c r="K165" s="15" t="str">
        <f>IFERROR(__xludf.DUMMYFUNCTION("""COMPUTED_VALUE"""),"(sem célula)")</f>
        <v>(sem célula)</v>
      </c>
      <c r="L165" s="15" t="str">
        <f>IFERROR(__xludf.DUMMYFUNCTION("""COMPUTED_VALUE"""),"AUTORIZADO")</f>
        <v>AUTORIZADO</v>
      </c>
      <c r="M165" s="15" t="str">
        <f>IFERROR(__xludf.DUMMYFUNCTION("""COMPUTED_VALUE"""),"NA ORIGEM")</f>
        <v>NA ORIGEM</v>
      </c>
      <c r="N165" s="15" t="str">
        <f>IFERROR(__xludf.DUMMYFUNCTION("""COMPUTED_VALUE"""),"Antes Prazo")</f>
        <v>Antes Prazo</v>
      </c>
      <c r="O165" s="15" t="str">
        <f>IFERROR(__xludf.DUMMYFUNCTION("""COMPUTED_VALUE"""),"B2B")</f>
        <v>B2B</v>
      </c>
      <c r="P165" s="16">
        <f>IFERROR(__xludf.DUMMYFUNCTION("""COMPUTED_VALUE"""),49.43)</f>
        <v>49.43</v>
      </c>
      <c r="Q165" s="15">
        <f>IFERROR(__xludf.DUMMYFUNCTION("""COMPUTED_VALUE"""),3.0)</f>
        <v>3</v>
      </c>
      <c r="R165" s="15" t="str">
        <f>IFERROR(__xludf.DUMMYFUNCTION("""COMPUTED_VALUE"""),"RODO")</f>
        <v>RODO</v>
      </c>
      <c r="S165" s="15" t="str">
        <f>IFERROR(__xludf.DUMMYFUNCTION("""COMPUTED_VALUE"""),"ITN")</f>
        <v>ITN</v>
      </c>
      <c r="T165" s="15" t="str">
        <f>IFERROR(__xludf.DUMMYFUNCTION("""COMPUTED_VALUE"""),"103")</f>
        <v>103</v>
      </c>
      <c r="U165" s="15" t="str">
        <f>IFERROR(__xludf.DUMMYFUNCTION("""COMPUTED_VALUE"""),"266803394 1305930 8176939 casa mafra ltda trifil frc 103")</f>
        <v>266803394 1305930 8176939 casa mafra ltda trifil frc 103</v>
      </c>
      <c r="V165" s="15" t="b">
        <f>IFERROR(__xludf.DUMMYFUNCTION("""COMPUTED_VALUE"""),FALSE)</f>
        <v>0</v>
      </c>
    </row>
    <row r="166">
      <c r="A166" s="19">
        <f>IFERROR(__xludf.DUMMYFUNCTION("""COMPUTED_VALUE"""),46304.0)</f>
        <v>46304</v>
      </c>
      <c r="B166" s="19">
        <f>IFERROR(__xludf.DUMMYFUNCTION("""COMPUTED_VALUE"""),46317.0)</f>
        <v>46317</v>
      </c>
      <c r="C166" s="15">
        <f>IFERROR(__xludf.DUMMYFUNCTION("""COMPUTED_VALUE"""),8.0)</f>
        <v>8</v>
      </c>
      <c r="D166" s="15" t="str">
        <f>IFERROR(__xludf.DUMMYFUNCTION("""COMPUTED_VALUE"""),"VAG")</f>
        <v>VAG</v>
      </c>
      <c r="E166" s="15" t="str">
        <f>IFERROR(__xludf.DUMMYFUNCTION("""COMPUTED_VALUE"""),"COMERCIAL FATUME LTDA")</f>
        <v>COMERCIAL FATUME LTDA</v>
      </c>
      <c r="F166" s="15" t="str">
        <f>IFERROR(__xludf.DUMMYFUNCTION("""COMPUTED_VALUE"""),"TRIFIL")</f>
        <v>TRIFIL</v>
      </c>
      <c r="G166" s="15" t="str">
        <f>IFERROR(__xludf.DUMMYFUNCTION("""COMPUTED_VALUE"""),"266803395")</f>
        <v>266803395</v>
      </c>
      <c r="H166" s="15" t="str">
        <f>IFERROR(__xludf.DUMMYFUNCTION("""COMPUTED_VALUE"""),"1305837")</f>
        <v>1305837</v>
      </c>
      <c r="I166" s="15" t="str">
        <f>IFERROR(__xludf.DUMMYFUNCTION("""COMPUTED_VALUE"""),"8176903")</f>
        <v>8176903</v>
      </c>
      <c r="J166" s="15" t="str">
        <f>IFERROR(__xludf.DUMMYFUNCTION("""COMPUTED_VALUE"""),"CIF")</f>
        <v>CIF</v>
      </c>
      <c r="K166" s="15" t="str">
        <f>IFERROR(__xludf.DUMMYFUNCTION("""COMPUTED_VALUE"""),"(sem célula)")</f>
        <v>(sem célula)</v>
      </c>
      <c r="L166" s="15" t="str">
        <f>IFERROR(__xludf.DUMMYFUNCTION("""COMPUTED_VALUE"""),"AUTORIZADO")</f>
        <v>AUTORIZADO</v>
      </c>
      <c r="M166" s="15" t="str">
        <f>IFERROR(__xludf.DUMMYFUNCTION("""COMPUTED_VALUE"""),"NA ORIGEM")</f>
        <v>NA ORIGEM</v>
      </c>
      <c r="N166" s="15" t="str">
        <f>IFERROR(__xludf.DUMMYFUNCTION("""COMPUTED_VALUE"""),"Antes Prazo")</f>
        <v>Antes Prazo</v>
      </c>
      <c r="O166" s="15" t="str">
        <f>IFERROR(__xludf.DUMMYFUNCTION("""COMPUTED_VALUE"""),"B2B")</f>
        <v>B2B</v>
      </c>
      <c r="P166" s="16">
        <f>IFERROR(__xludf.DUMMYFUNCTION("""COMPUTED_VALUE"""),49.43)</f>
        <v>49.43</v>
      </c>
      <c r="Q166" s="15">
        <f>IFERROR(__xludf.DUMMYFUNCTION("""COMPUTED_VALUE"""),4.0)</f>
        <v>4</v>
      </c>
      <c r="R166" s="15" t="str">
        <f>IFERROR(__xludf.DUMMYFUNCTION("""COMPUTED_VALUE"""),"RODO")</f>
        <v>RODO</v>
      </c>
      <c r="S166" s="15" t="str">
        <f>IFERROR(__xludf.DUMMYFUNCTION("""COMPUTED_VALUE"""),"ITN")</f>
        <v>ITN</v>
      </c>
      <c r="T166" s="15" t="str">
        <f>IFERROR(__xludf.DUMMYFUNCTION("""COMPUTED_VALUE"""),"108")</f>
        <v>108</v>
      </c>
      <c r="U166" s="15" t="str">
        <f>IFERROR(__xludf.DUMMYFUNCTION("""COMPUTED_VALUE"""),"266803395 1305837 8176903 comercial fatume ltda trifil vag 108")</f>
        <v>266803395 1305837 8176903 comercial fatume ltda trifil vag 108</v>
      </c>
      <c r="V166" s="15" t="b">
        <f>IFERROR(__xludf.DUMMYFUNCTION("""COMPUTED_VALUE"""),FALSE)</f>
        <v>0</v>
      </c>
    </row>
    <row r="167">
      <c r="A167" s="19">
        <f>IFERROR(__xludf.DUMMYFUNCTION("""COMPUTED_VALUE"""),46304.0)</f>
        <v>46304</v>
      </c>
      <c r="B167" s="19">
        <f>IFERROR(__xludf.DUMMYFUNCTION("""COMPUTED_VALUE"""),46323.0)</f>
        <v>46323</v>
      </c>
      <c r="C167" s="15">
        <f>IFERROR(__xludf.DUMMYFUNCTION("""COMPUTED_VALUE"""),12.0)</f>
        <v>12</v>
      </c>
      <c r="D167" s="15" t="str">
        <f>IFERROR(__xludf.DUMMYFUNCTION("""COMPUTED_VALUE"""),"VAG")</f>
        <v>VAG</v>
      </c>
      <c r="E167" s="15" t="str">
        <f>IFERROR(__xludf.DUMMYFUNCTION("""COMPUTED_VALUE"""),"CASA ALTO ESTILO CONFECCOES LTDA ME")</f>
        <v>CASA ALTO ESTILO CONFECCOES LTDA ME</v>
      </c>
      <c r="F167" s="15" t="str">
        <f>IFERROR(__xludf.DUMMYFUNCTION("""COMPUTED_VALUE"""),"TRIFIL")</f>
        <v>TRIFIL</v>
      </c>
      <c r="G167" s="15" t="str">
        <f>IFERROR(__xludf.DUMMYFUNCTION("""COMPUTED_VALUE"""),"266803396")</f>
        <v>266803396</v>
      </c>
      <c r="H167" s="15" t="str">
        <f>IFERROR(__xludf.DUMMYFUNCTION("""COMPUTED_VALUE"""),"1305359")</f>
        <v>1305359</v>
      </c>
      <c r="I167" s="15" t="str">
        <f>IFERROR(__xludf.DUMMYFUNCTION("""COMPUTED_VALUE"""),"8176980")</f>
        <v>8176980</v>
      </c>
      <c r="J167" s="15" t="str">
        <f>IFERROR(__xludf.DUMMYFUNCTION("""COMPUTED_VALUE"""),"CIF")</f>
        <v>CIF</v>
      </c>
      <c r="K167" s="15" t="str">
        <f>IFERROR(__xludf.DUMMYFUNCTION("""COMPUTED_VALUE"""),"(sem célula)")</f>
        <v>(sem célula)</v>
      </c>
      <c r="L167" s="15" t="str">
        <f>IFERROR(__xludf.DUMMYFUNCTION("""COMPUTED_VALUE"""),"AUTORIZADO")</f>
        <v>AUTORIZADO</v>
      </c>
      <c r="M167" s="15" t="str">
        <f>IFERROR(__xludf.DUMMYFUNCTION("""COMPUTED_VALUE"""),"NA ORIGEM")</f>
        <v>NA ORIGEM</v>
      </c>
      <c r="N167" s="15" t="str">
        <f>IFERROR(__xludf.DUMMYFUNCTION("""COMPUTED_VALUE"""),"Antes Prazo")</f>
        <v>Antes Prazo</v>
      </c>
      <c r="O167" s="15" t="str">
        <f>IFERROR(__xludf.DUMMYFUNCTION("""COMPUTED_VALUE"""),"B2B")</f>
        <v>B2B</v>
      </c>
      <c r="P167" s="16">
        <f>IFERROR(__xludf.DUMMYFUNCTION("""COMPUTED_VALUE"""),49.43)</f>
        <v>49.43</v>
      </c>
      <c r="Q167" s="15">
        <f>IFERROR(__xludf.DUMMYFUNCTION("""COMPUTED_VALUE"""),1.0)</f>
        <v>1</v>
      </c>
      <c r="R167" s="15" t="str">
        <f>IFERROR(__xludf.DUMMYFUNCTION("""COMPUTED_VALUE"""),"RODO")</f>
        <v>RODO</v>
      </c>
      <c r="S167" s="15" t="str">
        <f>IFERROR(__xludf.DUMMYFUNCTION("""COMPUTED_VALUE"""),"ITN")</f>
        <v>ITN</v>
      </c>
      <c r="T167" s="15" t="str">
        <f>IFERROR(__xludf.DUMMYFUNCTION("""COMPUTED_VALUE"""),"115")</f>
        <v>115</v>
      </c>
      <c r="U167" s="15" t="str">
        <f>IFERROR(__xludf.DUMMYFUNCTION("""COMPUTED_VALUE"""),"266803396 1305359 8176980 casa alto estilo confeccoes ltda me trifil vag 115")</f>
        <v>266803396 1305359 8176980 casa alto estilo confeccoes ltda me trifil vag 115</v>
      </c>
      <c r="V167" s="15" t="b">
        <f>IFERROR(__xludf.DUMMYFUNCTION("""COMPUTED_VALUE"""),FALSE)</f>
        <v>0</v>
      </c>
    </row>
    <row r="168">
      <c r="A168" s="19">
        <f>IFERROR(__xludf.DUMMYFUNCTION("""COMPUTED_VALUE"""),46304.0)</f>
        <v>46304</v>
      </c>
      <c r="B168" s="19">
        <f>IFERROR(__xludf.DUMMYFUNCTION("""COMPUTED_VALUE"""),46324.0)</f>
        <v>46324</v>
      </c>
      <c r="C168" s="15">
        <f>IFERROR(__xludf.DUMMYFUNCTION("""COMPUTED_VALUE"""),13.0)</f>
        <v>13</v>
      </c>
      <c r="D168" s="15" t="str">
        <f>IFERROR(__xludf.DUMMYFUNCTION("""COMPUTED_VALUE"""),"JDF")</f>
        <v>JDF</v>
      </c>
      <c r="E168" s="15" t="str">
        <f>IFERROR(__xludf.DUMMYFUNCTION("""COMPUTED_VALUE"""),"ISMAR GONCALVES TEIXEIRA")</f>
        <v>ISMAR GONCALVES TEIXEIRA</v>
      </c>
      <c r="F168" s="15" t="str">
        <f>IFERROR(__xludf.DUMMYFUNCTION("""COMPUTED_VALUE"""),"TRIFIL")</f>
        <v>TRIFIL</v>
      </c>
      <c r="G168" s="15" t="str">
        <f>IFERROR(__xludf.DUMMYFUNCTION("""COMPUTED_VALUE"""),"266803397")</f>
        <v>266803397</v>
      </c>
      <c r="H168" s="15" t="str">
        <f>IFERROR(__xludf.DUMMYFUNCTION("""COMPUTED_VALUE"""),"1305752")</f>
        <v>1305752</v>
      </c>
      <c r="I168" s="15" t="str">
        <f>IFERROR(__xludf.DUMMYFUNCTION("""COMPUTED_VALUE"""),"8176721")</f>
        <v>8176721</v>
      </c>
      <c r="J168" s="15" t="str">
        <f>IFERROR(__xludf.DUMMYFUNCTION("""COMPUTED_VALUE"""),"CIF")</f>
        <v>CIF</v>
      </c>
      <c r="K168" s="15" t="str">
        <f>IFERROR(__xludf.DUMMYFUNCTION("""COMPUTED_VALUE"""),"(sem célula)")</f>
        <v>(sem célula)</v>
      </c>
      <c r="L168" s="15" t="str">
        <f>IFERROR(__xludf.DUMMYFUNCTION("""COMPUTED_VALUE"""),"AUTORIZADO")</f>
        <v>AUTORIZADO</v>
      </c>
      <c r="M168" s="15" t="str">
        <f>IFERROR(__xludf.DUMMYFUNCTION("""COMPUTED_VALUE"""),"NA ORIGEM")</f>
        <v>NA ORIGEM</v>
      </c>
      <c r="N168" s="15" t="str">
        <f>IFERROR(__xludf.DUMMYFUNCTION("""COMPUTED_VALUE"""),"Antes Prazo")</f>
        <v>Antes Prazo</v>
      </c>
      <c r="O168" s="15" t="str">
        <f>IFERROR(__xludf.DUMMYFUNCTION("""COMPUTED_VALUE"""),"B2B")</f>
        <v>B2B</v>
      </c>
      <c r="P168" s="16">
        <f>IFERROR(__xludf.DUMMYFUNCTION("""COMPUTED_VALUE"""),49.43)</f>
        <v>49.43</v>
      </c>
      <c r="Q168" s="15">
        <f>IFERROR(__xludf.DUMMYFUNCTION("""COMPUTED_VALUE"""),2.0)</f>
        <v>2</v>
      </c>
      <c r="R168" s="15" t="str">
        <f>IFERROR(__xludf.DUMMYFUNCTION("""COMPUTED_VALUE"""),"RODO")</f>
        <v>RODO</v>
      </c>
      <c r="S168" s="15" t="str">
        <f>IFERROR(__xludf.DUMMYFUNCTION("""COMPUTED_VALUE"""),"ITN")</f>
        <v>ITN</v>
      </c>
      <c r="T168" s="15" t="str">
        <f>IFERROR(__xludf.DUMMYFUNCTION("""COMPUTED_VALUE"""),"104")</f>
        <v>104</v>
      </c>
      <c r="U168" s="15" t="str">
        <f>IFERROR(__xludf.DUMMYFUNCTION("""COMPUTED_VALUE"""),"266803397 1305752 8176721 ismar goncalves teixeira trifil jdf 104")</f>
        <v>266803397 1305752 8176721 ismar goncalves teixeira trifil jdf 104</v>
      </c>
      <c r="V168" s="15" t="b">
        <f>IFERROR(__xludf.DUMMYFUNCTION("""COMPUTED_VALUE"""),FALSE)</f>
        <v>0</v>
      </c>
    </row>
    <row r="169">
      <c r="A169" s="19">
        <f>IFERROR(__xludf.DUMMYFUNCTION("""COMPUTED_VALUE"""),46304.0)</f>
        <v>46304</v>
      </c>
      <c r="B169" s="19">
        <f>IFERROR(__xludf.DUMMYFUNCTION("""COMPUTED_VALUE"""),46317.0)</f>
        <v>46317</v>
      </c>
      <c r="C169" s="15">
        <f>IFERROR(__xludf.DUMMYFUNCTION("""COMPUTED_VALUE"""),8.0)</f>
        <v>8</v>
      </c>
      <c r="D169" s="15" t="str">
        <f>IFERROR(__xludf.DUMMYFUNCTION("""COMPUTED_VALUE"""),"VAG")</f>
        <v>VAG</v>
      </c>
      <c r="E169" s="15" t="str">
        <f>IFERROR(__xludf.DUMMYFUNCTION("""COMPUTED_VALUE"""),"TECIDOS MUNIR BACHA")</f>
        <v>TECIDOS MUNIR BACHA</v>
      </c>
      <c r="F169" s="15" t="str">
        <f>IFERROR(__xludf.DUMMYFUNCTION("""COMPUTED_VALUE"""),"TRIFIL")</f>
        <v>TRIFIL</v>
      </c>
      <c r="G169" s="15" t="str">
        <f>IFERROR(__xludf.DUMMYFUNCTION("""COMPUTED_VALUE"""),"266803398")</f>
        <v>266803398</v>
      </c>
      <c r="H169" s="15" t="str">
        <f>IFERROR(__xludf.DUMMYFUNCTION("""COMPUTED_VALUE"""),"1305499")</f>
        <v>1305499</v>
      </c>
      <c r="I169" s="15" t="str">
        <f>IFERROR(__xludf.DUMMYFUNCTION("""COMPUTED_VALUE"""),"8176904")</f>
        <v>8176904</v>
      </c>
      <c r="J169" s="15" t="str">
        <f>IFERROR(__xludf.DUMMYFUNCTION("""COMPUTED_VALUE"""),"CIF")</f>
        <v>CIF</v>
      </c>
      <c r="K169" s="15" t="str">
        <f>IFERROR(__xludf.DUMMYFUNCTION("""COMPUTED_VALUE"""),"(sem célula)")</f>
        <v>(sem célula)</v>
      </c>
      <c r="L169" s="15" t="str">
        <f>IFERROR(__xludf.DUMMYFUNCTION("""COMPUTED_VALUE"""),"AUTORIZADO")</f>
        <v>AUTORIZADO</v>
      </c>
      <c r="M169" s="15" t="str">
        <f>IFERROR(__xludf.DUMMYFUNCTION("""COMPUTED_VALUE"""),"NA ORIGEM")</f>
        <v>NA ORIGEM</v>
      </c>
      <c r="N169" s="15" t="str">
        <f>IFERROR(__xludf.DUMMYFUNCTION("""COMPUTED_VALUE"""),"Antes Prazo")</f>
        <v>Antes Prazo</v>
      </c>
      <c r="O169" s="15" t="str">
        <f>IFERROR(__xludf.DUMMYFUNCTION("""COMPUTED_VALUE"""),"B2B")</f>
        <v>B2B</v>
      </c>
      <c r="P169" s="16">
        <f>IFERROR(__xludf.DUMMYFUNCTION("""COMPUTED_VALUE"""),49.43)</f>
        <v>49.43</v>
      </c>
      <c r="Q169" s="15">
        <f>IFERROR(__xludf.DUMMYFUNCTION("""COMPUTED_VALUE"""),1.0)</f>
        <v>1</v>
      </c>
      <c r="R169" s="15" t="str">
        <f>IFERROR(__xludf.DUMMYFUNCTION("""COMPUTED_VALUE"""),"RODO")</f>
        <v>RODO</v>
      </c>
      <c r="S169" s="15" t="str">
        <f>IFERROR(__xludf.DUMMYFUNCTION("""COMPUTED_VALUE"""),"ITN")</f>
        <v>ITN</v>
      </c>
      <c r="T169" s="15" t="str">
        <f>IFERROR(__xludf.DUMMYFUNCTION("""COMPUTED_VALUE"""),"103")</f>
        <v>103</v>
      </c>
      <c r="U169" s="15" t="str">
        <f>IFERROR(__xludf.DUMMYFUNCTION("""COMPUTED_VALUE"""),"266803398 1305499 8176904 tecidos munir bacha trifil vag 103")</f>
        <v>266803398 1305499 8176904 tecidos munir bacha trifil vag 103</v>
      </c>
      <c r="V169" s="15" t="b">
        <f>IFERROR(__xludf.DUMMYFUNCTION("""COMPUTED_VALUE"""),FALSE)</f>
        <v>0</v>
      </c>
    </row>
    <row r="170">
      <c r="A170" s="19">
        <f>IFERROR(__xludf.DUMMYFUNCTION("""COMPUTED_VALUE"""),46304.0)</f>
        <v>46304</v>
      </c>
      <c r="B170" s="19">
        <f>IFERROR(__xludf.DUMMYFUNCTION("""COMPUTED_VALUE"""),46321.0)</f>
        <v>46321</v>
      </c>
      <c r="C170" s="15">
        <f>IFERROR(__xludf.DUMMYFUNCTION("""COMPUTED_VALUE"""),10.0)</f>
        <v>10</v>
      </c>
      <c r="D170" s="15" t="str">
        <f>IFERROR(__xludf.DUMMYFUNCTION("""COMPUTED_VALUE"""),"VAG")</f>
        <v>VAG</v>
      </c>
      <c r="E170" s="15" t="str">
        <f>IFERROR(__xludf.DUMMYFUNCTION("""COMPUTED_VALUE"""),"JO MODAS.COM LTDA")</f>
        <v>JO MODAS.COM LTDA</v>
      </c>
      <c r="F170" s="15" t="str">
        <f>IFERROR(__xludf.DUMMYFUNCTION("""COMPUTED_VALUE"""),"TRIFIL")</f>
        <v>TRIFIL</v>
      </c>
      <c r="G170" s="15" t="str">
        <f>IFERROR(__xludf.DUMMYFUNCTION("""COMPUTED_VALUE"""),"266803399")</f>
        <v>266803399</v>
      </c>
      <c r="H170" s="15" t="str">
        <f>IFERROR(__xludf.DUMMYFUNCTION("""COMPUTED_VALUE"""),"1305038")</f>
        <v>1305038</v>
      </c>
      <c r="I170" s="15" t="str">
        <f>IFERROR(__xludf.DUMMYFUNCTION("""COMPUTED_VALUE"""),"8176905")</f>
        <v>8176905</v>
      </c>
      <c r="J170" s="15" t="str">
        <f>IFERROR(__xludf.DUMMYFUNCTION("""COMPUTED_VALUE"""),"CIF")</f>
        <v>CIF</v>
      </c>
      <c r="K170" s="15" t="str">
        <f>IFERROR(__xludf.DUMMYFUNCTION("""COMPUTED_VALUE"""),"(sem célula)")</f>
        <v>(sem célula)</v>
      </c>
      <c r="L170" s="15" t="str">
        <f>IFERROR(__xludf.DUMMYFUNCTION("""COMPUTED_VALUE"""),"AUTORIZADO")</f>
        <v>AUTORIZADO</v>
      </c>
      <c r="M170" s="15" t="str">
        <f>IFERROR(__xludf.DUMMYFUNCTION("""COMPUTED_VALUE"""),"NA ORIGEM")</f>
        <v>NA ORIGEM</v>
      </c>
      <c r="N170" s="15" t="str">
        <f>IFERROR(__xludf.DUMMYFUNCTION("""COMPUTED_VALUE"""),"Antes Prazo")</f>
        <v>Antes Prazo</v>
      </c>
      <c r="O170" s="15" t="str">
        <f>IFERROR(__xludf.DUMMYFUNCTION("""COMPUTED_VALUE"""),"B2B")</f>
        <v>B2B</v>
      </c>
      <c r="P170" s="16">
        <f>IFERROR(__xludf.DUMMYFUNCTION("""COMPUTED_VALUE"""),49.43)</f>
        <v>49.43</v>
      </c>
      <c r="Q170" s="15">
        <f>IFERROR(__xludf.DUMMYFUNCTION("""COMPUTED_VALUE"""),1.0)</f>
        <v>1</v>
      </c>
      <c r="R170" s="15" t="str">
        <f>IFERROR(__xludf.DUMMYFUNCTION("""COMPUTED_VALUE"""),"RODO")</f>
        <v>RODO</v>
      </c>
      <c r="S170" s="15" t="str">
        <f>IFERROR(__xludf.DUMMYFUNCTION("""COMPUTED_VALUE"""),"ITN")</f>
        <v>ITN</v>
      </c>
      <c r="T170" s="15" t="str">
        <f>IFERROR(__xludf.DUMMYFUNCTION("""COMPUTED_VALUE"""),"102")</f>
        <v>102</v>
      </c>
      <c r="U170" s="15" t="str">
        <f>IFERROR(__xludf.DUMMYFUNCTION("""COMPUTED_VALUE"""),"266803399 1305038 8176905 jo modas.com ltda trifil vag 102")</f>
        <v>266803399 1305038 8176905 jo modas.com ltda trifil vag 102</v>
      </c>
      <c r="V170" s="15" t="b">
        <f>IFERROR(__xludf.DUMMYFUNCTION("""COMPUTED_VALUE"""),FALSE)</f>
        <v>0</v>
      </c>
    </row>
    <row r="171">
      <c r="A171" s="19">
        <f>IFERROR(__xludf.DUMMYFUNCTION("""COMPUTED_VALUE"""),46304.0)</f>
        <v>46304</v>
      </c>
      <c r="B171" s="19">
        <f>IFERROR(__xludf.DUMMYFUNCTION("""COMPUTED_VALUE"""),46317.0)</f>
        <v>46317</v>
      </c>
      <c r="C171" s="15">
        <f>IFERROR(__xludf.DUMMYFUNCTION("""COMPUTED_VALUE"""),7.0)</f>
        <v>7</v>
      </c>
      <c r="D171" s="15" t="str">
        <f>IFERROR(__xludf.DUMMYFUNCTION("""COMPUTED_VALUE"""),"NZA")</f>
        <v>NZA</v>
      </c>
      <c r="E171" s="15" t="str">
        <f>IFERROR(__xludf.DUMMYFUNCTION("""COMPUTED_VALUE"""),"RAIMUNDO DE PAULA OLIVEIRA - ME")</f>
        <v>RAIMUNDO DE PAULA OLIVEIRA - ME</v>
      </c>
      <c r="F171" s="15" t="str">
        <f>IFERROR(__xludf.DUMMYFUNCTION("""COMPUTED_VALUE"""),"TRIFIL")</f>
        <v>TRIFIL</v>
      </c>
      <c r="G171" s="15" t="str">
        <f>IFERROR(__xludf.DUMMYFUNCTION("""COMPUTED_VALUE"""),"266803400")</f>
        <v>266803400</v>
      </c>
      <c r="H171" s="15" t="str">
        <f>IFERROR(__xludf.DUMMYFUNCTION("""COMPUTED_VALUE"""),"1305805")</f>
        <v>1305805</v>
      </c>
      <c r="I171" s="15" t="str">
        <f>IFERROR(__xludf.DUMMYFUNCTION("""COMPUTED_VALUE"""),"8176722")</f>
        <v>8176722</v>
      </c>
      <c r="J171" s="15" t="str">
        <f>IFERROR(__xludf.DUMMYFUNCTION("""COMPUTED_VALUE"""),"CIF")</f>
        <v>CIF</v>
      </c>
      <c r="K171" s="15" t="str">
        <f>IFERROR(__xludf.DUMMYFUNCTION("""COMPUTED_VALUE"""),"(sem célula)")</f>
        <v>(sem célula)</v>
      </c>
      <c r="L171" s="15" t="str">
        <f>IFERROR(__xludf.DUMMYFUNCTION("""COMPUTED_VALUE"""),"AUTORIZADO")</f>
        <v>AUTORIZADO</v>
      </c>
      <c r="M171" s="15" t="str">
        <f>IFERROR(__xludf.DUMMYFUNCTION("""COMPUTED_VALUE"""),"NA ORIGEM")</f>
        <v>NA ORIGEM</v>
      </c>
      <c r="N171" s="15" t="str">
        <f>IFERROR(__xludf.DUMMYFUNCTION("""COMPUTED_VALUE"""),"Antes Prazo")</f>
        <v>Antes Prazo</v>
      </c>
      <c r="O171" s="15" t="str">
        <f>IFERROR(__xludf.DUMMYFUNCTION("""COMPUTED_VALUE"""),"B2B")</f>
        <v>B2B</v>
      </c>
      <c r="P171" s="16">
        <f>IFERROR(__xludf.DUMMYFUNCTION("""COMPUTED_VALUE"""),56.93)</f>
        <v>56.93</v>
      </c>
      <c r="Q171" s="15">
        <f>IFERROR(__xludf.DUMMYFUNCTION("""COMPUTED_VALUE"""),3.0)</f>
        <v>3</v>
      </c>
      <c r="R171" s="15" t="str">
        <f>IFERROR(__xludf.DUMMYFUNCTION("""COMPUTED_VALUE"""),"RODO")</f>
        <v>RODO</v>
      </c>
      <c r="S171" s="15" t="str">
        <f>IFERROR(__xludf.DUMMYFUNCTION("""COMPUTED_VALUE"""),"ITN")</f>
        <v>ITN</v>
      </c>
      <c r="T171" s="15" t="str">
        <f>IFERROR(__xludf.DUMMYFUNCTION("""COMPUTED_VALUE"""),"106")</f>
        <v>106</v>
      </c>
      <c r="U171" s="15" t="str">
        <f>IFERROR(__xludf.DUMMYFUNCTION("""COMPUTED_VALUE"""),"266803400 1305805 8176722 raimundo de paula oliveira - me trifil nza 106")</f>
        <v>266803400 1305805 8176722 raimundo de paula oliveira - me trifil nza 106</v>
      </c>
      <c r="V171" s="15" t="b">
        <f>IFERROR(__xludf.DUMMYFUNCTION("""COMPUTED_VALUE"""),FALSE)</f>
        <v>0</v>
      </c>
    </row>
    <row r="172">
      <c r="A172" s="19">
        <f>IFERROR(__xludf.DUMMYFUNCTION("""COMPUTED_VALUE"""),46304.0)</f>
        <v>46304</v>
      </c>
      <c r="B172" s="19">
        <f>IFERROR(__xludf.DUMMYFUNCTION("""COMPUTED_VALUE"""),46318.0)</f>
        <v>46318</v>
      </c>
      <c r="C172" s="15">
        <f>IFERROR(__xludf.DUMMYFUNCTION("""COMPUTED_VALUE"""),9.0)</f>
        <v>9</v>
      </c>
      <c r="D172" s="15" t="str">
        <f>IFERROR(__xludf.DUMMYFUNCTION("""COMPUTED_VALUE"""),"FRC")</f>
        <v>FRC</v>
      </c>
      <c r="E172" s="15" t="str">
        <f>IFERROR(__xludf.DUMMYFUNCTION("""COMPUTED_VALUE"""),"CRISTIANE DE CASSIA PEREIRA")</f>
        <v>CRISTIANE DE CASSIA PEREIRA</v>
      </c>
      <c r="F172" s="15" t="str">
        <f>IFERROR(__xludf.DUMMYFUNCTION("""COMPUTED_VALUE"""),"TRIFIL")</f>
        <v>TRIFIL</v>
      </c>
      <c r="G172" s="15" t="str">
        <f>IFERROR(__xludf.DUMMYFUNCTION("""COMPUTED_VALUE"""),"266803401")</f>
        <v>266803401</v>
      </c>
      <c r="H172" s="15" t="str">
        <f>IFERROR(__xludf.DUMMYFUNCTION("""COMPUTED_VALUE"""),"1305258")</f>
        <v>1305258</v>
      </c>
      <c r="I172" s="15" t="str">
        <f>IFERROR(__xludf.DUMMYFUNCTION("""COMPUTED_VALUE"""),"8177029")</f>
        <v>8177029</v>
      </c>
      <c r="J172" s="15" t="str">
        <f>IFERROR(__xludf.DUMMYFUNCTION("""COMPUTED_VALUE"""),"CIF")</f>
        <v>CIF</v>
      </c>
      <c r="K172" s="15" t="str">
        <f>IFERROR(__xludf.DUMMYFUNCTION("""COMPUTED_VALUE"""),"(sem célula)")</f>
        <v>(sem célula)</v>
      </c>
      <c r="L172" s="15" t="str">
        <f>IFERROR(__xludf.DUMMYFUNCTION("""COMPUTED_VALUE"""),"AUTORIZADO")</f>
        <v>AUTORIZADO</v>
      </c>
      <c r="M172" s="15" t="str">
        <f>IFERROR(__xludf.DUMMYFUNCTION("""COMPUTED_VALUE"""),"NA ORIGEM")</f>
        <v>NA ORIGEM</v>
      </c>
      <c r="N172" s="15" t="str">
        <f>IFERROR(__xludf.DUMMYFUNCTION("""COMPUTED_VALUE"""),"Antes Prazo")</f>
        <v>Antes Prazo</v>
      </c>
      <c r="O172" s="15" t="str">
        <f>IFERROR(__xludf.DUMMYFUNCTION("""COMPUTED_VALUE"""),"B2B")</f>
        <v>B2B</v>
      </c>
      <c r="P172" s="16">
        <f>IFERROR(__xludf.DUMMYFUNCTION("""COMPUTED_VALUE"""),49.43)</f>
        <v>49.43</v>
      </c>
      <c r="Q172" s="15">
        <f>IFERROR(__xludf.DUMMYFUNCTION("""COMPUTED_VALUE"""),1.0)</f>
        <v>1</v>
      </c>
      <c r="R172" s="15" t="str">
        <f>IFERROR(__xludf.DUMMYFUNCTION("""COMPUTED_VALUE"""),"RODO")</f>
        <v>RODO</v>
      </c>
      <c r="S172" s="15" t="str">
        <f>IFERROR(__xludf.DUMMYFUNCTION("""COMPUTED_VALUE"""),"ITN")</f>
        <v>ITN</v>
      </c>
      <c r="T172" s="15" t="str">
        <f>IFERROR(__xludf.DUMMYFUNCTION("""COMPUTED_VALUE"""),"105")</f>
        <v>105</v>
      </c>
      <c r="U172" s="15" t="str">
        <f>IFERROR(__xludf.DUMMYFUNCTION("""COMPUTED_VALUE"""),"266803401 1305258 8177029 cristiane de cassia pereira trifil frc 105")</f>
        <v>266803401 1305258 8177029 cristiane de cassia pereira trifil frc 105</v>
      </c>
      <c r="V172" s="15" t="b">
        <f>IFERROR(__xludf.DUMMYFUNCTION("""COMPUTED_VALUE"""),FALSE)</f>
        <v>0</v>
      </c>
    </row>
    <row r="173">
      <c r="A173" s="19">
        <f>IFERROR(__xludf.DUMMYFUNCTION("""COMPUTED_VALUE"""),46304.0)</f>
        <v>46304</v>
      </c>
      <c r="B173" s="19">
        <f>IFERROR(__xludf.DUMMYFUNCTION("""COMPUTED_VALUE"""),46316.0)</f>
        <v>46316</v>
      </c>
      <c r="C173" s="15">
        <f>IFERROR(__xludf.DUMMYFUNCTION("""COMPUTED_VALUE"""),7.0)</f>
        <v>7</v>
      </c>
      <c r="D173" s="15" t="str">
        <f>IFERROR(__xludf.DUMMYFUNCTION("""COMPUTED_VALUE"""),"UBA")</f>
        <v>UBA</v>
      </c>
      <c r="E173" s="15" t="str">
        <f>IFERROR(__xludf.DUMMYFUNCTION("""COMPUTED_VALUE"""),"ELAINE NATALICE LINGERIE")</f>
        <v>ELAINE NATALICE LINGERIE</v>
      </c>
      <c r="F173" s="15" t="str">
        <f>IFERROR(__xludf.DUMMYFUNCTION("""COMPUTED_VALUE"""),"TRIFIL")</f>
        <v>TRIFIL</v>
      </c>
      <c r="G173" s="15" t="str">
        <f>IFERROR(__xludf.DUMMYFUNCTION("""COMPUTED_VALUE"""),"266803402")</f>
        <v>266803402</v>
      </c>
      <c r="H173" s="15" t="str">
        <f>IFERROR(__xludf.DUMMYFUNCTION("""COMPUTED_VALUE"""),"1305032")</f>
        <v>1305032</v>
      </c>
      <c r="I173" s="15" t="str">
        <f>IFERROR(__xludf.DUMMYFUNCTION("""COMPUTED_VALUE"""),"8176878")</f>
        <v>8176878</v>
      </c>
      <c r="J173" s="15" t="str">
        <f>IFERROR(__xludf.DUMMYFUNCTION("""COMPUTED_VALUE"""),"CIF")</f>
        <v>CIF</v>
      </c>
      <c r="K173" s="15" t="str">
        <f>IFERROR(__xludf.DUMMYFUNCTION("""COMPUTED_VALUE"""),"(sem célula)")</f>
        <v>(sem célula)</v>
      </c>
      <c r="L173" s="15" t="str">
        <f>IFERROR(__xludf.DUMMYFUNCTION("""COMPUTED_VALUE"""),"AUTORIZADO")</f>
        <v>AUTORIZADO</v>
      </c>
      <c r="M173" s="15" t="str">
        <f>IFERROR(__xludf.DUMMYFUNCTION("""COMPUTED_VALUE"""),"NA ORIGEM")</f>
        <v>NA ORIGEM</v>
      </c>
      <c r="N173" s="15" t="str">
        <f>IFERROR(__xludf.DUMMYFUNCTION("""COMPUTED_VALUE"""),"Antes Prazo")</f>
        <v>Antes Prazo</v>
      </c>
      <c r="O173" s="15" t="str">
        <f>IFERROR(__xludf.DUMMYFUNCTION("""COMPUTED_VALUE"""),"B2B")</f>
        <v>B2B</v>
      </c>
      <c r="P173" s="16">
        <f>IFERROR(__xludf.DUMMYFUNCTION("""COMPUTED_VALUE"""),44.59)</f>
        <v>44.59</v>
      </c>
      <c r="Q173" s="15">
        <f>IFERROR(__xludf.DUMMYFUNCTION("""COMPUTED_VALUE"""),1.0)</f>
        <v>1</v>
      </c>
      <c r="R173" s="15" t="str">
        <f>IFERROR(__xludf.DUMMYFUNCTION("""COMPUTED_VALUE"""),"RODO")</f>
        <v>RODO</v>
      </c>
      <c r="S173" s="15" t="str">
        <f>IFERROR(__xludf.DUMMYFUNCTION("""COMPUTED_VALUE"""),"ITN")</f>
        <v>ITN</v>
      </c>
      <c r="T173" s="15" t="str">
        <f>IFERROR(__xludf.DUMMYFUNCTION("""COMPUTED_VALUE"""),"5")</f>
        <v>5</v>
      </c>
      <c r="U173" s="15" t="str">
        <f>IFERROR(__xludf.DUMMYFUNCTION("""COMPUTED_VALUE"""),"266803402 1305032 8176878 elaine natalice lingerie trifil uba 5")</f>
        <v>266803402 1305032 8176878 elaine natalice lingerie trifil uba 5</v>
      </c>
      <c r="V173" s="15" t="b">
        <f>IFERROR(__xludf.DUMMYFUNCTION("""COMPUTED_VALUE"""),FALSE)</f>
        <v>0</v>
      </c>
    </row>
    <row r="174">
      <c r="A174" s="19">
        <f>IFERROR(__xludf.DUMMYFUNCTION("""COMPUTED_VALUE"""),46304.0)</f>
        <v>46304</v>
      </c>
      <c r="B174" s="19">
        <f>IFERROR(__xludf.DUMMYFUNCTION("""COMPUTED_VALUE"""),46316.0)</f>
        <v>46316</v>
      </c>
      <c r="C174" s="15">
        <f>IFERROR(__xludf.DUMMYFUNCTION("""COMPUTED_VALUE"""),7.0)</f>
        <v>7</v>
      </c>
      <c r="D174" s="15" t="str">
        <f>IFERROR(__xludf.DUMMYFUNCTION("""COMPUTED_VALUE"""),"UBA")</f>
        <v>UBA</v>
      </c>
      <c r="E174" s="15" t="str">
        <f>IFERROR(__xludf.DUMMYFUNCTION("""COMPUTED_VALUE"""),"CLEDILENE APARECIDA NUNES")</f>
        <v>CLEDILENE APARECIDA NUNES</v>
      </c>
      <c r="F174" s="15" t="str">
        <f>IFERROR(__xludf.DUMMYFUNCTION("""COMPUTED_VALUE"""),"TRIFIL")</f>
        <v>TRIFIL</v>
      </c>
      <c r="G174" s="15" t="str">
        <f>IFERROR(__xludf.DUMMYFUNCTION("""COMPUTED_VALUE"""),"266803403")</f>
        <v>266803403</v>
      </c>
      <c r="H174" s="15" t="str">
        <f>IFERROR(__xludf.DUMMYFUNCTION("""COMPUTED_VALUE"""),"1305808")</f>
        <v>1305808</v>
      </c>
      <c r="I174" s="15" t="str">
        <f>IFERROR(__xludf.DUMMYFUNCTION("""COMPUTED_VALUE"""),"8176714")</f>
        <v>8176714</v>
      </c>
      <c r="J174" s="15" t="str">
        <f>IFERROR(__xludf.DUMMYFUNCTION("""COMPUTED_VALUE"""),"CIF")</f>
        <v>CIF</v>
      </c>
      <c r="K174" s="15" t="str">
        <f>IFERROR(__xludf.DUMMYFUNCTION("""COMPUTED_VALUE"""),"(sem célula)")</f>
        <v>(sem célula)</v>
      </c>
      <c r="L174" s="15" t="str">
        <f>IFERROR(__xludf.DUMMYFUNCTION("""COMPUTED_VALUE"""),"AUTORIZADO")</f>
        <v>AUTORIZADO</v>
      </c>
      <c r="M174" s="15" t="str">
        <f>IFERROR(__xludf.DUMMYFUNCTION("""COMPUTED_VALUE"""),"NA ORIGEM")</f>
        <v>NA ORIGEM</v>
      </c>
      <c r="N174" s="15" t="str">
        <f>IFERROR(__xludf.DUMMYFUNCTION("""COMPUTED_VALUE"""),"Antes Prazo")</f>
        <v>Antes Prazo</v>
      </c>
      <c r="O174" s="15" t="str">
        <f>IFERROR(__xludf.DUMMYFUNCTION("""COMPUTED_VALUE"""),"B2B")</f>
        <v>B2B</v>
      </c>
      <c r="P174" s="16">
        <f>IFERROR(__xludf.DUMMYFUNCTION("""COMPUTED_VALUE"""),44.59)</f>
        <v>44.59</v>
      </c>
      <c r="Q174" s="15">
        <f>IFERROR(__xludf.DUMMYFUNCTION("""COMPUTED_VALUE"""),1.0)</f>
        <v>1</v>
      </c>
      <c r="R174" s="15" t="str">
        <f>IFERROR(__xludf.DUMMYFUNCTION("""COMPUTED_VALUE"""),"RODO")</f>
        <v>RODO</v>
      </c>
      <c r="S174" s="15" t="str">
        <f>IFERROR(__xludf.DUMMYFUNCTION("""COMPUTED_VALUE"""),"ITN")</f>
        <v>ITN</v>
      </c>
      <c r="T174" s="15" t="str">
        <f>IFERROR(__xludf.DUMMYFUNCTION("""COMPUTED_VALUE"""),"4")</f>
        <v>4</v>
      </c>
      <c r="U174" s="15" t="str">
        <f>IFERROR(__xludf.DUMMYFUNCTION("""COMPUTED_VALUE"""),"266803403 1305808 8176714 cledilene aparecida nunes trifil uba 4")</f>
        <v>266803403 1305808 8176714 cledilene aparecida nunes trifil uba 4</v>
      </c>
      <c r="V174" s="15" t="b">
        <f>IFERROR(__xludf.DUMMYFUNCTION("""COMPUTED_VALUE"""),FALSE)</f>
        <v>0</v>
      </c>
    </row>
    <row r="175">
      <c r="A175" s="19">
        <f>IFERROR(__xludf.DUMMYFUNCTION("""COMPUTED_VALUE"""),46304.0)</f>
        <v>46304</v>
      </c>
      <c r="B175" s="19">
        <f>IFERROR(__xludf.DUMMYFUNCTION("""COMPUTED_VALUE"""),46322.0)</f>
        <v>46322</v>
      </c>
      <c r="C175" s="15">
        <f>IFERROR(__xludf.DUMMYFUNCTION("""COMPUTED_VALUE"""),11.0)</f>
        <v>11</v>
      </c>
      <c r="D175" s="15" t="str">
        <f>IFERROR(__xludf.DUMMYFUNCTION("""COMPUTED_VALUE"""),"UDI")</f>
        <v>UDI</v>
      </c>
      <c r="E175" s="15" t="str">
        <f>IFERROR(__xludf.DUMMYFUNCTION("""COMPUTED_VALUE"""),"LUCIANO C. S. FERNANDES - ME")</f>
        <v>LUCIANO C. S. FERNANDES - ME</v>
      </c>
      <c r="F175" s="15" t="str">
        <f>IFERROR(__xludf.DUMMYFUNCTION("""COMPUTED_VALUE"""),"TRIFIL")</f>
        <v>TRIFIL</v>
      </c>
      <c r="G175" s="15" t="str">
        <f>IFERROR(__xludf.DUMMYFUNCTION("""COMPUTED_VALUE"""),"266803404")</f>
        <v>266803404</v>
      </c>
      <c r="H175" s="15" t="str">
        <f>IFERROR(__xludf.DUMMYFUNCTION("""COMPUTED_VALUE"""),"1304109")</f>
        <v>1304109</v>
      </c>
      <c r="I175" s="15" t="str">
        <f>IFERROR(__xludf.DUMMYFUNCTION("""COMPUTED_VALUE"""),"8176981")</f>
        <v>8176981</v>
      </c>
      <c r="J175" s="15" t="str">
        <f>IFERROR(__xludf.DUMMYFUNCTION("""COMPUTED_VALUE"""),"CIF")</f>
        <v>CIF</v>
      </c>
      <c r="K175" s="15" t="str">
        <f>IFERROR(__xludf.DUMMYFUNCTION("""COMPUTED_VALUE"""),"(sem célula)")</f>
        <v>(sem célula)</v>
      </c>
      <c r="L175" s="15" t="str">
        <f>IFERROR(__xludf.DUMMYFUNCTION("""COMPUTED_VALUE"""),"AUTORIZADO")</f>
        <v>AUTORIZADO</v>
      </c>
      <c r="M175" s="15" t="str">
        <f>IFERROR(__xludf.DUMMYFUNCTION("""COMPUTED_VALUE"""),"NA ORIGEM")</f>
        <v>NA ORIGEM</v>
      </c>
      <c r="N175" s="15" t="str">
        <f>IFERROR(__xludf.DUMMYFUNCTION("""COMPUTED_VALUE"""),"Antes Prazo")</f>
        <v>Antes Prazo</v>
      </c>
      <c r="O175" s="15" t="str">
        <f>IFERROR(__xludf.DUMMYFUNCTION("""COMPUTED_VALUE"""),"B2B")</f>
        <v>B2B</v>
      </c>
      <c r="P175" s="16">
        <f>IFERROR(__xludf.DUMMYFUNCTION("""COMPUTED_VALUE"""),49.43)</f>
        <v>49.43</v>
      </c>
      <c r="Q175" s="15">
        <f>IFERROR(__xludf.DUMMYFUNCTION("""COMPUTED_VALUE"""),1.0)</f>
        <v>1</v>
      </c>
      <c r="R175" s="15" t="str">
        <f>IFERROR(__xludf.DUMMYFUNCTION("""COMPUTED_VALUE"""),"RODO")</f>
        <v>RODO</v>
      </c>
      <c r="S175" s="15" t="str">
        <f>IFERROR(__xludf.DUMMYFUNCTION("""COMPUTED_VALUE"""),"ITN")</f>
        <v>ITN</v>
      </c>
      <c r="T175" s="15" t="str">
        <f>IFERROR(__xludf.DUMMYFUNCTION("""COMPUTED_VALUE"""),"103")</f>
        <v>103</v>
      </c>
      <c r="U175" s="15" t="str">
        <f>IFERROR(__xludf.DUMMYFUNCTION("""COMPUTED_VALUE"""),"266803404 1304109 8176981 luciano c. s. fernandes - me trifil udi 103")</f>
        <v>266803404 1304109 8176981 luciano c. s. fernandes - me trifil udi 103</v>
      </c>
      <c r="V175" s="15" t="b">
        <f>IFERROR(__xludf.DUMMYFUNCTION("""COMPUTED_VALUE"""),FALSE)</f>
        <v>0</v>
      </c>
    </row>
    <row r="176">
      <c r="A176" s="19">
        <f>IFERROR(__xludf.DUMMYFUNCTION("""COMPUTED_VALUE"""),46304.0)</f>
        <v>46304</v>
      </c>
      <c r="B176" s="19">
        <f>IFERROR(__xludf.DUMMYFUNCTION("""COMPUTED_VALUE"""),46325.0)</f>
        <v>46325</v>
      </c>
      <c r="C176" s="15">
        <f>IFERROR(__xludf.DUMMYFUNCTION("""COMPUTED_VALUE"""),14.0)</f>
        <v>14</v>
      </c>
      <c r="D176" s="15" t="str">
        <f>IFERROR(__xludf.DUMMYFUNCTION("""COMPUTED_VALUE"""),"UDI")</f>
        <v>UDI</v>
      </c>
      <c r="E176" s="15" t="str">
        <f>IFERROR(__xludf.DUMMYFUNCTION("""COMPUTED_VALUE"""),"PALOMA APARECIDA DE OLIVEIRA MORENO LONG")</f>
        <v>PALOMA APARECIDA DE OLIVEIRA MORENO LONG</v>
      </c>
      <c r="F176" s="15" t="str">
        <f>IFERROR(__xludf.DUMMYFUNCTION("""COMPUTED_VALUE"""),"TRIFIL")</f>
        <v>TRIFIL</v>
      </c>
      <c r="G176" s="15" t="str">
        <f>IFERROR(__xludf.DUMMYFUNCTION("""COMPUTED_VALUE"""),"266803405")</f>
        <v>266803405</v>
      </c>
      <c r="H176" s="15" t="str">
        <f>IFERROR(__xludf.DUMMYFUNCTION("""COMPUTED_VALUE"""),"1304038")</f>
        <v>1304038</v>
      </c>
      <c r="I176" s="15" t="str">
        <f>IFERROR(__xludf.DUMMYFUNCTION("""COMPUTED_VALUE"""),"8176809")</f>
        <v>8176809</v>
      </c>
      <c r="J176" s="15" t="str">
        <f>IFERROR(__xludf.DUMMYFUNCTION("""COMPUTED_VALUE"""),"CIF")</f>
        <v>CIF</v>
      </c>
      <c r="K176" s="15" t="str">
        <f>IFERROR(__xludf.DUMMYFUNCTION("""COMPUTED_VALUE"""),"(sem célula)")</f>
        <v>(sem célula)</v>
      </c>
      <c r="L176" s="15" t="str">
        <f>IFERROR(__xludf.DUMMYFUNCTION("""COMPUTED_VALUE"""),"AUTORIZADO")</f>
        <v>AUTORIZADO</v>
      </c>
      <c r="M176" s="15" t="str">
        <f>IFERROR(__xludf.DUMMYFUNCTION("""COMPUTED_VALUE"""),"NA ORIGEM")</f>
        <v>NA ORIGEM</v>
      </c>
      <c r="N176" s="15" t="str">
        <f>IFERROR(__xludf.DUMMYFUNCTION("""COMPUTED_VALUE"""),"Antes Prazo")</f>
        <v>Antes Prazo</v>
      </c>
      <c r="O176" s="15" t="str">
        <f>IFERROR(__xludf.DUMMYFUNCTION("""COMPUTED_VALUE"""),"B2B")</f>
        <v>B2B</v>
      </c>
      <c r="P176" s="16">
        <f>IFERROR(__xludf.DUMMYFUNCTION("""COMPUTED_VALUE"""),49.43)</f>
        <v>49.43</v>
      </c>
      <c r="Q176" s="15">
        <f>IFERROR(__xludf.DUMMYFUNCTION("""COMPUTED_VALUE"""),1.0)</f>
        <v>1</v>
      </c>
      <c r="R176" s="15" t="str">
        <f>IFERROR(__xludf.DUMMYFUNCTION("""COMPUTED_VALUE"""),"RODO")</f>
        <v>RODO</v>
      </c>
      <c r="S176" s="15" t="str">
        <f>IFERROR(__xludf.DUMMYFUNCTION("""COMPUTED_VALUE"""),"ITN")</f>
        <v>ITN</v>
      </c>
      <c r="T176" s="15" t="str">
        <f>IFERROR(__xludf.DUMMYFUNCTION("""COMPUTED_VALUE"""),"103")</f>
        <v>103</v>
      </c>
      <c r="U176" s="15" t="str">
        <f>IFERROR(__xludf.DUMMYFUNCTION("""COMPUTED_VALUE"""),"266803405 1304038 8176809 paloma aparecida de oliveira moreno long trifil udi 103")</f>
        <v>266803405 1304038 8176809 paloma aparecida de oliveira moreno long trifil udi 103</v>
      </c>
      <c r="V176" s="15" t="b">
        <f>IFERROR(__xludf.DUMMYFUNCTION("""COMPUTED_VALUE"""),FALSE)</f>
        <v>0</v>
      </c>
    </row>
    <row r="177">
      <c r="A177" s="19">
        <f>IFERROR(__xludf.DUMMYFUNCTION("""COMPUTED_VALUE"""),46304.0)</f>
        <v>46304</v>
      </c>
      <c r="B177" s="19">
        <f>IFERROR(__xludf.DUMMYFUNCTION("""COMPUTED_VALUE"""),46321.0)</f>
        <v>46321</v>
      </c>
      <c r="C177" s="15">
        <f>IFERROR(__xludf.DUMMYFUNCTION("""COMPUTED_VALUE"""),10.0)</f>
        <v>10</v>
      </c>
      <c r="D177" s="15" t="str">
        <f>IFERROR(__xludf.DUMMYFUNCTION("""COMPUTED_VALUE"""),"UDI")</f>
        <v>UDI</v>
      </c>
      <c r="E177" s="15" t="str">
        <f>IFERROR(__xludf.DUMMYFUNCTION("""COMPUTED_VALUE"""),"LOJAS EDUARDO - SILVA E XAVIER")</f>
        <v>LOJAS EDUARDO - SILVA E XAVIER</v>
      </c>
      <c r="F177" s="15" t="str">
        <f>IFERROR(__xludf.DUMMYFUNCTION("""COMPUTED_VALUE"""),"TRIFIL")</f>
        <v>TRIFIL</v>
      </c>
      <c r="G177" s="15" t="str">
        <f>IFERROR(__xludf.DUMMYFUNCTION("""COMPUTED_VALUE"""),"266803406")</f>
        <v>266803406</v>
      </c>
      <c r="H177" s="15" t="str">
        <f>IFERROR(__xludf.DUMMYFUNCTION("""COMPUTED_VALUE"""),"1305705")</f>
        <v>1305705</v>
      </c>
      <c r="I177" s="15" t="str">
        <f>IFERROR(__xludf.DUMMYFUNCTION("""COMPUTED_VALUE"""),"8176879")</f>
        <v>8176879</v>
      </c>
      <c r="J177" s="15" t="str">
        <f>IFERROR(__xludf.DUMMYFUNCTION("""COMPUTED_VALUE"""),"CIF")</f>
        <v>CIF</v>
      </c>
      <c r="K177" s="15" t="str">
        <f>IFERROR(__xludf.DUMMYFUNCTION("""COMPUTED_VALUE"""),"(sem célula)")</f>
        <v>(sem célula)</v>
      </c>
      <c r="L177" s="15" t="str">
        <f>IFERROR(__xludf.DUMMYFUNCTION("""COMPUTED_VALUE"""),"AUTORIZADO")</f>
        <v>AUTORIZADO</v>
      </c>
      <c r="M177" s="15" t="str">
        <f>IFERROR(__xludf.DUMMYFUNCTION("""COMPUTED_VALUE"""),"NA ORIGEM")</f>
        <v>NA ORIGEM</v>
      </c>
      <c r="N177" s="15" t="str">
        <f>IFERROR(__xludf.DUMMYFUNCTION("""COMPUTED_VALUE"""),"Antes Prazo")</f>
        <v>Antes Prazo</v>
      </c>
      <c r="O177" s="15" t="str">
        <f>IFERROR(__xludf.DUMMYFUNCTION("""COMPUTED_VALUE"""),"B2B")</f>
        <v>B2B</v>
      </c>
      <c r="P177" s="16">
        <f>IFERROR(__xludf.DUMMYFUNCTION("""COMPUTED_VALUE"""),49.43)</f>
        <v>49.43</v>
      </c>
      <c r="Q177" s="15">
        <f>IFERROR(__xludf.DUMMYFUNCTION("""COMPUTED_VALUE"""),1.0)</f>
        <v>1</v>
      </c>
      <c r="R177" s="15" t="str">
        <f>IFERROR(__xludf.DUMMYFUNCTION("""COMPUTED_VALUE"""),"RODO")</f>
        <v>RODO</v>
      </c>
      <c r="S177" s="15" t="str">
        <f>IFERROR(__xludf.DUMMYFUNCTION("""COMPUTED_VALUE"""),"ITN")</f>
        <v>ITN</v>
      </c>
      <c r="T177" s="15" t="str">
        <f>IFERROR(__xludf.DUMMYFUNCTION("""COMPUTED_VALUE"""),"102")</f>
        <v>102</v>
      </c>
      <c r="U177" s="15" t="str">
        <f>IFERROR(__xludf.DUMMYFUNCTION("""COMPUTED_VALUE"""),"266803406 1305705 8176879 lojas eduardo - silva e xavier trifil udi 102")</f>
        <v>266803406 1305705 8176879 lojas eduardo - silva e xavier trifil udi 102</v>
      </c>
      <c r="V177" s="15" t="b">
        <f>IFERROR(__xludf.DUMMYFUNCTION("""COMPUTED_VALUE"""),FALSE)</f>
        <v>0</v>
      </c>
    </row>
    <row r="178">
      <c r="A178" s="19">
        <f>IFERROR(__xludf.DUMMYFUNCTION("""COMPUTED_VALUE"""),46304.0)</f>
        <v>46304</v>
      </c>
      <c r="B178" s="19">
        <f>IFERROR(__xludf.DUMMYFUNCTION("""COMPUTED_VALUE"""),46316.0)</f>
        <v>46316</v>
      </c>
      <c r="C178" s="15">
        <f>IFERROR(__xludf.DUMMYFUNCTION("""COMPUTED_VALUE"""),7.0)</f>
        <v>7</v>
      </c>
      <c r="D178" s="15" t="str">
        <f>IFERROR(__xludf.DUMMYFUNCTION("""COMPUTED_VALUE"""),"UDI")</f>
        <v>UDI</v>
      </c>
      <c r="E178" s="15" t="str">
        <f>IFERROR(__xludf.DUMMYFUNCTION("""COMPUTED_VALUE"""),"SUELI APARECIDA BORGES DE SOUZA MIRANDA")</f>
        <v>SUELI APARECIDA BORGES DE SOUZA MIRANDA</v>
      </c>
      <c r="F178" s="15" t="str">
        <f>IFERROR(__xludf.DUMMYFUNCTION("""COMPUTED_VALUE"""),"TRIFIL")</f>
        <v>TRIFIL</v>
      </c>
      <c r="G178" s="15" t="str">
        <f>IFERROR(__xludf.DUMMYFUNCTION("""COMPUTED_VALUE"""),"266803407")</f>
        <v>266803407</v>
      </c>
      <c r="H178" s="15" t="str">
        <f>IFERROR(__xludf.DUMMYFUNCTION("""COMPUTED_VALUE"""),"1305821")</f>
        <v>1305821</v>
      </c>
      <c r="I178" s="15" t="str">
        <f>IFERROR(__xludf.DUMMYFUNCTION("""COMPUTED_VALUE"""),"8176715")</f>
        <v>8176715</v>
      </c>
      <c r="J178" s="15" t="str">
        <f>IFERROR(__xludf.DUMMYFUNCTION("""COMPUTED_VALUE"""),"CIF")</f>
        <v>CIF</v>
      </c>
      <c r="K178" s="15" t="str">
        <f>IFERROR(__xludf.DUMMYFUNCTION("""COMPUTED_VALUE"""),"(sem célula)")</f>
        <v>(sem célula)</v>
      </c>
      <c r="L178" s="15" t="str">
        <f>IFERROR(__xludf.DUMMYFUNCTION("""COMPUTED_VALUE"""),"AUTORIZADO")</f>
        <v>AUTORIZADO</v>
      </c>
      <c r="M178" s="15" t="str">
        <f>IFERROR(__xludf.DUMMYFUNCTION("""COMPUTED_VALUE"""),"NA ORIGEM")</f>
        <v>NA ORIGEM</v>
      </c>
      <c r="N178" s="15" t="str">
        <f>IFERROR(__xludf.DUMMYFUNCTION("""COMPUTED_VALUE"""),"Antes Prazo")</f>
        <v>Antes Prazo</v>
      </c>
      <c r="O178" s="15" t="str">
        <f>IFERROR(__xludf.DUMMYFUNCTION("""COMPUTED_VALUE"""),"B2B")</f>
        <v>B2B</v>
      </c>
      <c r="P178" s="16">
        <f>IFERROR(__xludf.DUMMYFUNCTION("""COMPUTED_VALUE"""),44.59)</f>
        <v>44.59</v>
      </c>
      <c r="Q178" s="15">
        <f>IFERROR(__xludf.DUMMYFUNCTION("""COMPUTED_VALUE"""),1.0)</f>
        <v>1</v>
      </c>
      <c r="R178" s="15" t="str">
        <f>IFERROR(__xludf.DUMMYFUNCTION("""COMPUTED_VALUE"""),"RODO")</f>
        <v>RODO</v>
      </c>
      <c r="S178" s="15" t="str">
        <f>IFERROR(__xludf.DUMMYFUNCTION("""COMPUTED_VALUE"""),"ITN")</f>
        <v>ITN</v>
      </c>
      <c r="T178" s="15" t="str">
        <f>IFERROR(__xludf.DUMMYFUNCTION("""COMPUTED_VALUE"""),"8")</f>
        <v>8</v>
      </c>
      <c r="U178" s="15" t="str">
        <f>IFERROR(__xludf.DUMMYFUNCTION("""COMPUTED_VALUE"""),"266803407 1305821 8176715 sueli aparecida borges de souza miranda trifil udi 8")</f>
        <v>266803407 1305821 8176715 sueli aparecida borges de souza miranda trifil udi 8</v>
      </c>
      <c r="V178" s="15" t="b">
        <f>IFERROR(__xludf.DUMMYFUNCTION("""COMPUTED_VALUE"""),FALSE)</f>
        <v>0</v>
      </c>
    </row>
    <row r="179">
      <c r="A179" s="19">
        <f>IFERROR(__xludf.DUMMYFUNCTION("""COMPUTED_VALUE"""),46304.0)</f>
        <v>46304</v>
      </c>
      <c r="B179" s="19">
        <f>IFERROR(__xludf.DUMMYFUNCTION("""COMPUTED_VALUE"""),46316.0)</f>
        <v>46316</v>
      </c>
      <c r="C179" s="15">
        <f>IFERROR(__xludf.DUMMYFUNCTION("""COMPUTED_VALUE"""),7.0)</f>
        <v>7</v>
      </c>
      <c r="D179" s="15" t="str">
        <f>IFERROR(__xludf.DUMMYFUNCTION("""COMPUTED_VALUE"""),"UDI")</f>
        <v>UDI</v>
      </c>
      <c r="E179" s="15" t="str">
        <f>IFERROR(__xludf.DUMMYFUNCTION("""COMPUTED_VALUE"""),"LOJA TROPICAL")</f>
        <v>LOJA TROPICAL</v>
      </c>
      <c r="F179" s="15" t="str">
        <f>IFERROR(__xludf.DUMMYFUNCTION("""COMPUTED_VALUE"""),"TRIFIL")</f>
        <v>TRIFIL</v>
      </c>
      <c r="G179" s="15" t="str">
        <f>IFERROR(__xludf.DUMMYFUNCTION("""COMPUTED_VALUE"""),"266803408")</f>
        <v>266803408</v>
      </c>
      <c r="H179" s="15" t="str">
        <f>IFERROR(__xludf.DUMMYFUNCTION("""COMPUTED_VALUE"""),"1305859")</f>
        <v>1305859</v>
      </c>
      <c r="I179" s="15" t="str">
        <f>IFERROR(__xludf.DUMMYFUNCTION("""COMPUTED_VALUE"""),"8176756")</f>
        <v>8176756</v>
      </c>
      <c r="J179" s="15" t="str">
        <f>IFERROR(__xludf.DUMMYFUNCTION("""COMPUTED_VALUE"""),"CIF")</f>
        <v>CIF</v>
      </c>
      <c r="K179" s="15" t="str">
        <f>IFERROR(__xludf.DUMMYFUNCTION("""COMPUTED_VALUE"""),"FSA-1")</f>
        <v>FSA-1</v>
      </c>
      <c r="L179" s="15" t="str">
        <f>IFERROR(__xludf.DUMMYFUNCTION("""COMPUTED_VALUE"""),"AUTORIZADO")</f>
        <v>AUTORIZADO</v>
      </c>
      <c r="M179" s="15" t="str">
        <f>IFERROR(__xludf.DUMMYFUNCTION("""COMPUTED_VALUE"""),"NA ORIGEM")</f>
        <v>NA ORIGEM</v>
      </c>
      <c r="N179" s="15" t="str">
        <f>IFERROR(__xludf.DUMMYFUNCTION("""COMPUTED_VALUE"""),"Antes Prazo")</f>
        <v>Antes Prazo</v>
      </c>
      <c r="O179" s="15" t="str">
        <f>IFERROR(__xludf.DUMMYFUNCTION("""COMPUTED_VALUE"""),"B2B")</f>
        <v>B2B</v>
      </c>
      <c r="P179" s="16">
        <f>IFERROR(__xludf.DUMMYFUNCTION("""COMPUTED_VALUE"""),44.59)</f>
        <v>44.59</v>
      </c>
      <c r="Q179" s="15">
        <f>IFERROR(__xludf.DUMMYFUNCTION("""COMPUTED_VALUE"""),2.0)</f>
        <v>2</v>
      </c>
      <c r="R179" s="15" t="str">
        <f>IFERROR(__xludf.DUMMYFUNCTION("""COMPUTED_VALUE"""),"RODO")</f>
        <v>RODO</v>
      </c>
      <c r="S179" s="15" t="str">
        <f>IFERROR(__xludf.DUMMYFUNCTION("""COMPUTED_VALUE"""),"ITN")</f>
        <v>ITN</v>
      </c>
      <c r="T179" s="15" t="str">
        <f>IFERROR(__xludf.DUMMYFUNCTION("""COMPUTED_VALUE"""),"2")</f>
        <v>2</v>
      </c>
      <c r="U179" s="15" t="str">
        <f>IFERROR(__xludf.DUMMYFUNCTION("""COMPUTED_VALUE"""),"266803408 1305859 8176756 loja tropical trifil udi 2")</f>
        <v>266803408 1305859 8176756 loja tropical trifil udi 2</v>
      </c>
      <c r="V179" s="15" t="b">
        <f>IFERROR(__xludf.DUMMYFUNCTION("""COMPUTED_VALUE"""),FALSE)</f>
        <v>0</v>
      </c>
    </row>
    <row r="180">
      <c r="A180" s="19">
        <f>IFERROR(__xludf.DUMMYFUNCTION("""COMPUTED_VALUE"""),46304.0)</f>
        <v>46304</v>
      </c>
      <c r="B180" s="19">
        <f>IFERROR(__xludf.DUMMYFUNCTION("""COMPUTED_VALUE"""),46322.0)</f>
        <v>46322</v>
      </c>
      <c r="C180" s="15">
        <f>IFERROR(__xludf.DUMMYFUNCTION("""COMPUTED_VALUE"""),11.0)</f>
        <v>11</v>
      </c>
      <c r="D180" s="15" t="str">
        <f>IFERROR(__xludf.DUMMYFUNCTION("""COMPUTED_VALUE"""),"UDI")</f>
        <v>UDI</v>
      </c>
      <c r="E180" s="15" t="str">
        <f>IFERROR(__xludf.DUMMYFUNCTION("""COMPUTED_VALUE"""),"VIP COMERCIAL LTDA")</f>
        <v>VIP COMERCIAL LTDA</v>
      </c>
      <c r="F180" s="15" t="str">
        <f>IFERROR(__xludf.DUMMYFUNCTION("""COMPUTED_VALUE"""),"TRIFIL")</f>
        <v>TRIFIL</v>
      </c>
      <c r="G180" s="15" t="str">
        <f>IFERROR(__xludf.DUMMYFUNCTION("""COMPUTED_VALUE"""),"266803409")</f>
        <v>266803409</v>
      </c>
      <c r="H180" s="15" t="str">
        <f>IFERROR(__xludf.DUMMYFUNCTION("""COMPUTED_VALUE"""),"1305576")</f>
        <v>1305576</v>
      </c>
      <c r="I180" s="15" t="str">
        <f>IFERROR(__xludf.DUMMYFUNCTION("""COMPUTED_VALUE"""),"8176810")</f>
        <v>8176810</v>
      </c>
      <c r="J180" s="15" t="str">
        <f>IFERROR(__xludf.DUMMYFUNCTION("""COMPUTED_VALUE"""),"CIF")</f>
        <v>CIF</v>
      </c>
      <c r="K180" s="15" t="str">
        <f>IFERROR(__xludf.DUMMYFUNCTION("""COMPUTED_VALUE"""),"(sem célula)")</f>
        <v>(sem célula)</v>
      </c>
      <c r="L180" s="15" t="str">
        <f>IFERROR(__xludf.DUMMYFUNCTION("""COMPUTED_VALUE"""),"AUTORIZADO")</f>
        <v>AUTORIZADO</v>
      </c>
      <c r="M180" s="15" t="str">
        <f>IFERROR(__xludf.DUMMYFUNCTION("""COMPUTED_VALUE"""),"NA ORIGEM")</f>
        <v>NA ORIGEM</v>
      </c>
      <c r="N180" s="15" t="str">
        <f>IFERROR(__xludf.DUMMYFUNCTION("""COMPUTED_VALUE"""),"Antes Prazo")</f>
        <v>Antes Prazo</v>
      </c>
      <c r="O180" s="15" t="str">
        <f>IFERROR(__xludf.DUMMYFUNCTION("""COMPUTED_VALUE"""),"B2B")</f>
        <v>B2B</v>
      </c>
      <c r="P180" s="16">
        <f>IFERROR(__xludf.DUMMYFUNCTION("""COMPUTED_VALUE"""),49.43)</f>
        <v>49.43</v>
      </c>
      <c r="Q180" s="15">
        <f>IFERROR(__xludf.DUMMYFUNCTION("""COMPUTED_VALUE"""),1.0)</f>
        <v>1</v>
      </c>
      <c r="R180" s="15" t="str">
        <f>IFERROR(__xludf.DUMMYFUNCTION("""COMPUTED_VALUE"""),"RODO")</f>
        <v>RODO</v>
      </c>
      <c r="S180" s="15" t="str">
        <f>IFERROR(__xludf.DUMMYFUNCTION("""COMPUTED_VALUE"""),"ITN")</f>
        <v>ITN</v>
      </c>
      <c r="T180" s="15" t="str">
        <f>IFERROR(__xludf.DUMMYFUNCTION("""COMPUTED_VALUE"""),"101")</f>
        <v>101</v>
      </c>
      <c r="U180" s="15" t="str">
        <f>IFERROR(__xludf.DUMMYFUNCTION("""COMPUTED_VALUE"""),"266803409 1305576 8176810 vip comercial ltda trifil udi 101")</f>
        <v>266803409 1305576 8176810 vip comercial ltda trifil udi 101</v>
      </c>
      <c r="V180" s="15" t="b">
        <f>IFERROR(__xludf.DUMMYFUNCTION("""COMPUTED_VALUE"""),FALSE)</f>
        <v>0</v>
      </c>
    </row>
    <row r="181">
      <c r="A181" s="19">
        <f>IFERROR(__xludf.DUMMYFUNCTION("""COMPUTED_VALUE"""),46304.0)</f>
        <v>46304</v>
      </c>
      <c r="B181" s="19">
        <f>IFERROR(__xludf.DUMMYFUNCTION("""COMPUTED_VALUE"""),46323.0)</f>
        <v>46323</v>
      </c>
      <c r="C181" s="15">
        <f>IFERROR(__xludf.DUMMYFUNCTION("""COMPUTED_VALUE"""),12.0)</f>
        <v>12</v>
      </c>
      <c r="D181" s="15" t="str">
        <f>IFERROR(__xludf.DUMMYFUNCTION("""COMPUTED_VALUE"""),"POJ")</f>
        <v>POJ</v>
      </c>
      <c r="E181" s="15" t="str">
        <f>IFERROR(__xludf.DUMMYFUNCTION("""COMPUTED_VALUE"""),"HMM MODAS LTDA")</f>
        <v>HMM MODAS LTDA</v>
      </c>
      <c r="F181" s="15" t="str">
        <f>IFERROR(__xludf.DUMMYFUNCTION("""COMPUTED_VALUE"""),"TRIFIL")</f>
        <v>TRIFIL</v>
      </c>
      <c r="G181" s="15" t="str">
        <f>IFERROR(__xludf.DUMMYFUNCTION("""COMPUTED_VALUE"""),"266803410")</f>
        <v>266803410</v>
      </c>
      <c r="H181" s="15" t="str">
        <f>IFERROR(__xludf.DUMMYFUNCTION("""COMPUTED_VALUE"""),"1305860")</f>
        <v>1305860</v>
      </c>
      <c r="I181" s="15" t="str">
        <f>IFERROR(__xludf.DUMMYFUNCTION("""COMPUTED_VALUE"""),"8176906")</f>
        <v>8176906</v>
      </c>
      <c r="J181" s="15" t="str">
        <f>IFERROR(__xludf.DUMMYFUNCTION("""COMPUTED_VALUE"""),"CIF")</f>
        <v>CIF</v>
      </c>
      <c r="K181" s="15" t="str">
        <f>IFERROR(__xludf.DUMMYFUNCTION("""COMPUTED_VALUE"""),"(sem célula)")</f>
        <v>(sem célula)</v>
      </c>
      <c r="L181" s="15" t="str">
        <f>IFERROR(__xludf.DUMMYFUNCTION("""COMPUTED_VALUE"""),"AUTORIZADO")</f>
        <v>AUTORIZADO</v>
      </c>
      <c r="M181" s="15" t="str">
        <f>IFERROR(__xludf.DUMMYFUNCTION("""COMPUTED_VALUE"""),"NA ORIGEM")</f>
        <v>NA ORIGEM</v>
      </c>
      <c r="N181" s="15" t="str">
        <f>IFERROR(__xludf.DUMMYFUNCTION("""COMPUTED_VALUE"""),"Antes Prazo")</f>
        <v>Antes Prazo</v>
      </c>
      <c r="O181" s="15" t="str">
        <f>IFERROR(__xludf.DUMMYFUNCTION("""COMPUTED_VALUE"""),"B2B")</f>
        <v>B2B</v>
      </c>
      <c r="P181" s="16">
        <f>IFERROR(__xludf.DUMMYFUNCTION("""COMPUTED_VALUE"""),49.43)</f>
        <v>49.43</v>
      </c>
      <c r="Q181" s="15">
        <f>IFERROR(__xludf.DUMMYFUNCTION("""COMPUTED_VALUE"""),2.0)</f>
        <v>2</v>
      </c>
      <c r="R181" s="15" t="str">
        <f>IFERROR(__xludf.DUMMYFUNCTION("""COMPUTED_VALUE"""),"RODO")</f>
        <v>RODO</v>
      </c>
      <c r="S181" s="15" t="str">
        <f>IFERROR(__xludf.DUMMYFUNCTION("""COMPUTED_VALUE"""),"ITN")</f>
        <v>ITN</v>
      </c>
      <c r="T181" s="15" t="str">
        <f>IFERROR(__xludf.DUMMYFUNCTION("""COMPUTED_VALUE"""),"102")</f>
        <v>102</v>
      </c>
      <c r="U181" s="15" t="str">
        <f>IFERROR(__xludf.DUMMYFUNCTION("""COMPUTED_VALUE"""),"266803410 1305860 8176906 hmm modas ltda trifil poj 102")</f>
        <v>266803410 1305860 8176906 hmm modas ltda trifil poj 102</v>
      </c>
      <c r="V181" s="15" t="b">
        <f>IFERROR(__xludf.DUMMYFUNCTION("""COMPUTED_VALUE"""),FALSE)</f>
        <v>0</v>
      </c>
    </row>
    <row r="182">
      <c r="A182" s="19">
        <f>IFERROR(__xludf.DUMMYFUNCTION("""COMPUTED_VALUE"""),46304.0)</f>
        <v>46304</v>
      </c>
      <c r="B182" s="19">
        <f>IFERROR(__xludf.DUMMYFUNCTION("""COMPUTED_VALUE"""),46330.0)</f>
        <v>46330</v>
      </c>
      <c r="C182" s="15">
        <f>IFERROR(__xludf.DUMMYFUNCTION("""COMPUTED_VALUE"""),16.0)</f>
        <v>16</v>
      </c>
      <c r="D182" s="15" t="str">
        <f>IFERROR(__xludf.DUMMYFUNCTION("""COMPUTED_VALUE"""),"GVR")</f>
        <v>GVR</v>
      </c>
      <c r="E182" s="15" t="str">
        <f>IFERROR(__xludf.DUMMYFUNCTION("""COMPUTED_VALUE"""),"TROPICALIA MODAS LTDA - ME")</f>
        <v>TROPICALIA MODAS LTDA - ME</v>
      </c>
      <c r="F182" s="15" t="str">
        <f>IFERROR(__xludf.DUMMYFUNCTION("""COMPUTED_VALUE"""),"TRIFIL")</f>
        <v>TRIFIL</v>
      </c>
      <c r="G182" s="15" t="str">
        <f>IFERROR(__xludf.DUMMYFUNCTION("""COMPUTED_VALUE"""),"266803411")</f>
        <v>266803411</v>
      </c>
      <c r="H182" s="15" t="str">
        <f>IFERROR(__xludf.DUMMYFUNCTION("""COMPUTED_VALUE"""),"1305174")</f>
        <v>1305174</v>
      </c>
      <c r="I182" s="15" t="str">
        <f>IFERROR(__xludf.DUMMYFUNCTION("""COMPUTED_VALUE"""),"8176781")</f>
        <v>8176781</v>
      </c>
      <c r="J182" s="15" t="str">
        <f>IFERROR(__xludf.DUMMYFUNCTION("""COMPUTED_VALUE"""),"CIF")</f>
        <v>CIF</v>
      </c>
      <c r="K182" s="15" t="str">
        <f>IFERROR(__xludf.DUMMYFUNCTION("""COMPUTED_VALUE"""),"(sem célula)")</f>
        <v>(sem célula)</v>
      </c>
      <c r="L182" s="15" t="str">
        <f>IFERROR(__xludf.DUMMYFUNCTION("""COMPUTED_VALUE"""),"AUTORIZADO")</f>
        <v>AUTORIZADO</v>
      </c>
      <c r="M182" s="15" t="str">
        <f>IFERROR(__xludf.DUMMYFUNCTION("""COMPUTED_VALUE"""),"NA ORIGEM")</f>
        <v>NA ORIGEM</v>
      </c>
      <c r="N182" s="15" t="str">
        <f>IFERROR(__xludf.DUMMYFUNCTION("""COMPUTED_VALUE"""),"Antes Prazo")</f>
        <v>Antes Prazo</v>
      </c>
      <c r="O182" s="15" t="str">
        <f>IFERROR(__xludf.DUMMYFUNCTION("""COMPUTED_VALUE"""),"B2B")</f>
        <v>B2B</v>
      </c>
      <c r="P182" s="16">
        <f>IFERROR(__xludf.DUMMYFUNCTION("""COMPUTED_VALUE"""),49.43)</f>
        <v>49.43</v>
      </c>
      <c r="Q182" s="15">
        <f>IFERROR(__xludf.DUMMYFUNCTION("""COMPUTED_VALUE"""),1.0)</f>
        <v>1</v>
      </c>
      <c r="R182" s="15" t="str">
        <f>IFERROR(__xludf.DUMMYFUNCTION("""COMPUTED_VALUE"""),"RODO")</f>
        <v>RODO</v>
      </c>
      <c r="S182" s="15" t="str">
        <f>IFERROR(__xludf.DUMMYFUNCTION("""COMPUTED_VALUE"""),"ITN")</f>
        <v>ITN</v>
      </c>
      <c r="T182" s="15" t="str">
        <f>IFERROR(__xludf.DUMMYFUNCTION("""COMPUTED_VALUE"""),"101")</f>
        <v>101</v>
      </c>
      <c r="U182" s="15" t="str">
        <f>IFERROR(__xludf.DUMMYFUNCTION("""COMPUTED_VALUE"""),"266803411 1305174 8176781 tropicalia modas ltda - me trifil gvr 101")</f>
        <v>266803411 1305174 8176781 tropicalia modas ltda - me trifil gvr 101</v>
      </c>
      <c r="V182" s="15" t="b">
        <f>IFERROR(__xludf.DUMMYFUNCTION("""COMPUTED_VALUE"""),FALSE)</f>
        <v>0</v>
      </c>
    </row>
    <row r="183">
      <c r="A183" s="19">
        <f>IFERROR(__xludf.DUMMYFUNCTION("""COMPUTED_VALUE"""),46304.0)</f>
        <v>46304</v>
      </c>
      <c r="B183" s="19">
        <f>IFERROR(__xludf.DUMMYFUNCTION("""COMPUTED_VALUE"""),46329.0)</f>
        <v>46329</v>
      </c>
      <c r="C183" s="15">
        <f>IFERROR(__xludf.DUMMYFUNCTION("""COMPUTED_VALUE"""),15.0)</f>
        <v>15</v>
      </c>
      <c r="D183" s="15" t="str">
        <f>IFERROR(__xludf.DUMMYFUNCTION("""COMPUTED_VALUE"""),"ITB")</f>
        <v>ITB</v>
      </c>
      <c r="E183" s="15" t="str">
        <f>IFERROR(__xludf.DUMMYFUNCTION("""COMPUTED_VALUE"""),"48.901.988 JOSIVAN ALVES DA SILVA")</f>
        <v>48.901.988 JOSIVAN ALVES DA SILVA</v>
      </c>
      <c r="F183" s="15" t="str">
        <f>IFERROR(__xludf.DUMMYFUNCTION("""COMPUTED_VALUE"""),"TRIFIL")</f>
        <v>TRIFIL</v>
      </c>
      <c r="G183" s="15" t="str">
        <f>IFERROR(__xludf.DUMMYFUNCTION("""COMPUTED_VALUE"""),"266803412")</f>
        <v>266803412</v>
      </c>
      <c r="H183" s="15" t="str">
        <f>IFERROR(__xludf.DUMMYFUNCTION("""COMPUTED_VALUE"""),"1305380")</f>
        <v>1305380</v>
      </c>
      <c r="I183" s="15" t="str">
        <f>IFERROR(__xludf.DUMMYFUNCTION("""COMPUTED_VALUE"""),"8176940")</f>
        <v>8176940</v>
      </c>
      <c r="J183" s="15" t="str">
        <f>IFERROR(__xludf.DUMMYFUNCTION("""COMPUTED_VALUE"""),"CIF")</f>
        <v>CIF</v>
      </c>
      <c r="K183" s="15" t="str">
        <f>IFERROR(__xludf.DUMMYFUNCTION("""COMPUTED_VALUE"""),"(sem célula)")</f>
        <v>(sem célula)</v>
      </c>
      <c r="L183" s="15" t="str">
        <f>IFERROR(__xludf.DUMMYFUNCTION("""COMPUTED_VALUE"""),"AUTORIZADO")</f>
        <v>AUTORIZADO</v>
      </c>
      <c r="M183" s="15" t="str">
        <f>IFERROR(__xludf.DUMMYFUNCTION("""COMPUTED_VALUE"""),"NA ORIGEM")</f>
        <v>NA ORIGEM</v>
      </c>
      <c r="N183" s="15" t="str">
        <f>IFERROR(__xludf.DUMMYFUNCTION("""COMPUTED_VALUE"""),"Antes Prazo")</f>
        <v>Antes Prazo</v>
      </c>
      <c r="O183" s="15" t="str">
        <f>IFERROR(__xludf.DUMMYFUNCTION("""COMPUTED_VALUE"""),"B2B")</f>
        <v>B2B</v>
      </c>
      <c r="P183" s="16">
        <f>IFERROR(__xludf.DUMMYFUNCTION("""COMPUTED_VALUE"""),49.43)</f>
        <v>49.43</v>
      </c>
      <c r="Q183" s="15">
        <f>IFERROR(__xludf.DUMMYFUNCTION("""COMPUTED_VALUE"""),1.0)</f>
        <v>1</v>
      </c>
      <c r="R183" s="15" t="str">
        <f>IFERROR(__xludf.DUMMYFUNCTION("""COMPUTED_VALUE"""),"RODO")</f>
        <v>RODO</v>
      </c>
      <c r="S183" s="15" t="str">
        <f>IFERROR(__xludf.DUMMYFUNCTION("""COMPUTED_VALUE"""),"ITN")</f>
        <v>ITN</v>
      </c>
      <c r="T183" s="15" t="str">
        <f>IFERROR(__xludf.DUMMYFUNCTION("""COMPUTED_VALUE"""),"104")</f>
        <v>104</v>
      </c>
      <c r="U183" s="15" t="str">
        <f>IFERROR(__xludf.DUMMYFUNCTION("""COMPUTED_VALUE"""),"266803412 1305380 8176940 48.901.988 josivan alves da silva trifil itb 104")</f>
        <v>266803412 1305380 8176940 48.901.988 josivan alves da silva trifil itb 104</v>
      </c>
      <c r="V183" s="15" t="b">
        <f>IFERROR(__xludf.DUMMYFUNCTION("""COMPUTED_VALUE"""),FALSE)</f>
        <v>0</v>
      </c>
    </row>
    <row r="184">
      <c r="A184" s="19">
        <f>IFERROR(__xludf.DUMMYFUNCTION("""COMPUTED_VALUE"""),46304.0)</f>
        <v>46304</v>
      </c>
      <c r="B184" s="19">
        <f>IFERROR(__xludf.DUMMYFUNCTION("""COMPUTED_VALUE"""),46316.0)</f>
        <v>46316</v>
      </c>
      <c r="C184" s="15">
        <f>IFERROR(__xludf.DUMMYFUNCTION("""COMPUTED_VALUE"""),7.0)</f>
        <v>7</v>
      </c>
      <c r="D184" s="15" t="str">
        <f>IFERROR(__xludf.DUMMYFUNCTION("""COMPUTED_VALUE"""),"CCT")</f>
        <v>CCT</v>
      </c>
      <c r="E184" s="15" t="str">
        <f>IFERROR(__xludf.DUMMYFUNCTION("""COMPUTED_VALUE"""),"REFINATA MEIAS COMERCIO LTDA")</f>
        <v>REFINATA MEIAS COMERCIO LTDA</v>
      </c>
      <c r="F184" s="15" t="str">
        <f>IFERROR(__xludf.DUMMYFUNCTION("""COMPUTED_VALUE"""),"TRIFIL")</f>
        <v>TRIFIL</v>
      </c>
      <c r="G184" s="15" t="str">
        <f>IFERROR(__xludf.DUMMYFUNCTION("""COMPUTED_VALUE"""),"266803413")</f>
        <v>266803413</v>
      </c>
      <c r="H184" s="15" t="str">
        <f>IFERROR(__xludf.DUMMYFUNCTION("""COMPUTED_VALUE"""),"1305521")</f>
        <v>1305521</v>
      </c>
      <c r="I184" s="15" t="str">
        <f>IFERROR(__xludf.DUMMYFUNCTION("""COMPUTED_VALUE"""),"8176811")</f>
        <v>8176811</v>
      </c>
      <c r="J184" s="15" t="str">
        <f>IFERROR(__xludf.DUMMYFUNCTION("""COMPUTED_VALUE"""),"CIF")</f>
        <v>CIF</v>
      </c>
      <c r="K184" s="15" t="str">
        <f>IFERROR(__xludf.DUMMYFUNCTION("""COMPUTED_VALUE"""),"(sem célula)")</f>
        <v>(sem célula)</v>
      </c>
      <c r="L184" s="15" t="str">
        <f>IFERROR(__xludf.DUMMYFUNCTION("""COMPUTED_VALUE"""),"AUTORIZADO")</f>
        <v>AUTORIZADO</v>
      </c>
      <c r="M184" s="15" t="str">
        <f>IFERROR(__xludf.DUMMYFUNCTION("""COMPUTED_VALUE"""),"NA ORIGEM")</f>
        <v>NA ORIGEM</v>
      </c>
      <c r="N184" s="15" t="str">
        <f>IFERROR(__xludf.DUMMYFUNCTION("""COMPUTED_VALUE"""),"Antes Prazo")</f>
        <v>Antes Prazo</v>
      </c>
      <c r="O184" s="15" t="str">
        <f>IFERROR(__xludf.DUMMYFUNCTION("""COMPUTED_VALUE"""),"B2B")</f>
        <v>B2B</v>
      </c>
      <c r="P184" s="16">
        <f>IFERROR(__xludf.DUMMYFUNCTION("""COMPUTED_VALUE"""),45.49)</f>
        <v>45.49</v>
      </c>
      <c r="Q184" s="15">
        <f>IFERROR(__xludf.DUMMYFUNCTION("""COMPUTED_VALUE"""),1.0)</f>
        <v>1</v>
      </c>
      <c r="R184" s="15" t="str">
        <f>IFERROR(__xludf.DUMMYFUNCTION("""COMPUTED_VALUE"""),"RODO")</f>
        <v>RODO</v>
      </c>
      <c r="S184" s="15" t="str">
        <f>IFERROR(__xludf.DUMMYFUNCTION("""COMPUTED_VALUE"""),"ITN")</f>
        <v>ITN</v>
      </c>
      <c r="T184" s="15" t="str">
        <f>IFERROR(__xludf.DUMMYFUNCTION("""COMPUTED_VALUE"""),"2401")</f>
        <v>2401</v>
      </c>
      <c r="U184" s="15" t="str">
        <f>IFERROR(__xludf.DUMMYFUNCTION("""COMPUTED_VALUE"""),"266803413 1305521 8176811 refinata meias comercio ltda trifil cct 2401")</f>
        <v>266803413 1305521 8176811 refinata meias comercio ltda trifil cct 2401</v>
      </c>
      <c r="V184" s="15" t="b">
        <f>IFERROR(__xludf.DUMMYFUNCTION("""COMPUTED_VALUE"""),FALSE)</f>
        <v>0</v>
      </c>
    </row>
    <row r="185">
      <c r="A185" s="19">
        <f>IFERROR(__xludf.DUMMYFUNCTION("""COMPUTED_VALUE"""),46304.0)</f>
        <v>46304</v>
      </c>
      <c r="B185" s="19">
        <f>IFERROR(__xludf.DUMMYFUNCTION("""COMPUTED_VALUE"""),46314.0)</f>
        <v>46314</v>
      </c>
      <c r="C185" s="15">
        <f>IFERROR(__xludf.DUMMYFUNCTION("""COMPUTED_VALUE"""),5.0)</f>
        <v>5</v>
      </c>
      <c r="D185" s="15" t="str">
        <f>IFERROR(__xludf.DUMMYFUNCTION("""COMPUTED_VALUE"""),"SSA")</f>
        <v>SSA</v>
      </c>
      <c r="E185" s="15" t="str">
        <f>IFERROR(__xludf.DUMMYFUNCTION("""COMPUTED_VALUE"""),"MASTER MAGAZINE")</f>
        <v>MASTER MAGAZINE</v>
      </c>
      <c r="F185" s="15" t="str">
        <f>IFERROR(__xludf.DUMMYFUNCTION("""COMPUTED_VALUE"""),"TRIFIL")</f>
        <v>TRIFIL</v>
      </c>
      <c r="G185" s="15" t="str">
        <f>IFERROR(__xludf.DUMMYFUNCTION("""COMPUTED_VALUE"""),"266803415")</f>
        <v>266803415</v>
      </c>
      <c r="H185" s="15" t="str">
        <f>IFERROR(__xludf.DUMMYFUNCTION("""COMPUTED_VALUE"""),"1305843")</f>
        <v>1305843</v>
      </c>
      <c r="I185" s="15" t="str">
        <f>IFERROR(__xludf.DUMMYFUNCTION("""COMPUTED_VALUE"""),"8176941")</f>
        <v>8176941</v>
      </c>
      <c r="J185" s="15" t="str">
        <f>IFERROR(__xludf.DUMMYFUNCTION("""COMPUTED_VALUE"""),"CIF")</f>
        <v>CIF</v>
      </c>
      <c r="K185" s="15" t="str">
        <f>IFERROR(__xludf.DUMMYFUNCTION("""COMPUTED_VALUE"""),"FSA-1")</f>
        <v>FSA-1</v>
      </c>
      <c r="L185" s="15" t="str">
        <f>IFERROR(__xludf.DUMMYFUNCTION("""COMPUTED_VALUE"""),"AUTORIZADO")</f>
        <v>AUTORIZADO</v>
      </c>
      <c r="M185" s="15" t="str">
        <f>IFERROR(__xludf.DUMMYFUNCTION("""COMPUTED_VALUE"""),"NA ORIGEM")</f>
        <v>NA ORIGEM</v>
      </c>
      <c r="N185" s="15" t="str">
        <f>IFERROR(__xludf.DUMMYFUNCTION("""COMPUTED_VALUE"""),"Antes Prazo")</f>
        <v>Antes Prazo</v>
      </c>
      <c r="O185" s="15" t="str">
        <f>IFERROR(__xludf.DUMMYFUNCTION("""COMPUTED_VALUE"""),"B2B")</f>
        <v>B2B</v>
      </c>
      <c r="P185" s="16">
        <f>IFERROR(__xludf.DUMMYFUNCTION("""COMPUTED_VALUE"""),33.82)</f>
        <v>33.82</v>
      </c>
      <c r="Q185" s="15">
        <f>IFERROR(__xludf.DUMMYFUNCTION("""COMPUTED_VALUE"""),2.0)</f>
        <v>2</v>
      </c>
      <c r="R185" s="15" t="str">
        <f>IFERROR(__xludf.DUMMYFUNCTION("""COMPUTED_VALUE"""),"RODO")</f>
        <v>RODO</v>
      </c>
      <c r="S185" s="15" t="str">
        <f>IFERROR(__xludf.DUMMYFUNCTION("""COMPUTED_VALUE"""),"ITN")</f>
        <v>ITN</v>
      </c>
      <c r="T185" s="15" t="str">
        <f>IFERROR(__xludf.DUMMYFUNCTION("""COMPUTED_VALUE"""),"18")</f>
        <v>18</v>
      </c>
      <c r="U185" s="15" t="str">
        <f>IFERROR(__xludf.DUMMYFUNCTION("""COMPUTED_VALUE"""),"266803415 1305843 8176941 master magazine trifil ssa 18")</f>
        <v>266803415 1305843 8176941 master magazine trifil ssa 18</v>
      </c>
      <c r="V185" s="15" t="b">
        <f>IFERROR(__xludf.DUMMYFUNCTION("""COMPUTED_VALUE"""),FALSE)</f>
        <v>0</v>
      </c>
    </row>
    <row r="186">
      <c r="A186" s="19">
        <f>IFERROR(__xludf.DUMMYFUNCTION("""COMPUTED_VALUE"""),46304.0)</f>
        <v>46304</v>
      </c>
      <c r="B186" s="19">
        <f>IFERROR(__xludf.DUMMYFUNCTION("""COMPUTED_VALUE"""),46316.0)</f>
        <v>46316</v>
      </c>
      <c r="C186" s="15">
        <f>IFERROR(__xludf.DUMMYFUNCTION("""COMPUTED_VALUE"""),7.0)</f>
        <v>7</v>
      </c>
      <c r="D186" s="15" t="str">
        <f>IFERROR(__xludf.DUMMYFUNCTION("""COMPUTED_VALUE"""),"ABS")</f>
        <v>ABS</v>
      </c>
      <c r="E186" s="15" t="str">
        <f>IFERROR(__xludf.DUMMYFUNCTION("""COMPUTED_VALUE"""),"MANIA MANOEL LTDA EPP")</f>
        <v>MANIA MANOEL LTDA EPP</v>
      </c>
      <c r="F186" s="15" t="str">
        <f>IFERROR(__xludf.DUMMYFUNCTION("""COMPUTED_VALUE"""),"TRIFIL")</f>
        <v>TRIFIL</v>
      </c>
      <c r="G186" s="15" t="str">
        <f>IFERROR(__xludf.DUMMYFUNCTION("""COMPUTED_VALUE"""),"266803416")</f>
        <v>266803416</v>
      </c>
      <c r="H186" s="15" t="str">
        <f>IFERROR(__xludf.DUMMYFUNCTION("""COMPUTED_VALUE"""),"1305934")</f>
        <v>1305934</v>
      </c>
      <c r="I186" s="15" t="str">
        <f>IFERROR(__xludf.DUMMYFUNCTION("""COMPUTED_VALUE"""),"8176711")</f>
        <v>8176711</v>
      </c>
      <c r="J186" s="15" t="str">
        <f>IFERROR(__xludf.DUMMYFUNCTION("""COMPUTED_VALUE"""),"CIF")</f>
        <v>CIF</v>
      </c>
      <c r="K186" s="15" t="str">
        <f>IFERROR(__xludf.DUMMYFUNCTION("""COMPUTED_VALUE"""),"SAO-1")</f>
        <v>SAO-1</v>
      </c>
      <c r="L186" s="15" t="str">
        <f>IFERROR(__xludf.DUMMYFUNCTION("""COMPUTED_VALUE"""),"AUTORIZADO")</f>
        <v>AUTORIZADO</v>
      </c>
      <c r="M186" s="15" t="str">
        <f>IFERROR(__xludf.DUMMYFUNCTION("""COMPUTED_VALUE"""),"NA ORIGEM")</f>
        <v>NA ORIGEM</v>
      </c>
      <c r="N186" s="15" t="str">
        <f>IFERROR(__xludf.DUMMYFUNCTION("""COMPUTED_VALUE"""),"Antes Prazo")</f>
        <v>Antes Prazo</v>
      </c>
      <c r="O186" s="15" t="str">
        <f>IFERROR(__xludf.DUMMYFUNCTION("""COMPUTED_VALUE"""),"B2B")</f>
        <v>B2B</v>
      </c>
      <c r="P186" s="16">
        <f>IFERROR(__xludf.DUMMYFUNCTION("""COMPUTED_VALUE"""),45.49)</f>
        <v>45.49</v>
      </c>
      <c r="Q186" s="15">
        <f>IFERROR(__xludf.DUMMYFUNCTION("""COMPUTED_VALUE"""),1.0)</f>
        <v>1</v>
      </c>
      <c r="R186" s="15" t="str">
        <f>IFERROR(__xludf.DUMMYFUNCTION("""COMPUTED_VALUE"""),"RODO")</f>
        <v>RODO</v>
      </c>
      <c r="S186" s="15" t="str">
        <f>IFERROR(__xludf.DUMMYFUNCTION("""COMPUTED_VALUE"""),"ITN")</f>
        <v>ITN</v>
      </c>
      <c r="T186" s="15" t="str">
        <f>IFERROR(__xludf.DUMMYFUNCTION("""COMPUTED_VALUE"""),"2673A")</f>
        <v>2673A</v>
      </c>
      <c r="U186" s="15" t="str">
        <f>IFERROR(__xludf.DUMMYFUNCTION("""COMPUTED_VALUE"""),"266803416 1305934 8176711 mania manoel ltda epp trifil abs 2673a")</f>
        <v>266803416 1305934 8176711 mania manoel ltda epp trifil abs 2673a</v>
      </c>
      <c r="V186" s="15" t="b">
        <f>IFERROR(__xludf.DUMMYFUNCTION("""COMPUTED_VALUE"""),FALSE)</f>
        <v>0</v>
      </c>
    </row>
    <row r="187">
      <c r="A187" s="19">
        <f>IFERROR(__xludf.DUMMYFUNCTION("""COMPUTED_VALUE"""),46304.0)</f>
        <v>46304</v>
      </c>
      <c r="B187" s="19">
        <f>IFERROR(__xludf.DUMMYFUNCTION("""COMPUTED_VALUE"""),46314.0)</f>
        <v>46314</v>
      </c>
      <c r="C187" s="15">
        <f>IFERROR(__xludf.DUMMYFUNCTION("""COMPUTED_VALUE"""),5.0)</f>
        <v>5</v>
      </c>
      <c r="D187" s="15" t="str">
        <f>IFERROR(__xludf.DUMMYFUNCTION("""COMPUTED_VALUE"""),"SSA")</f>
        <v>SSA</v>
      </c>
      <c r="E187" s="15" t="str">
        <f>IFERROR(__xludf.DUMMYFUNCTION("""COMPUTED_VALUE"""),"LADU MODA INFANTIL LTDA(2067)")</f>
        <v>LADU MODA INFANTIL LTDA(2067)</v>
      </c>
      <c r="F187" s="15" t="str">
        <f>IFERROR(__xludf.DUMMYFUNCTION("""COMPUTED_VALUE"""),"TRIFIL")</f>
        <v>TRIFIL</v>
      </c>
      <c r="G187" s="15" t="str">
        <f>IFERROR(__xludf.DUMMYFUNCTION("""COMPUTED_VALUE"""),"266803417")</f>
        <v>266803417</v>
      </c>
      <c r="H187" s="15" t="str">
        <f>IFERROR(__xludf.DUMMYFUNCTION("""COMPUTED_VALUE"""),"1305513")</f>
        <v>1305513</v>
      </c>
      <c r="I187" s="15" t="str">
        <f>IFERROR(__xludf.DUMMYFUNCTION("""COMPUTED_VALUE"""),"8176782")</f>
        <v>8176782</v>
      </c>
      <c r="J187" s="15" t="str">
        <f>IFERROR(__xludf.DUMMYFUNCTION("""COMPUTED_VALUE"""),"CIF")</f>
        <v>CIF</v>
      </c>
      <c r="K187" s="15" t="str">
        <f>IFERROR(__xludf.DUMMYFUNCTION("""COMPUTED_VALUE"""),"FSA-1")</f>
        <v>FSA-1</v>
      </c>
      <c r="L187" s="15" t="str">
        <f>IFERROR(__xludf.DUMMYFUNCTION("""COMPUTED_VALUE"""),"AUTORIZADO")</f>
        <v>AUTORIZADO</v>
      </c>
      <c r="M187" s="15" t="str">
        <f>IFERROR(__xludf.DUMMYFUNCTION("""COMPUTED_VALUE"""),"NA ORIGEM")</f>
        <v>NA ORIGEM</v>
      </c>
      <c r="N187" s="15" t="str">
        <f>IFERROR(__xludf.DUMMYFUNCTION("""COMPUTED_VALUE"""),"Antes Prazo")</f>
        <v>Antes Prazo</v>
      </c>
      <c r="O187" s="15" t="str">
        <f>IFERROR(__xludf.DUMMYFUNCTION("""COMPUTED_VALUE"""),"B2B")</f>
        <v>B2B</v>
      </c>
      <c r="P187" s="16">
        <f>IFERROR(__xludf.DUMMYFUNCTION("""COMPUTED_VALUE"""),33.82)</f>
        <v>33.82</v>
      </c>
      <c r="Q187" s="15">
        <f>IFERROR(__xludf.DUMMYFUNCTION("""COMPUTED_VALUE"""),1.0)</f>
        <v>1</v>
      </c>
      <c r="R187" s="15" t="str">
        <f>IFERROR(__xludf.DUMMYFUNCTION("""COMPUTED_VALUE"""),"RODO")</f>
        <v>RODO</v>
      </c>
      <c r="S187" s="15" t="str">
        <f>IFERROR(__xludf.DUMMYFUNCTION("""COMPUTED_VALUE"""),"ITN")</f>
        <v>ITN</v>
      </c>
      <c r="T187" s="15" t="str">
        <f>IFERROR(__xludf.DUMMYFUNCTION("""COMPUTED_VALUE"""),"3")</f>
        <v>3</v>
      </c>
      <c r="U187" s="15" t="str">
        <f>IFERROR(__xludf.DUMMYFUNCTION("""COMPUTED_VALUE"""),"266803417 1305513 8176782 ladu moda infantil ltda(2067) trifil ssa 3")</f>
        <v>266803417 1305513 8176782 ladu moda infantil ltda(2067) trifil ssa 3</v>
      </c>
      <c r="V187" s="15" t="b">
        <f>IFERROR(__xludf.DUMMYFUNCTION("""COMPUTED_VALUE"""),FALSE)</f>
        <v>0</v>
      </c>
    </row>
    <row r="188">
      <c r="A188" s="19">
        <f>IFERROR(__xludf.DUMMYFUNCTION("""COMPUTED_VALUE"""),46304.0)</f>
        <v>46304</v>
      </c>
      <c r="B188" s="19">
        <f>IFERROR(__xludf.DUMMYFUNCTION("""COMPUTED_VALUE"""),46314.0)</f>
        <v>46314</v>
      </c>
      <c r="C188" s="15">
        <f>IFERROR(__xludf.DUMMYFUNCTION("""COMPUTED_VALUE"""),5.0)</f>
        <v>5</v>
      </c>
      <c r="D188" s="15" t="str">
        <f>IFERROR(__xludf.DUMMYFUNCTION("""COMPUTED_VALUE"""),"SSA")</f>
        <v>SSA</v>
      </c>
      <c r="E188" s="15" t="str">
        <f>IFERROR(__xludf.DUMMYFUNCTION("""COMPUTED_VALUE"""),"LUPO - SHOPPING DA BAHIA")</f>
        <v>LUPO - SHOPPING DA BAHIA</v>
      </c>
      <c r="F188" s="15" t="str">
        <f>IFERROR(__xludf.DUMMYFUNCTION("""COMPUTED_VALUE"""),"TRIFIL")</f>
        <v>TRIFIL</v>
      </c>
      <c r="G188" s="15" t="str">
        <f>IFERROR(__xludf.DUMMYFUNCTION("""COMPUTED_VALUE"""),"266803418")</f>
        <v>266803418</v>
      </c>
      <c r="H188" s="15" t="str">
        <f>IFERROR(__xludf.DUMMYFUNCTION("""COMPUTED_VALUE"""),"1305385")</f>
        <v>1305385</v>
      </c>
      <c r="I188" s="15" t="str">
        <f>IFERROR(__xludf.DUMMYFUNCTION("""COMPUTED_VALUE"""),"8176942")</f>
        <v>8176942</v>
      </c>
      <c r="J188" s="15" t="str">
        <f>IFERROR(__xludf.DUMMYFUNCTION("""COMPUTED_VALUE"""),"CIF")</f>
        <v>CIF</v>
      </c>
      <c r="K188" s="15" t="str">
        <f>IFERROR(__xludf.DUMMYFUNCTION("""COMPUTED_VALUE"""),"FSA-1")</f>
        <v>FSA-1</v>
      </c>
      <c r="L188" s="15" t="str">
        <f>IFERROR(__xludf.DUMMYFUNCTION("""COMPUTED_VALUE"""),"AUTORIZADO")</f>
        <v>AUTORIZADO</v>
      </c>
      <c r="M188" s="15" t="str">
        <f>IFERROR(__xludf.DUMMYFUNCTION("""COMPUTED_VALUE"""),"NA ORIGEM")</f>
        <v>NA ORIGEM</v>
      </c>
      <c r="N188" s="15" t="str">
        <f>IFERROR(__xludf.DUMMYFUNCTION("""COMPUTED_VALUE"""),"Antes Prazo")</f>
        <v>Antes Prazo</v>
      </c>
      <c r="O188" s="15" t="str">
        <f>IFERROR(__xludf.DUMMYFUNCTION("""COMPUTED_VALUE"""),"B2B")</f>
        <v>B2B</v>
      </c>
      <c r="P188" s="16">
        <f>IFERROR(__xludf.DUMMYFUNCTION("""COMPUTED_VALUE"""),33.82)</f>
        <v>33.82</v>
      </c>
      <c r="Q188" s="15">
        <f>IFERROR(__xludf.DUMMYFUNCTION("""COMPUTED_VALUE"""),1.0)</f>
        <v>1</v>
      </c>
      <c r="R188" s="15" t="str">
        <f>IFERROR(__xludf.DUMMYFUNCTION("""COMPUTED_VALUE"""),"RODO")</f>
        <v>RODO</v>
      </c>
      <c r="S188" s="15" t="str">
        <f>IFERROR(__xludf.DUMMYFUNCTION("""COMPUTED_VALUE"""),"ITN")</f>
        <v>ITN</v>
      </c>
      <c r="T188" s="15" t="str">
        <f>IFERROR(__xludf.DUMMYFUNCTION("""COMPUTED_VALUE"""),"29")</f>
        <v>29</v>
      </c>
      <c r="U188" s="15" t="str">
        <f>IFERROR(__xludf.DUMMYFUNCTION("""COMPUTED_VALUE"""),"266803418 1305385 8176942 lupo - shopping da bahia trifil ssa 29")</f>
        <v>266803418 1305385 8176942 lupo - shopping da bahia trifil ssa 29</v>
      </c>
      <c r="V188" s="15" t="b">
        <f>IFERROR(__xludf.DUMMYFUNCTION("""COMPUTED_VALUE"""),FALSE)</f>
        <v>0</v>
      </c>
    </row>
    <row r="189">
      <c r="A189" s="19">
        <f>IFERROR(__xludf.DUMMYFUNCTION("""COMPUTED_VALUE"""),46304.0)</f>
        <v>46304</v>
      </c>
      <c r="B189" s="19">
        <f>IFERROR(__xludf.DUMMYFUNCTION("""COMPUTED_VALUE"""),46314.0)</f>
        <v>46314</v>
      </c>
      <c r="C189" s="15">
        <f>IFERROR(__xludf.DUMMYFUNCTION("""COMPUTED_VALUE"""),5.0)</f>
        <v>5</v>
      </c>
      <c r="D189" s="15" t="str">
        <f>IFERROR(__xludf.DUMMYFUNCTION("""COMPUTED_VALUE"""),"SSA")</f>
        <v>SSA</v>
      </c>
      <c r="E189" s="15" t="str">
        <f>IFERROR(__xludf.DUMMYFUNCTION("""COMPUTED_VALUE"""),"LEONICE DE SOUZA CALDEIRA-ME(0001017497)")</f>
        <v>LEONICE DE SOUZA CALDEIRA-ME(0001017497)</v>
      </c>
      <c r="F189" s="15" t="str">
        <f>IFERROR(__xludf.DUMMYFUNCTION("""COMPUTED_VALUE"""),"TRIFIL")</f>
        <v>TRIFIL</v>
      </c>
      <c r="G189" s="15" t="str">
        <f>IFERROR(__xludf.DUMMYFUNCTION("""COMPUTED_VALUE"""),"266803419")</f>
        <v>266803419</v>
      </c>
      <c r="H189" s="15" t="str">
        <f>IFERROR(__xludf.DUMMYFUNCTION("""COMPUTED_VALUE"""),"1305614")</f>
        <v>1305614</v>
      </c>
      <c r="I189" s="15" t="str">
        <f>IFERROR(__xludf.DUMMYFUNCTION("""COMPUTED_VALUE"""),"8176852")</f>
        <v>8176852</v>
      </c>
      <c r="J189" s="15" t="str">
        <f>IFERROR(__xludf.DUMMYFUNCTION("""COMPUTED_VALUE"""),"CIF")</f>
        <v>CIF</v>
      </c>
      <c r="K189" s="15" t="str">
        <f>IFERROR(__xludf.DUMMYFUNCTION("""COMPUTED_VALUE"""),"FSA-1")</f>
        <v>FSA-1</v>
      </c>
      <c r="L189" s="15" t="str">
        <f>IFERROR(__xludf.DUMMYFUNCTION("""COMPUTED_VALUE"""),"AUTORIZADO")</f>
        <v>AUTORIZADO</v>
      </c>
      <c r="M189" s="15" t="str">
        <f>IFERROR(__xludf.DUMMYFUNCTION("""COMPUTED_VALUE"""),"NA ORIGEM")</f>
        <v>NA ORIGEM</v>
      </c>
      <c r="N189" s="15" t="str">
        <f>IFERROR(__xludf.DUMMYFUNCTION("""COMPUTED_VALUE"""),"Antes Prazo")</f>
        <v>Antes Prazo</v>
      </c>
      <c r="O189" s="15" t="str">
        <f>IFERROR(__xludf.DUMMYFUNCTION("""COMPUTED_VALUE"""),"B2B")</f>
        <v>B2B</v>
      </c>
      <c r="P189" s="16">
        <f>IFERROR(__xludf.DUMMYFUNCTION("""COMPUTED_VALUE"""),37.78)</f>
        <v>37.78</v>
      </c>
      <c r="Q189" s="15">
        <f>IFERROR(__xludf.DUMMYFUNCTION("""COMPUTED_VALUE"""),1.0)</f>
        <v>1</v>
      </c>
      <c r="R189" s="15" t="str">
        <f>IFERROR(__xludf.DUMMYFUNCTION("""COMPUTED_VALUE"""),"RODO")</f>
        <v>RODO</v>
      </c>
      <c r="S189" s="15" t="str">
        <f>IFERROR(__xludf.DUMMYFUNCTION("""COMPUTED_VALUE"""),"ITN")</f>
        <v>ITN</v>
      </c>
      <c r="T189" s="15" t="str">
        <f>IFERROR(__xludf.DUMMYFUNCTION("""COMPUTED_VALUE"""),"101")</f>
        <v>101</v>
      </c>
      <c r="U189" s="15" t="str">
        <f>IFERROR(__xludf.DUMMYFUNCTION("""COMPUTED_VALUE"""),"266803419 1305614 8176852 leonice de souza caldeira-me(0001017497) trifil ssa 101")</f>
        <v>266803419 1305614 8176852 leonice de souza caldeira-me(0001017497) trifil ssa 101</v>
      </c>
      <c r="V189" s="15" t="b">
        <f>IFERROR(__xludf.DUMMYFUNCTION("""COMPUTED_VALUE"""),FALSE)</f>
        <v>0</v>
      </c>
    </row>
    <row r="190">
      <c r="A190" s="19">
        <f>IFERROR(__xludf.DUMMYFUNCTION("""COMPUTED_VALUE"""),46304.0)</f>
        <v>46304</v>
      </c>
      <c r="B190" s="19">
        <f>IFERROR(__xludf.DUMMYFUNCTION("""COMPUTED_VALUE"""),46314.0)</f>
        <v>46314</v>
      </c>
      <c r="C190" s="15">
        <f>IFERROR(__xludf.DUMMYFUNCTION("""COMPUTED_VALUE"""),5.0)</f>
        <v>5</v>
      </c>
      <c r="D190" s="15" t="str">
        <f>IFERROR(__xludf.DUMMYFUNCTION("""COMPUTED_VALUE"""),"SSA")</f>
        <v>SSA</v>
      </c>
      <c r="E190" s="15" t="str">
        <f>IFERROR(__xludf.DUMMYFUNCTION("""COMPUTED_VALUE"""),"SUPER MODA")</f>
        <v>SUPER MODA</v>
      </c>
      <c r="F190" s="15" t="str">
        <f>IFERROR(__xludf.DUMMYFUNCTION("""COMPUTED_VALUE"""),"TRIFIL")</f>
        <v>TRIFIL</v>
      </c>
      <c r="G190" s="15" t="str">
        <f>IFERROR(__xludf.DUMMYFUNCTION("""COMPUTED_VALUE"""),"266803420")</f>
        <v>266803420</v>
      </c>
      <c r="H190" s="15" t="str">
        <f>IFERROR(__xludf.DUMMYFUNCTION("""COMPUTED_VALUE"""),"1305471")</f>
        <v>1305471</v>
      </c>
      <c r="I190" s="15" t="str">
        <f>IFERROR(__xludf.DUMMYFUNCTION("""COMPUTED_VALUE"""),"8176853")</f>
        <v>8176853</v>
      </c>
      <c r="J190" s="15" t="str">
        <f>IFERROR(__xludf.DUMMYFUNCTION("""COMPUTED_VALUE"""),"CIF")</f>
        <v>CIF</v>
      </c>
      <c r="K190" s="15" t="str">
        <f>IFERROR(__xludf.DUMMYFUNCTION("""COMPUTED_VALUE"""),"FSA-1")</f>
        <v>FSA-1</v>
      </c>
      <c r="L190" s="15" t="str">
        <f>IFERROR(__xludf.DUMMYFUNCTION("""COMPUTED_VALUE"""),"AUTORIZADO")</f>
        <v>AUTORIZADO</v>
      </c>
      <c r="M190" s="15" t="str">
        <f>IFERROR(__xludf.DUMMYFUNCTION("""COMPUTED_VALUE"""),"NA ORIGEM")</f>
        <v>NA ORIGEM</v>
      </c>
      <c r="N190" s="15" t="str">
        <f>IFERROR(__xludf.DUMMYFUNCTION("""COMPUTED_VALUE"""),"Antes Prazo")</f>
        <v>Antes Prazo</v>
      </c>
      <c r="O190" s="15" t="str">
        <f>IFERROR(__xludf.DUMMYFUNCTION("""COMPUTED_VALUE"""),"B2B")</f>
        <v>B2B</v>
      </c>
      <c r="P190" s="16">
        <f>IFERROR(__xludf.DUMMYFUNCTION("""COMPUTED_VALUE"""),33.82)</f>
        <v>33.82</v>
      </c>
      <c r="Q190" s="15">
        <f>IFERROR(__xludf.DUMMYFUNCTION("""COMPUTED_VALUE"""),1.0)</f>
        <v>1</v>
      </c>
      <c r="R190" s="15" t="str">
        <f>IFERROR(__xludf.DUMMYFUNCTION("""COMPUTED_VALUE"""),"RODO")</f>
        <v>RODO</v>
      </c>
      <c r="S190" s="15" t="str">
        <f>IFERROR(__xludf.DUMMYFUNCTION("""COMPUTED_VALUE"""),"ITN")</f>
        <v>ITN</v>
      </c>
      <c r="T190" s="15" t="str">
        <f>IFERROR(__xludf.DUMMYFUNCTION("""COMPUTED_VALUE"""),"103")</f>
        <v>103</v>
      </c>
      <c r="U190" s="15" t="str">
        <f>IFERROR(__xludf.DUMMYFUNCTION("""COMPUTED_VALUE"""),"266803420 1305471 8176853 super moda trifil ssa 103")</f>
        <v>266803420 1305471 8176853 super moda trifil ssa 103</v>
      </c>
      <c r="V190" s="15" t="b">
        <f>IFERROR(__xludf.DUMMYFUNCTION("""COMPUTED_VALUE"""),FALSE)</f>
        <v>0</v>
      </c>
    </row>
    <row r="191">
      <c r="A191" s="19">
        <f>IFERROR(__xludf.DUMMYFUNCTION("""COMPUTED_VALUE"""),46304.0)</f>
        <v>46304</v>
      </c>
      <c r="B191" s="19">
        <f>IFERROR(__xludf.DUMMYFUNCTION("""COMPUTED_VALUE"""),46314.0)</f>
        <v>46314</v>
      </c>
      <c r="C191" s="15">
        <f>IFERROR(__xludf.DUMMYFUNCTION("""COMPUTED_VALUE"""),5.0)</f>
        <v>5</v>
      </c>
      <c r="D191" s="15" t="str">
        <f>IFERROR(__xludf.DUMMYFUNCTION("""COMPUTED_VALUE"""),"FSA")</f>
        <v>FSA</v>
      </c>
      <c r="E191" s="15" t="str">
        <f>IFERROR(__xludf.DUMMYFUNCTION("""COMPUTED_VALUE"""),"MAGAZINE DOS KITS")</f>
        <v>MAGAZINE DOS KITS</v>
      </c>
      <c r="F191" s="15" t="str">
        <f>IFERROR(__xludf.DUMMYFUNCTION("""COMPUTED_VALUE"""),"TRIFIL")</f>
        <v>TRIFIL</v>
      </c>
      <c r="G191" s="15" t="str">
        <f>IFERROR(__xludf.DUMMYFUNCTION("""COMPUTED_VALUE"""),"266803421")</f>
        <v>266803421</v>
      </c>
      <c r="H191" s="15" t="str">
        <f>IFERROR(__xludf.DUMMYFUNCTION("""COMPUTED_VALUE"""),"1303613")</f>
        <v>1303613</v>
      </c>
      <c r="I191" s="15" t="str">
        <f>IFERROR(__xludf.DUMMYFUNCTION("""COMPUTED_VALUE"""),"8176783")</f>
        <v>8176783</v>
      </c>
      <c r="J191" s="15" t="str">
        <f>IFERROR(__xludf.DUMMYFUNCTION("""COMPUTED_VALUE"""),"CIF")</f>
        <v>CIF</v>
      </c>
      <c r="K191" s="15" t="str">
        <f>IFERROR(__xludf.DUMMYFUNCTION("""COMPUTED_VALUE"""),"(sem célula)")</f>
        <v>(sem célula)</v>
      </c>
      <c r="L191" s="15" t="str">
        <f>IFERROR(__xludf.DUMMYFUNCTION("""COMPUTED_VALUE"""),"AUTORIZADO")</f>
        <v>AUTORIZADO</v>
      </c>
      <c r="M191" s="15" t="str">
        <f>IFERROR(__xludf.DUMMYFUNCTION("""COMPUTED_VALUE"""),"NA ORIGEM")</f>
        <v>NA ORIGEM</v>
      </c>
      <c r="N191" s="15" t="str">
        <f>IFERROR(__xludf.DUMMYFUNCTION("""COMPUTED_VALUE"""),"Antes Prazo")</f>
        <v>Antes Prazo</v>
      </c>
      <c r="O191" s="15" t="str">
        <f>IFERROR(__xludf.DUMMYFUNCTION("""COMPUTED_VALUE"""),"B2B")</f>
        <v>B2B</v>
      </c>
      <c r="P191" s="16">
        <f>IFERROR(__xludf.DUMMYFUNCTION("""COMPUTED_VALUE"""),31.77)</f>
        <v>31.77</v>
      </c>
      <c r="Q191" s="15">
        <f>IFERROR(__xludf.DUMMYFUNCTION("""COMPUTED_VALUE"""),1.0)</f>
        <v>1</v>
      </c>
      <c r="R191" s="15" t="str">
        <f>IFERROR(__xludf.DUMMYFUNCTION("""COMPUTED_VALUE"""),"RODO")</f>
        <v>RODO</v>
      </c>
      <c r="S191" s="15" t="str">
        <f>IFERROR(__xludf.DUMMYFUNCTION("""COMPUTED_VALUE"""),"ITN")</f>
        <v>ITN</v>
      </c>
      <c r="T191" s="15" t="str">
        <f>IFERROR(__xludf.DUMMYFUNCTION("""COMPUTED_VALUE"""),"66")</f>
        <v>66</v>
      </c>
      <c r="U191" s="15" t="str">
        <f>IFERROR(__xludf.DUMMYFUNCTION("""COMPUTED_VALUE"""),"266803421 1303613 8176783 magazine dos kits trifil fsa 66")</f>
        <v>266803421 1303613 8176783 magazine dos kits trifil fsa 66</v>
      </c>
      <c r="V191" s="15" t="b">
        <f>IFERROR(__xludf.DUMMYFUNCTION("""COMPUTED_VALUE"""),FALSE)</f>
        <v>0</v>
      </c>
    </row>
    <row r="192">
      <c r="A192" s="19">
        <f>IFERROR(__xludf.DUMMYFUNCTION("""COMPUTED_VALUE"""),46304.0)</f>
        <v>46304</v>
      </c>
      <c r="B192" s="19">
        <f>IFERROR(__xludf.DUMMYFUNCTION("""COMPUTED_VALUE"""),46318.0)</f>
        <v>46318</v>
      </c>
      <c r="C192" s="15">
        <f>IFERROR(__xludf.DUMMYFUNCTION("""COMPUTED_VALUE"""),9.0)</f>
        <v>9</v>
      </c>
      <c r="D192" s="15" t="str">
        <f>IFERROR(__xludf.DUMMYFUNCTION("""COMPUTED_VALUE"""),"FSA")</f>
        <v>FSA</v>
      </c>
      <c r="E192" s="15" t="str">
        <f>IFERROR(__xludf.DUMMYFUNCTION("""COMPUTED_VALUE"""),"CASA DOS ENXOVAIS")</f>
        <v>CASA DOS ENXOVAIS</v>
      </c>
      <c r="F192" s="15" t="str">
        <f>IFERROR(__xludf.DUMMYFUNCTION("""COMPUTED_VALUE"""),"TRIFIL")</f>
        <v>TRIFIL</v>
      </c>
      <c r="G192" s="15" t="str">
        <f>IFERROR(__xludf.DUMMYFUNCTION("""COMPUTED_VALUE"""),"266803422")</f>
        <v>266803422</v>
      </c>
      <c r="H192" s="15" t="str">
        <f>IFERROR(__xludf.DUMMYFUNCTION("""COMPUTED_VALUE"""),"1305882")</f>
        <v>1305882</v>
      </c>
      <c r="I192" s="15" t="str">
        <f>IFERROR(__xludf.DUMMYFUNCTION("""COMPUTED_VALUE"""),"8176737")</f>
        <v>8176737</v>
      </c>
      <c r="J192" s="15" t="str">
        <f>IFERROR(__xludf.DUMMYFUNCTION("""COMPUTED_VALUE"""),"CIF")</f>
        <v>CIF</v>
      </c>
      <c r="K192" s="15" t="str">
        <f>IFERROR(__xludf.DUMMYFUNCTION("""COMPUTED_VALUE"""),"(sem célula)")</f>
        <v>(sem célula)</v>
      </c>
      <c r="L192" s="15" t="str">
        <f>IFERROR(__xludf.DUMMYFUNCTION("""COMPUTED_VALUE"""),"AUTORIZADO")</f>
        <v>AUTORIZADO</v>
      </c>
      <c r="M192" s="15" t="str">
        <f>IFERROR(__xludf.DUMMYFUNCTION("""COMPUTED_VALUE"""),"NA ORIGEM")</f>
        <v>NA ORIGEM</v>
      </c>
      <c r="N192" s="15" t="str">
        <f>IFERROR(__xludf.DUMMYFUNCTION("""COMPUTED_VALUE"""),"Antes Prazo")</f>
        <v>Antes Prazo</v>
      </c>
      <c r="O192" s="15" t="str">
        <f>IFERROR(__xludf.DUMMYFUNCTION("""COMPUTED_VALUE"""),"B2B")</f>
        <v>B2B</v>
      </c>
      <c r="P192" s="16">
        <f>IFERROR(__xludf.DUMMYFUNCTION("""COMPUTED_VALUE"""),37.78)</f>
        <v>37.78</v>
      </c>
      <c r="Q192" s="15">
        <f>IFERROR(__xludf.DUMMYFUNCTION("""COMPUTED_VALUE"""),2.0)</f>
        <v>2</v>
      </c>
      <c r="R192" s="15" t="str">
        <f>IFERROR(__xludf.DUMMYFUNCTION("""COMPUTED_VALUE"""),"RODO")</f>
        <v>RODO</v>
      </c>
      <c r="S192" s="15" t="str">
        <f>IFERROR(__xludf.DUMMYFUNCTION("""COMPUTED_VALUE"""),"ITN")</f>
        <v>ITN</v>
      </c>
      <c r="T192" s="15" t="str">
        <f>IFERROR(__xludf.DUMMYFUNCTION("""COMPUTED_VALUE"""),"208")</f>
        <v>208</v>
      </c>
      <c r="U192" s="15" t="str">
        <f>IFERROR(__xludf.DUMMYFUNCTION("""COMPUTED_VALUE"""),"266803422 1305882 8176737 casa dos enxovais trifil fsa 208")</f>
        <v>266803422 1305882 8176737 casa dos enxovais trifil fsa 208</v>
      </c>
      <c r="V192" s="15" t="b">
        <f>IFERROR(__xludf.DUMMYFUNCTION("""COMPUTED_VALUE"""),FALSE)</f>
        <v>0</v>
      </c>
    </row>
    <row r="193">
      <c r="A193" s="19">
        <f>IFERROR(__xludf.DUMMYFUNCTION("""COMPUTED_VALUE"""),46304.0)</f>
        <v>46304</v>
      </c>
      <c r="B193" s="19">
        <f>IFERROR(__xludf.DUMMYFUNCTION("""COMPUTED_VALUE"""),46322.0)</f>
        <v>46322</v>
      </c>
      <c r="C193" s="15">
        <f>IFERROR(__xludf.DUMMYFUNCTION("""COMPUTED_VALUE"""),11.0)</f>
        <v>11</v>
      </c>
      <c r="D193" s="15" t="str">
        <f>IFERROR(__xludf.DUMMYFUNCTION("""COMPUTED_VALUE"""),"VDC")</f>
        <v>VDC</v>
      </c>
      <c r="E193" s="15" t="str">
        <f>IFERROR(__xludf.DUMMYFUNCTION("""COMPUTED_VALUE"""),"GILMAR SOUSA DE OLIVEIRA 69242321591")</f>
        <v>GILMAR SOUSA DE OLIVEIRA 69242321591</v>
      </c>
      <c r="F193" s="15" t="str">
        <f>IFERROR(__xludf.DUMMYFUNCTION("""COMPUTED_VALUE"""),"TRIFIL")</f>
        <v>TRIFIL</v>
      </c>
      <c r="G193" s="15" t="str">
        <f>IFERROR(__xludf.DUMMYFUNCTION("""COMPUTED_VALUE"""),"266803423")</f>
        <v>266803423</v>
      </c>
      <c r="H193" s="15" t="str">
        <f>IFERROR(__xludf.DUMMYFUNCTION("""COMPUTED_VALUE"""),"1305838")</f>
        <v>1305838</v>
      </c>
      <c r="I193" s="15" t="str">
        <f>IFERROR(__xludf.DUMMYFUNCTION("""COMPUTED_VALUE"""),"8176907")</f>
        <v>8176907</v>
      </c>
      <c r="J193" s="15" t="str">
        <f>IFERROR(__xludf.DUMMYFUNCTION("""COMPUTED_VALUE"""),"CIF")</f>
        <v>CIF</v>
      </c>
      <c r="K193" s="15" t="str">
        <f>IFERROR(__xludf.DUMMYFUNCTION("""COMPUTED_VALUE"""),"FSA-1")</f>
        <v>FSA-1</v>
      </c>
      <c r="L193" s="15" t="str">
        <f>IFERROR(__xludf.DUMMYFUNCTION("""COMPUTED_VALUE"""),"AUTORIZADO")</f>
        <v>AUTORIZADO</v>
      </c>
      <c r="M193" s="15" t="str">
        <f>IFERROR(__xludf.DUMMYFUNCTION("""COMPUTED_VALUE"""),"NA ORIGEM")</f>
        <v>NA ORIGEM</v>
      </c>
      <c r="N193" s="15" t="str">
        <f>IFERROR(__xludf.DUMMYFUNCTION("""COMPUTED_VALUE"""),"Antes Prazo")</f>
        <v>Antes Prazo</v>
      </c>
      <c r="O193" s="15" t="str">
        <f>IFERROR(__xludf.DUMMYFUNCTION("""COMPUTED_VALUE"""),"B2B")</f>
        <v>B2B</v>
      </c>
      <c r="P193" s="16">
        <f>IFERROR(__xludf.DUMMYFUNCTION("""COMPUTED_VALUE"""),31.77)</f>
        <v>31.77</v>
      </c>
      <c r="Q193" s="15">
        <f>IFERROR(__xludf.DUMMYFUNCTION("""COMPUTED_VALUE"""),3.0)</f>
        <v>3</v>
      </c>
      <c r="R193" s="15" t="str">
        <f>IFERROR(__xludf.DUMMYFUNCTION("""COMPUTED_VALUE"""),"RODO")</f>
        <v>RODO</v>
      </c>
      <c r="S193" s="15" t="str">
        <f>IFERROR(__xludf.DUMMYFUNCTION("""COMPUTED_VALUE"""),"ITN")</f>
        <v>ITN</v>
      </c>
      <c r="T193" s="15" t="str">
        <f>IFERROR(__xludf.DUMMYFUNCTION("""COMPUTED_VALUE"""),"1")</f>
        <v>1</v>
      </c>
      <c r="U193" s="15" t="str">
        <f>IFERROR(__xludf.DUMMYFUNCTION("""COMPUTED_VALUE"""),"266803423 1305838 8176907 gilmar sousa de oliveira 69242321591 trifil vdc 1")</f>
        <v>266803423 1305838 8176907 gilmar sousa de oliveira 69242321591 trifil vdc 1</v>
      </c>
      <c r="V193" s="15" t="b">
        <f>IFERROR(__xludf.DUMMYFUNCTION("""COMPUTED_VALUE"""),FALSE)</f>
        <v>0</v>
      </c>
    </row>
    <row r="194">
      <c r="A194" s="19">
        <f>IFERROR(__xludf.DUMMYFUNCTION("""COMPUTED_VALUE"""),46304.0)</f>
        <v>46304</v>
      </c>
      <c r="B194" s="19">
        <f>IFERROR(__xludf.DUMMYFUNCTION("""COMPUTED_VALUE"""),46322.0)</f>
        <v>46322</v>
      </c>
      <c r="C194" s="15">
        <f>IFERROR(__xludf.DUMMYFUNCTION("""COMPUTED_VALUE"""),11.0)</f>
        <v>11</v>
      </c>
      <c r="D194" s="15" t="str">
        <f>IFERROR(__xludf.DUMMYFUNCTION("""COMPUTED_VALUE"""),"VDC")</f>
        <v>VDC</v>
      </c>
      <c r="E194" s="15" t="str">
        <f>IFERROR(__xludf.DUMMYFUNCTION("""COMPUTED_VALUE"""),"FENTANES REPRESENTACAO COMERCIAL LTDA")</f>
        <v>FENTANES REPRESENTACAO COMERCIAL LTDA</v>
      </c>
      <c r="F194" s="15" t="str">
        <f>IFERROR(__xludf.DUMMYFUNCTION("""COMPUTED_VALUE"""),"TRIFIL")</f>
        <v>TRIFIL</v>
      </c>
      <c r="G194" s="15" t="str">
        <f>IFERROR(__xludf.DUMMYFUNCTION("""COMPUTED_VALUE"""),"266803424")</f>
        <v>266803424</v>
      </c>
      <c r="H194" s="15" t="str">
        <f>IFERROR(__xludf.DUMMYFUNCTION("""COMPUTED_VALUE"""),"1305206")</f>
        <v>1305206</v>
      </c>
      <c r="I194" s="15" t="str">
        <f>IFERROR(__xludf.DUMMYFUNCTION("""COMPUTED_VALUE"""),"8176784")</f>
        <v>8176784</v>
      </c>
      <c r="J194" s="15" t="str">
        <f>IFERROR(__xludf.DUMMYFUNCTION("""COMPUTED_VALUE"""),"CIF")</f>
        <v>CIF</v>
      </c>
      <c r="K194" s="15" t="str">
        <f>IFERROR(__xludf.DUMMYFUNCTION("""COMPUTED_VALUE"""),"FSA-1")</f>
        <v>FSA-1</v>
      </c>
      <c r="L194" s="15" t="str">
        <f>IFERROR(__xludf.DUMMYFUNCTION("""COMPUTED_VALUE"""),"AUTORIZADO")</f>
        <v>AUTORIZADO</v>
      </c>
      <c r="M194" s="15" t="str">
        <f>IFERROR(__xludf.DUMMYFUNCTION("""COMPUTED_VALUE"""),"NA ORIGEM")</f>
        <v>NA ORIGEM</v>
      </c>
      <c r="N194" s="15" t="str">
        <f>IFERROR(__xludf.DUMMYFUNCTION("""COMPUTED_VALUE"""),"Antes Prazo")</f>
        <v>Antes Prazo</v>
      </c>
      <c r="O194" s="15" t="str">
        <f>IFERROR(__xludf.DUMMYFUNCTION("""COMPUTED_VALUE"""),"B2B")</f>
        <v>B2B</v>
      </c>
      <c r="P194" s="16">
        <f>IFERROR(__xludf.DUMMYFUNCTION("""COMPUTED_VALUE"""),31.77)</f>
        <v>31.77</v>
      </c>
      <c r="Q194" s="15">
        <f>IFERROR(__xludf.DUMMYFUNCTION("""COMPUTED_VALUE"""),1.0)</f>
        <v>1</v>
      </c>
      <c r="R194" s="15" t="str">
        <f>IFERROR(__xludf.DUMMYFUNCTION("""COMPUTED_VALUE"""),"RODO")</f>
        <v>RODO</v>
      </c>
      <c r="S194" s="15" t="str">
        <f>IFERROR(__xludf.DUMMYFUNCTION("""COMPUTED_VALUE"""),"ITN")</f>
        <v>ITN</v>
      </c>
      <c r="T194" s="15" t="str">
        <f>IFERROR(__xludf.DUMMYFUNCTION("""COMPUTED_VALUE"""),"1")</f>
        <v>1</v>
      </c>
      <c r="U194" s="15" t="str">
        <f>IFERROR(__xludf.DUMMYFUNCTION("""COMPUTED_VALUE"""),"266803424 1305206 8176784 fentanes representacao comercial ltda trifil vdc 1")</f>
        <v>266803424 1305206 8176784 fentanes representacao comercial ltda trifil vdc 1</v>
      </c>
      <c r="V194" s="15" t="b">
        <f>IFERROR(__xludf.DUMMYFUNCTION("""COMPUTED_VALUE"""),FALSE)</f>
        <v>0</v>
      </c>
    </row>
    <row r="195">
      <c r="A195" s="19">
        <f>IFERROR(__xludf.DUMMYFUNCTION("""COMPUTED_VALUE"""),46304.0)</f>
        <v>46304</v>
      </c>
      <c r="B195" s="19">
        <f>IFERROR(__xludf.DUMMYFUNCTION("""COMPUTED_VALUE"""),46316.0)</f>
        <v>46316</v>
      </c>
      <c r="C195" s="15">
        <f>IFERROR(__xludf.DUMMYFUNCTION("""COMPUTED_VALUE"""),7.0)</f>
        <v>7</v>
      </c>
      <c r="D195" s="15" t="str">
        <f>IFERROR(__xludf.DUMMYFUNCTION("""COMPUTED_VALUE"""),"STO")</f>
        <v>STO</v>
      </c>
      <c r="E195" s="15" t="str">
        <f>IFERROR(__xludf.DUMMYFUNCTION("""COMPUTED_VALUE"""),"PE DE MEIA COM DE ROUPAS LTDA")</f>
        <v>PE DE MEIA COM DE ROUPAS LTDA</v>
      </c>
      <c r="F195" s="15" t="str">
        <f>IFERROR(__xludf.DUMMYFUNCTION("""COMPUTED_VALUE"""),"TRIFIL")</f>
        <v>TRIFIL</v>
      </c>
      <c r="G195" s="15" t="str">
        <f>IFERROR(__xludf.DUMMYFUNCTION("""COMPUTED_VALUE"""),"266803425")</f>
        <v>266803425</v>
      </c>
      <c r="H195" s="15" t="str">
        <f>IFERROR(__xludf.DUMMYFUNCTION("""COMPUTED_VALUE"""),"1305864")</f>
        <v>1305864</v>
      </c>
      <c r="I195" s="15" t="str">
        <f>IFERROR(__xludf.DUMMYFUNCTION("""COMPUTED_VALUE"""),"8176723")</f>
        <v>8176723</v>
      </c>
      <c r="J195" s="15" t="str">
        <f>IFERROR(__xludf.DUMMYFUNCTION("""COMPUTED_VALUE"""),"CIF")</f>
        <v>CIF</v>
      </c>
      <c r="K195" s="15" t="str">
        <f>IFERROR(__xludf.DUMMYFUNCTION("""COMPUTED_VALUE"""),"SAO-1")</f>
        <v>SAO-1</v>
      </c>
      <c r="L195" s="15" t="str">
        <f>IFERROR(__xludf.DUMMYFUNCTION("""COMPUTED_VALUE"""),"AUTORIZADO")</f>
        <v>AUTORIZADO</v>
      </c>
      <c r="M195" s="15" t="str">
        <f>IFERROR(__xludf.DUMMYFUNCTION("""COMPUTED_VALUE"""),"NA ORIGEM")</f>
        <v>NA ORIGEM</v>
      </c>
      <c r="N195" s="15" t="str">
        <f>IFERROR(__xludf.DUMMYFUNCTION("""COMPUTED_VALUE"""),"Antes Prazo")</f>
        <v>Antes Prazo</v>
      </c>
      <c r="O195" s="15" t="str">
        <f>IFERROR(__xludf.DUMMYFUNCTION("""COMPUTED_VALUE"""),"B2B")</f>
        <v>B2B</v>
      </c>
      <c r="P195" s="16">
        <f>IFERROR(__xludf.DUMMYFUNCTION("""COMPUTED_VALUE"""),45.49)</f>
        <v>45.49</v>
      </c>
      <c r="Q195" s="15">
        <f>IFERROR(__xludf.DUMMYFUNCTION("""COMPUTED_VALUE"""),2.0)</f>
        <v>2</v>
      </c>
      <c r="R195" s="15" t="str">
        <f>IFERROR(__xludf.DUMMYFUNCTION("""COMPUTED_VALUE"""),"RODO")</f>
        <v>RODO</v>
      </c>
      <c r="S195" s="15" t="str">
        <f>IFERROR(__xludf.DUMMYFUNCTION("""COMPUTED_VALUE"""),"ITN")</f>
        <v>ITN</v>
      </c>
      <c r="T195" s="15" t="str">
        <f>IFERROR(__xludf.DUMMYFUNCTION("""COMPUTED_VALUE"""),"455")</f>
        <v>455</v>
      </c>
      <c r="U195" s="15" t="str">
        <f>IFERROR(__xludf.DUMMYFUNCTION("""COMPUTED_VALUE"""),"266803425 1305864 8176723 pe de meia com de roupas ltda trifil sto 455")</f>
        <v>266803425 1305864 8176723 pe de meia com de roupas ltda trifil sto 455</v>
      </c>
      <c r="V195" s="15" t="b">
        <f>IFERROR(__xludf.DUMMYFUNCTION("""COMPUTED_VALUE"""),FALSE)</f>
        <v>0</v>
      </c>
    </row>
    <row r="196">
      <c r="A196" s="19">
        <f>IFERROR(__xludf.DUMMYFUNCTION("""COMPUTED_VALUE"""),46304.0)</f>
        <v>46304</v>
      </c>
      <c r="B196" s="19">
        <f>IFERROR(__xludf.DUMMYFUNCTION("""COMPUTED_VALUE"""),46314.0)</f>
        <v>46314</v>
      </c>
      <c r="C196" s="15">
        <f>IFERROR(__xludf.DUMMYFUNCTION("""COMPUTED_VALUE"""),5.0)</f>
        <v>5</v>
      </c>
      <c r="D196" s="15" t="str">
        <f>IFERROR(__xludf.DUMMYFUNCTION("""COMPUTED_VALUE"""),"ITN")</f>
        <v>ITN</v>
      </c>
      <c r="E196" s="15" t="str">
        <f>IFERROR(__xludf.DUMMYFUNCTION("""COMPUTED_VALUE"""),"2ª PELE")</f>
        <v>2ª PELE</v>
      </c>
      <c r="F196" s="15" t="str">
        <f>IFERROR(__xludf.DUMMYFUNCTION("""COMPUTED_VALUE"""),"TRIFIL")</f>
        <v>TRIFIL</v>
      </c>
      <c r="G196" s="15" t="str">
        <f>IFERROR(__xludf.DUMMYFUNCTION("""COMPUTED_VALUE"""),"266803426")</f>
        <v>266803426</v>
      </c>
      <c r="H196" s="15" t="str">
        <f>IFERROR(__xludf.DUMMYFUNCTION("""COMPUTED_VALUE"""),"1305913")</f>
        <v>1305913</v>
      </c>
      <c r="I196" s="15" t="str">
        <f>IFERROR(__xludf.DUMMYFUNCTION("""COMPUTED_VALUE"""),"947")</f>
        <v>947</v>
      </c>
      <c r="J196" s="15" t="str">
        <f>IFERROR(__xludf.DUMMYFUNCTION("""COMPUTED_VALUE"""),"CIF")</f>
        <v>CIF</v>
      </c>
      <c r="K196" s="15" t="str">
        <f>IFERROR(__xludf.DUMMYFUNCTION("""COMPUTED_VALUE"""),"(sem célula)")</f>
        <v>(sem célula)</v>
      </c>
      <c r="L196" s="15" t="str">
        <f>IFERROR(__xludf.DUMMYFUNCTION("""COMPUTED_VALUE"""),"SEM CT-E")</f>
        <v>SEM CT-E</v>
      </c>
      <c r="M196" s="15" t="str">
        <f>IFERROR(__xludf.DUMMYFUNCTION("""COMPUTED_VALUE"""),"NA ORIGEM")</f>
        <v>NA ORIGEM</v>
      </c>
      <c r="N196" s="15" t="str">
        <f>IFERROR(__xludf.DUMMYFUNCTION("""COMPUTED_VALUE"""),"Antes Prazo")</f>
        <v>Antes Prazo</v>
      </c>
      <c r="O196" s="15" t="str">
        <f>IFERROR(__xludf.DUMMYFUNCTION("""COMPUTED_VALUE"""),"B2B")</f>
        <v>B2B</v>
      </c>
      <c r="P196" s="16">
        <f>IFERROR(__xludf.DUMMYFUNCTION("""COMPUTED_VALUE"""),34.87)</f>
        <v>34.87</v>
      </c>
      <c r="Q196" s="15">
        <f>IFERROR(__xludf.DUMMYFUNCTION("""COMPUTED_VALUE"""),1.0)</f>
        <v>1</v>
      </c>
      <c r="R196" s="15" t="str">
        <f>IFERROR(__xludf.DUMMYFUNCTION("""COMPUTED_VALUE"""),"RODO")</f>
        <v>RODO</v>
      </c>
      <c r="S196" s="15" t="str">
        <f>IFERROR(__xludf.DUMMYFUNCTION("""COMPUTED_VALUE"""),"ITN")</f>
        <v>ITN</v>
      </c>
      <c r="T196" s="15" t="str">
        <f>IFERROR(__xludf.DUMMYFUNCTION("""COMPUTED_VALUE"""),"1")</f>
        <v>1</v>
      </c>
      <c r="U196" s="15" t="str">
        <f>IFERROR(__xludf.DUMMYFUNCTION("""COMPUTED_VALUE"""),"266803426 1305913 947 2ª pele trifil itn 1")</f>
        <v>266803426 1305913 947 2ª pele trifil itn 1</v>
      </c>
      <c r="V196" s="15" t="b">
        <f>IFERROR(__xludf.DUMMYFUNCTION("""COMPUTED_VALUE"""),FALSE)</f>
        <v>0</v>
      </c>
    </row>
    <row r="197">
      <c r="A197" s="19">
        <f>IFERROR(__xludf.DUMMYFUNCTION("""COMPUTED_VALUE"""),46304.0)</f>
        <v>46304</v>
      </c>
      <c r="B197" s="19">
        <f>IFERROR(__xludf.DUMMYFUNCTION("""COMPUTED_VALUE"""),46316.0)</f>
        <v>46316</v>
      </c>
      <c r="C197" s="15">
        <f>IFERROR(__xludf.DUMMYFUNCTION("""COMPUTED_VALUE"""),7.0)</f>
        <v>7</v>
      </c>
      <c r="D197" s="15" t="str">
        <f>IFERROR(__xludf.DUMMYFUNCTION("""COMPUTED_VALUE"""),"STO")</f>
        <v>STO</v>
      </c>
      <c r="E197" s="15" t="str">
        <f>IFERROR(__xludf.DUMMYFUNCTION("""COMPUTED_VALUE"""),"LOANO CALZINI LTDA")</f>
        <v>LOANO CALZINI LTDA</v>
      </c>
      <c r="F197" s="15" t="str">
        <f>IFERROR(__xludf.DUMMYFUNCTION("""COMPUTED_VALUE"""),"TRIFIL")</f>
        <v>TRIFIL</v>
      </c>
      <c r="G197" s="15" t="str">
        <f>IFERROR(__xludf.DUMMYFUNCTION("""COMPUTED_VALUE"""),"266803427")</f>
        <v>266803427</v>
      </c>
      <c r="H197" s="15" t="str">
        <f>IFERROR(__xludf.DUMMYFUNCTION("""COMPUTED_VALUE"""),"1304847")</f>
        <v>1304847</v>
      </c>
      <c r="I197" s="15" t="str">
        <f>IFERROR(__xludf.DUMMYFUNCTION("""COMPUTED_VALUE"""),"8176785")</f>
        <v>8176785</v>
      </c>
      <c r="J197" s="15" t="str">
        <f>IFERROR(__xludf.DUMMYFUNCTION("""COMPUTED_VALUE"""),"CIF")</f>
        <v>CIF</v>
      </c>
      <c r="K197" s="15" t="str">
        <f>IFERROR(__xludf.DUMMYFUNCTION("""COMPUTED_VALUE"""),"SAO-1")</f>
        <v>SAO-1</v>
      </c>
      <c r="L197" s="15" t="str">
        <f>IFERROR(__xludf.DUMMYFUNCTION("""COMPUTED_VALUE"""),"AUTORIZADO")</f>
        <v>AUTORIZADO</v>
      </c>
      <c r="M197" s="15" t="str">
        <f>IFERROR(__xludf.DUMMYFUNCTION("""COMPUTED_VALUE"""),"NA ORIGEM")</f>
        <v>NA ORIGEM</v>
      </c>
      <c r="N197" s="15" t="str">
        <f>IFERROR(__xludf.DUMMYFUNCTION("""COMPUTED_VALUE"""),"Antes Prazo")</f>
        <v>Antes Prazo</v>
      </c>
      <c r="O197" s="15" t="str">
        <f>IFERROR(__xludf.DUMMYFUNCTION("""COMPUTED_VALUE"""),"B2B")</f>
        <v>B2B</v>
      </c>
      <c r="P197" s="16">
        <f>IFERROR(__xludf.DUMMYFUNCTION("""COMPUTED_VALUE"""),45.49)</f>
        <v>45.49</v>
      </c>
      <c r="Q197" s="15">
        <f>IFERROR(__xludf.DUMMYFUNCTION("""COMPUTED_VALUE"""),1.0)</f>
        <v>1</v>
      </c>
      <c r="R197" s="15" t="str">
        <f>IFERROR(__xludf.DUMMYFUNCTION("""COMPUTED_VALUE"""),"RODO")</f>
        <v>RODO</v>
      </c>
      <c r="S197" s="15" t="str">
        <f>IFERROR(__xludf.DUMMYFUNCTION("""COMPUTED_VALUE"""),"ITN")</f>
        <v>ITN</v>
      </c>
      <c r="T197" s="15" t="str">
        <f>IFERROR(__xludf.DUMMYFUNCTION("""COMPUTED_VALUE"""),"462")</f>
        <v>462</v>
      </c>
      <c r="U197" s="15" t="str">
        <f>IFERROR(__xludf.DUMMYFUNCTION("""COMPUTED_VALUE"""),"266803427 1304847 8176785 loano calzini ltda trifil sto 462")</f>
        <v>266803427 1304847 8176785 loano calzini ltda trifil sto 462</v>
      </c>
      <c r="V197" s="15" t="b">
        <f>IFERROR(__xludf.DUMMYFUNCTION("""COMPUTED_VALUE"""),FALSE)</f>
        <v>0</v>
      </c>
    </row>
    <row r="198">
      <c r="A198" s="19">
        <f>IFERROR(__xludf.DUMMYFUNCTION("""COMPUTED_VALUE"""),46304.0)</f>
        <v>46304</v>
      </c>
      <c r="B198" s="19">
        <f>IFERROR(__xludf.DUMMYFUNCTION("""COMPUTED_VALUE"""),46323.0)</f>
        <v>46323</v>
      </c>
      <c r="C198" s="15">
        <f>IFERROR(__xludf.DUMMYFUNCTION("""COMPUTED_VALUE"""),12.0)</f>
        <v>12</v>
      </c>
      <c r="D198" s="15" t="str">
        <f>IFERROR(__xludf.DUMMYFUNCTION("""COMPUTED_VALUE"""),"FSA")</f>
        <v>FSA</v>
      </c>
      <c r="E198" s="15" t="str">
        <f>IFERROR(__xludf.DUMMYFUNCTION("""COMPUTED_VALUE"""),"OPCAO MODAS")</f>
        <v>OPCAO MODAS</v>
      </c>
      <c r="F198" s="15" t="str">
        <f>IFERROR(__xludf.DUMMYFUNCTION("""COMPUTED_VALUE"""),"TRIFIL")</f>
        <v>TRIFIL</v>
      </c>
      <c r="G198" s="15" t="str">
        <f>IFERROR(__xludf.DUMMYFUNCTION("""COMPUTED_VALUE"""),"266803428")</f>
        <v>266803428</v>
      </c>
      <c r="H198" s="15" t="str">
        <f>IFERROR(__xludf.DUMMYFUNCTION("""COMPUTED_VALUE"""),"1305899")</f>
        <v>1305899</v>
      </c>
      <c r="I198" s="15" t="str">
        <f>IFERROR(__xludf.DUMMYFUNCTION("""COMPUTED_VALUE"""),"8176738")</f>
        <v>8176738</v>
      </c>
      <c r="J198" s="15" t="str">
        <f>IFERROR(__xludf.DUMMYFUNCTION("""COMPUTED_VALUE"""),"CIF")</f>
        <v>CIF</v>
      </c>
      <c r="K198" s="15" t="str">
        <f>IFERROR(__xludf.DUMMYFUNCTION("""COMPUTED_VALUE"""),"(sem célula)")</f>
        <v>(sem célula)</v>
      </c>
      <c r="L198" s="15" t="str">
        <f>IFERROR(__xludf.DUMMYFUNCTION("""COMPUTED_VALUE"""),"AUTORIZADO")</f>
        <v>AUTORIZADO</v>
      </c>
      <c r="M198" s="15" t="str">
        <f>IFERROR(__xludf.DUMMYFUNCTION("""COMPUTED_VALUE"""),"NA ORIGEM")</f>
        <v>NA ORIGEM</v>
      </c>
      <c r="N198" s="15" t="str">
        <f>IFERROR(__xludf.DUMMYFUNCTION("""COMPUTED_VALUE"""),"Antes Prazo")</f>
        <v>Antes Prazo</v>
      </c>
      <c r="O198" s="15" t="str">
        <f>IFERROR(__xludf.DUMMYFUNCTION("""COMPUTED_VALUE"""),"B2B")</f>
        <v>B2B</v>
      </c>
      <c r="P198" s="16">
        <f>IFERROR(__xludf.DUMMYFUNCTION("""COMPUTED_VALUE"""),37.78)</f>
        <v>37.78</v>
      </c>
      <c r="Q198" s="15">
        <f>IFERROR(__xludf.DUMMYFUNCTION("""COMPUTED_VALUE"""),2.0)</f>
        <v>2</v>
      </c>
      <c r="R198" s="15" t="str">
        <f>IFERROR(__xludf.DUMMYFUNCTION("""COMPUTED_VALUE"""),"RODO")</f>
        <v>RODO</v>
      </c>
      <c r="S198" s="15" t="str">
        <f>IFERROR(__xludf.DUMMYFUNCTION("""COMPUTED_VALUE"""),"ITN")</f>
        <v>ITN</v>
      </c>
      <c r="T198" s="15" t="str">
        <f>IFERROR(__xludf.DUMMYFUNCTION("""COMPUTED_VALUE"""),"204")</f>
        <v>204</v>
      </c>
      <c r="U198" s="15" t="str">
        <f>IFERROR(__xludf.DUMMYFUNCTION("""COMPUTED_VALUE"""),"266803428 1305899 8176738 opcao modas trifil fsa 204")</f>
        <v>266803428 1305899 8176738 opcao modas trifil fsa 204</v>
      </c>
      <c r="V198" s="15" t="b">
        <f>IFERROR(__xludf.DUMMYFUNCTION("""COMPUTED_VALUE"""),FALSE)</f>
        <v>0</v>
      </c>
    </row>
    <row r="199">
      <c r="A199" s="19">
        <f>IFERROR(__xludf.DUMMYFUNCTION("""COMPUTED_VALUE"""),46304.0)</f>
        <v>46304</v>
      </c>
      <c r="B199" s="19">
        <f>IFERROR(__xludf.DUMMYFUNCTION("""COMPUTED_VALUE"""),46316.0)</f>
        <v>46316</v>
      </c>
      <c r="C199" s="15">
        <f>IFERROR(__xludf.DUMMYFUNCTION("""COMPUTED_VALUE"""),7.0)</f>
        <v>7</v>
      </c>
      <c r="D199" s="15" t="str">
        <f>IFERROR(__xludf.DUMMYFUNCTION("""COMPUTED_VALUE"""),"STO")</f>
        <v>STO</v>
      </c>
      <c r="E199" s="15" t="str">
        <f>IFERROR(__xludf.DUMMYFUNCTION("""COMPUTED_VALUE"""),"MARIA ECI LEMOS 76166252404")</f>
        <v>MARIA ECI LEMOS 76166252404</v>
      </c>
      <c r="F199" s="15" t="str">
        <f>IFERROR(__xludf.DUMMYFUNCTION("""COMPUTED_VALUE"""),"TRIFIL")</f>
        <v>TRIFIL</v>
      </c>
      <c r="G199" s="15" t="str">
        <f>IFERROR(__xludf.DUMMYFUNCTION("""COMPUTED_VALUE"""),"266803429")</f>
        <v>266803429</v>
      </c>
      <c r="H199" s="15" t="str">
        <f>IFERROR(__xludf.DUMMYFUNCTION("""COMPUTED_VALUE"""),"1305666")</f>
        <v>1305666</v>
      </c>
      <c r="I199" s="15" t="str">
        <f>IFERROR(__xludf.DUMMYFUNCTION("""COMPUTED_VALUE"""),"8176880")</f>
        <v>8176880</v>
      </c>
      <c r="J199" s="15" t="str">
        <f>IFERROR(__xludf.DUMMYFUNCTION("""COMPUTED_VALUE"""),"CIF")</f>
        <v>CIF</v>
      </c>
      <c r="K199" s="15" t="str">
        <f>IFERROR(__xludf.DUMMYFUNCTION("""COMPUTED_VALUE"""),"(sem célula)")</f>
        <v>(sem célula)</v>
      </c>
      <c r="L199" s="15" t="str">
        <f>IFERROR(__xludf.DUMMYFUNCTION("""COMPUTED_VALUE"""),"AUTORIZADO")</f>
        <v>AUTORIZADO</v>
      </c>
      <c r="M199" s="15" t="str">
        <f>IFERROR(__xludf.DUMMYFUNCTION("""COMPUTED_VALUE"""),"NA ORIGEM")</f>
        <v>NA ORIGEM</v>
      </c>
      <c r="N199" s="15" t="str">
        <f>IFERROR(__xludf.DUMMYFUNCTION("""COMPUTED_VALUE"""),"Antes Prazo")</f>
        <v>Antes Prazo</v>
      </c>
      <c r="O199" s="15" t="str">
        <f>IFERROR(__xludf.DUMMYFUNCTION("""COMPUTED_VALUE"""),"B2B")</f>
        <v>B2B</v>
      </c>
      <c r="P199" s="16">
        <f>IFERROR(__xludf.DUMMYFUNCTION("""COMPUTED_VALUE"""),45.49)</f>
        <v>45.49</v>
      </c>
      <c r="Q199" s="15">
        <f>IFERROR(__xludf.DUMMYFUNCTION("""COMPUTED_VALUE"""),1.0)</f>
        <v>1</v>
      </c>
      <c r="R199" s="15" t="str">
        <f>IFERROR(__xludf.DUMMYFUNCTION("""COMPUTED_VALUE"""),"RODO")</f>
        <v>RODO</v>
      </c>
      <c r="S199" s="15" t="str">
        <f>IFERROR(__xludf.DUMMYFUNCTION("""COMPUTED_VALUE"""),"ITN")</f>
        <v>ITN</v>
      </c>
      <c r="T199" s="15" t="str">
        <f>IFERROR(__xludf.DUMMYFUNCTION("""COMPUTED_VALUE"""),"477")</f>
        <v>477</v>
      </c>
      <c r="U199" s="15" t="str">
        <f>IFERROR(__xludf.DUMMYFUNCTION("""COMPUTED_VALUE"""),"266803429 1305666 8176880 maria eci lemos 76166252404 trifil sto 477")</f>
        <v>266803429 1305666 8176880 maria eci lemos 76166252404 trifil sto 477</v>
      </c>
      <c r="V199" s="15" t="b">
        <f>IFERROR(__xludf.DUMMYFUNCTION("""COMPUTED_VALUE"""),FALSE)</f>
        <v>0</v>
      </c>
    </row>
    <row r="200">
      <c r="A200" s="19">
        <f>IFERROR(__xludf.DUMMYFUNCTION("""COMPUTED_VALUE"""),46304.0)</f>
        <v>46304</v>
      </c>
      <c r="B200" s="19">
        <f>IFERROR(__xludf.DUMMYFUNCTION("""COMPUTED_VALUE"""),46323.0)</f>
        <v>46323</v>
      </c>
      <c r="C200" s="15">
        <f>IFERROR(__xludf.DUMMYFUNCTION("""COMPUTED_VALUE"""),12.0)</f>
        <v>12</v>
      </c>
      <c r="D200" s="15" t="str">
        <f>IFERROR(__xludf.DUMMYFUNCTION("""COMPUTED_VALUE"""),"FSA")</f>
        <v>FSA</v>
      </c>
      <c r="E200" s="15" t="str">
        <f>IFERROR(__xludf.DUMMYFUNCTION("""COMPUTED_VALUE"""),"MARIA APARECIDA CARDOSO DA SILVA(0001029")</f>
        <v>MARIA APARECIDA CARDOSO DA SILVA(0001029</v>
      </c>
      <c r="F200" s="15" t="str">
        <f>IFERROR(__xludf.DUMMYFUNCTION("""COMPUTED_VALUE"""),"TRIFIL")</f>
        <v>TRIFIL</v>
      </c>
      <c r="G200" s="15" t="str">
        <f>IFERROR(__xludf.DUMMYFUNCTION("""COMPUTED_VALUE"""),"266803430")</f>
        <v>266803430</v>
      </c>
      <c r="H200" s="15" t="str">
        <f>IFERROR(__xludf.DUMMYFUNCTION("""COMPUTED_VALUE"""),"1304184")</f>
        <v>1304184</v>
      </c>
      <c r="I200" s="15" t="str">
        <f>IFERROR(__xludf.DUMMYFUNCTION("""COMPUTED_VALUE"""),"8177030")</f>
        <v>8177030</v>
      </c>
      <c r="J200" s="15" t="str">
        <f>IFERROR(__xludf.DUMMYFUNCTION("""COMPUTED_VALUE"""),"CIF")</f>
        <v>CIF</v>
      </c>
      <c r="K200" s="15" t="str">
        <f>IFERROR(__xludf.DUMMYFUNCTION("""COMPUTED_VALUE"""),"(sem célula)")</f>
        <v>(sem célula)</v>
      </c>
      <c r="L200" s="15" t="str">
        <f>IFERROR(__xludf.DUMMYFUNCTION("""COMPUTED_VALUE"""),"AUTORIZADO")</f>
        <v>AUTORIZADO</v>
      </c>
      <c r="M200" s="15" t="str">
        <f>IFERROR(__xludf.DUMMYFUNCTION("""COMPUTED_VALUE"""),"NA ORIGEM")</f>
        <v>NA ORIGEM</v>
      </c>
      <c r="N200" s="15" t="str">
        <f>IFERROR(__xludf.DUMMYFUNCTION("""COMPUTED_VALUE"""),"Antes Prazo")</f>
        <v>Antes Prazo</v>
      </c>
      <c r="O200" s="15" t="str">
        <f>IFERROR(__xludf.DUMMYFUNCTION("""COMPUTED_VALUE"""),"B2B")</f>
        <v>B2B</v>
      </c>
      <c r="P200" s="16">
        <f>IFERROR(__xludf.DUMMYFUNCTION("""COMPUTED_VALUE"""),37.78)</f>
        <v>37.78</v>
      </c>
      <c r="Q200" s="15">
        <f>IFERROR(__xludf.DUMMYFUNCTION("""COMPUTED_VALUE"""),1.0)</f>
        <v>1</v>
      </c>
      <c r="R200" s="15" t="str">
        <f>IFERROR(__xludf.DUMMYFUNCTION("""COMPUTED_VALUE"""),"RODO")</f>
        <v>RODO</v>
      </c>
      <c r="S200" s="15" t="str">
        <f>IFERROR(__xludf.DUMMYFUNCTION("""COMPUTED_VALUE"""),"ITN")</f>
        <v>ITN</v>
      </c>
      <c r="T200" s="15" t="str">
        <f>IFERROR(__xludf.DUMMYFUNCTION("""COMPUTED_VALUE"""),"215")</f>
        <v>215</v>
      </c>
      <c r="U200" s="15" t="str">
        <f>IFERROR(__xludf.DUMMYFUNCTION("""COMPUTED_VALUE"""),"266803430 1304184 8177030 maria aparecida cardoso da silva(0001029 trifil fsa 215")</f>
        <v>266803430 1304184 8177030 maria aparecida cardoso da silva(0001029 trifil fsa 215</v>
      </c>
      <c r="V200" s="15" t="b">
        <f>IFERROR(__xludf.DUMMYFUNCTION("""COMPUTED_VALUE"""),FALSE)</f>
        <v>0</v>
      </c>
    </row>
    <row r="201">
      <c r="A201" s="19">
        <f>IFERROR(__xludf.DUMMYFUNCTION("""COMPUTED_VALUE"""),46304.0)</f>
        <v>46304</v>
      </c>
      <c r="B201" s="19">
        <f>IFERROR(__xludf.DUMMYFUNCTION("""COMPUTED_VALUE"""),46318.0)</f>
        <v>46318</v>
      </c>
      <c r="C201" s="15">
        <f>IFERROR(__xludf.DUMMYFUNCTION("""COMPUTED_VALUE"""),9.0)</f>
        <v>9</v>
      </c>
      <c r="D201" s="15" t="str">
        <f>IFERROR(__xludf.DUMMYFUNCTION("""COMPUTED_VALUE"""),"PNZ")</f>
        <v>PNZ</v>
      </c>
      <c r="E201" s="15" t="str">
        <f>IFERROR(__xludf.DUMMYFUNCTION("""COMPUTED_VALUE"""),"O BARATEIRO JZR")</f>
        <v>O BARATEIRO JZR</v>
      </c>
      <c r="F201" s="15" t="str">
        <f>IFERROR(__xludf.DUMMYFUNCTION("""COMPUTED_VALUE"""),"TRIFIL")</f>
        <v>TRIFIL</v>
      </c>
      <c r="G201" s="15" t="str">
        <f>IFERROR(__xludf.DUMMYFUNCTION("""COMPUTED_VALUE"""),"266803431")</f>
        <v>266803431</v>
      </c>
      <c r="H201" s="15" t="str">
        <f>IFERROR(__xludf.DUMMYFUNCTION("""COMPUTED_VALUE"""),"1305031")</f>
        <v>1305031</v>
      </c>
      <c r="I201" s="15" t="str">
        <f>IFERROR(__xludf.DUMMYFUNCTION("""COMPUTED_VALUE"""),"8176908")</f>
        <v>8176908</v>
      </c>
      <c r="J201" s="15" t="str">
        <f>IFERROR(__xludf.DUMMYFUNCTION("""COMPUTED_VALUE"""),"CIF")</f>
        <v>CIF</v>
      </c>
      <c r="K201" s="15" t="str">
        <f>IFERROR(__xludf.DUMMYFUNCTION("""COMPUTED_VALUE"""),"FSA-1")</f>
        <v>FSA-1</v>
      </c>
      <c r="L201" s="15" t="str">
        <f>IFERROR(__xludf.DUMMYFUNCTION("""COMPUTED_VALUE"""),"AUTORIZADO")</f>
        <v>AUTORIZADO</v>
      </c>
      <c r="M201" s="15" t="str">
        <f>IFERROR(__xludf.DUMMYFUNCTION("""COMPUTED_VALUE"""),"NA ORIGEM")</f>
        <v>NA ORIGEM</v>
      </c>
      <c r="N201" s="15" t="str">
        <f>IFERROR(__xludf.DUMMYFUNCTION("""COMPUTED_VALUE"""),"Antes Prazo")</f>
        <v>Antes Prazo</v>
      </c>
      <c r="O201" s="15" t="str">
        <f>IFERROR(__xludf.DUMMYFUNCTION("""COMPUTED_VALUE"""),"B2B")</f>
        <v>B2B</v>
      </c>
      <c r="P201" s="16">
        <f>IFERROR(__xludf.DUMMYFUNCTION("""COMPUTED_VALUE"""),43.09)</f>
        <v>43.09</v>
      </c>
      <c r="Q201" s="15">
        <f>IFERROR(__xludf.DUMMYFUNCTION("""COMPUTED_VALUE"""),1.0)</f>
        <v>1</v>
      </c>
      <c r="R201" s="15" t="str">
        <f>IFERROR(__xludf.DUMMYFUNCTION("""COMPUTED_VALUE"""),"RODO")</f>
        <v>RODO</v>
      </c>
      <c r="S201" s="15" t="str">
        <f>IFERROR(__xludf.DUMMYFUNCTION("""COMPUTED_VALUE"""),"ITN")</f>
        <v>ITN</v>
      </c>
      <c r="T201" s="15" t="str">
        <f>IFERROR(__xludf.DUMMYFUNCTION("""COMPUTED_VALUE"""),"2")</f>
        <v>2</v>
      </c>
      <c r="U201" s="15" t="str">
        <f>IFERROR(__xludf.DUMMYFUNCTION("""COMPUTED_VALUE"""),"266803431 1305031 8176908 o barateiro jzr trifil pnz 2")</f>
        <v>266803431 1305031 8176908 o barateiro jzr trifil pnz 2</v>
      </c>
      <c r="V201" s="15" t="b">
        <f>IFERROR(__xludf.DUMMYFUNCTION("""COMPUTED_VALUE"""),FALSE)</f>
        <v>0</v>
      </c>
    </row>
    <row r="202">
      <c r="A202" s="19">
        <f>IFERROR(__xludf.DUMMYFUNCTION("""COMPUTED_VALUE"""),46304.0)</f>
        <v>46304</v>
      </c>
      <c r="B202" s="19">
        <f>IFERROR(__xludf.DUMMYFUNCTION("""COMPUTED_VALUE"""),46329.0)</f>
        <v>46329</v>
      </c>
      <c r="C202" s="15">
        <f>IFERROR(__xludf.DUMMYFUNCTION("""COMPUTED_VALUE"""),15.0)</f>
        <v>15</v>
      </c>
      <c r="D202" s="15" t="str">
        <f>IFERROR(__xludf.DUMMYFUNCTION("""COMPUTED_VALUE"""),"JZB")</f>
        <v>JZB</v>
      </c>
      <c r="E202" s="15" t="str">
        <f>IFERROR(__xludf.DUMMYFUNCTION("""COMPUTED_VALUE"""),"62.188.825 GEISILENE DE ARAUJO FERR")</f>
        <v>62.188.825 GEISILENE DE ARAUJO FERR</v>
      </c>
      <c r="F202" s="15" t="str">
        <f>IFERROR(__xludf.DUMMYFUNCTION("""COMPUTED_VALUE"""),"TRIFIL")</f>
        <v>TRIFIL</v>
      </c>
      <c r="G202" s="15" t="str">
        <f>IFERROR(__xludf.DUMMYFUNCTION("""COMPUTED_VALUE"""),"266803432")</f>
        <v>266803432</v>
      </c>
      <c r="H202" s="15" t="str">
        <f>IFERROR(__xludf.DUMMYFUNCTION("""COMPUTED_VALUE"""),"1306009")</f>
        <v>1306009</v>
      </c>
      <c r="I202" s="15" t="str">
        <f>IFERROR(__xludf.DUMMYFUNCTION("""COMPUTED_VALUE"""),"8176982")</f>
        <v>8176982</v>
      </c>
      <c r="J202" s="15" t="str">
        <f>IFERROR(__xludf.DUMMYFUNCTION("""COMPUTED_VALUE"""),"CIF")</f>
        <v>CIF</v>
      </c>
      <c r="K202" s="15" t="str">
        <f>IFERROR(__xludf.DUMMYFUNCTION("""COMPUTED_VALUE"""),"FSA-1")</f>
        <v>FSA-1</v>
      </c>
      <c r="L202" s="15" t="str">
        <f>IFERROR(__xludf.DUMMYFUNCTION("""COMPUTED_VALUE"""),"AUTORIZADO")</f>
        <v>AUTORIZADO</v>
      </c>
      <c r="M202" s="15" t="str">
        <f>IFERROR(__xludf.DUMMYFUNCTION("""COMPUTED_VALUE"""),"NA ORIGEM")</f>
        <v>NA ORIGEM</v>
      </c>
      <c r="N202" s="15" t="str">
        <f>IFERROR(__xludf.DUMMYFUNCTION("""COMPUTED_VALUE"""),"Antes Prazo")</f>
        <v>Antes Prazo</v>
      </c>
      <c r="O202" s="15" t="str">
        <f>IFERROR(__xludf.DUMMYFUNCTION("""COMPUTED_VALUE"""),"B2B")</f>
        <v>B2B</v>
      </c>
      <c r="P202" s="16">
        <f>IFERROR(__xludf.DUMMYFUNCTION("""COMPUTED_VALUE"""),37.78)</f>
        <v>37.78</v>
      </c>
      <c r="Q202" s="15">
        <f>IFERROR(__xludf.DUMMYFUNCTION("""COMPUTED_VALUE"""),2.0)</f>
        <v>2</v>
      </c>
      <c r="R202" s="15" t="str">
        <f>IFERROR(__xludf.DUMMYFUNCTION("""COMPUTED_VALUE"""),"RODO")</f>
        <v>RODO</v>
      </c>
      <c r="S202" s="15" t="str">
        <f>IFERROR(__xludf.DUMMYFUNCTION("""COMPUTED_VALUE"""),"ITN")</f>
        <v>ITN</v>
      </c>
      <c r="T202" s="15" t="str">
        <f>IFERROR(__xludf.DUMMYFUNCTION("""COMPUTED_VALUE"""),"111")</f>
        <v>111</v>
      </c>
      <c r="U202" s="15" t="str">
        <f>IFERROR(__xludf.DUMMYFUNCTION("""COMPUTED_VALUE"""),"266803432 1306009 8176982 62.188.825 geisilene de araujo ferr trifil jzb 111")</f>
        <v>266803432 1306009 8176982 62.188.825 geisilene de araujo ferr trifil jzb 111</v>
      </c>
      <c r="V202" s="15" t="b">
        <f>IFERROR(__xludf.DUMMYFUNCTION("""COMPUTED_VALUE"""),FALSE)</f>
        <v>0</v>
      </c>
    </row>
    <row r="203">
      <c r="A203" s="19">
        <f>IFERROR(__xludf.DUMMYFUNCTION("""COMPUTED_VALUE"""),46304.0)</f>
        <v>46304</v>
      </c>
      <c r="B203" s="19">
        <f>IFERROR(__xludf.DUMMYFUNCTION("""COMPUTED_VALUE"""),46315.0)</f>
        <v>46315</v>
      </c>
      <c r="C203" s="15">
        <f>IFERROR(__xludf.DUMMYFUNCTION("""COMPUTED_VALUE"""),6.0)</f>
        <v>6</v>
      </c>
      <c r="D203" s="15" t="str">
        <f>IFERROR(__xludf.DUMMYFUNCTION("""COMPUTED_VALUE"""),"AJU")</f>
        <v>AJU</v>
      </c>
      <c r="E203" s="15" t="str">
        <f>IFERROR(__xludf.DUMMYFUNCTION("""COMPUTED_VALUE"""),"BASICO CHIC")</f>
        <v>BASICO CHIC</v>
      </c>
      <c r="F203" s="15" t="str">
        <f>IFERROR(__xludf.DUMMYFUNCTION("""COMPUTED_VALUE"""),"TRIFIL")</f>
        <v>TRIFIL</v>
      </c>
      <c r="G203" s="15" t="str">
        <f>IFERROR(__xludf.DUMMYFUNCTION("""COMPUTED_VALUE"""),"266803433")</f>
        <v>266803433</v>
      </c>
      <c r="H203" s="15" t="str">
        <f>IFERROR(__xludf.DUMMYFUNCTION("""COMPUTED_VALUE"""),"1305235, 1305463")</f>
        <v>1305235, 1305463</v>
      </c>
      <c r="I203" s="15" t="str">
        <f>IFERROR(__xludf.DUMMYFUNCTION("""COMPUTED_VALUE"""),"8176909")</f>
        <v>8176909</v>
      </c>
      <c r="J203" s="15" t="str">
        <f>IFERROR(__xludf.DUMMYFUNCTION("""COMPUTED_VALUE"""),"CIF")</f>
        <v>CIF</v>
      </c>
      <c r="K203" s="15" t="str">
        <f>IFERROR(__xludf.DUMMYFUNCTION("""COMPUTED_VALUE"""),"FSA-1")</f>
        <v>FSA-1</v>
      </c>
      <c r="L203" s="15" t="str">
        <f>IFERROR(__xludf.DUMMYFUNCTION("""COMPUTED_VALUE"""),"AUTORIZADO")</f>
        <v>AUTORIZADO</v>
      </c>
      <c r="M203" s="15" t="str">
        <f>IFERROR(__xludf.DUMMYFUNCTION("""COMPUTED_VALUE"""),"NA ORIGEM")</f>
        <v>NA ORIGEM</v>
      </c>
      <c r="N203" s="15" t="str">
        <f>IFERROR(__xludf.DUMMYFUNCTION("""COMPUTED_VALUE"""),"Antes Prazo")</f>
        <v>Antes Prazo</v>
      </c>
      <c r="O203" s="15" t="str">
        <f>IFERROR(__xludf.DUMMYFUNCTION("""COMPUTED_VALUE"""),"B2B")</f>
        <v>B2B</v>
      </c>
      <c r="P203" s="16">
        <f>IFERROR(__xludf.DUMMYFUNCTION("""COMPUTED_VALUE"""),71.87)</f>
        <v>71.87</v>
      </c>
      <c r="Q203" s="15">
        <f>IFERROR(__xludf.DUMMYFUNCTION("""COMPUTED_VALUE"""),2.0)</f>
        <v>2</v>
      </c>
      <c r="R203" s="15" t="str">
        <f>IFERROR(__xludf.DUMMYFUNCTION("""COMPUTED_VALUE"""),"RODO")</f>
        <v>RODO</v>
      </c>
      <c r="S203" s="15" t="str">
        <f>IFERROR(__xludf.DUMMYFUNCTION("""COMPUTED_VALUE"""),"ITN")</f>
        <v>ITN</v>
      </c>
      <c r="T203" s="15" t="str">
        <f>IFERROR(__xludf.DUMMYFUNCTION("""COMPUTED_VALUE"""),"1")</f>
        <v>1</v>
      </c>
      <c r="U203" s="15" t="str">
        <f>IFERROR(__xludf.DUMMYFUNCTION("""COMPUTED_VALUE"""),"266803433 1305235, 1305463 8176909 basico chic trifil aju 1")</f>
        <v>266803433 1305235, 1305463 8176909 basico chic trifil aju 1</v>
      </c>
      <c r="V203" s="15" t="b">
        <f>IFERROR(__xludf.DUMMYFUNCTION("""COMPUTED_VALUE"""),FALSE)</f>
        <v>0</v>
      </c>
    </row>
    <row r="204">
      <c r="A204" s="19">
        <f>IFERROR(__xludf.DUMMYFUNCTION("""COMPUTED_VALUE"""),46304.0)</f>
        <v>46304</v>
      </c>
      <c r="B204" s="19">
        <f>IFERROR(__xludf.DUMMYFUNCTION("""COMPUTED_VALUE"""),46315.0)</f>
        <v>46315</v>
      </c>
      <c r="C204" s="15">
        <f>IFERROR(__xludf.DUMMYFUNCTION("""COMPUTED_VALUE"""),6.0)</f>
        <v>6</v>
      </c>
      <c r="D204" s="15" t="str">
        <f>IFERROR(__xludf.DUMMYFUNCTION("""COMPUTED_VALUE"""),"AJU")</f>
        <v>AJU</v>
      </c>
      <c r="E204" s="15" t="str">
        <f>IFERROR(__xludf.DUMMYFUNCTION("""COMPUTED_VALUE"""),"SUPERMODA")</f>
        <v>SUPERMODA</v>
      </c>
      <c r="F204" s="15" t="str">
        <f>IFERROR(__xludf.DUMMYFUNCTION("""COMPUTED_VALUE"""),"TRIFIL")</f>
        <v>TRIFIL</v>
      </c>
      <c r="G204" s="15" t="str">
        <f>IFERROR(__xludf.DUMMYFUNCTION("""COMPUTED_VALUE"""),"266803434")</f>
        <v>266803434</v>
      </c>
      <c r="H204" s="15" t="str">
        <f>IFERROR(__xludf.DUMMYFUNCTION("""COMPUTED_VALUE"""),"1305436")</f>
        <v>1305436</v>
      </c>
      <c r="I204" s="15" t="str">
        <f>IFERROR(__xludf.DUMMYFUNCTION("""COMPUTED_VALUE"""),"8176943")</f>
        <v>8176943</v>
      </c>
      <c r="J204" s="15" t="str">
        <f>IFERROR(__xludf.DUMMYFUNCTION("""COMPUTED_VALUE"""),"CIF")</f>
        <v>CIF</v>
      </c>
      <c r="K204" s="15" t="str">
        <f>IFERROR(__xludf.DUMMYFUNCTION("""COMPUTED_VALUE"""),"FSA-1")</f>
        <v>FSA-1</v>
      </c>
      <c r="L204" s="15" t="str">
        <f>IFERROR(__xludf.DUMMYFUNCTION("""COMPUTED_VALUE"""),"AUTORIZADO")</f>
        <v>AUTORIZADO</v>
      </c>
      <c r="M204" s="15" t="str">
        <f>IFERROR(__xludf.DUMMYFUNCTION("""COMPUTED_VALUE"""),"NA ORIGEM")</f>
        <v>NA ORIGEM</v>
      </c>
      <c r="N204" s="15" t="str">
        <f>IFERROR(__xludf.DUMMYFUNCTION("""COMPUTED_VALUE"""),"Antes Prazo")</f>
        <v>Antes Prazo</v>
      </c>
      <c r="O204" s="15" t="str">
        <f>IFERROR(__xludf.DUMMYFUNCTION("""COMPUTED_VALUE"""),"B2B")</f>
        <v>B2B</v>
      </c>
      <c r="P204" s="16">
        <f>IFERROR(__xludf.DUMMYFUNCTION("""COMPUTED_VALUE"""),71.87)</f>
        <v>71.87</v>
      </c>
      <c r="Q204" s="15">
        <f>IFERROR(__xludf.DUMMYFUNCTION("""COMPUTED_VALUE"""),1.0)</f>
        <v>1</v>
      </c>
      <c r="R204" s="15" t="str">
        <f>IFERROR(__xludf.DUMMYFUNCTION("""COMPUTED_VALUE"""),"RODO")</f>
        <v>RODO</v>
      </c>
      <c r="S204" s="15" t="str">
        <f>IFERROR(__xludf.DUMMYFUNCTION("""COMPUTED_VALUE"""),"ITN")</f>
        <v>ITN</v>
      </c>
      <c r="T204" s="15" t="str">
        <f>IFERROR(__xludf.DUMMYFUNCTION("""COMPUTED_VALUE"""),"1")</f>
        <v>1</v>
      </c>
      <c r="U204" s="15" t="str">
        <f>IFERROR(__xludf.DUMMYFUNCTION("""COMPUTED_VALUE"""),"266803434 1305436 8176943 supermoda trifil aju 1")</f>
        <v>266803434 1305436 8176943 supermoda trifil aju 1</v>
      </c>
      <c r="V204" s="15" t="b">
        <f>IFERROR(__xludf.DUMMYFUNCTION("""COMPUTED_VALUE"""),FALSE)</f>
        <v>0</v>
      </c>
    </row>
    <row r="205">
      <c r="A205" s="19">
        <f>IFERROR(__xludf.DUMMYFUNCTION("""COMPUTED_VALUE"""),46304.0)</f>
        <v>46304</v>
      </c>
      <c r="B205" s="19">
        <f>IFERROR(__xludf.DUMMYFUNCTION("""COMPUTED_VALUE"""),46315.0)</f>
        <v>46315</v>
      </c>
      <c r="C205" s="15">
        <f>IFERROR(__xludf.DUMMYFUNCTION("""COMPUTED_VALUE"""),6.0)</f>
        <v>6</v>
      </c>
      <c r="D205" s="15" t="str">
        <f>IFERROR(__xludf.DUMMYFUNCTION("""COMPUTED_VALUE"""),"AJU")</f>
        <v>AJU</v>
      </c>
      <c r="E205" s="15" t="str">
        <f>IFERROR(__xludf.DUMMYFUNCTION("""COMPUTED_VALUE"""),"CRIANCA E CIA")</f>
        <v>CRIANCA E CIA</v>
      </c>
      <c r="F205" s="15" t="str">
        <f>IFERROR(__xludf.DUMMYFUNCTION("""COMPUTED_VALUE"""),"TRIFIL")</f>
        <v>TRIFIL</v>
      </c>
      <c r="G205" s="15" t="str">
        <f>IFERROR(__xludf.DUMMYFUNCTION("""COMPUTED_VALUE"""),"266803435")</f>
        <v>266803435</v>
      </c>
      <c r="H205" s="15" t="str">
        <f>IFERROR(__xludf.DUMMYFUNCTION("""COMPUTED_VALUE"""),"1305479")</f>
        <v>1305479</v>
      </c>
      <c r="I205" s="15" t="str">
        <f>IFERROR(__xludf.DUMMYFUNCTION("""COMPUTED_VALUE"""),"8176910")</f>
        <v>8176910</v>
      </c>
      <c r="J205" s="15" t="str">
        <f>IFERROR(__xludf.DUMMYFUNCTION("""COMPUTED_VALUE"""),"CIF")</f>
        <v>CIF</v>
      </c>
      <c r="K205" s="15" t="str">
        <f>IFERROR(__xludf.DUMMYFUNCTION("""COMPUTED_VALUE"""),"FSA-1")</f>
        <v>FSA-1</v>
      </c>
      <c r="L205" s="15" t="str">
        <f>IFERROR(__xludf.DUMMYFUNCTION("""COMPUTED_VALUE"""),"AUTORIZADO")</f>
        <v>AUTORIZADO</v>
      </c>
      <c r="M205" s="15" t="str">
        <f>IFERROR(__xludf.DUMMYFUNCTION("""COMPUTED_VALUE"""),"NA ORIGEM")</f>
        <v>NA ORIGEM</v>
      </c>
      <c r="N205" s="15" t="str">
        <f>IFERROR(__xludf.DUMMYFUNCTION("""COMPUTED_VALUE"""),"Antes Prazo")</f>
        <v>Antes Prazo</v>
      </c>
      <c r="O205" s="15" t="str">
        <f>IFERROR(__xludf.DUMMYFUNCTION("""COMPUTED_VALUE"""),"B2B")</f>
        <v>B2B</v>
      </c>
      <c r="P205" s="16">
        <f>IFERROR(__xludf.DUMMYFUNCTION("""COMPUTED_VALUE"""),71.87)</f>
        <v>71.87</v>
      </c>
      <c r="Q205" s="15">
        <f>IFERROR(__xludf.DUMMYFUNCTION("""COMPUTED_VALUE"""),1.0)</f>
        <v>1</v>
      </c>
      <c r="R205" s="15" t="str">
        <f>IFERROR(__xludf.DUMMYFUNCTION("""COMPUTED_VALUE"""),"RODO")</f>
        <v>RODO</v>
      </c>
      <c r="S205" s="15" t="str">
        <f>IFERROR(__xludf.DUMMYFUNCTION("""COMPUTED_VALUE"""),"ITN")</f>
        <v>ITN</v>
      </c>
      <c r="T205" s="15" t="str">
        <f>IFERROR(__xludf.DUMMYFUNCTION("""COMPUTED_VALUE"""),"1")</f>
        <v>1</v>
      </c>
      <c r="U205" s="15" t="str">
        <f>IFERROR(__xludf.DUMMYFUNCTION("""COMPUTED_VALUE"""),"266803435 1305479 8176910 crianca e cia trifil aju 1")</f>
        <v>266803435 1305479 8176910 crianca e cia trifil aju 1</v>
      </c>
      <c r="V205" s="15" t="b">
        <f>IFERROR(__xludf.DUMMYFUNCTION("""COMPUTED_VALUE"""),FALSE)</f>
        <v>0</v>
      </c>
    </row>
    <row r="206">
      <c r="A206" s="19">
        <f>IFERROR(__xludf.DUMMYFUNCTION("""COMPUTED_VALUE"""),46304.0)</f>
        <v>46304</v>
      </c>
      <c r="B206" s="19">
        <f>IFERROR(__xludf.DUMMYFUNCTION("""COMPUTED_VALUE"""),46315.0)</f>
        <v>46315</v>
      </c>
      <c r="C206" s="15">
        <f>IFERROR(__xludf.DUMMYFUNCTION("""COMPUTED_VALUE"""),6.0)</f>
        <v>6</v>
      </c>
      <c r="D206" s="15" t="str">
        <f>IFERROR(__xludf.DUMMYFUNCTION("""COMPUTED_VALUE"""),"AJU")</f>
        <v>AJU</v>
      </c>
      <c r="E206" s="15" t="str">
        <f>IFERROR(__xludf.DUMMYFUNCTION("""COMPUTED_VALUE"""),"ARP COMERCIO DE CONFECCOES LTDA -")</f>
        <v>ARP COMERCIO DE CONFECCOES LTDA -</v>
      </c>
      <c r="F206" s="15" t="str">
        <f>IFERROR(__xludf.DUMMYFUNCTION("""COMPUTED_VALUE"""),"TRIFIL")</f>
        <v>TRIFIL</v>
      </c>
      <c r="G206" s="15" t="str">
        <f>IFERROR(__xludf.DUMMYFUNCTION("""COMPUTED_VALUE"""),"266803436")</f>
        <v>266803436</v>
      </c>
      <c r="H206" s="15" t="str">
        <f>IFERROR(__xludf.DUMMYFUNCTION("""COMPUTED_VALUE"""),"1304850")</f>
        <v>1304850</v>
      </c>
      <c r="I206" s="15" t="str">
        <f>IFERROR(__xludf.DUMMYFUNCTION("""COMPUTED_VALUE"""),"8177060")</f>
        <v>8177060</v>
      </c>
      <c r="J206" s="15" t="str">
        <f>IFERROR(__xludf.DUMMYFUNCTION("""COMPUTED_VALUE"""),"CIF")</f>
        <v>CIF</v>
      </c>
      <c r="K206" s="15" t="str">
        <f>IFERROR(__xludf.DUMMYFUNCTION("""COMPUTED_VALUE"""),"FSA-1")</f>
        <v>FSA-1</v>
      </c>
      <c r="L206" s="15" t="str">
        <f>IFERROR(__xludf.DUMMYFUNCTION("""COMPUTED_VALUE"""),"AUTORIZADO")</f>
        <v>AUTORIZADO</v>
      </c>
      <c r="M206" s="15" t="str">
        <f>IFERROR(__xludf.DUMMYFUNCTION("""COMPUTED_VALUE"""),"NA ORIGEM")</f>
        <v>NA ORIGEM</v>
      </c>
      <c r="N206" s="15" t="str">
        <f>IFERROR(__xludf.DUMMYFUNCTION("""COMPUTED_VALUE"""),"Antes Prazo")</f>
        <v>Antes Prazo</v>
      </c>
      <c r="O206" s="15" t="str">
        <f>IFERROR(__xludf.DUMMYFUNCTION("""COMPUTED_VALUE"""),"B2B")</f>
        <v>B2B</v>
      </c>
      <c r="P206" s="16">
        <f>IFERROR(__xludf.DUMMYFUNCTION("""COMPUTED_VALUE"""),71.87)</f>
        <v>71.87</v>
      </c>
      <c r="Q206" s="15">
        <f>IFERROR(__xludf.DUMMYFUNCTION("""COMPUTED_VALUE"""),1.0)</f>
        <v>1</v>
      </c>
      <c r="R206" s="15" t="str">
        <f>IFERROR(__xludf.DUMMYFUNCTION("""COMPUTED_VALUE"""),"RODO")</f>
        <v>RODO</v>
      </c>
      <c r="S206" s="15" t="str">
        <f>IFERROR(__xludf.DUMMYFUNCTION("""COMPUTED_VALUE"""),"ITN")</f>
        <v>ITN</v>
      </c>
      <c r="T206" s="15" t="str">
        <f>IFERROR(__xludf.DUMMYFUNCTION("""COMPUTED_VALUE"""),"6")</f>
        <v>6</v>
      </c>
      <c r="U206" s="15" t="str">
        <f>IFERROR(__xludf.DUMMYFUNCTION("""COMPUTED_VALUE"""),"266803436 1304850 8177060 arp comercio de confeccoes ltda - trifil aju 6")</f>
        <v>266803436 1304850 8177060 arp comercio de confeccoes ltda - trifil aju 6</v>
      </c>
      <c r="V206" s="15" t="b">
        <f>IFERROR(__xludf.DUMMYFUNCTION("""COMPUTED_VALUE"""),FALSE)</f>
        <v>0</v>
      </c>
    </row>
    <row r="207">
      <c r="A207" s="19">
        <f>IFERROR(__xludf.DUMMYFUNCTION("""COMPUTED_VALUE"""),46304.0)</f>
        <v>46304</v>
      </c>
      <c r="B207" s="19">
        <f>IFERROR(__xludf.DUMMYFUNCTION("""COMPUTED_VALUE"""),46316.0)</f>
        <v>46316</v>
      </c>
      <c r="C207" s="15">
        <f>IFERROR(__xludf.DUMMYFUNCTION("""COMPUTED_VALUE"""),7.0)</f>
        <v>7</v>
      </c>
      <c r="D207" s="15" t="str">
        <f>IFERROR(__xludf.DUMMYFUNCTION("""COMPUTED_VALUE"""),"AJU")</f>
        <v>AJU</v>
      </c>
      <c r="E207" s="15" t="str">
        <f>IFERROR(__xludf.DUMMYFUNCTION("""COMPUTED_VALUE"""),"AUGEZ")</f>
        <v>AUGEZ</v>
      </c>
      <c r="F207" s="15" t="str">
        <f>IFERROR(__xludf.DUMMYFUNCTION("""COMPUTED_VALUE"""),"TRIFIL")</f>
        <v>TRIFIL</v>
      </c>
      <c r="G207" s="15" t="str">
        <f>IFERROR(__xludf.DUMMYFUNCTION("""COMPUTED_VALUE"""),"266803437")</f>
        <v>266803437</v>
      </c>
      <c r="H207" s="15" t="str">
        <f>IFERROR(__xludf.DUMMYFUNCTION("""COMPUTED_VALUE"""),"1306057")</f>
        <v>1306057</v>
      </c>
      <c r="I207" s="15" t="str">
        <f>IFERROR(__xludf.DUMMYFUNCTION("""COMPUTED_VALUE"""),"8176739")</f>
        <v>8176739</v>
      </c>
      <c r="J207" s="15" t="str">
        <f>IFERROR(__xludf.DUMMYFUNCTION("""COMPUTED_VALUE"""),"CIF")</f>
        <v>CIF</v>
      </c>
      <c r="K207" s="15" t="str">
        <f>IFERROR(__xludf.DUMMYFUNCTION("""COMPUTED_VALUE"""),"FSA-1")</f>
        <v>FSA-1</v>
      </c>
      <c r="L207" s="15" t="str">
        <f>IFERROR(__xludf.DUMMYFUNCTION("""COMPUTED_VALUE"""),"AUTORIZADO")</f>
        <v>AUTORIZADO</v>
      </c>
      <c r="M207" s="15" t="str">
        <f>IFERROR(__xludf.DUMMYFUNCTION("""COMPUTED_VALUE"""),"NA ORIGEM")</f>
        <v>NA ORIGEM</v>
      </c>
      <c r="N207" s="15" t="str">
        <f>IFERROR(__xludf.DUMMYFUNCTION("""COMPUTED_VALUE"""),"Antes Prazo")</f>
        <v>Antes Prazo</v>
      </c>
      <c r="O207" s="15" t="str">
        <f>IFERROR(__xludf.DUMMYFUNCTION("""COMPUTED_VALUE"""),"B2B")</f>
        <v>B2B</v>
      </c>
      <c r="P207" s="16">
        <f>IFERROR(__xludf.DUMMYFUNCTION("""COMPUTED_VALUE"""),71.87)</f>
        <v>71.87</v>
      </c>
      <c r="Q207" s="15">
        <f>IFERROR(__xludf.DUMMYFUNCTION("""COMPUTED_VALUE"""),1.0)</f>
        <v>1</v>
      </c>
      <c r="R207" s="15" t="str">
        <f>IFERROR(__xludf.DUMMYFUNCTION("""COMPUTED_VALUE"""),"RODO")</f>
        <v>RODO</v>
      </c>
      <c r="S207" s="15" t="str">
        <f>IFERROR(__xludf.DUMMYFUNCTION("""COMPUTED_VALUE"""),"ITN")</f>
        <v>ITN</v>
      </c>
      <c r="T207" s="15" t="str">
        <f>IFERROR(__xludf.DUMMYFUNCTION("""COMPUTED_VALUE"""),"105")</f>
        <v>105</v>
      </c>
      <c r="U207" s="15" t="str">
        <f>IFERROR(__xludf.DUMMYFUNCTION("""COMPUTED_VALUE"""),"266803437 1306057 8176739 augez trifil aju 105")</f>
        <v>266803437 1306057 8176739 augez trifil aju 105</v>
      </c>
      <c r="V207" s="15" t="b">
        <f>IFERROR(__xludf.DUMMYFUNCTION("""COMPUTED_VALUE"""),FALSE)</f>
        <v>0</v>
      </c>
    </row>
    <row r="208">
      <c r="A208" s="19">
        <f>IFERROR(__xludf.DUMMYFUNCTION("""COMPUTED_VALUE"""),46304.0)</f>
        <v>46304</v>
      </c>
      <c r="B208" s="19">
        <f>IFERROR(__xludf.DUMMYFUNCTION("""COMPUTED_VALUE"""),46316.0)</f>
        <v>46316</v>
      </c>
      <c r="C208" s="15">
        <f>IFERROR(__xludf.DUMMYFUNCTION("""COMPUTED_VALUE"""),7.0)</f>
        <v>7</v>
      </c>
      <c r="D208" s="15" t="str">
        <f>IFERROR(__xludf.DUMMYFUNCTION("""COMPUTED_VALUE"""),"STO")</f>
        <v>STO</v>
      </c>
      <c r="E208" s="15" t="str">
        <f>IFERROR(__xludf.DUMMYFUNCTION("""COMPUTED_VALUE"""),"F J DE ALMEIDA NETO EPP")</f>
        <v>F J DE ALMEIDA NETO EPP</v>
      </c>
      <c r="F208" s="15" t="str">
        <f>IFERROR(__xludf.DUMMYFUNCTION("""COMPUTED_VALUE"""),"TRIFIL")</f>
        <v>TRIFIL</v>
      </c>
      <c r="G208" s="15" t="str">
        <f>IFERROR(__xludf.DUMMYFUNCTION("""COMPUTED_VALUE"""),"266803438")</f>
        <v>266803438</v>
      </c>
      <c r="H208" s="15" t="str">
        <f>IFERROR(__xludf.DUMMYFUNCTION("""COMPUTED_VALUE"""),"1303839")</f>
        <v>1303839</v>
      </c>
      <c r="I208" s="15" t="str">
        <f>IFERROR(__xludf.DUMMYFUNCTION("""COMPUTED_VALUE"""),"8177031")</f>
        <v>8177031</v>
      </c>
      <c r="J208" s="15" t="str">
        <f>IFERROR(__xludf.DUMMYFUNCTION("""COMPUTED_VALUE"""),"CIF")</f>
        <v>CIF</v>
      </c>
      <c r="K208" s="15" t="str">
        <f>IFERROR(__xludf.DUMMYFUNCTION("""COMPUTED_VALUE"""),"SAO-1")</f>
        <v>SAO-1</v>
      </c>
      <c r="L208" s="15" t="str">
        <f>IFERROR(__xludf.DUMMYFUNCTION("""COMPUTED_VALUE"""),"AUTORIZADO")</f>
        <v>AUTORIZADO</v>
      </c>
      <c r="M208" s="15" t="str">
        <f>IFERROR(__xludf.DUMMYFUNCTION("""COMPUTED_VALUE"""),"NA ORIGEM")</f>
        <v>NA ORIGEM</v>
      </c>
      <c r="N208" s="15" t="str">
        <f>IFERROR(__xludf.DUMMYFUNCTION("""COMPUTED_VALUE"""),"Antes Prazo")</f>
        <v>Antes Prazo</v>
      </c>
      <c r="O208" s="15" t="str">
        <f>IFERROR(__xludf.DUMMYFUNCTION("""COMPUTED_VALUE"""),"B2B")</f>
        <v>B2B</v>
      </c>
      <c r="P208" s="16">
        <f>IFERROR(__xludf.DUMMYFUNCTION("""COMPUTED_VALUE"""),45.49)</f>
        <v>45.49</v>
      </c>
      <c r="Q208" s="15">
        <f>IFERROR(__xludf.DUMMYFUNCTION("""COMPUTED_VALUE"""),1.0)</f>
        <v>1</v>
      </c>
      <c r="R208" s="15" t="str">
        <f>IFERROR(__xludf.DUMMYFUNCTION("""COMPUTED_VALUE"""),"RODO")</f>
        <v>RODO</v>
      </c>
      <c r="S208" s="15" t="str">
        <f>IFERROR(__xludf.DUMMYFUNCTION("""COMPUTED_VALUE"""),"ITN")</f>
        <v>ITN</v>
      </c>
      <c r="T208" s="15" t="str">
        <f>IFERROR(__xludf.DUMMYFUNCTION("""COMPUTED_VALUE"""),"473")</f>
        <v>473</v>
      </c>
      <c r="U208" s="15" t="str">
        <f>IFERROR(__xludf.DUMMYFUNCTION("""COMPUTED_VALUE"""),"266803438 1303839 8177031 f j de almeida neto epp trifil sto 473")</f>
        <v>266803438 1303839 8177031 f j de almeida neto epp trifil sto 473</v>
      </c>
      <c r="V208" s="15" t="b">
        <f>IFERROR(__xludf.DUMMYFUNCTION("""COMPUTED_VALUE"""),FALSE)</f>
        <v>0</v>
      </c>
    </row>
    <row r="209">
      <c r="A209" s="19">
        <f>IFERROR(__xludf.DUMMYFUNCTION("""COMPUTED_VALUE"""),46304.0)</f>
        <v>46304</v>
      </c>
      <c r="B209" s="19">
        <f>IFERROR(__xludf.DUMMYFUNCTION("""COMPUTED_VALUE"""),46316.0)</f>
        <v>46316</v>
      </c>
      <c r="C209" s="15">
        <f>IFERROR(__xludf.DUMMYFUNCTION("""COMPUTED_VALUE"""),7.0)</f>
        <v>7</v>
      </c>
      <c r="D209" s="15" t="str">
        <f>IFERROR(__xludf.DUMMYFUNCTION("""COMPUTED_VALUE"""),"AJU")</f>
        <v>AJU</v>
      </c>
      <c r="E209" s="15" t="str">
        <f>IFERROR(__xludf.DUMMYFUNCTION("""COMPUTED_VALUE"""),"COMERCIO CONFECCOES OLIVEIRA LTDA")</f>
        <v>COMERCIO CONFECCOES OLIVEIRA LTDA</v>
      </c>
      <c r="F209" s="15" t="str">
        <f>IFERROR(__xludf.DUMMYFUNCTION("""COMPUTED_VALUE"""),"TRIFIL")</f>
        <v>TRIFIL</v>
      </c>
      <c r="G209" s="15" t="str">
        <f>IFERROR(__xludf.DUMMYFUNCTION("""COMPUTED_VALUE"""),"266803439")</f>
        <v>266803439</v>
      </c>
      <c r="H209" s="15" t="str">
        <f>IFERROR(__xludf.DUMMYFUNCTION("""COMPUTED_VALUE"""),"1305540")</f>
        <v>1305540</v>
      </c>
      <c r="I209" s="15" t="str">
        <f>IFERROR(__xludf.DUMMYFUNCTION("""COMPUTED_VALUE"""),"8176911")</f>
        <v>8176911</v>
      </c>
      <c r="J209" s="15" t="str">
        <f>IFERROR(__xludf.DUMMYFUNCTION("""COMPUTED_VALUE"""),"CIF")</f>
        <v>CIF</v>
      </c>
      <c r="K209" s="15" t="str">
        <f>IFERROR(__xludf.DUMMYFUNCTION("""COMPUTED_VALUE"""),"FSA-1")</f>
        <v>FSA-1</v>
      </c>
      <c r="L209" s="15" t="str">
        <f>IFERROR(__xludf.DUMMYFUNCTION("""COMPUTED_VALUE"""),"AUTORIZADO")</f>
        <v>AUTORIZADO</v>
      </c>
      <c r="M209" s="15" t="str">
        <f>IFERROR(__xludf.DUMMYFUNCTION("""COMPUTED_VALUE"""),"NA ORIGEM")</f>
        <v>NA ORIGEM</v>
      </c>
      <c r="N209" s="15" t="str">
        <f>IFERROR(__xludf.DUMMYFUNCTION("""COMPUTED_VALUE"""),"Antes Prazo")</f>
        <v>Antes Prazo</v>
      </c>
      <c r="O209" s="15" t="str">
        <f>IFERROR(__xludf.DUMMYFUNCTION("""COMPUTED_VALUE"""),"B2B")</f>
        <v>B2B</v>
      </c>
      <c r="P209" s="16">
        <f>IFERROR(__xludf.DUMMYFUNCTION("""COMPUTED_VALUE"""),80.65)</f>
        <v>80.65</v>
      </c>
      <c r="Q209" s="15">
        <f>IFERROR(__xludf.DUMMYFUNCTION("""COMPUTED_VALUE"""),1.0)</f>
        <v>1</v>
      </c>
      <c r="R209" s="15" t="str">
        <f>IFERROR(__xludf.DUMMYFUNCTION("""COMPUTED_VALUE"""),"RODO")</f>
        <v>RODO</v>
      </c>
      <c r="S209" s="15" t="str">
        <f>IFERROR(__xludf.DUMMYFUNCTION("""COMPUTED_VALUE"""),"ITN")</f>
        <v>ITN</v>
      </c>
      <c r="T209" s="15" t="str">
        <f>IFERROR(__xludf.DUMMYFUNCTION("""COMPUTED_VALUE"""),"102")</f>
        <v>102</v>
      </c>
      <c r="U209" s="15" t="str">
        <f>IFERROR(__xludf.DUMMYFUNCTION("""COMPUTED_VALUE"""),"266803439 1305540 8176911 comercio confeccoes oliveira ltda trifil aju 102")</f>
        <v>266803439 1305540 8176911 comercio confeccoes oliveira ltda trifil aju 102</v>
      </c>
      <c r="V209" s="15" t="b">
        <f>IFERROR(__xludf.DUMMYFUNCTION("""COMPUTED_VALUE"""),FALSE)</f>
        <v>0</v>
      </c>
    </row>
    <row r="210">
      <c r="A210" s="19">
        <f>IFERROR(__xludf.DUMMYFUNCTION("""COMPUTED_VALUE"""),46304.0)</f>
        <v>46304</v>
      </c>
      <c r="B210" s="19">
        <f>IFERROR(__xludf.DUMMYFUNCTION("""COMPUTED_VALUE"""),46316.0)</f>
        <v>46316</v>
      </c>
      <c r="C210" s="15">
        <f>IFERROR(__xludf.DUMMYFUNCTION("""COMPUTED_VALUE"""),7.0)</f>
        <v>7</v>
      </c>
      <c r="D210" s="15" t="str">
        <f>IFERROR(__xludf.DUMMYFUNCTION("""COMPUTED_VALUE"""),"AJU")</f>
        <v>AJU</v>
      </c>
      <c r="E210" s="15" t="str">
        <f>IFERROR(__xludf.DUMMYFUNCTION("""COMPUTED_VALUE"""),"SUPERMODA GLORIA")</f>
        <v>SUPERMODA GLORIA</v>
      </c>
      <c r="F210" s="15" t="str">
        <f>IFERROR(__xludf.DUMMYFUNCTION("""COMPUTED_VALUE"""),"TRIFIL")</f>
        <v>TRIFIL</v>
      </c>
      <c r="G210" s="15" t="str">
        <f>IFERROR(__xludf.DUMMYFUNCTION("""COMPUTED_VALUE"""),"266803440")</f>
        <v>266803440</v>
      </c>
      <c r="H210" s="15" t="str">
        <f>IFERROR(__xludf.DUMMYFUNCTION("""COMPUTED_VALUE"""),"1305378")</f>
        <v>1305378</v>
      </c>
      <c r="I210" s="15" t="str">
        <f>IFERROR(__xludf.DUMMYFUNCTION("""COMPUTED_VALUE"""),"8176983")</f>
        <v>8176983</v>
      </c>
      <c r="J210" s="15" t="str">
        <f>IFERROR(__xludf.DUMMYFUNCTION("""COMPUTED_VALUE"""),"CIF")</f>
        <v>CIF</v>
      </c>
      <c r="K210" s="15" t="str">
        <f>IFERROR(__xludf.DUMMYFUNCTION("""COMPUTED_VALUE"""),"FSA-1")</f>
        <v>FSA-1</v>
      </c>
      <c r="L210" s="15" t="str">
        <f>IFERROR(__xludf.DUMMYFUNCTION("""COMPUTED_VALUE"""),"AUTORIZADO")</f>
        <v>AUTORIZADO</v>
      </c>
      <c r="M210" s="15" t="str">
        <f>IFERROR(__xludf.DUMMYFUNCTION("""COMPUTED_VALUE"""),"NA ORIGEM")</f>
        <v>NA ORIGEM</v>
      </c>
      <c r="N210" s="15" t="str">
        <f>IFERROR(__xludf.DUMMYFUNCTION("""COMPUTED_VALUE"""),"Antes Prazo")</f>
        <v>Antes Prazo</v>
      </c>
      <c r="O210" s="15" t="str">
        <f>IFERROR(__xludf.DUMMYFUNCTION("""COMPUTED_VALUE"""),"B2B")</f>
        <v>B2B</v>
      </c>
      <c r="P210" s="16">
        <f>IFERROR(__xludf.DUMMYFUNCTION("""COMPUTED_VALUE"""),80.65)</f>
        <v>80.65</v>
      </c>
      <c r="Q210" s="15">
        <f>IFERROR(__xludf.DUMMYFUNCTION("""COMPUTED_VALUE"""),1.0)</f>
        <v>1</v>
      </c>
      <c r="R210" s="15" t="str">
        <f>IFERROR(__xludf.DUMMYFUNCTION("""COMPUTED_VALUE"""),"RODO")</f>
        <v>RODO</v>
      </c>
      <c r="S210" s="15" t="str">
        <f>IFERROR(__xludf.DUMMYFUNCTION("""COMPUTED_VALUE"""),"ITN")</f>
        <v>ITN</v>
      </c>
      <c r="T210" s="15" t="str">
        <f>IFERROR(__xludf.DUMMYFUNCTION("""COMPUTED_VALUE"""),"103")</f>
        <v>103</v>
      </c>
      <c r="U210" s="15" t="str">
        <f>IFERROR(__xludf.DUMMYFUNCTION("""COMPUTED_VALUE"""),"266803440 1305378 8176983 supermoda gloria trifil aju 103")</f>
        <v>266803440 1305378 8176983 supermoda gloria trifil aju 103</v>
      </c>
      <c r="V210" s="15" t="b">
        <f>IFERROR(__xludf.DUMMYFUNCTION("""COMPUTED_VALUE"""),FALSE)</f>
        <v>0</v>
      </c>
    </row>
    <row r="211">
      <c r="A211" s="19">
        <f>IFERROR(__xludf.DUMMYFUNCTION("""COMPUTED_VALUE"""),46304.0)</f>
        <v>46304</v>
      </c>
      <c r="B211" s="19">
        <f>IFERROR(__xludf.DUMMYFUNCTION("""COMPUTED_VALUE"""),46316.0)</f>
        <v>46316</v>
      </c>
      <c r="C211" s="15">
        <f>IFERROR(__xludf.DUMMYFUNCTION("""COMPUTED_VALUE"""),7.0)</f>
        <v>7</v>
      </c>
      <c r="D211" s="15" t="str">
        <f>IFERROR(__xludf.DUMMYFUNCTION("""COMPUTED_VALUE"""),"REC")</f>
        <v>REC</v>
      </c>
      <c r="E211" s="15" t="str">
        <f>IFERROR(__xludf.DUMMYFUNCTION("""COMPUTED_VALUE"""),"LUPO RECIFE")</f>
        <v>LUPO RECIFE</v>
      </c>
      <c r="F211" s="15" t="str">
        <f>IFERROR(__xludf.DUMMYFUNCTION("""COMPUTED_VALUE"""),"TRIFIL")</f>
        <v>TRIFIL</v>
      </c>
      <c r="G211" s="15" t="str">
        <f>IFERROR(__xludf.DUMMYFUNCTION("""COMPUTED_VALUE"""),"266803441")</f>
        <v>266803441</v>
      </c>
      <c r="H211" s="15" t="str">
        <f>IFERROR(__xludf.DUMMYFUNCTION("""COMPUTED_VALUE"""),"1305946")</f>
        <v>1305946</v>
      </c>
      <c r="I211" s="15" t="str">
        <f>IFERROR(__xludf.DUMMYFUNCTION("""COMPUTED_VALUE"""),"8176750")</f>
        <v>8176750</v>
      </c>
      <c r="J211" s="15" t="str">
        <f>IFERROR(__xludf.DUMMYFUNCTION("""COMPUTED_VALUE"""),"CIF")</f>
        <v>CIF</v>
      </c>
      <c r="K211" s="15" t="str">
        <f>IFERROR(__xludf.DUMMYFUNCTION("""COMPUTED_VALUE"""),"FSA-1")</f>
        <v>FSA-1</v>
      </c>
      <c r="L211" s="15" t="str">
        <f>IFERROR(__xludf.DUMMYFUNCTION("""COMPUTED_VALUE"""),"AUTORIZADO")</f>
        <v>AUTORIZADO</v>
      </c>
      <c r="M211" s="15" t="str">
        <f>IFERROR(__xludf.DUMMYFUNCTION("""COMPUTED_VALUE"""),"NA ORIGEM")</f>
        <v>NA ORIGEM</v>
      </c>
      <c r="N211" s="15" t="str">
        <f>IFERROR(__xludf.DUMMYFUNCTION("""COMPUTED_VALUE"""),"Antes Prazo")</f>
        <v>Antes Prazo</v>
      </c>
      <c r="O211" s="15" t="str">
        <f>IFERROR(__xludf.DUMMYFUNCTION("""COMPUTED_VALUE"""),"B2B")</f>
        <v>B2B</v>
      </c>
      <c r="P211" s="16">
        <f>IFERROR(__xludf.DUMMYFUNCTION("""COMPUTED_VALUE"""),85.93)</f>
        <v>85.93</v>
      </c>
      <c r="Q211" s="15">
        <f>IFERROR(__xludf.DUMMYFUNCTION("""COMPUTED_VALUE"""),8.0)</f>
        <v>8</v>
      </c>
      <c r="R211" s="15" t="str">
        <f>IFERROR(__xludf.DUMMYFUNCTION("""COMPUTED_VALUE"""),"RODO")</f>
        <v>RODO</v>
      </c>
      <c r="S211" s="15" t="str">
        <f>IFERROR(__xludf.DUMMYFUNCTION("""COMPUTED_VALUE"""),"ITN")</f>
        <v>ITN</v>
      </c>
      <c r="T211" s="15" t="str">
        <f>IFERROR(__xludf.DUMMYFUNCTION("""COMPUTED_VALUE"""),"11")</f>
        <v>11</v>
      </c>
      <c r="U211" s="15" t="str">
        <f>IFERROR(__xludf.DUMMYFUNCTION("""COMPUTED_VALUE"""),"266803441 1305946 8176750 lupo recife trifil rec 11")</f>
        <v>266803441 1305946 8176750 lupo recife trifil rec 11</v>
      </c>
      <c r="V211" s="15" t="b">
        <f>IFERROR(__xludf.DUMMYFUNCTION("""COMPUTED_VALUE"""),FALSE)</f>
        <v>0</v>
      </c>
    </row>
    <row r="212">
      <c r="A212" s="19">
        <f>IFERROR(__xludf.DUMMYFUNCTION("""COMPUTED_VALUE"""),46304.0)</f>
        <v>46304</v>
      </c>
      <c r="B212" s="19">
        <f>IFERROR(__xludf.DUMMYFUNCTION("""COMPUTED_VALUE"""),46316.0)</f>
        <v>46316</v>
      </c>
      <c r="C212" s="15">
        <f>IFERROR(__xludf.DUMMYFUNCTION("""COMPUTED_VALUE"""),7.0)</f>
        <v>7</v>
      </c>
      <c r="D212" s="15" t="str">
        <f>IFERROR(__xludf.DUMMYFUNCTION("""COMPUTED_VALUE"""),"BTB")</f>
        <v>BTB</v>
      </c>
      <c r="E212" s="15" t="str">
        <f>IFERROR(__xludf.DUMMYFUNCTION("""COMPUTED_VALUE"""),"R.A. SHOES CALCADOS - EIRELI - ME")</f>
        <v>R.A. SHOES CALCADOS - EIRELI - ME</v>
      </c>
      <c r="F212" s="15" t="str">
        <f>IFERROR(__xludf.DUMMYFUNCTION("""COMPUTED_VALUE"""),"TRIFIL")</f>
        <v>TRIFIL</v>
      </c>
      <c r="G212" s="15" t="str">
        <f>IFERROR(__xludf.DUMMYFUNCTION("""COMPUTED_VALUE"""),"266803442")</f>
        <v>266803442</v>
      </c>
      <c r="H212" s="15" t="str">
        <f>IFERROR(__xludf.DUMMYFUNCTION("""COMPUTED_VALUE"""),"1305414")</f>
        <v>1305414</v>
      </c>
      <c r="I212" s="15" t="str">
        <f>IFERROR(__xludf.DUMMYFUNCTION("""COMPUTED_VALUE"""),"8176786")</f>
        <v>8176786</v>
      </c>
      <c r="J212" s="15" t="str">
        <f>IFERROR(__xludf.DUMMYFUNCTION("""COMPUTED_VALUE"""),"CIF")</f>
        <v>CIF</v>
      </c>
      <c r="K212" s="15" t="str">
        <f>IFERROR(__xludf.DUMMYFUNCTION("""COMPUTED_VALUE"""),"SAO-1")</f>
        <v>SAO-1</v>
      </c>
      <c r="L212" s="15" t="str">
        <f>IFERROR(__xludf.DUMMYFUNCTION("""COMPUTED_VALUE"""),"AUTORIZADO")</f>
        <v>AUTORIZADO</v>
      </c>
      <c r="M212" s="15" t="str">
        <f>IFERROR(__xludf.DUMMYFUNCTION("""COMPUTED_VALUE"""),"NA ORIGEM")</f>
        <v>NA ORIGEM</v>
      </c>
      <c r="N212" s="15" t="str">
        <f>IFERROR(__xludf.DUMMYFUNCTION("""COMPUTED_VALUE"""),"Antes Prazo")</f>
        <v>Antes Prazo</v>
      </c>
      <c r="O212" s="15" t="str">
        <f>IFERROR(__xludf.DUMMYFUNCTION("""COMPUTED_VALUE"""),"B2B")</f>
        <v>B2B</v>
      </c>
      <c r="P212" s="16">
        <f>IFERROR(__xludf.DUMMYFUNCTION("""COMPUTED_VALUE"""),45.49)</f>
        <v>45.49</v>
      </c>
      <c r="Q212" s="15">
        <f>IFERROR(__xludf.DUMMYFUNCTION("""COMPUTED_VALUE"""),1.0)</f>
        <v>1</v>
      </c>
      <c r="R212" s="15" t="str">
        <f>IFERROR(__xludf.DUMMYFUNCTION("""COMPUTED_VALUE"""),"RODO")</f>
        <v>RODO</v>
      </c>
      <c r="S212" s="15" t="str">
        <f>IFERROR(__xludf.DUMMYFUNCTION("""COMPUTED_VALUE"""),"ITN")</f>
        <v>ITN</v>
      </c>
      <c r="T212" s="15" t="str">
        <f>IFERROR(__xludf.DUMMYFUNCTION("""COMPUTED_VALUE"""),"700")</f>
        <v>700</v>
      </c>
      <c r="U212" s="15" t="str">
        <f>IFERROR(__xludf.DUMMYFUNCTION("""COMPUTED_VALUE"""),"266803442 1305414 8176786 r.a. shoes calcados - eireli - me trifil btb 700")</f>
        <v>266803442 1305414 8176786 r.a. shoes calcados - eireli - me trifil btb 700</v>
      </c>
      <c r="V212" s="15" t="b">
        <f>IFERROR(__xludf.DUMMYFUNCTION("""COMPUTED_VALUE"""),FALSE)</f>
        <v>0</v>
      </c>
    </row>
    <row r="213">
      <c r="A213" s="19">
        <f>IFERROR(__xludf.DUMMYFUNCTION("""COMPUTED_VALUE"""),46304.0)</f>
        <v>46304</v>
      </c>
      <c r="B213" s="19">
        <f>IFERROR(__xludf.DUMMYFUNCTION("""COMPUTED_VALUE"""),46321.0)</f>
        <v>46321</v>
      </c>
      <c r="C213" s="15">
        <f>IFERROR(__xludf.DUMMYFUNCTION("""COMPUTED_VALUE"""),10.0)</f>
        <v>10</v>
      </c>
      <c r="D213" s="15" t="str">
        <f>IFERROR(__xludf.DUMMYFUNCTION("""COMPUTED_VALUE"""),"REC")</f>
        <v>REC</v>
      </c>
      <c r="E213" s="15" t="str">
        <f>IFERROR(__xludf.DUMMYFUNCTION("""COMPUTED_VALUE"""),"JAN MODA")</f>
        <v>JAN MODA</v>
      </c>
      <c r="F213" s="15" t="str">
        <f>IFERROR(__xludf.DUMMYFUNCTION("""COMPUTED_VALUE"""),"TRIFIL")</f>
        <v>TRIFIL</v>
      </c>
      <c r="G213" s="15" t="str">
        <f>IFERROR(__xludf.DUMMYFUNCTION("""COMPUTED_VALUE"""),"266803443")</f>
        <v>266803443</v>
      </c>
      <c r="H213" s="15" t="str">
        <f>IFERROR(__xludf.DUMMYFUNCTION("""COMPUTED_VALUE"""),"1305902")</f>
        <v>1305902</v>
      </c>
      <c r="I213" s="15" t="str">
        <f>IFERROR(__xludf.DUMMYFUNCTION("""COMPUTED_VALUE"""),"8176740")</f>
        <v>8176740</v>
      </c>
      <c r="J213" s="15" t="str">
        <f>IFERROR(__xludf.DUMMYFUNCTION("""COMPUTED_VALUE"""),"CIF")</f>
        <v>CIF</v>
      </c>
      <c r="K213" s="15" t="str">
        <f>IFERROR(__xludf.DUMMYFUNCTION("""COMPUTED_VALUE"""),"FSA-1")</f>
        <v>FSA-1</v>
      </c>
      <c r="L213" s="15" t="str">
        <f>IFERROR(__xludf.DUMMYFUNCTION("""COMPUTED_VALUE"""),"AUTORIZADO")</f>
        <v>AUTORIZADO</v>
      </c>
      <c r="M213" s="15" t="str">
        <f>IFERROR(__xludf.DUMMYFUNCTION("""COMPUTED_VALUE"""),"NA ORIGEM")</f>
        <v>NA ORIGEM</v>
      </c>
      <c r="N213" s="15" t="str">
        <f>IFERROR(__xludf.DUMMYFUNCTION("""COMPUTED_VALUE"""),"Antes Prazo")</f>
        <v>Antes Prazo</v>
      </c>
      <c r="O213" s="15" t="str">
        <f>IFERROR(__xludf.DUMMYFUNCTION("""COMPUTED_VALUE"""),"B2B")</f>
        <v>B2B</v>
      </c>
      <c r="P213" s="16">
        <f>IFERROR(__xludf.DUMMYFUNCTION("""COMPUTED_VALUE"""),65.34)</f>
        <v>65.34</v>
      </c>
      <c r="Q213" s="15">
        <f>IFERROR(__xludf.DUMMYFUNCTION("""COMPUTED_VALUE"""),2.0)</f>
        <v>2</v>
      </c>
      <c r="R213" s="15" t="str">
        <f>IFERROR(__xludf.DUMMYFUNCTION("""COMPUTED_VALUE"""),"RODO")</f>
        <v>RODO</v>
      </c>
      <c r="S213" s="15" t="str">
        <f>IFERROR(__xludf.DUMMYFUNCTION("""COMPUTED_VALUE"""),"ITN")</f>
        <v>ITN</v>
      </c>
      <c r="T213" s="15" t="str">
        <f>IFERROR(__xludf.DUMMYFUNCTION("""COMPUTED_VALUE"""),"101")</f>
        <v>101</v>
      </c>
      <c r="U213" s="15" t="str">
        <f>IFERROR(__xludf.DUMMYFUNCTION("""COMPUTED_VALUE"""),"266803443 1305902 8176740 jan moda trifil rec 101")</f>
        <v>266803443 1305902 8176740 jan moda trifil rec 101</v>
      </c>
      <c r="V213" s="15" t="b">
        <f>IFERROR(__xludf.DUMMYFUNCTION("""COMPUTED_VALUE"""),FALSE)</f>
        <v>0</v>
      </c>
    </row>
    <row r="214">
      <c r="A214" s="19">
        <f>IFERROR(__xludf.DUMMYFUNCTION("""COMPUTED_VALUE"""),46304.0)</f>
        <v>46304</v>
      </c>
      <c r="B214" s="19">
        <f>IFERROR(__xludf.DUMMYFUNCTION("""COMPUTED_VALUE"""),46317.0)</f>
        <v>46317</v>
      </c>
      <c r="C214" s="15">
        <f>IFERROR(__xludf.DUMMYFUNCTION("""COMPUTED_VALUE"""),8.0)</f>
        <v>8</v>
      </c>
      <c r="D214" s="15" t="str">
        <f>IFERROR(__xludf.DUMMYFUNCTION("""COMPUTED_VALUE"""),"REC")</f>
        <v>REC</v>
      </c>
      <c r="E214" s="15" t="str">
        <f>IFERROR(__xludf.DUMMYFUNCTION("""COMPUTED_VALUE"""),"MARIA DAS NEVES SILVA ARAEJO(0001020285)")</f>
        <v>MARIA DAS NEVES SILVA ARAEJO(0001020285)</v>
      </c>
      <c r="F214" s="15" t="str">
        <f>IFERROR(__xludf.DUMMYFUNCTION("""COMPUTED_VALUE"""),"TRIFIL")</f>
        <v>TRIFIL</v>
      </c>
      <c r="G214" s="15" t="str">
        <f>IFERROR(__xludf.DUMMYFUNCTION("""COMPUTED_VALUE"""),"266803444")</f>
        <v>266803444</v>
      </c>
      <c r="H214" s="15" t="str">
        <f>IFERROR(__xludf.DUMMYFUNCTION("""COMPUTED_VALUE"""),"1305840")</f>
        <v>1305840</v>
      </c>
      <c r="I214" s="15" t="str">
        <f>IFERROR(__xludf.DUMMYFUNCTION("""COMPUTED_VALUE"""),"8176757")</f>
        <v>8176757</v>
      </c>
      <c r="J214" s="15" t="str">
        <f>IFERROR(__xludf.DUMMYFUNCTION("""COMPUTED_VALUE"""),"CIF")</f>
        <v>CIF</v>
      </c>
      <c r="K214" s="15" t="str">
        <f>IFERROR(__xludf.DUMMYFUNCTION("""COMPUTED_VALUE"""),"FSA-1")</f>
        <v>FSA-1</v>
      </c>
      <c r="L214" s="15" t="str">
        <f>IFERROR(__xludf.DUMMYFUNCTION("""COMPUTED_VALUE"""),"AUTORIZADO")</f>
        <v>AUTORIZADO</v>
      </c>
      <c r="M214" s="15" t="str">
        <f>IFERROR(__xludf.DUMMYFUNCTION("""COMPUTED_VALUE"""),"NA ORIGEM")</f>
        <v>NA ORIGEM</v>
      </c>
      <c r="N214" s="15" t="str">
        <f>IFERROR(__xludf.DUMMYFUNCTION("""COMPUTED_VALUE"""),"Antes Prazo")</f>
        <v>Antes Prazo</v>
      </c>
      <c r="O214" s="15" t="str">
        <f>IFERROR(__xludf.DUMMYFUNCTION("""COMPUTED_VALUE"""),"B2B")</f>
        <v>B2B</v>
      </c>
      <c r="P214" s="16">
        <f>IFERROR(__xludf.DUMMYFUNCTION("""COMPUTED_VALUE"""),65.34)</f>
        <v>65.34</v>
      </c>
      <c r="Q214" s="15">
        <f>IFERROR(__xludf.DUMMYFUNCTION("""COMPUTED_VALUE"""),4.0)</f>
        <v>4</v>
      </c>
      <c r="R214" s="15" t="str">
        <f>IFERROR(__xludf.DUMMYFUNCTION("""COMPUTED_VALUE"""),"RODO")</f>
        <v>RODO</v>
      </c>
      <c r="S214" s="15" t="str">
        <f>IFERROR(__xludf.DUMMYFUNCTION("""COMPUTED_VALUE"""),"ITN")</f>
        <v>ITN</v>
      </c>
      <c r="T214" s="15" t="str">
        <f>IFERROR(__xludf.DUMMYFUNCTION("""COMPUTED_VALUE"""),"106")</f>
        <v>106</v>
      </c>
      <c r="U214" s="15" t="str">
        <f>IFERROR(__xludf.DUMMYFUNCTION("""COMPUTED_VALUE"""),"266803444 1305840 8176757 maria das neves silva araejo(0001020285) trifil rec 106")</f>
        <v>266803444 1305840 8176757 maria das neves silva araejo(0001020285) trifil rec 106</v>
      </c>
      <c r="V214" s="15" t="b">
        <f>IFERROR(__xludf.DUMMYFUNCTION("""COMPUTED_VALUE"""),FALSE)</f>
        <v>0</v>
      </c>
    </row>
    <row r="215">
      <c r="A215" s="19">
        <f>IFERROR(__xludf.DUMMYFUNCTION("""COMPUTED_VALUE"""),46304.0)</f>
        <v>46304</v>
      </c>
      <c r="B215" s="19">
        <f>IFERROR(__xludf.DUMMYFUNCTION("""COMPUTED_VALUE"""),46318.0)</f>
        <v>46318</v>
      </c>
      <c r="C215" s="15">
        <f>IFERROR(__xludf.DUMMYFUNCTION("""COMPUTED_VALUE"""),9.0)</f>
        <v>9</v>
      </c>
      <c r="D215" s="15" t="str">
        <f>IFERROR(__xludf.DUMMYFUNCTION("""COMPUTED_VALUE"""),"QGP")</f>
        <v>QGP</v>
      </c>
      <c r="E215" s="15" t="str">
        <f>IFERROR(__xludf.DUMMYFUNCTION("""COMPUTED_VALUE"""),"MARIA SOCORRO PEREIRA DE MELO(0001014260")</f>
        <v>MARIA SOCORRO PEREIRA DE MELO(0001014260</v>
      </c>
      <c r="F215" s="15" t="str">
        <f>IFERROR(__xludf.DUMMYFUNCTION("""COMPUTED_VALUE"""),"TRIFIL")</f>
        <v>TRIFIL</v>
      </c>
      <c r="G215" s="15" t="str">
        <f>IFERROR(__xludf.DUMMYFUNCTION("""COMPUTED_VALUE"""),"266803445")</f>
        <v>266803445</v>
      </c>
      <c r="H215" s="15" t="str">
        <f>IFERROR(__xludf.DUMMYFUNCTION("""COMPUTED_VALUE"""),"1305181")</f>
        <v>1305181</v>
      </c>
      <c r="I215" s="15" t="str">
        <f>IFERROR(__xludf.DUMMYFUNCTION("""COMPUTED_VALUE"""),"8176787")</f>
        <v>8176787</v>
      </c>
      <c r="J215" s="15" t="str">
        <f>IFERROR(__xludf.DUMMYFUNCTION("""COMPUTED_VALUE"""),"CIF")</f>
        <v>CIF</v>
      </c>
      <c r="K215" s="15" t="str">
        <f>IFERROR(__xludf.DUMMYFUNCTION("""COMPUTED_VALUE"""),"FSA-1")</f>
        <v>FSA-1</v>
      </c>
      <c r="L215" s="15" t="str">
        <f>IFERROR(__xludf.DUMMYFUNCTION("""COMPUTED_VALUE"""),"AUTORIZADO")</f>
        <v>AUTORIZADO</v>
      </c>
      <c r="M215" s="15" t="str">
        <f>IFERROR(__xludf.DUMMYFUNCTION("""COMPUTED_VALUE"""),"NA ORIGEM")</f>
        <v>NA ORIGEM</v>
      </c>
      <c r="N215" s="15" t="str">
        <f>IFERROR(__xludf.DUMMYFUNCTION("""COMPUTED_VALUE"""),"Antes Prazo")</f>
        <v>Antes Prazo</v>
      </c>
      <c r="O215" s="15" t="str">
        <f>IFERROR(__xludf.DUMMYFUNCTION("""COMPUTED_VALUE"""),"B2B")</f>
        <v>B2B</v>
      </c>
      <c r="P215" s="16">
        <f>IFERROR(__xludf.DUMMYFUNCTION("""COMPUTED_VALUE"""),63.12)</f>
        <v>63.12</v>
      </c>
      <c r="Q215" s="15">
        <f>IFERROR(__xludf.DUMMYFUNCTION("""COMPUTED_VALUE"""),1.0)</f>
        <v>1</v>
      </c>
      <c r="R215" s="15" t="str">
        <f>IFERROR(__xludf.DUMMYFUNCTION("""COMPUTED_VALUE"""),"RODO")</f>
        <v>RODO</v>
      </c>
      <c r="S215" s="15" t="str">
        <f>IFERROR(__xludf.DUMMYFUNCTION("""COMPUTED_VALUE"""),"ITN")</f>
        <v>ITN</v>
      </c>
      <c r="T215" s="15" t="str">
        <f>IFERROR(__xludf.DUMMYFUNCTION("""COMPUTED_VALUE"""),"1")</f>
        <v>1</v>
      </c>
      <c r="U215" s="15" t="str">
        <f>IFERROR(__xludf.DUMMYFUNCTION("""COMPUTED_VALUE"""),"266803445 1305181 8176787 maria socorro pereira de melo(0001014260 trifil qgp 1")</f>
        <v>266803445 1305181 8176787 maria socorro pereira de melo(0001014260 trifil qgp 1</v>
      </c>
      <c r="V215" s="15" t="b">
        <f>IFERROR(__xludf.DUMMYFUNCTION("""COMPUTED_VALUE"""),FALSE)</f>
        <v>0</v>
      </c>
    </row>
    <row r="216">
      <c r="A216" s="19">
        <f>IFERROR(__xludf.DUMMYFUNCTION("""COMPUTED_VALUE"""),46304.0)</f>
        <v>46304</v>
      </c>
      <c r="B216" s="19">
        <f>IFERROR(__xludf.DUMMYFUNCTION("""COMPUTED_VALUE"""),46318.0)</f>
        <v>46318</v>
      </c>
      <c r="C216" s="15">
        <f>IFERROR(__xludf.DUMMYFUNCTION("""COMPUTED_VALUE"""),9.0)</f>
        <v>9</v>
      </c>
      <c r="D216" s="15" t="str">
        <f>IFERROR(__xludf.DUMMYFUNCTION("""COMPUTED_VALUE"""),"QGP")</f>
        <v>QGP</v>
      </c>
      <c r="E216" s="15" t="str">
        <f>IFERROR(__xludf.DUMMYFUNCTION("""COMPUTED_VALUE"""),"LEONARDO ANDRADE SILVA CALCADOS(00010126")</f>
        <v>LEONARDO ANDRADE SILVA CALCADOS(00010126</v>
      </c>
      <c r="F216" s="15" t="str">
        <f>IFERROR(__xludf.DUMMYFUNCTION("""COMPUTED_VALUE"""),"TRIFIL")</f>
        <v>TRIFIL</v>
      </c>
      <c r="G216" s="15" t="str">
        <f>IFERROR(__xludf.DUMMYFUNCTION("""COMPUTED_VALUE"""),"266803446")</f>
        <v>266803446</v>
      </c>
      <c r="H216" s="15" t="str">
        <f>IFERROR(__xludf.DUMMYFUNCTION("""COMPUTED_VALUE"""),"1305467")</f>
        <v>1305467</v>
      </c>
      <c r="I216" s="15" t="str">
        <f>IFERROR(__xludf.DUMMYFUNCTION("""COMPUTED_VALUE"""),"8176812")</f>
        <v>8176812</v>
      </c>
      <c r="J216" s="15" t="str">
        <f>IFERROR(__xludf.DUMMYFUNCTION("""COMPUTED_VALUE"""),"CIF")</f>
        <v>CIF</v>
      </c>
      <c r="K216" s="15" t="str">
        <f>IFERROR(__xludf.DUMMYFUNCTION("""COMPUTED_VALUE"""),"FSA-1")</f>
        <v>FSA-1</v>
      </c>
      <c r="L216" s="15" t="str">
        <f>IFERROR(__xludf.DUMMYFUNCTION("""COMPUTED_VALUE"""),"AUTORIZADO")</f>
        <v>AUTORIZADO</v>
      </c>
      <c r="M216" s="15" t="str">
        <f>IFERROR(__xludf.DUMMYFUNCTION("""COMPUTED_VALUE"""),"NA ORIGEM")</f>
        <v>NA ORIGEM</v>
      </c>
      <c r="N216" s="15" t="str">
        <f>IFERROR(__xludf.DUMMYFUNCTION("""COMPUTED_VALUE"""),"Antes Prazo")</f>
        <v>Antes Prazo</v>
      </c>
      <c r="O216" s="15" t="str">
        <f>IFERROR(__xludf.DUMMYFUNCTION("""COMPUTED_VALUE"""),"B2B")</f>
        <v>B2B</v>
      </c>
      <c r="P216" s="16">
        <f>IFERROR(__xludf.DUMMYFUNCTION("""COMPUTED_VALUE"""),63.12)</f>
        <v>63.12</v>
      </c>
      <c r="Q216" s="15">
        <f>IFERROR(__xludf.DUMMYFUNCTION("""COMPUTED_VALUE"""),1.0)</f>
        <v>1</v>
      </c>
      <c r="R216" s="15" t="str">
        <f>IFERROR(__xludf.DUMMYFUNCTION("""COMPUTED_VALUE"""),"RODO")</f>
        <v>RODO</v>
      </c>
      <c r="S216" s="15" t="str">
        <f>IFERROR(__xludf.DUMMYFUNCTION("""COMPUTED_VALUE"""),"ITN")</f>
        <v>ITN</v>
      </c>
      <c r="T216" s="15" t="str">
        <f>IFERROR(__xludf.DUMMYFUNCTION("""COMPUTED_VALUE"""),"101")</f>
        <v>101</v>
      </c>
      <c r="U216" s="15" t="str">
        <f>IFERROR(__xludf.DUMMYFUNCTION("""COMPUTED_VALUE"""),"266803446 1305467 8176812 leonardo andrade silva calcados(00010126 trifil qgp 101")</f>
        <v>266803446 1305467 8176812 leonardo andrade silva calcados(00010126 trifil qgp 101</v>
      </c>
      <c r="V216" s="15" t="b">
        <f>IFERROR(__xludf.DUMMYFUNCTION("""COMPUTED_VALUE"""),FALSE)</f>
        <v>0</v>
      </c>
    </row>
    <row r="217">
      <c r="A217" s="19">
        <f>IFERROR(__xludf.DUMMYFUNCTION("""COMPUTED_VALUE"""),46304.0)</f>
        <v>46304</v>
      </c>
      <c r="B217" s="19">
        <f>IFERROR(__xludf.DUMMYFUNCTION("""COMPUTED_VALUE"""),46321.0)</f>
        <v>46321</v>
      </c>
      <c r="C217" s="15">
        <f>IFERROR(__xludf.DUMMYFUNCTION("""COMPUTED_VALUE"""),10.0)</f>
        <v>10</v>
      </c>
      <c r="D217" s="15" t="str">
        <f>IFERROR(__xludf.DUMMYFUNCTION("""COMPUTED_VALUE"""),"REC")</f>
        <v>REC</v>
      </c>
      <c r="E217" s="15" t="str">
        <f>IFERROR(__xludf.DUMMYFUNCTION("""COMPUTED_VALUE"""),"J V BERNARDINO MUNIZ ME")</f>
        <v>J V BERNARDINO MUNIZ ME</v>
      </c>
      <c r="F217" s="15" t="str">
        <f>IFERROR(__xludf.DUMMYFUNCTION("""COMPUTED_VALUE"""),"TRIFIL")</f>
        <v>TRIFIL</v>
      </c>
      <c r="G217" s="15" t="str">
        <f>IFERROR(__xludf.DUMMYFUNCTION("""COMPUTED_VALUE"""),"266803447")</f>
        <v>266803447</v>
      </c>
      <c r="H217" s="15" t="str">
        <f>IFERROR(__xludf.DUMMYFUNCTION("""COMPUTED_VALUE"""),"1305452")</f>
        <v>1305452</v>
      </c>
      <c r="I217" s="15" t="str">
        <f>IFERROR(__xludf.DUMMYFUNCTION("""COMPUTED_VALUE"""),"8176944")</f>
        <v>8176944</v>
      </c>
      <c r="J217" s="15" t="str">
        <f>IFERROR(__xludf.DUMMYFUNCTION("""COMPUTED_VALUE"""),"CIF")</f>
        <v>CIF</v>
      </c>
      <c r="K217" s="15" t="str">
        <f>IFERROR(__xludf.DUMMYFUNCTION("""COMPUTED_VALUE"""),"FSA-1")</f>
        <v>FSA-1</v>
      </c>
      <c r="L217" s="15" t="str">
        <f>IFERROR(__xludf.DUMMYFUNCTION("""COMPUTED_VALUE"""),"AUTORIZADO")</f>
        <v>AUTORIZADO</v>
      </c>
      <c r="M217" s="15" t="str">
        <f>IFERROR(__xludf.DUMMYFUNCTION("""COMPUTED_VALUE"""),"NA ORIGEM")</f>
        <v>NA ORIGEM</v>
      </c>
      <c r="N217" s="15" t="str">
        <f>IFERROR(__xludf.DUMMYFUNCTION("""COMPUTED_VALUE"""),"Antes Prazo")</f>
        <v>Antes Prazo</v>
      </c>
      <c r="O217" s="15" t="str">
        <f>IFERROR(__xludf.DUMMYFUNCTION("""COMPUTED_VALUE"""),"B2B")</f>
        <v>B2B</v>
      </c>
      <c r="P217" s="16">
        <f>IFERROR(__xludf.DUMMYFUNCTION("""COMPUTED_VALUE"""),63.12)</f>
        <v>63.12</v>
      </c>
      <c r="Q217" s="15">
        <f>IFERROR(__xludf.DUMMYFUNCTION("""COMPUTED_VALUE"""),1.0)</f>
        <v>1</v>
      </c>
      <c r="R217" s="15" t="str">
        <f>IFERROR(__xludf.DUMMYFUNCTION("""COMPUTED_VALUE"""),"RODO")</f>
        <v>RODO</v>
      </c>
      <c r="S217" s="15" t="str">
        <f>IFERROR(__xludf.DUMMYFUNCTION("""COMPUTED_VALUE"""),"ITN")</f>
        <v>ITN</v>
      </c>
      <c r="T217" s="15" t="str">
        <f>IFERROR(__xludf.DUMMYFUNCTION("""COMPUTED_VALUE"""),"112")</f>
        <v>112</v>
      </c>
      <c r="U217" s="15" t="str">
        <f>IFERROR(__xludf.DUMMYFUNCTION("""COMPUTED_VALUE"""),"266803447 1305452 8176944 j v bernardino muniz me trifil rec 112")</f>
        <v>266803447 1305452 8176944 j v bernardino muniz me trifil rec 112</v>
      </c>
      <c r="V217" s="15" t="b">
        <f>IFERROR(__xludf.DUMMYFUNCTION("""COMPUTED_VALUE"""),FALSE)</f>
        <v>0</v>
      </c>
    </row>
    <row r="218">
      <c r="A218" s="19">
        <f>IFERROR(__xludf.DUMMYFUNCTION("""COMPUTED_VALUE"""),46304.0)</f>
        <v>46304</v>
      </c>
      <c r="B218" s="19">
        <f>IFERROR(__xludf.DUMMYFUNCTION("""COMPUTED_VALUE"""),46318.0)</f>
        <v>46318</v>
      </c>
      <c r="C218" s="15">
        <f>IFERROR(__xludf.DUMMYFUNCTION("""COMPUTED_VALUE"""),9.0)</f>
        <v>9</v>
      </c>
      <c r="D218" s="15" t="str">
        <f>IFERROR(__xludf.DUMMYFUNCTION("""COMPUTED_VALUE"""),"PNZ")</f>
        <v>PNZ</v>
      </c>
      <c r="E218" s="15" t="str">
        <f>IFERROR(__xludf.DUMMYFUNCTION("""COMPUTED_VALUE"""),"O BARATEIRO")</f>
        <v>O BARATEIRO</v>
      </c>
      <c r="F218" s="15" t="str">
        <f>IFERROR(__xludf.DUMMYFUNCTION("""COMPUTED_VALUE"""),"TRIFIL")</f>
        <v>TRIFIL</v>
      </c>
      <c r="G218" s="15" t="str">
        <f>IFERROR(__xludf.DUMMYFUNCTION("""COMPUTED_VALUE"""),"266803448")</f>
        <v>266803448</v>
      </c>
      <c r="H218" s="15" t="str">
        <f>IFERROR(__xludf.DUMMYFUNCTION("""COMPUTED_VALUE"""),"1305322")</f>
        <v>1305322</v>
      </c>
      <c r="I218" s="15" t="str">
        <f>IFERROR(__xludf.DUMMYFUNCTION("""COMPUTED_VALUE"""),"8176945")</f>
        <v>8176945</v>
      </c>
      <c r="J218" s="15" t="str">
        <f>IFERROR(__xludf.DUMMYFUNCTION("""COMPUTED_VALUE"""),"CIF")</f>
        <v>CIF</v>
      </c>
      <c r="K218" s="15" t="str">
        <f>IFERROR(__xludf.DUMMYFUNCTION("""COMPUTED_VALUE"""),"FSA-1")</f>
        <v>FSA-1</v>
      </c>
      <c r="L218" s="15" t="str">
        <f>IFERROR(__xludf.DUMMYFUNCTION("""COMPUTED_VALUE"""),"AUTORIZADO")</f>
        <v>AUTORIZADO</v>
      </c>
      <c r="M218" s="15" t="str">
        <f>IFERROR(__xludf.DUMMYFUNCTION("""COMPUTED_VALUE"""),"NA ORIGEM")</f>
        <v>NA ORIGEM</v>
      </c>
      <c r="N218" s="15" t="str">
        <f>IFERROR(__xludf.DUMMYFUNCTION("""COMPUTED_VALUE"""),"Antes Prazo")</f>
        <v>Antes Prazo</v>
      </c>
      <c r="O218" s="15" t="str">
        <f>IFERROR(__xludf.DUMMYFUNCTION("""COMPUTED_VALUE"""),"B2B")</f>
        <v>B2B</v>
      </c>
      <c r="P218" s="16">
        <f>IFERROR(__xludf.DUMMYFUNCTION("""COMPUTED_VALUE"""),48.96)</f>
        <v>48.96</v>
      </c>
      <c r="Q218" s="15">
        <f>IFERROR(__xludf.DUMMYFUNCTION("""COMPUTED_VALUE"""),1.0)</f>
        <v>1</v>
      </c>
      <c r="R218" s="15" t="str">
        <f>IFERROR(__xludf.DUMMYFUNCTION("""COMPUTED_VALUE"""),"RODO")</f>
        <v>RODO</v>
      </c>
      <c r="S218" s="15" t="str">
        <f>IFERROR(__xludf.DUMMYFUNCTION("""COMPUTED_VALUE"""),"ITN")</f>
        <v>ITN</v>
      </c>
      <c r="T218" s="15" t="str">
        <f>IFERROR(__xludf.DUMMYFUNCTION("""COMPUTED_VALUE"""),"6")</f>
        <v>6</v>
      </c>
      <c r="U218" s="15" t="str">
        <f>IFERROR(__xludf.DUMMYFUNCTION("""COMPUTED_VALUE"""),"266803448 1305322 8176945 o barateiro trifil pnz 6")</f>
        <v>266803448 1305322 8176945 o barateiro trifil pnz 6</v>
      </c>
      <c r="V218" s="15" t="b">
        <f>IFERROR(__xludf.DUMMYFUNCTION("""COMPUTED_VALUE"""),FALSE)</f>
        <v>0</v>
      </c>
    </row>
    <row r="219">
      <c r="A219" s="19">
        <f>IFERROR(__xludf.DUMMYFUNCTION("""COMPUTED_VALUE"""),46304.0)</f>
        <v>46304</v>
      </c>
      <c r="B219" s="19">
        <f>IFERROR(__xludf.DUMMYFUNCTION("""COMPUTED_VALUE"""),46318.0)</f>
        <v>46318</v>
      </c>
      <c r="C219" s="15">
        <f>IFERROR(__xludf.DUMMYFUNCTION("""COMPUTED_VALUE"""),9.0)</f>
        <v>9</v>
      </c>
      <c r="D219" s="15" t="str">
        <f>IFERROR(__xludf.DUMMYFUNCTION("""COMPUTED_VALUE"""),"PNZ")</f>
        <v>PNZ</v>
      </c>
      <c r="E219" s="15" t="str">
        <f>IFERROR(__xludf.DUMMYFUNCTION("""COMPUTED_VALUE"""),"LUPO LJ 2 ESPORTE")</f>
        <v>LUPO LJ 2 ESPORTE</v>
      </c>
      <c r="F219" s="15" t="str">
        <f>IFERROR(__xludf.DUMMYFUNCTION("""COMPUTED_VALUE"""),"TRIFIL")</f>
        <v>TRIFIL</v>
      </c>
      <c r="G219" s="15" t="str">
        <f>IFERROR(__xludf.DUMMYFUNCTION("""COMPUTED_VALUE"""),"266803449")</f>
        <v>266803449</v>
      </c>
      <c r="H219" s="15" t="str">
        <f>IFERROR(__xludf.DUMMYFUNCTION("""COMPUTED_VALUE"""),"1305557")</f>
        <v>1305557</v>
      </c>
      <c r="I219" s="15" t="str">
        <f>IFERROR(__xludf.DUMMYFUNCTION("""COMPUTED_VALUE"""),"8176984")</f>
        <v>8176984</v>
      </c>
      <c r="J219" s="15" t="str">
        <f>IFERROR(__xludf.DUMMYFUNCTION("""COMPUTED_VALUE"""),"CIF")</f>
        <v>CIF</v>
      </c>
      <c r="K219" s="15" t="str">
        <f>IFERROR(__xludf.DUMMYFUNCTION("""COMPUTED_VALUE"""),"FSA-1")</f>
        <v>FSA-1</v>
      </c>
      <c r="L219" s="15" t="str">
        <f>IFERROR(__xludf.DUMMYFUNCTION("""COMPUTED_VALUE"""),"AUTORIZADO")</f>
        <v>AUTORIZADO</v>
      </c>
      <c r="M219" s="15" t="str">
        <f>IFERROR(__xludf.DUMMYFUNCTION("""COMPUTED_VALUE"""),"NA ORIGEM")</f>
        <v>NA ORIGEM</v>
      </c>
      <c r="N219" s="15" t="str">
        <f>IFERROR(__xludf.DUMMYFUNCTION("""COMPUTED_VALUE"""),"Antes Prazo")</f>
        <v>Antes Prazo</v>
      </c>
      <c r="O219" s="15" t="str">
        <f>IFERROR(__xludf.DUMMYFUNCTION("""COMPUTED_VALUE"""),"B2B")</f>
        <v>B2B</v>
      </c>
      <c r="P219" s="16">
        <f>IFERROR(__xludf.DUMMYFUNCTION("""COMPUTED_VALUE"""),48.96)</f>
        <v>48.96</v>
      </c>
      <c r="Q219" s="15">
        <f>IFERROR(__xludf.DUMMYFUNCTION("""COMPUTED_VALUE"""),2.0)</f>
        <v>2</v>
      </c>
      <c r="R219" s="15" t="str">
        <f>IFERROR(__xludf.DUMMYFUNCTION("""COMPUTED_VALUE"""),"RODO")</f>
        <v>RODO</v>
      </c>
      <c r="S219" s="15" t="str">
        <f>IFERROR(__xludf.DUMMYFUNCTION("""COMPUTED_VALUE"""),"ITN")</f>
        <v>ITN</v>
      </c>
      <c r="T219" s="15" t="str">
        <f>IFERROR(__xludf.DUMMYFUNCTION("""COMPUTED_VALUE"""),"5")</f>
        <v>5</v>
      </c>
      <c r="U219" s="15" t="str">
        <f>IFERROR(__xludf.DUMMYFUNCTION("""COMPUTED_VALUE"""),"266803449 1305557 8176984 lupo lj 2 esporte trifil pnz 5")</f>
        <v>266803449 1305557 8176984 lupo lj 2 esporte trifil pnz 5</v>
      </c>
      <c r="V219" s="15" t="b">
        <f>IFERROR(__xludf.DUMMYFUNCTION("""COMPUTED_VALUE"""),FALSE)</f>
        <v>0</v>
      </c>
    </row>
    <row r="220">
      <c r="A220" s="19">
        <f>IFERROR(__xludf.DUMMYFUNCTION("""COMPUTED_VALUE"""),46304.0)</f>
        <v>46304</v>
      </c>
      <c r="B220" s="19">
        <f>IFERROR(__xludf.DUMMYFUNCTION("""COMPUTED_VALUE"""),46316.0)</f>
        <v>46316</v>
      </c>
      <c r="C220" s="15">
        <f>IFERROR(__xludf.DUMMYFUNCTION("""COMPUTED_VALUE"""),7.0)</f>
        <v>7</v>
      </c>
      <c r="D220" s="15" t="str">
        <f>IFERROR(__xludf.DUMMYFUNCTION("""COMPUTED_VALUE"""),"STO")</f>
        <v>STO</v>
      </c>
      <c r="E220" s="15" t="str">
        <f>IFERROR(__xludf.DUMMYFUNCTION("""COMPUTED_VALUE"""),"DIOGO ALMEIDA DA CRUZ LTDA")</f>
        <v>DIOGO ALMEIDA DA CRUZ LTDA</v>
      </c>
      <c r="F220" s="15" t="str">
        <f>IFERROR(__xludf.DUMMYFUNCTION("""COMPUTED_VALUE"""),"TRIFIL")</f>
        <v>TRIFIL</v>
      </c>
      <c r="G220" s="15" t="str">
        <f>IFERROR(__xludf.DUMMYFUNCTION("""COMPUTED_VALUE"""),"266803450")</f>
        <v>266803450</v>
      </c>
      <c r="H220" s="15" t="str">
        <f>IFERROR(__xludf.DUMMYFUNCTION("""COMPUTED_VALUE"""),"1305872")</f>
        <v>1305872</v>
      </c>
      <c r="I220" s="15" t="str">
        <f>IFERROR(__xludf.DUMMYFUNCTION("""COMPUTED_VALUE"""),"8176724")</f>
        <v>8176724</v>
      </c>
      <c r="J220" s="15" t="str">
        <f>IFERROR(__xludf.DUMMYFUNCTION("""COMPUTED_VALUE"""),"CIF")</f>
        <v>CIF</v>
      </c>
      <c r="K220" s="15" t="str">
        <f>IFERROR(__xludf.DUMMYFUNCTION("""COMPUTED_VALUE"""),"SAO-1")</f>
        <v>SAO-1</v>
      </c>
      <c r="L220" s="15" t="str">
        <f>IFERROR(__xludf.DUMMYFUNCTION("""COMPUTED_VALUE"""),"AUTORIZADO")</f>
        <v>AUTORIZADO</v>
      </c>
      <c r="M220" s="15" t="str">
        <f>IFERROR(__xludf.DUMMYFUNCTION("""COMPUTED_VALUE"""),"NA ORIGEM")</f>
        <v>NA ORIGEM</v>
      </c>
      <c r="N220" s="15" t="str">
        <f>IFERROR(__xludf.DUMMYFUNCTION("""COMPUTED_VALUE"""),"Antes Prazo")</f>
        <v>Antes Prazo</v>
      </c>
      <c r="O220" s="15" t="str">
        <f>IFERROR(__xludf.DUMMYFUNCTION("""COMPUTED_VALUE"""),"B2B")</f>
        <v>B2B</v>
      </c>
      <c r="P220" s="16">
        <f>IFERROR(__xludf.DUMMYFUNCTION("""COMPUTED_VALUE"""),45.49)</f>
        <v>45.49</v>
      </c>
      <c r="Q220" s="15">
        <f>IFERROR(__xludf.DUMMYFUNCTION("""COMPUTED_VALUE"""),2.0)</f>
        <v>2</v>
      </c>
      <c r="R220" s="15" t="str">
        <f>IFERROR(__xludf.DUMMYFUNCTION("""COMPUTED_VALUE"""),"RODO")</f>
        <v>RODO</v>
      </c>
      <c r="S220" s="15" t="str">
        <f>IFERROR(__xludf.DUMMYFUNCTION("""COMPUTED_VALUE"""),"ITN")</f>
        <v>ITN</v>
      </c>
      <c r="T220" s="15" t="str">
        <f>IFERROR(__xludf.DUMMYFUNCTION("""COMPUTED_VALUE"""),"561")</f>
        <v>561</v>
      </c>
      <c r="U220" s="15" t="str">
        <f>IFERROR(__xludf.DUMMYFUNCTION("""COMPUTED_VALUE"""),"266803450 1305872 8176724 diogo almeida da cruz ltda trifil sto 561")</f>
        <v>266803450 1305872 8176724 diogo almeida da cruz ltda trifil sto 561</v>
      </c>
      <c r="V220" s="15" t="b">
        <f>IFERROR(__xludf.DUMMYFUNCTION("""COMPUTED_VALUE"""),FALSE)</f>
        <v>0</v>
      </c>
    </row>
    <row r="221">
      <c r="A221" s="19">
        <f>IFERROR(__xludf.DUMMYFUNCTION("""COMPUTED_VALUE"""),46304.0)</f>
        <v>46304</v>
      </c>
      <c r="B221" s="19">
        <f>IFERROR(__xludf.DUMMYFUNCTION("""COMPUTED_VALUE"""),46325.0)</f>
        <v>46325</v>
      </c>
      <c r="C221" s="15">
        <f>IFERROR(__xludf.DUMMYFUNCTION("""COMPUTED_VALUE"""),14.0)</f>
        <v>14</v>
      </c>
      <c r="D221" s="15" t="str">
        <f>IFERROR(__xludf.DUMMYFUNCTION("""COMPUTED_VALUE"""),"SGR")</f>
        <v>SGR</v>
      </c>
      <c r="E221" s="15" t="str">
        <f>IFERROR(__xludf.DUMMYFUNCTION("""COMPUTED_VALUE"""),"COMERCIAL OESTE LTDA")</f>
        <v>COMERCIAL OESTE LTDA</v>
      </c>
      <c r="F221" s="15" t="str">
        <f>IFERROR(__xludf.DUMMYFUNCTION("""COMPUTED_VALUE"""),"TRIFIL")</f>
        <v>TRIFIL</v>
      </c>
      <c r="G221" s="15" t="str">
        <f>IFERROR(__xludf.DUMMYFUNCTION("""COMPUTED_VALUE"""),"266803451")</f>
        <v>266803451</v>
      </c>
      <c r="H221" s="15" t="str">
        <f>IFERROR(__xludf.DUMMYFUNCTION("""COMPUTED_VALUE"""),"1305078")</f>
        <v>1305078</v>
      </c>
      <c r="I221" s="15" t="str">
        <f>IFERROR(__xludf.DUMMYFUNCTION("""COMPUTED_VALUE"""),"8177032")</f>
        <v>8177032</v>
      </c>
      <c r="J221" s="15" t="str">
        <f>IFERROR(__xludf.DUMMYFUNCTION("""COMPUTED_VALUE"""),"CIF")</f>
        <v>CIF</v>
      </c>
      <c r="K221" s="15" t="str">
        <f>IFERROR(__xludf.DUMMYFUNCTION("""COMPUTED_VALUE"""),"FSA-1")</f>
        <v>FSA-1</v>
      </c>
      <c r="L221" s="15" t="str">
        <f>IFERROR(__xludf.DUMMYFUNCTION("""COMPUTED_VALUE"""),"AUTORIZADO")</f>
        <v>AUTORIZADO</v>
      </c>
      <c r="M221" s="15" t="str">
        <f>IFERROR(__xludf.DUMMYFUNCTION("""COMPUTED_VALUE"""),"NA ORIGEM")</f>
        <v>NA ORIGEM</v>
      </c>
      <c r="N221" s="15" t="str">
        <f>IFERROR(__xludf.DUMMYFUNCTION("""COMPUTED_VALUE"""),"Antes Prazo")</f>
        <v>Antes Prazo</v>
      </c>
      <c r="O221" s="15" t="str">
        <f>IFERROR(__xludf.DUMMYFUNCTION("""COMPUTED_VALUE"""),"B2B")</f>
        <v>B2B</v>
      </c>
      <c r="P221" s="16">
        <f>IFERROR(__xludf.DUMMYFUNCTION("""COMPUTED_VALUE"""),63.12)</f>
        <v>63.12</v>
      </c>
      <c r="Q221" s="15">
        <f>IFERROR(__xludf.DUMMYFUNCTION("""COMPUTED_VALUE"""),1.0)</f>
        <v>1</v>
      </c>
      <c r="R221" s="15" t="str">
        <f>IFERROR(__xludf.DUMMYFUNCTION("""COMPUTED_VALUE"""),"RODO")</f>
        <v>RODO</v>
      </c>
      <c r="S221" s="15" t="str">
        <f>IFERROR(__xludf.DUMMYFUNCTION("""COMPUTED_VALUE"""),"ITN")</f>
        <v>ITN</v>
      </c>
      <c r="T221" s="15" t="str">
        <f>IFERROR(__xludf.DUMMYFUNCTION("""COMPUTED_VALUE"""),"4")</f>
        <v>4</v>
      </c>
      <c r="U221" s="15" t="str">
        <f>IFERROR(__xludf.DUMMYFUNCTION("""COMPUTED_VALUE"""),"266803451 1305078 8177032 comercial oeste ltda trifil sgr 4")</f>
        <v>266803451 1305078 8177032 comercial oeste ltda trifil sgr 4</v>
      </c>
      <c r="V221" s="15" t="b">
        <f>IFERROR(__xludf.DUMMYFUNCTION("""COMPUTED_VALUE"""),FALSE)</f>
        <v>0</v>
      </c>
    </row>
    <row r="222">
      <c r="A222" s="19">
        <f>IFERROR(__xludf.DUMMYFUNCTION("""COMPUTED_VALUE"""),46304.0)</f>
        <v>46304</v>
      </c>
      <c r="B222" s="19">
        <f>IFERROR(__xludf.DUMMYFUNCTION("""COMPUTED_VALUE"""),46315.0)</f>
        <v>46315</v>
      </c>
      <c r="C222" s="15">
        <f>IFERROR(__xludf.DUMMYFUNCTION("""COMPUTED_VALUE"""),6.0)</f>
        <v>6</v>
      </c>
      <c r="D222" s="15" t="str">
        <f>IFERROR(__xludf.DUMMYFUNCTION("""COMPUTED_VALUE"""),"MCZ")</f>
        <v>MCZ</v>
      </c>
      <c r="E222" s="15" t="str">
        <f>IFERROR(__xludf.DUMMYFUNCTION("""COMPUTED_VALUE"""),"LUPO ( MACEIO SHOPPING )")</f>
        <v>LUPO ( MACEIO SHOPPING )</v>
      </c>
      <c r="F222" s="15" t="str">
        <f>IFERROR(__xludf.DUMMYFUNCTION("""COMPUTED_VALUE"""),"TRIFIL")</f>
        <v>TRIFIL</v>
      </c>
      <c r="G222" s="15" t="str">
        <f>IFERROR(__xludf.DUMMYFUNCTION("""COMPUTED_VALUE"""),"266803452")</f>
        <v>266803452</v>
      </c>
      <c r="H222" s="15" t="str">
        <f>IFERROR(__xludf.DUMMYFUNCTION("""COMPUTED_VALUE"""),"1305330")</f>
        <v>1305330</v>
      </c>
      <c r="I222" s="15" t="str">
        <f>IFERROR(__xludf.DUMMYFUNCTION("""COMPUTED_VALUE"""),"8176788")</f>
        <v>8176788</v>
      </c>
      <c r="J222" s="15" t="str">
        <f>IFERROR(__xludf.DUMMYFUNCTION("""COMPUTED_VALUE"""),"CIF")</f>
        <v>CIF</v>
      </c>
      <c r="K222" s="15" t="str">
        <f>IFERROR(__xludf.DUMMYFUNCTION("""COMPUTED_VALUE"""),"FSA-1")</f>
        <v>FSA-1</v>
      </c>
      <c r="L222" s="15" t="str">
        <f>IFERROR(__xludf.DUMMYFUNCTION("""COMPUTED_VALUE"""),"AUTORIZADO")</f>
        <v>AUTORIZADO</v>
      </c>
      <c r="M222" s="15" t="str">
        <f>IFERROR(__xludf.DUMMYFUNCTION("""COMPUTED_VALUE"""),"NA ORIGEM")</f>
        <v>NA ORIGEM</v>
      </c>
      <c r="N222" s="15" t="str">
        <f>IFERROR(__xludf.DUMMYFUNCTION("""COMPUTED_VALUE"""),"Antes Prazo")</f>
        <v>Antes Prazo</v>
      </c>
      <c r="O222" s="15" t="str">
        <f>IFERROR(__xludf.DUMMYFUNCTION("""COMPUTED_VALUE"""),"B2B")</f>
        <v>B2B</v>
      </c>
      <c r="P222" s="16">
        <f>IFERROR(__xludf.DUMMYFUNCTION("""COMPUTED_VALUE"""),51.54)</f>
        <v>51.54</v>
      </c>
      <c r="Q222" s="15">
        <f>IFERROR(__xludf.DUMMYFUNCTION("""COMPUTED_VALUE"""),1.0)</f>
        <v>1</v>
      </c>
      <c r="R222" s="15" t="str">
        <f>IFERROR(__xludf.DUMMYFUNCTION("""COMPUTED_VALUE"""),"RODO")</f>
        <v>RODO</v>
      </c>
      <c r="S222" s="15" t="str">
        <f>IFERROR(__xludf.DUMMYFUNCTION("""COMPUTED_VALUE"""),"ITN")</f>
        <v>ITN</v>
      </c>
      <c r="T222" s="15" t="str">
        <f>IFERROR(__xludf.DUMMYFUNCTION("""COMPUTED_VALUE"""),"4")</f>
        <v>4</v>
      </c>
      <c r="U222" s="15" t="str">
        <f>IFERROR(__xludf.DUMMYFUNCTION("""COMPUTED_VALUE"""),"266803452 1305330 8176788 lupo ( maceio shopping ) trifil mcz 4")</f>
        <v>266803452 1305330 8176788 lupo ( maceio shopping ) trifil mcz 4</v>
      </c>
      <c r="V222" s="15" t="b">
        <f>IFERROR(__xludf.DUMMYFUNCTION("""COMPUTED_VALUE"""),FALSE)</f>
        <v>0</v>
      </c>
    </row>
    <row r="223">
      <c r="A223" s="19">
        <f>IFERROR(__xludf.DUMMYFUNCTION("""COMPUTED_VALUE"""),46304.0)</f>
        <v>46304</v>
      </c>
      <c r="B223" s="19">
        <f>IFERROR(__xludf.DUMMYFUNCTION("""COMPUTED_VALUE"""),46315.0)</f>
        <v>46315</v>
      </c>
      <c r="C223" s="15">
        <f>IFERROR(__xludf.DUMMYFUNCTION("""COMPUTED_VALUE"""),6.0)</f>
        <v>6</v>
      </c>
      <c r="D223" s="15" t="str">
        <f>IFERROR(__xludf.DUMMYFUNCTION("""COMPUTED_VALUE"""),"MCZ")</f>
        <v>MCZ</v>
      </c>
      <c r="E223" s="15" t="str">
        <f>IFERROR(__xludf.DUMMYFUNCTION("""COMPUTED_VALUE"""),"VIA SOL")</f>
        <v>VIA SOL</v>
      </c>
      <c r="F223" s="15" t="str">
        <f>IFERROR(__xludf.DUMMYFUNCTION("""COMPUTED_VALUE"""),"TRIFIL")</f>
        <v>TRIFIL</v>
      </c>
      <c r="G223" s="15" t="str">
        <f>IFERROR(__xludf.DUMMYFUNCTION("""COMPUTED_VALUE"""),"266803453")</f>
        <v>266803453</v>
      </c>
      <c r="H223" s="15" t="str">
        <f>IFERROR(__xludf.DUMMYFUNCTION("""COMPUTED_VALUE"""),"1305962")</f>
        <v>1305962</v>
      </c>
      <c r="I223" s="15" t="str">
        <f>IFERROR(__xludf.DUMMYFUNCTION("""COMPUTED_VALUE"""),"8176758")</f>
        <v>8176758</v>
      </c>
      <c r="J223" s="15" t="str">
        <f>IFERROR(__xludf.DUMMYFUNCTION("""COMPUTED_VALUE"""),"CIF")</f>
        <v>CIF</v>
      </c>
      <c r="K223" s="15" t="str">
        <f>IFERROR(__xludf.DUMMYFUNCTION("""COMPUTED_VALUE"""),"FSA-1")</f>
        <v>FSA-1</v>
      </c>
      <c r="L223" s="15" t="str">
        <f>IFERROR(__xludf.DUMMYFUNCTION("""COMPUTED_VALUE"""),"AUTORIZADO")</f>
        <v>AUTORIZADO</v>
      </c>
      <c r="M223" s="15" t="str">
        <f>IFERROR(__xludf.DUMMYFUNCTION("""COMPUTED_VALUE"""),"NA ORIGEM")</f>
        <v>NA ORIGEM</v>
      </c>
      <c r="N223" s="15" t="str">
        <f>IFERROR(__xludf.DUMMYFUNCTION("""COMPUTED_VALUE"""),"Antes Prazo")</f>
        <v>Antes Prazo</v>
      </c>
      <c r="O223" s="15" t="str">
        <f>IFERROR(__xludf.DUMMYFUNCTION("""COMPUTED_VALUE"""),"B2B")</f>
        <v>B2B</v>
      </c>
      <c r="P223" s="16">
        <f>IFERROR(__xludf.DUMMYFUNCTION("""COMPUTED_VALUE"""),51.54)</f>
        <v>51.54</v>
      </c>
      <c r="Q223" s="15">
        <f>IFERROR(__xludf.DUMMYFUNCTION("""COMPUTED_VALUE"""),2.0)</f>
        <v>2</v>
      </c>
      <c r="R223" s="15" t="str">
        <f>IFERROR(__xludf.DUMMYFUNCTION("""COMPUTED_VALUE"""),"RODO")</f>
        <v>RODO</v>
      </c>
      <c r="S223" s="15" t="str">
        <f>IFERROR(__xludf.DUMMYFUNCTION("""COMPUTED_VALUE"""),"ITN")</f>
        <v>ITN</v>
      </c>
      <c r="T223" s="15" t="str">
        <f>IFERROR(__xludf.DUMMYFUNCTION("""COMPUTED_VALUE"""),"4")</f>
        <v>4</v>
      </c>
      <c r="U223" s="15" t="str">
        <f>IFERROR(__xludf.DUMMYFUNCTION("""COMPUTED_VALUE"""),"266803453 1305962 8176758 via sol trifil mcz 4")</f>
        <v>266803453 1305962 8176758 via sol trifil mcz 4</v>
      </c>
      <c r="V223" s="15" t="b">
        <f>IFERROR(__xludf.DUMMYFUNCTION("""COMPUTED_VALUE"""),FALSE)</f>
        <v>0</v>
      </c>
    </row>
    <row r="224">
      <c r="A224" s="19">
        <f>IFERROR(__xludf.DUMMYFUNCTION("""COMPUTED_VALUE"""),46304.0)</f>
        <v>46304</v>
      </c>
      <c r="B224" s="19">
        <f>IFERROR(__xludf.DUMMYFUNCTION("""COMPUTED_VALUE"""),46316.0)</f>
        <v>46316</v>
      </c>
      <c r="C224" s="15">
        <f>IFERROR(__xludf.DUMMYFUNCTION("""COMPUTED_VALUE"""),7.0)</f>
        <v>7</v>
      </c>
      <c r="D224" s="15" t="str">
        <f>IFERROR(__xludf.DUMMYFUNCTION("""COMPUTED_VALUE"""),"MCZ")</f>
        <v>MCZ</v>
      </c>
      <c r="E224" s="15" t="str">
        <f>IFERROR(__xludf.DUMMYFUNCTION("""COMPUTED_VALUE"""),"EDJANE M DA SILVA - ME")</f>
        <v>EDJANE M DA SILVA - ME</v>
      </c>
      <c r="F224" s="15" t="str">
        <f>IFERROR(__xludf.DUMMYFUNCTION("""COMPUTED_VALUE"""),"TRIFIL")</f>
        <v>TRIFIL</v>
      </c>
      <c r="G224" s="15" t="str">
        <f>IFERROR(__xludf.DUMMYFUNCTION("""COMPUTED_VALUE"""),"266803454")</f>
        <v>266803454</v>
      </c>
      <c r="H224" s="15" t="str">
        <f>IFERROR(__xludf.DUMMYFUNCTION("""COMPUTED_VALUE"""),"1305774")</f>
        <v>1305774</v>
      </c>
      <c r="I224" s="15" t="str">
        <f>IFERROR(__xludf.DUMMYFUNCTION("""COMPUTED_VALUE"""),"8176725")</f>
        <v>8176725</v>
      </c>
      <c r="J224" s="15" t="str">
        <f>IFERROR(__xludf.DUMMYFUNCTION("""COMPUTED_VALUE"""),"CIF")</f>
        <v>CIF</v>
      </c>
      <c r="K224" s="15" t="str">
        <f>IFERROR(__xludf.DUMMYFUNCTION("""COMPUTED_VALUE"""),"FSA-1")</f>
        <v>FSA-1</v>
      </c>
      <c r="L224" s="15" t="str">
        <f>IFERROR(__xludf.DUMMYFUNCTION("""COMPUTED_VALUE"""),"AUTORIZADO")</f>
        <v>AUTORIZADO</v>
      </c>
      <c r="M224" s="15" t="str">
        <f>IFERROR(__xludf.DUMMYFUNCTION("""COMPUTED_VALUE"""),"NA ORIGEM")</f>
        <v>NA ORIGEM</v>
      </c>
      <c r="N224" s="15" t="str">
        <f>IFERROR(__xludf.DUMMYFUNCTION("""COMPUTED_VALUE"""),"Antes Prazo")</f>
        <v>Antes Prazo</v>
      </c>
      <c r="O224" s="15" t="str">
        <f>IFERROR(__xludf.DUMMYFUNCTION("""COMPUTED_VALUE"""),"B2B")</f>
        <v>B2B</v>
      </c>
      <c r="P224" s="16">
        <f>IFERROR(__xludf.DUMMYFUNCTION("""COMPUTED_VALUE"""),57.25)</f>
        <v>57.25</v>
      </c>
      <c r="Q224" s="15">
        <f>IFERROR(__xludf.DUMMYFUNCTION("""COMPUTED_VALUE"""),4.0)</f>
        <v>4</v>
      </c>
      <c r="R224" s="15" t="str">
        <f>IFERROR(__xludf.DUMMYFUNCTION("""COMPUTED_VALUE"""),"RODO")</f>
        <v>RODO</v>
      </c>
      <c r="S224" s="15" t="str">
        <f>IFERROR(__xludf.DUMMYFUNCTION("""COMPUTED_VALUE"""),"ITN")</f>
        <v>ITN</v>
      </c>
      <c r="T224" s="15" t="str">
        <f>IFERROR(__xludf.DUMMYFUNCTION("""COMPUTED_VALUE"""),"101")</f>
        <v>101</v>
      </c>
      <c r="U224" s="15" t="str">
        <f>IFERROR(__xludf.DUMMYFUNCTION("""COMPUTED_VALUE"""),"266803454 1305774 8176725 edjane m da silva - me trifil mcz 101")</f>
        <v>266803454 1305774 8176725 edjane m da silva - me trifil mcz 101</v>
      </c>
      <c r="V224" s="15" t="b">
        <f>IFERROR(__xludf.DUMMYFUNCTION("""COMPUTED_VALUE"""),FALSE)</f>
        <v>0</v>
      </c>
    </row>
    <row r="225">
      <c r="A225" s="19">
        <f>IFERROR(__xludf.DUMMYFUNCTION("""COMPUTED_VALUE"""),46304.0)</f>
        <v>46304</v>
      </c>
      <c r="B225" s="19">
        <f>IFERROR(__xludf.DUMMYFUNCTION("""COMPUTED_VALUE"""),46324.0)</f>
        <v>46324</v>
      </c>
      <c r="C225" s="15">
        <f>IFERROR(__xludf.DUMMYFUNCTION("""COMPUTED_VALUE"""),13.0)</f>
        <v>13</v>
      </c>
      <c r="D225" s="15" t="str">
        <f>IFERROR(__xludf.DUMMYFUNCTION("""COMPUTED_VALUE"""),"CPV")</f>
        <v>CPV</v>
      </c>
      <c r="E225" s="15" t="str">
        <f>IFERROR(__xludf.DUMMYFUNCTION("""COMPUTED_VALUE"""),"LINDOMAR SOARES PEREIRA")</f>
        <v>LINDOMAR SOARES PEREIRA</v>
      </c>
      <c r="F225" s="15" t="str">
        <f>IFERROR(__xludf.DUMMYFUNCTION("""COMPUTED_VALUE"""),"TRIFIL")</f>
        <v>TRIFIL</v>
      </c>
      <c r="G225" s="15" t="str">
        <f>IFERROR(__xludf.DUMMYFUNCTION("""COMPUTED_VALUE"""),"266803455")</f>
        <v>266803455</v>
      </c>
      <c r="H225" s="15" t="str">
        <f>IFERROR(__xludf.DUMMYFUNCTION("""COMPUTED_VALUE"""),"1305810")</f>
        <v>1305810</v>
      </c>
      <c r="I225" s="15" t="str">
        <f>IFERROR(__xludf.DUMMYFUNCTION("""COMPUTED_VALUE"""),"8176946")</f>
        <v>8176946</v>
      </c>
      <c r="J225" s="15" t="str">
        <f>IFERROR(__xludf.DUMMYFUNCTION("""COMPUTED_VALUE"""),"CIF")</f>
        <v>CIF</v>
      </c>
      <c r="K225" s="15" t="str">
        <f>IFERROR(__xludf.DUMMYFUNCTION("""COMPUTED_VALUE"""),"FSA-1")</f>
        <v>FSA-1</v>
      </c>
      <c r="L225" s="15" t="str">
        <f>IFERROR(__xludf.DUMMYFUNCTION("""COMPUTED_VALUE"""),"AUTORIZADO")</f>
        <v>AUTORIZADO</v>
      </c>
      <c r="M225" s="15" t="str">
        <f>IFERROR(__xludf.DUMMYFUNCTION("""COMPUTED_VALUE"""),"NA ORIGEM")</f>
        <v>NA ORIGEM</v>
      </c>
      <c r="N225" s="15" t="str">
        <f>IFERROR(__xludf.DUMMYFUNCTION("""COMPUTED_VALUE"""),"Antes Prazo")</f>
        <v>Antes Prazo</v>
      </c>
      <c r="O225" s="15" t="str">
        <f>IFERROR(__xludf.DUMMYFUNCTION("""COMPUTED_VALUE"""),"B2B")</f>
        <v>B2B</v>
      </c>
      <c r="P225" s="16">
        <f>IFERROR(__xludf.DUMMYFUNCTION("""COMPUTED_VALUE"""),71.9)</f>
        <v>71.9</v>
      </c>
      <c r="Q225" s="15">
        <f>IFERROR(__xludf.DUMMYFUNCTION("""COMPUTED_VALUE"""),3.0)</f>
        <v>3</v>
      </c>
      <c r="R225" s="15" t="str">
        <f>IFERROR(__xludf.DUMMYFUNCTION("""COMPUTED_VALUE"""),"RODO")</f>
        <v>RODO</v>
      </c>
      <c r="S225" s="15" t="str">
        <f>IFERROR(__xludf.DUMMYFUNCTION("""COMPUTED_VALUE"""),"ITN")</f>
        <v>ITN</v>
      </c>
      <c r="T225" s="15" t="str">
        <f>IFERROR(__xludf.DUMMYFUNCTION("""COMPUTED_VALUE"""),"107")</f>
        <v>107</v>
      </c>
      <c r="U225" s="15" t="str">
        <f>IFERROR(__xludf.DUMMYFUNCTION("""COMPUTED_VALUE"""),"266803455 1305810 8176946 lindomar soares pereira trifil cpv 107")</f>
        <v>266803455 1305810 8176946 lindomar soares pereira trifil cpv 107</v>
      </c>
      <c r="V225" s="15" t="b">
        <f>IFERROR(__xludf.DUMMYFUNCTION("""COMPUTED_VALUE"""),FALSE)</f>
        <v>0</v>
      </c>
    </row>
    <row r="226">
      <c r="A226" s="19">
        <f>IFERROR(__xludf.DUMMYFUNCTION("""COMPUTED_VALUE"""),46304.0)</f>
        <v>46304</v>
      </c>
      <c r="B226" s="19">
        <f>IFERROR(__xludf.DUMMYFUNCTION("""COMPUTED_VALUE"""),46324.0)</f>
        <v>46324</v>
      </c>
      <c r="C226" s="15">
        <f>IFERROR(__xludf.DUMMYFUNCTION("""COMPUTED_VALUE"""),13.0)</f>
        <v>13</v>
      </c>
      <c r="D226" s="15" t="str">
        <f>IFERROR(__xludf.DUMMYFUNCTION("""COMPUTED_VALUE"""),"CJZ")</f>
        <v>CJZ</v>
      </c>
      <c r="E226" s="15" t="str">
        <f>IFERROR(__xludf.DUMMYFUNCTION("""COMPUTED_VALUE"""),"MARIA APARECIDA FORMIGA DE SOUZA(0001008")</f>
        <v>MARIA APARECIDA FORMIGA DE SOUZA(0001008</v>
      </c>
      <c r="F226" s="15" t="str">
        <f>IFERROR(__xludf.DUMMYFUNCTION("""COMPUTED_VALUE"""),"TRIFIL")</f>
        <v>TRIFIL</v>
      </c>
      <c r="G226" s="15" t="str">
        <f>IFERROR(__xludf.DUMMYFUNCTION("""COMPUTED_VALUE"""),"266803456")</f>
        <v>266803456</v>
      </c>
      <c r="H226" s="15" t="str">
        <f>IFERROR(__xludf.DUMMYFUNCTION("""COMPUTED_VALUE"""),"1305572")</f>
        <v>1305572</v>
      </c>
      <c r="I226" s="15" t="str">
        <f>IFERROR(__xludf.DUMMYFUNCTION("""COMPUTED_VALUE"""),"8176854")</f>
        <v>8176854</v>
      </c>
      <c r="J226" s="15" t="str">
        <f>IFERROR(__xludf.DUMMYFUNCTION("""COMPUTED_VALUE"""),"CIF")</f>
        <v>CIF</v>
      </c>
      <c r="K226" s="15" t="str">
        <f>IFERROR(__xludf.DUMMYFUNCTION("""COMPUTED_VALUE"""),"FSA-1")</f>
        <v>FSA-1</v>
      </c>
      <c r="L226" s="15" t="str">
        <f>IFERROR(__xludf.DUMMYFUNCTION("""COMPUTED_VALUE"""),"AUTORIZADO")</f>
        <v>AUTORIZADO</v>
      </c>
      <c r="M226" s="15" t="str">
        <f>IFERROR(__xludf.DUMMYFUNCTION("""COMPUTED_VALUE"""),"NA ORIGEM")</f>
        <v>NA ORIGEM</v>
      </c>
      <c r="N226" s="15" t="str">
        <f>IFERROR(__xludf.DUMMYFUNCTION("""COMPUTED_VALUE"""),"Antes Prazo")</f>
        <v>Antes Prazo</v>
      </c>
      <c r="O226" s="15" t="str">
        <f>IFERROR(__xludf.DUMMYFUNCTION("""COMPUTED_VALUE"""),"B2B")</f>
        <v>B2B</v>
      </c>
      <c r="P226" s="16">
        <f>IFERROR(__xludf.DUMMYFUNCTION("""COMPUTED_VALUE"""),71.9)</f>
        <v>71.9</v>
      </c>
      <c r="Q226" s="15">
        <f>IFERROR(__xludf.DUMMYFUNCTION("""COMPUTED_VALUE"""),1.0)</f>
        <v>1</v>
      </c>
      <c r="R226" s="15" t="str">
        <f>IFERROR(__xludf.DUMMYFUNCTION("""COMPUTED_VALUE"""),"RODO")</f>
        <v>RODO</v>
      </c>
      <c r="S226" s="15" t="str">
        <f>IFERROR(__xludf.DUMMYFUNCTION("""COMPUTED_VALUE"""),"ITN")</f>
        <v>ITN</v>
      </c>
      <c r="T226" s="15" t="str">
        <f>IFERROR(__xludf.DUMMYFUNCTION("""COMPUTED_VALUE"""),"3")</f>
        <v>3</v>
      </c>
      <c r="U226" s="15" t="str">
        <f>IFERROR(__xludf.DUMMYFUNCTION("""COMPUTED_VALUE"""),"266803456 1305572 8176854 maria aparecida formiga de souza(0001008 trifil cjz 3")</f>
        <v>266803456 1305572 8176854 maria aparecida formiga de souza(0001008 trifil cjz 3</v>
      </c>
      <c r="V226" s="15" t="b">
        <f>IFERROR(__xludf.DUMMYFUNCTION("""COMPUTED_VALUE"""),FALSE)</f>
        <v>0</v>
      </c>
    </row>
    <row r="227">
      <c r="A227" s="19">
        <f>IFERROR(__xludf.DUMMYFUNCTION("""COMPUTED_VALUE"""),46304.0)</f>
        <v>46304</v>
      </c>
      <c r="B227" s="19">
        <f>IFERROR(__xludf.DUMMYFUNCTION("""COMPUTED_VALUE"""),46324.0)</f>
        <v>46324</v>
      </c>
      <c r="C227" s="15">
        <f>IFERROR(__xludf.DUMMYFUNCTION("""COMPUTED_VALUE"""),13.0)</f>
        <v>13</v>
      </c>
      <c r="D227" s="15" t="str">
        <f>IFERROR(__xludf.DUMMYFUNCTION("""COMPUTED_VALUE"""),"CJZ")</f>
        <v>CJZ</v>
      </c>
      <c r="E227" s="15" t="str">
        <f>IFERROR(__xludf.DUMMYFUNCTION("""COMPUTED_VALUE"""),"Maria Aparecida Dantas Diniz")</f>
        <v>Maria Aparecida Dantas Diniz</v>
      </c>
      <c r="F227" s="15" t="str">
        <f>IFERROR(__xludf.DUMMYFUNCTION("""COMPUTED_VALUE"""),"TRIFIL")</f>
        <v>TRIFIL</v>
      </c>
      <c r="G227" s="15" t="str">
        <f>IFERROR(__xludf.DUMMYFUNCTION("""COMPUTED_VALUE"""),"266803457")</f>
        <v>266803457</v>
      </c>
      <c r="H227" s="15" t="str">
        <f>IFERROR(__xludf.DUMMYFUNCTION("""COMPUTED_VALUE"""),"1305130")</f>
        <v>1305130</v>
      </c>
      <c r="I227" s="15" t="str">
        <f>IFERROR(__xludf.DUMMYFUNCTION("""COMPUTED_VALUE"""),"8177033")</f>
        <v>8177033</v>
      </c>
      <c r="J227" s="15" t="str">
        <f>IFERROR(__xludf.DUMMYFUNCTION("""COMPUTED_VALUE"""),"CIF")</f>
        <v>CIF</v>
      </c>
      <c r="K227" s="15" t="str">
        <f>IFERROR(__xludf.DUMMYFUNCTION("""COMPUTED_VALUE"""),"FSA-1")</f>
        <v>FSA-1</v>
      </c>
      <c r="L227" s="15" t="str">
        <f>IFERROR(__xludf.DUMMYFUNCTION("""COMPUTED_VALUE"""),"AUTORIZADO")</f>
        <v>AUTORIZADO</v>
      </c>
      <c r="M227" s="15" t="str">
        <f>IFERROR(__xludf.DUMMYFUNCTION("""COMPUTED_VALUE"""),"NA ORIGEM")</f>
        <v>NA ORIGEM</v>
      </c>
      <c r="N227" s="15" t="str">
        <f>IFERROR(__xludf.DUMMYFUNCTION("""COMPUTED_VALUE"""),"Antes Prazo")</f>
        <v>Antes Prazo</v>
      </c>
      <c r="O227" s="15" t="str">
        <f>IFERROR(__xludf.DUMMYFUNCTION("""COMPUTED_VALUE"""),"B2B")</f>
        <v>B2B</v>
      </c>
      <c r="P227" s="16">
        <f>IFERROR(__xludf.DUMMYFUNCTION("""COMPUTED_VALUE"""),71.9)</f>
        <v>71.9</v>
      </c>
      <c r="Q227" s="15">
        <f>IFERROR(__xludf.DUMMYFUNCTION("""COMPUTED_VALUE"""),1.0)</f>
        <v>1</v>
      </c>
      <c r="R227" s="15" t="str">
        <f>IFERROR(__xludf.DUMMYFUNCTION("""COMPUTED_VALUE"""),"RODO")</f>
        <v>RODO</v>
      </c>
      <c r="S227" s="15" t="str">
        <f>IFERROR(__xludf.DUMMYFUNCTION("""COMPUTED_VALUE"""),"ITN")</f>
        <v>ITN</v>
      </c>
      <c r="T227" s="15" t="str">
        <f>IFERROR(__xludf.DUMMYFUNCTION("""COMPUTED_VALUE"""),"5")</f>
        <v>5</v>
      </c>
      <c r="U227" s="15" t="str">
        <f>IFERROR(__xludf.DUMMYFUNCTION("""COMPUTED_VALUE"""),"266803457 1305130 8177033 maria aparecida dantas diniz trifil cjz 5")</f>
        <v>266803457 1305130 8177033 maria aparecida dantas diniz trifil cjz 5</v>
      </c>
      <c r="V227" s="15" t="b">
        <f>IFERROR(__xludf.DUMMYFUNCTION("""COMPUTED_VALUE"""),FALSE)</f>
        <v>0</v>
      </c>
    </row>
    <row r="228">
      <c r="A228" s="19">
        <f>IFERROR(__xludf.DUMMYFUNCTION("""COMPUTED_VALUE"""),46304.0)</f>
        <v>46304</v>
      </c>
      <c r="B228" s="19">
        <f>IFERROR(__xludf.DUMMYFUNCTION("""COMPUTED_VALUE"""),46324.0)</f>
        <v>46324</v>
      </c>
      <c r="C228" s="15">
        <f>IFERROR(__xludf.DUMMYFUNCTION("""COMPUTED_VALUE"""),13.0)</f>
        <v>13</v>
      </c>
      <c r="D228" s="15" t="str">
        <f>IFERROR(__xludf.DUMMYFUNCTION("""COMPUTED_VALUE"""),"CJZ")</f>
        <v>CJZ</v>
      </c>
      <c r="E228" s="15" t="str">
        <f>IFERROR(__xludf.DUMMYFUNCTION("""COMPUTED_VALUE"""),"CASA GONCALVES")</f>
        <v>CASA GONCALVES</v>
      </c>
      <c r="F228" s="15" t="str">
        <f>IFERROR(__xludf.DUMMYFUNCTION("""COMPUTED_VALUE"""),"TRIFIL")</f>
        <v>TRIFIL</v>
      </c>
      <c r="G228" s="15" t="str">
        <f>IFERROR(__xludf.DUMMYFUNCTION("""COMPUTED_VALUE"""),"266803458")</f>
        <v>266803458</v>
      </c>
      <c r="H228" s="15" t="str">
        <f>IFERROR(__xludf.DUMMYFUNCTION("""COMPUTED_VALUE"""),"1305276")</f>
        <v>1305276</v>
      </c>
      <c r="I228" s="15" t="str">
        <f>IFERROR(__xludf.DUMMYFUNCTION("""COMPUTED_VALUE"""),"8177034")</f>
        <v>8177034</v>
      </c>
      <c r="J228" s="15" t="str">
        <f>IFERROR(__xludf.DUMMYFUNCTION("""COMPUTED_VALUE"""),"CIF")</f>
        <v>CIF</v>
      </c>
      <c r="K228" s="15" t="str">
        <f>IFERROR(__xludf.DUMMYFUNCTION("""COMPUTED_VALUE"""),"FSA-1")</f>
        <v>FSA-1</v>
      </c>
      <c r="L228" s="15" t="str">
        <f>IFERROR(__xludf.DUMMYFUNCTION("""COMPUTED_VALUE"""),"AUTORIZADO")</f>
        <v>AUTORIZADO</v>
      </c>
      <c r="M228" s="15" t="str">
        <f>IFERROR(__xludf.DUMMYFUNCTION("""COMPUTED_VALUE"""),"NA ORIGEM")</f>
        <v>NA ORIGEM</v>
      </c>
      <c r="N228" s="15" t="str">
        <f>IFERROR(__xludf.DUMMYFUNCTION("""COMPUTED_VALUE"""),"Antes Prazo")</f>
        <v>Antes Prazo</v>
      </c>
      <c r="O228" s="15" t="str">
        <f>IFERROR(__xludf.DUMMYFUNCTION("""COMPUTED_VALUE"""),"B2B")</f>
        <v>B2B</v>
      </c>
      <c r="P228" s="16">
        <f>IFERROR(__xludf.DUMMYFUNCTION("""COMPUTED_VALUE"""),71.9)</f>
        <v>71.9</v>
      </c>
      <c r="Q228" s="15">
        <f>IFERROR(__xludf.DUMMYFUNCTION("""COMPUTED_VALUE"""),1.0)</f>
        <v>1</v>
      </c>
      <c r="R228" s="15" t="str">
        <f>IFERROR(__xludf.DUMMYFUNCTION("""COMPUTED_VALUE"""),"RODO")</f>
        <v>RODO</v>
      </c>
      <c r="S228" s="15" t="str">
        <f>IFERROR(__xludf.DUMMYFUNCTION("""COMPUTED_VALUE"""),"ITN")</f>
        <v>ITN</v>
      </c>
      <c r="T228" s="15" t="str">
        <f>IFERROR(__xludf.DUMMYFUNCTION("""COMPUTED_VALUE"""),"4")</f>
        <v>4</v>
      </c>
      <c r="U228" s="15" t="str">
        <f>IFERROR(__xludf.DUMMYFUNCTION("""COMPUTED_VALUE"""),"266803458 1305276 8177034 casa goncalves trifil cjz 4")</f>
        <v>266803458 1305276 8177034 casa goncalves trifil cjz 4</v>
      </c>
      <c r="V228" s="15" t="b">
        <f>IFERROR(__xludf.DUMMYFUNCTION("""COMPUTED_VALUE"""),FALSE)</f>
        <v>0</v>
      </c>
    </row>
    <row r="229">
      <c r="A229" s="19">
        <f>IFERROR(__xludf.DUMMYFUNCTION("""COMPUTED_VALUE"""),46304.0)</f>
        <v>46304</v>
      </c>
      <c r="B229" s="19">
        <f>IFERROR(__xludf.DUMMYFUNCTION("""COMPUTED_VALUE"""),46318.0)</f>
        <v>46318</v>
      </c>
      <c r="C229" s="15">
        <f>IFERROR(__xludf.DUMMYFUNCTION("""COMPUTED_VALUE"""),9.0)</f>
        <v>9</v>
      </c>
      <c r="D229" s="15" t="str">
        <f>IFERROR(__xludf.DUMMYFUNCTION("""COMPUTED_VALUE"""),"NAT")</f>
        <v>NAT</v>
      </c>
      <c r="E229" s="15" t="str">
        <f>IFERROR(__xludf.DUMMYFUNCTION("""COMPUTED_VALUE"""),"MARIA ERIVONETE DE SOUZA ME")</f>
        <v>MARIA ERIVONETE DE SOUZA ME</v>
      </c>
      <c r="F229" s="15" t="str">
        <f>IFERROR(__xludf.DUMMYFUNCTION("""COMPUTED_VALUE"""),"TRIFIL")</f>
        <v>TRIFIL</v>
      </c>
      <c r="G229" s="15" t="str">
        <f>IFERROR(__xludf.DUMMYFUNCTION("""COMPUTED_VALUE"""),"266803459")</f>
        <v>266803459</v>
      </c>
      <c r="H229" s="15" t="str">
        <f>IFERROR(__xludf.DUMMYFUNCTION("""COMPUTED_VALUE"""),"1305663")</f>
        <v>1305663</v>
      </c>
      <c r="I229" s="15" t="str">
        <f>IFERROR(__xludf.DUMMYFUNCTION("""COMPUTED_VALUE"""),"8176741")</f>
        <v>8176741</v>
      </c>
      <c r="J229" s="15" t="str">
        <f>IFERROR(__xludf.DUMMYFUNCTION("""COMPUTED_VALUE"""),"CIF")</f>
        <v>CIF</v>
      </c>
      <c r="K229" s="15" t="str">
        <f>IFERROR(__xludf.DUMMYFUNCTION("""COMPUTED_VALUE"""),"FSA-1")</f>
        <v>FSA-1</v>
      </c>
      <c r="L229" s="15" t="str">
        <f>IFERROR(__xludf.DUMMYFUNCTION("""COMPUTED_VALUE"""),"AUTORIZADO")</f>
        <v>AUTORIZADO</v>
      </c>
      <c r="M229" s="15" t="str">
        <f>IFERROR(__xludf.DUMMYFUNCTION("""COMPUTED_VALUE"""),"NA ORIGEM")</f>
        <v>NA ORIGEM</v>
      </c>
      <c r="N229" s="15" t="str">
        <f>IFERROR(__xludf.DUMMYFUNCTION("""COMPUTED_VALUE"""),"Antes Prazo")</f>
        <v>Antes Prazo</v>
      </c>
      <c r="O229" s="15" t="str">
        <f>IFERROR(__xludf.DUMMYFUNCTION("""COMPUTED_VALUE"""),"B2B")</f>
        <v>B2B</v>
      </c>
      <c r="P229" s="16">
        <f>IFERROR(__xludf.DUMMYFUNCTION("""COMPUTED_VALUE"""),71.9)</f>
        <v>71.9</v>
      </c>
      <c r="Q229" s="15">
        <f>IFERROR(__xludf.DUMMYFUNCTION("""COMPUTED_VALUE"""),1.0)</f>
        <v>1</v>
      </c>
      <c r="R229" s="15" t="str">
        <f>IFERROR(__xludf.DUMMYFUNCTION("""COMPUTED_VALUE"""),"RODO")</f>
        <v>RODO</v>
      </c>
      <c r="S229" s="15" t="str">
        <f>IFERROR(__xludf.DUMMYFUNCTION("""COMPUTED_VALUE"""),"ITN")</f>
        <v>ITN</v>
      </c>
      <c r="T229" s="15" t="str">
        <f>IFERROR(__xludf.DUMMYFUNCTION("""COMPUTED_VALUE"""),"105")</f>
        <v>105</v>
      </c>
      <c r="U229" s="15" t="str">
        <f>IFERROR(__xludf.DUMMYFUNCTION("""COMPUTED_VALUE"""),"266803459 1305663 8176741 maria erivonete de souza me trifil nat 105")</f>
        <v>266803459 1305663 8176741 maria erivonete de souza me trifil nat 105</v>
      </c>
      <c r="V229" s="15" t="b">
        <f>IFERROR(__xludf.DUMMYFUNCTION("""COMPUTED_VALUE"""),FALSE)</f>
        <v>0</v>
      </c>
    </row>
    <row r="230">
      <c r="A230" s="19">
        <f>IFERROR(__xludf.DUMMYFUNCTION("""COMPUTED_VALUE"""),46304.0)</f>
        <v>46304</v>
      </c>
      <c r="B230" s="19">
        <f>IFERROR(__xludf.DUMMYFUNCTION("""COMPUTED_VALUE"""),46318.0)</f>
        <v>46318</v>
      </c>
      <c r="C230" s="15">
        <f>IFERROR(__xludf.DUMMYFUNCTION("""COMPUTED_VALUE"""),9.0)</f>
        <v>9</v>
      </c>
      <c r="D230" s="15" t="str">
        <f>IFERROR(__xludf.DUMMYFUNCTION("""COMPUTED_VALUE"""),"NAT")</f>
        <v>NAT</v>
      </c>
      <c r="E230" s="15" t="str">
        <f>IFERROR(__xludf.DUMMYFUNCTION("""COMPUTED_VALUE"""),"FRANCIANNY KARLA SENA PEREIRA ME")</f>
        <v>FRANCIANNY KARLA SENA PEREIRA ME</v>
      </c>
      <c r="F230" s="15" t="str">
        <f>IFERROR(__xludf.DUMMYFUNCTION("""COMPUTED_VALUE"""),"TRIFIL")</f>
        <v>TRIFIL</v>
      </c>
      <c r="G230" s="15" t="str">
        <f>IFERROR(__xludf.DUMMYFUNCTION("""COMPUTED_VALUE"""),"266803460")</f>
        <v>266803460</v>
      </c>
      <c r="H230" s="15" t="str">
        <f>IFERROR(__xludf.DUMMYFUNCTION("""COMPUTED_VALUE"""),"1304778")</f>
        <v>1304778</v>
      </c>
      <c r="I230" s="15" t="str">
        <f>IFERROR(__xludf.DUMMYFUNCTION("""COMPUTED_VALUE"""),"8177035")</f>
        <v>8177035</v>
      </c>
      <c r="J230" s="15" t="str">
        <f>IFERROR(__xludf.DUMMYFUNCTION("""COMPUTED_VALUE"""),"CIF")</f>
        <v>CIF</v>
      </c>
      <c r="K230" s="15" t="str">
        <f>IFERROR(__xludf.DUMMYFUNCTION("""COMPUTED_VALUE"""),"FSA-1")</f>
        <v>FSA-1</v>
      </c>
      <c r="L230" s="15" t="str">
        <f>IFERROR(__xludf.DUMMYFUNCTION("""COMPUTED_VALUE"""),"AUTORIZADO")</f>
        <v>AUTORIZADO</v>
      </c>
      <c r="M230" s="15" t="str">
        <f>IFERROR(__xludf.DUMMYFUNCTION("""COMPUTED_VALUE"""),"NA ORIGEM")</f>
        <v>NA ORIGEM</v>
      </c>
      <c r="N230" s="15" t="str">
        <f>IFERROR(__xludf.DUMMYFUNCTION("""COMPUTED_VALUE"""),"Antes Prazo")</f>
        <v>Antes Prazo</v>
      </c>
      <c r="O230" s="15" t="str">
        <f>IFERROR(__xludf.DUMMYFUNCTION("""COMPUTED_VALUE"""),"B2B")</f>
        <v>B2B</v>
      </c>
      <c r="P230" s="16">
        <f>IFERROR(__xludf.DUMMYFUNCTION("""COMPUTED_VALUE"""),71.9)</f>
        <v>71.9</v>
      </c>
      <c r="Q230" s="15">
        <f>IFERROR(__xludf.DUMMYFUNCTION("""COMPUTED_VALUE"""),1.0)</f>
        <v>1</v>
      </c>
      <c r="R230" s="15" t="str">
        <f>IFERROR(__xludf.DUMMYFUNCTION("""COMPUTED_VALUE"""),"RODO")</f>
        <v>RODO</v>
      </c>
      <c r="S230" s="15" t="str">
        <f>IFERROR(__xludf.DUMMYFUNCTION("""COMPUTED_VALUE"""),"ITN")</f>
        <v>ITN</v>
      </c>
      <c r="T230" s="15" t="str">
        <f>IFERROR(__xludf.DUMMYFUNCTION("""COMPUTED_VALUE"""),"105")</f>
        <v>105</v>
      </c>
      <c r="U230" s="15" t="str">
        <f>IFERROR(__xludf.DUMMYFUNCTION("""COMPUTED_VALUE"""),"266803460 1304778 8177035 francianny karla sena pereira me trifil nat 105")</f>
        <v>266803460 1304778 8177035 francianny karla sena pereira me trifil nat 105</v>
      </c>
      <c r="V230" s="15" t="b">
        <f>IFERROR(__xludf.DUMMYFUNCTION("""COMPUTED_VALUE"""),FALSE)</f>
        <v>0</v>
      </c>
    </row>
    <row r="231">
      <c r="A231" s="19">
        <f>IFERROR(__xludf.DUMMYFUNCTION("""COMPUTED_VALUE"""),46304.0)</f>
        <v>46304</v>
      </c>
      <c r="B231" s="19">
        <f>IFERROR(__xludf.DUMMYFUNCTION("""COMPUTED_VALUE"""),46316.0)</f>
        <v>46316</v>
      </c>
      <c r="C231" s="15">
        <f>IFERROR(__xludf.DUMMYFUNCTION("""COMPUTED_VALUE"""),7.0)</f>
        <v>7</v>
      </c>
      <c r="D231" s="15" t="str">
        <f>IFERROR(__xludf.DUMMYFUNCTION("""COMPUTED_VALUE"""),"NAT")</f>
        <v>NAT</v>
      </c>
      <c r="E231" s="15" t="str">
        <f>IFERROR(__xludf.DUMMYFUNCTION("""COMPUTED_VALUE"""),"DOCE MEL BOUTIQUE")</f>
        <v>DOCE MEL BOUTIQUE</v>
      </c>
      <c r="F231" s="15" t="str">
        <f>IFERROR(__xludf.DUMMYFUNCTION("""COMPUTED_VALUE"""),"TRIFIL")</f>
        <v>TRIFIL</v>
      </c>
      <c r="G231" s="15" t="str">
        <f>IFERROR(__xludf.DUMMYFUNCTION("""COMPUTED_VALUE"""),"266803461")</f>
        <v>266803461</v>
      </c>
      <c r="H231" s="15" t="str">
        <f>IFERROR(__xludf.DUMMYFUNCTION("""COMPUTED_VALUE"""),"1305714")</f>
        <v>1305714</v>
      </c>
      <c r="I231" s="15" t="str">
        <f>IFERROR(__xludf.DUMMYFUNCTION("""COMPUTED_VALUE"""),"8176947")</f>
        <v>8176947</v>
      </c>
      <c r="J231" s="15" t="str">
        <f>IFERROR(__xludf.DUMMYFUNCTION("""COMPUTED_VALUE"""),"CIF")</f>
        <v>CIF</v>
      </c>
      <c r="K231" s="15" t="str">
        <f>IFERROR(__xludf.DUMMYFUNCTION("""COMPUTED_VALUE"""),"FSA-1")</f>
        <v>FSA-1</v>
      </c>
      <c r="L231" s="15" t="str">
        <f>IFERROR(__xludf.DUMMYFUNCTION("""COMPUTED_VALUE"""),"AUTORIZADO")</f>
        <v>AUTORIZADO</v>
      </c>
      <c r="M231" s="15" t="str">
        <f>IFERROR(__xludf.DUMMYFUNCTION("""COMPUTED_VALUE"""),"NA ORIGEM")</f>
        <v>NA ORIGEM</v>
      </c>
      <c r="N231" s="15" t="str">
        <f>IFERROR(__xludf.DUMMYFUNCTION("""COMPUTED_VALUE"""),"Antes Prazo")</f>
        <v>Antes Prazo</v>
      </c>
      <c r="O231" s="15" t="str">
        <f>IFERROR(__xludf.DUMMYFUNCTION("""COMPUTED_VALUE"""),"B2B")</f>
        <v>B2B</v>
      </c>
      <c r="P231" s="16">
        <f>IFERROR(__xludf.DUMMYFUNCTION("""COMPUTED_VALUE"""),64.23)</f>
        <v>64.23</v>
      </c>
      <c r="Q231" s="15">
        <f>IFERROR(__xludf.DUMMYFUNCTION("""COMPUTED_VALUE"""),1.0)</f>
        <v>1</v>
      </c>
      <c r="R231" s="15" t="str">
        <f>IFERROR(__xludf.DUMMYFUNCTION("""COMPUTED_VALUE"""),"RODO")</f>
        <v>RODO</v>
      </c>
      <c r="S231" s="15" t="str">
        <f>IFERROR(__xludf.DUMMYFUNCTION("""COMPUTED_VALUE"""),"ITN")</f>
        <v>ITN</v>
      </c>
      <c r="T231" s="15" t="str">
        <f>IFERROR(__xludf.DUMMYFUNCTION("""COMPUTED_VALUE"""),"101")</f>
        <v>101</v>
      </c>
      <c r="U231" s="15" t="str">
        <f>IFERROR(__xludf.DUMMYFUNCTION("""COMPUTED_VALUE"""),"266803461 1305714 8176947 doce mel boutique trifil nat 101")</f>
        <v>266803461 1305714 8176947 doce mel boutique trifil nat 101</v>
      </c>
      <c r="V231" s="15" t="b">
        <f>IFERROR(__xludf.DUMMYFUNCTION("""COMPUTED_VALUE"""),FALSE)</f>
        <v>0</v>
      </c>
    </row>
    <row r="232">
      <c r="A232" s="19">
        <f>IFERROR(__xludf.DUMMYFUNCTION("""COMPUTED_VALUE"""),46304.0)</f>
        <v>46304</v>
      </c>
      <c r="B232" s="19">
        <f>IFERROR(__xludf.DUMMYFUNCTION("""COMPUTED_VALUE"""),46318.0)</f>
        <v>46318</v>
      </c>
      <c r="C232" s="15">
        <f>IFERROR(__xludf.DUMMYFUNCTION("""COMPUTED_VALUE"""),9.0)</f>
        <v>9</v>
      </c>
      <c r="D232" s="15" t="str">
        <f>IFERROR(__xludf.DUMMYFUNCTION("""COMPUTED_VALUE"""),"NAT")</f>
        <v>NAT</v>
      </c>
      <c r="E232" s="15" t="str">
        <f>IFERROR(__xludf.DUMMYFUNCTION("""COMPUTED_VALUE"""),"CARNEIROS ESPORTIVOS")</f>
        <v>CARNEIROS ESPORTIVOS</v>
      </c>
      <c r="F232" s="15" t="str">
        <f>IFERROR(__xludf.DUMMYFUNCTION("""COMPUTED_VALUE"""),"TRIFIL")</f>
        <v>TRIFIL</v>
      </c>
      <c r="G232" s="15" t="str">
        <f>IFERROR(__xludf.DUMMYFUNCTION("""COMPUTED_VALUE"""),"266803462")</f>
        <v>266803462</v>
      </c>
      <c r="H232" s="15" t="str">
        <f>IFERROR(__xludf.DUMMYFUNCTION("""COMPUTED_VALUE"""),"1305691")</f>
        <v>1305691</v>
      </c>
      <c r="I232" s="15" t="str">
        <f>IFERROR(__xludf.DUMMYFUNCTION("""COMPUTED_VALUE"""),"8176813")</f>
        <v>8176813</v>
      </c>
      <c r="J232" s="15" t="str">
        <f>IFERROR(__xludf.DUMMYFUNCTION("""COMPUTED_VALUE"""),"CIF")</f>
        <v>CIF</v>
      </c>
      <c r="K232" s="15" t="str">
        <f>IFERROR(__xludf.DUMMYFUNCTION("""COMPUTED_VALUE"""),"FSA-1")</f>
        <v>FSA-1</v>
      </c>
      <c r="L232" s="15" t="str">
        <f>IFERROR(__xludf.DUMMYFUNCTION("""COMPUTED_VALUE"""),"AUTORIZADO")</f>
        <v>AUTORIZADO</v>
      </c>
      <c r="M232" s="15" t="str">
        <f>IFERROR(__xludf.DUMMYFUNCTION("""COMPUTED_VALUE"""),"NA ORIGEM")</f>
        <v>NA ORIGEM</v>
      </c>
      <c r="N232" s="15" t="str">
        <f>IFERROR(__xludf.DUMMYFUNCTION("""COMPUTED_VALUE"""),"Antes Prazo")</f>
        <v>Antes Prazo</v>
      </c>
      <c r="O232" s="15" t="str">
        <f>IFERROR(__xludf.DUMMYFUNCTION("""COMPUTED_VALUE"""),"B2B")</f>
        <v>B2B</v>
      </c>
      <c r="P232" s="16">
        <f>IFERROR(__xludf.DUMMYFUNCTION("""COMPUTED_VALUE"""),71.9)</f>
        <v>71.9</v>
      </c>
      <c r="Q232" s="15">
        <f>IFERROR(__xludf.DUMMYFUNCTION("""COMPUTED_VALUE"""),1.0)</f>
        <v>1</v>
      </c>
      <c r="R232" s="15" t="str">
        <f>IFERROR(__xludf.DUMMYFUNCTION("""COMPUTED_VALUE"""),"RODO")</f>
        <v>RODO</v>
      </c>
      <c r="S232" s="15" t="str">
        <f>IFERROR(__xludf.DUMMYFUNCTION("""COMPUTED_VALUE"""),"ITN")</f>
        <v>ITN</v>
      </c>
      <c r="T232" s="15" t="str">
        <f>IFERROR(__xludf.DUMMYFUNCTION("""COMPUTED_VALUE"""),"103")</f>
        <v>103</v>
      </c>
      <c r="U232" s="15" t="str">
        <f>IFERROR(__xludf.DUMMYFUNCTION("""COMPUTED_VALUE"""),"266803462 1305691 8176813 carneiros esportivos trifil nat 103")</f>
        <v>266803462 1305691 8176813 carneiros esportivos trifil nat 103</v>
      </c>
      <c r="V232" s="15" t="b">
        <f>IFERROR(__xludf.DUMMYFUNCTION("""COMPUTED_VALUE"""),FALSE)</f>
        <v>0</v>
      </c>
    </row>
    <row r="233">
      <c r="A233" s="19">
        <f>IFERROR(__xludf.DUMMYFUNCTION("""COMPUTED_VALUE"""),46304.0)</f>
        <v>46304</v>
      </c>
      <c r="B233" s="19">
        <f>IFERROR(__xludf.DUMMYFUNCTION("""COMPUTED_VALUE"""),46321.0)</f>
        <v>46321</v>
      </c>
      <c r="C233" s="15">
        <f>IFERROR(__xludf.DUMMYFUNCTION("""COMPUTED_VALUE"""),10.0)</f>
        <v>10</v>
      </c>
      <c r="D233" s="15" t="str">
        <f>IFERROR(__xludf.DUMMYFUNCTION("""COMPUTED_VALUE"""),"NAT")</f>
        <v>NAT</v>
      </c>
      <c r="E233" s="15" t="str">
        <f>IFERROR(__xludf.DUMMYFUNCTION("""COMPUTED_VALUE"""),"FRANCISCO TADEU DANTAS JUNIOR")</f>
        <v>FRANCISCO TADEU DANTAS JUNIOR</v>
      </c>
      <c r="F233" s="15" t="str">
        <f>IFERROR(__xludf.DUMMYFUNCTION("""COMPUTED_VALUE"""),"TRIFIL")</f>
        <v>TRIFIL</v>
      </c>
      <c r="G233" s="15" t="str">
        <f>IFERROR(__xludf.DUMMYFUNCTION("""COMPUTED_VALUE"""),"266803463")</f>
        <v>266803463</v>
      </c>
      <c r="H233" s="15" t="str">
        <f>IFERROR(__xludf.DUMMYFUNCTION("""COMPUTED_VALUE"""),"1305593")</f>
        <v>1305593</v>
      </c>
      <c r="I233" s="15" t="str">
        <f>IFERROR(__xludf.DUMMYFUNCTION("""COMPUTED_VALUE"""),"8176814")</f>
        <v>8176814</v>
      </c>
      <c r="J233" s="15" t="str">
        <f>IFERROR(__xludf.DUMMYFUNCTION("""COMPUTED_VALUE"""),"CIF")</f>
        <v>CIF</v>
      </c>
      <c r="K233" s="15" t="str">
        <f>IFERROR(__xludf.DUMMYFUNCTION("""COMPUTED_VALUE"""),"FSA-1")</f>
        <v>FSA-1</v>
      </c>
      <c r="L233" s="15" t="str">
        <f>IFERROR(__xludf.DUMMYFUNCTION("""COMPUTED_VALUE"""),"AUTORIZADO")</f>
        <v>AUTORIZADO</v>
      </c>
      <c r="M233" s="15" t="str">
        <f>IFERROR(__xludf.DUMMYFUNCTION("""COMPUTED_VALUE"""),"NA ORIGEM")</f>
        <v>NA ORIGEM</v>
      </c>
      <c r="N233" s="15" t="str">
        <f>IFERROR(__xludf.DUMMYFUNCTION("""COMPUTED_VALUE"""),"Antes Prazo")</f>
        <v>Antes Prazo</v>
      </c>
      <c r="O233" s="15" t="str">
        <f>IFERROR(__xludf.DUMMYFUNCTION("""COMPUTED_VALUE"""),"B2B")</f>
        <v>B2B</v>
      </c>
      <c r="P233" s="16">
        <f>IFERROR(__xludf.DUMMYFUNCTION("""COMPUTED_VALUE"""),71.9)</f>
        <v>71.9</v>
      </c>
      <c r="Q233" s="15">
        <f>IFERROR(__xludf.DUMMYFUNCTION("""COMPUTED_VALUE"""),1.0)</f>
        <v>1</v>
      </c>
      <c r="R233" s="15" t="str">
        <f>IFERROR(__xludf.DUMMYFUNCTION("""COMPUTED_VALUE"""),"RODO")</f>
        <v>RODO</v>
      </c>
      <c r="S233" s="15" t="str">
        <f>IFERROR(__xludf.DUMMYFUNCTION("""COMPUTED_VALUE"""),"ITN")</f>
        <v>ITN</v>
      </c>
      <c r="T233" s="15" t="str">
        <f>IFERROR(__xludf.DUMMYFUNCTION("""COMPUTED_VALUE"""),"102")</f>
        <v>102</v>
      </c>
      <c r="U233" s="15" t="str">
        <f>IFERROR(__xludf.DUMMYFUNCTION("""COMPUTED_VALUE"""),"266803463 1305593 8176814 francisco tadeu dantas junior trifil nat 102")</f>
        <v>266803463 1305593 8176814 francisco tadeu dantas junior trifil nat 102</v>
      </c>
      <c r="V233" s="15" t="b">
        <f>IFERROR(__xludf.DUMMYFUNCTION("""COMPUTED_VALUE"""),FALSE)</f>
        <v>0</v>
      </c>
    </row>
    <row r="234">
      <c r="A234" s="19">
        <f>IFERROR(__xludf.DUMMYFUNCTION("""COMPUTED_VALUE"""),46304.0)</f>
        <v>46304</v>
      </c>
      <c r="B234" s="19">
        <f>IFERROR(__xludf.DUMMYFUNCTION("""COMPUTED_VALUE"""),46322.0)</f>
        <v>46322</v>
      </c>
      <c r="C234" s="15">
        <f>IFERROR(__xludf.DUMMYFUNCTION("""COMPUTED_VALUE"""),11.0)</f>
        <v>11</v>
      </c>
      <c r="D234" s="15" t="str">
        <f>IFERROR(__xludf.DUMMYFUNCTION("""COMPUTED_VALUE"""),"MVF")</f>
        <v>MVF</v>
      </c>
      <c r="E234" s="15" t="str">
        <f>IFERROR(__xludf.DUMMYFUNCTION("""COMPUTED_VALUE"""),"M DAS D ROSADO NETA")</f>
        <v>M DAS D ROSADO NETA</v>
      </c>
      <c r="F234" s="15" t="str">
        <f>IFERROR(__xludf.DUMMYFUNCTION("""COMPUTED_VALUE"""),"TRIFIL")</f>
        <v>TRIFIL</v>
      </c>
      <c r="G234" s="15" t="str">
        <f>IFERROR(__xludf.DUMMYFUNCTION("""COMPUTED_VALUE"""),"266803464")</f>
        <v>266803464</v>
      </c>
      <c r="H234" s="15" t="str">
        <f>IFERROR(__xludf.DUMMYFUNCTION("""COMPUTED_VALUE"""),"1305254")</f>
        <v>1305254</v>
      </c>
      <c r="I234" s="15" t="str">
        <f>IFERROR(__xludf.DUMMYFUNCTION("""COMPUTED_VALUE"""),"8176815")</f>
        <v>8176815</v>
      </c>
      <c r="J234" s="15" t="str">
        <f>IFERROR(__xludf.DUMMYFUNCTION("""COMPUTED_VALUE"""),"CIF")</f>
        <v>CIF</v>
      </c>
      <c r="K234" s="15" t="str">
        <f>IFERROR(__xludf.DUMMYFUNCTION("""COMPUTED_VALUE"""),"FSA-1")</f>
        <v>FSA-1</v>
      </c>
      <c r="L234" s="15" t="str">
        <f>IFERROR(__xludf.DUMMYFUNCTION("""COMPUTED_VALUE"""),"AUTORIZADO")</f>
        <v>AUTORIZADO</v>
      </c>
      <c r="M234" s="15" t="str">
        <f>IFERROR(__xludf.DUMMYFUNCTION("""COMPUTED_VALUE"""),"NA ORIGEM")</f>
        <v>NA ORIGEM</v>
      </c>
      <c r="N234" s="15" t="str">
        <f>IFERROR(__xludf.DUMMYFUNCTION("""COMPUTED_VALUE"""),"Antes Prazo")</f>
        <v>Antes Prazo</v>
      </c>
      <c r="O234" s="15" t="str">
        <f>IFERROR(__xludf.DUMMYFUNCTION("""COMPUTED_VALUE"""),"B2B")</f>
        <v>B2B</v>
      </c>
      <c r="P234" s="16">
        <f>IFERROR(__xludf.DUMMYFUNCTION("""COMPUTED_VALUE"""),71.9)</f>
        <v>71.9</v>
      </c>
      <c r="Q234" s="15">
        <f>IFERROR(__xludf.DUMMYFUNCTION("""COMPUTED_VALUE"""),1.0)</f>
        <v>1</v>
      </c>
      <c r="R234" s="15" t="str">
        <f>IFERROR(__xludf.DUMMYFUNCTION("""COMPUTED_VALUE"""),"RODO")</f>
        <v>RODO</v>
      </c>
      <c r="S234" s="15" t="str">
        <f>IFERROR(__xludf.DUMMYFUNCTION("""COMPUTED_VALUE"""),"ITN")</f>
        <v>ITN</v>
      </c>
      <c r="T234" s="15" t="str">
        <f>IFERROR(__xludf.DUMMYFUNCTION("""COMPUTED_VALUE"""),"4")</f>
        <v>4</v>
      </c>
      <c r="U234" s="15" t="str">
        <f>IFERROR(__xludf.DUMMYFUNCTION("""COMPUTED_VALUE"""),"266803464 1305254 8176815 m das d rosado neta trifil mvf 4")</f>
        <v>266803464 1305254 8176815 m das d rosado neta trifil mvf 4</v>
      </c>
      <c r="V234" s="15" t="b">
        <f>IFERROR(__xludf.DUMMYFUNCTION("""COMPUTED_VALUE"""),FALSE)</f>
        <v>0</v>
      </c>
    </row>
    <row r="235">
      <c r="A235" s="19">
        <f>IFERROR(__xludf.DUMMYFUNCTION("""COMPUTED_VALUE"""),46304.0)</f>
        <v>46304</v>
      </c>
      <c r="B235" s="19">
        <f>IFERROR(__xludf.DUMMYFUNCTION("""COMPUTED_VALUE"""),46315.0)</f>
        <v>46315</v>
      </c>
      <c r="C235" s="15">
        <f>IFERROR(__xludf.DUMMYFUNCTION("""COMPUTED_VALUE"""),6.0)</f>
        <v>6</v>
      </c>
      <c r="D235" s="15" t="str">
        <f>IFERROR(__xludf.DUMMYFUNCTION("""COMPUTED_VALUE"""),"FOR")</f>
        <v>FOR</v>
      </c>
      <c r="E235" s="15" t="str">
        <f>IFERROR(__xludf.DUMMYFUNCTION("""COMPUTED_VALUE"""),"LUPO - SHOPPING IGUATEMI FORTALEZA")</f>
        <v>LUPO - SHOPPING IGUATEMI FORTALEZA</v>
      </c>
      <c r="F235" s="15" t="str">
        <f>IFERROR(__xludf.DUMMYFUNCTION("""COMPUTED_VALUE"""),"TRIFIL")</f>
        <v>TRIFIL</v>
      </c>
      <c r="G235" s="15" t="str">
        <f>IFERROR(__xludf.DUMMYFUNCTION("""COMPUTED_VALUE"""),"266803465")</f>
        <v>266803465</v>
      </c>
      <c r="H235" s="15" t="str">
        <f>IFERROR(__xludf.DUMMYFUNCTION("""COMPUTED_VALUE"""),"1304795, 1305583")</f>
        <v>1304795, 1305583</v>
      </c>
      <c r="I235" s="15" t="str">
        <f>IFERROR(__xludf.DUMMYFUNCTION("""COMPUTED_VALUE"""),"8177036")</f>
        <v>8177036</v>
      </c>
      <c r="J235" s="15" t="str">
        <f>IFERROR(__xludf.DUMMYFUNCTION("""COMPUTED_VALUE"""),"CIF")</f>
        <v>CIF</v>
      </c>
      <c r="K235" s="15" t="str">
        <f>IFERROR(__xludf.DUMMYFUNCTION("""COMPUTED_VALUE"""),"FSA-1")</f>
        <v>FSA-1</v>
      </c>
      <c r="L235" s="15" t="str">
        <f>IFERROR(__xludf.DUMMYFUNCTION("""COMPUTED_VALUE"""),"ERRO")</f>
        <v>ERRO</v>
      </c>
      <c r="M235" s="15" t="str">
        <f>IFERROR(__xludf.DUMMYFUNCTION("""COMPUTED_VALUE"""),"NA ORIGEM")</f>
        <v>NA ORIGEM</v>
      </c>
      <c r="N235" s="15" t="str">
        <f>IFERROR(__xludf.DUMMYFUNCTION("""COMPUTED_VALUE"""),"Antes Prazo")</f>
        <v>Antes Prazo</v>
      </c>
      <c r="O235" s="15" t="str">
        <f>IFERROR(__xludf.DUMMYFUNCTION("""COMPUTED_VALUE"""),"B2B")</f>
        <v>B2B</v>
      </c>
      <c r="P235" s="16">
        <f>IFERROR(__xludf.DUMMYFUNCTION("""COMPUTED_VALUE"""),80.97)</f>
        <v>80.97</v>
      </c>
      <c r="Q235" s="15">
        <f>IFERROR(__xludf.DUMMYFUNCTION("""COMPUTED_VALUE"""),6.0)</f>
        <v>6</v>
      </c>
      <c r="R235" s="15" t="str">
        <f>IFERROR(__xludf.DUMMYFUNCTION("""COMPUTED_VALUE"""),"RODO")</f>
        <v>RODO</v>
      </c>
      <c r="S235" s="15" t="str">
        <f>IFERROR(__xludf.DUMMYFUNCTION("""COMPUTED_VALUE"""),"ITN")</f>
        <v>ITN</v>
      </c>
      <c r="T235" s="15" t="str">
        <f>IFERROR(__xludf.DUMMYFUNCTION("""COMPUTED_VALUE"""),"700")</f>
        <v>700</v>
      </c>
      <c r="U235" s="15" t="str">
        <f>IFERROR(__xludf.DUMMYFUNCTION("""COMPUTED_VALUE"""),"266803465 1304795, 1305583 8177036 lupo - shopping iguatemi fortaleza trifil for 700")</f>
        <v>266803465 1304795, 1305583 8177036 lupo - shopping iguatemi fortaleza trifil for 700</v>
      </c>
      <c r="V235" s="15" t="b">
        <f>IFERROR(__xludf.DUMMYFUNCTION("""COMPUTED_VALUE"""),FALSE)</f>
        <v>0</v>
      </c>
    </row>
    <row r="236">
      <c r="A236" s="19">
        <f>IFERROR(__xludf.DUMMYFUNCTION("""COMPUTED_VALUE"""),46304.0)</f>
        <v>46304</v>
      </c>
      <c r="B236" s="19">
        <f>IFERROR(__xludf.DUMMYFUNCTION("""COMPUTED_VALUE"""),46315.0)</f>
        <v>46315</v>
      </c>
      <c r="C236" s="15">
        <f>IFERROR(__xludf.DUMMYFUNCTION("""COMPUTED_VALUE"""),6.0)</f>
        <v>6</v>
      </c>
      <c r="D236" s="15" t="str">
        <f>IFERROR(__xludf.DUMMYFUNCTION("""COMPUTED_VALUE"""),"FOR")</f>
        <v>FOR</v>
      </c>
      <c r="E236" s="15" t="str">
        <f>IFERROR(__xludf.DUMMYFUNCTION("""COMPUTED_VALUE"""),"VIANNA REPRESENTACOES COMERCIAIS E CONSU")</f>
        <v>VIANNA REPRESENTACOES COMERCIAIS E CONSU</v>
      </c>
      <c r="F236" s="15" t="str">
        <f>IFERROR(__xludf.DUMMYFUNCTION("""COMPUTED_VALUE"""),"TRIFIL")</f>
        <v>TRIFIL</v>
      </c>
      <c r="G236" s="15" t="str">
        <f>IFERROR(__xludf.DUMMYFUNCTION("""COMPUTED_VALUE"""),"266803466")</f>
        <v>266803466</v>
      </c>
      <c r="H236" s="15" t="str">
        <f>IFERROR(__xludf.DUMMYFUNCTION("""COMPUTED_VALUE"""),"1305904")</f>
        <v>1305904</v>
      </c>
      <c r="I236" s="15" t="str">
        <f>IFERROR(__xludf.DUMMYFUNCTION("""COMPUTED_VALUE"""),"8176742")</f>
        <v>8176742</v>
      </c>
      <c r="J236" s="15" t="str">
        <f>IFERROR(__xludf.DUMMYFUNCTION("""COMPUTED_VALUE"""),"CIF")</f>
        <v>CIF</v>
      </c>
      <c r="K236" s="15" t="str">
        <f>IFERROR(__xludf.DUMMYFUNCTION("""COMPUTED_VALUE"""),"FSA-1")</f>
        <v>FSA-1</v>
      </c>
      <c r="L236" s="15" t="str">
        <f>IFERROR(__xludf.DUMMYFUNCTION("""COMPUTED_VALUE"""),"AUTORIZADO")</f>
        <v>AUTORIZADO</v>
      </c>
      <c r="M236" s="15" t="str">
        <f>IFERROR(__xludf.DUMMYFUNCTION("""COMPUTED_VALUE"""),"NA ORIGEM")</f>
        <v>NA ORIGEM</v>
      </c>
      <c r="N236" s="15" t="str">
        <f>IFERROR(__xludf.DUMMYFUNCTION("""COMPUTED_VALUE"""),"Antes Prazo")</f>
        <v>Antes Prazo</v>
      </c>
      <c r="O236" s="15" t="str">
        <f>IFERROR(__xludf.DUMMYFUNCTION("""COMPUTED_VALUE"""),"B2B")</f>
        <v>B2B</v>
      </c>
      <c r="P236" s="16">
        <f>IFERROR(__xludf.DUMMYFUNCTION("""COMPUTED_VALUE"""),56.53)</f>
        <v>56.53</v>
      </c>
      <c r="Q236" s="15">
        <f>IFERROR(__xludf.DUMMYFUNCTION("""COMPUTED_VALUE"""),1.0)</f>
        <v>1</v>
      </c>
      <c r="R236" s="15" t="str">
        <f>IFERROR(__xludf.DUMMYFUNCTION("""COMPUTED_VALUE"""),"RODO")</f>
        <v>RODO</v>
      </c>
      <c r="S236" s="15" t="str">
        <f>IFERROR(__xludf.DUMMYFUNCTION("""COMPUTED_VALUE"""),"ITN")</f>
        <v>ITN</v>
      </c>
      <c r="T236" s="15" t="str">
        <f>IFERROR(__xludf.DUMMYFUNCTION("""COMPUTED_VALUE"""),"9")</f>
        <v>9</v>
      </c>
      <c r="U236" s="15" t="str">
        <f>IFERROR(__xludf.DUMMYFUNCTION("""COMPUTED_VALUE"""),"266803466 1305904 8176742 vianna representacoes comerciais e consu trifil for 9")</f>
        <v>266803466 1305904 8176742 vianna representacoes comerciais e consu trifil for 9</v>
      </c>
      <c r="V236" s="15" t="b">
        <f>IFERROR(__xludf.DUMMYFUNCTION("""COMPUTED_VALUE"""),FALSE)</f>
        <v>0</v>
      </c>
    </row>
    <row r="237">
      <c r="A237" s="19">
        <f>IFERROR(__xludf.DUMMYFUNCTION("""COMPUTED_VALUE"""),46304.0)</f>
        <v>46304</v>
      </c>
      <c r="B237" s="19">
        <f>IFERROR(__xludf.DUMMYFUNCTION("""COMPUTED_VALUE"""),46315.0)</f>
        <v>46315</v>
      </c>
      <c r="C237" s="15">
        <f>IFERROR(__xludf.DUMMYFUNCTION("""COMPUTED_VALUE"""),6.0)</f>
        <v>6</v>
      </c>
      <c r="D237" s="15" t="str">
        <f>IFERROR(__xludf.DUMMYFUNCTION("""COMPUTED_VALUE"""),"FOR")</f>
        <v>FOR</v>
      </c>
      <c r="E237" s="15" t="str">
        <f>IFERROR(__xludf.DUMMYFUNCTION("""COMPUTED_VALUE"""),"AMN COMERCIO DE VESTUARIO LTDA")</f>
        <v>AMN COMERCIO DE VESTUARIO LTDA</v>
      </c>
      <c r="F237" s="15" t="str">
        <f>IFERROR(__xludf.DUMMYFUNCTION("""COMPUTED_VALUE"""),"TRIFIL")</f>
        <v>TRIFIL</v>
      </c>
      <c r="G237" s="15" t="str">
        <f>IFERROR(__xludf.DUMMYFUNCTION("""COMPUTED_VALUE"""),"266803467")</f>
        <v>266803467</v>
      </c>
      <c r="H237" s="15" t="str">
        <f>IFERROR(__xludf.DUMMYFUNCTION("""COMPUTED_VALUE"""),"1305684")</f>
        <v>1305684</v>
      </c>
      <c r="I237" s="15" t="str">
        <f>IFERROR(__xludf.DUMMYFUNCTION("""COMPUTED_VALUE"""),"8176985")</f>
        <v>8176985</v>
      </c>
      <c r="J237" s="15" t="str">
        <f>IFERROR(__xludf.DUMMYFUNCTION("""COMPUTED_VALUE"""),"CIF")</f>
        <v>CIF</v>
      </c>
      <c r="K237" s="15" t="str">
        <f>IFERROR(__xludf.DUMMYFUNCTION("""COMPUTED_VALUE"""),"FSA-1")</f>
        <v>FSA-1</v>
      </c>
      <c r="L237" s="15" t="str">
        <f>IFERROR(__xludf.DUMMYFUNCTION("""COMPUTED_VALUE"""),"AUTORIZADO")</f>
        <v>AUTORIZADO</v>
      </c>
      <c r="M237" s="15" t="str">
        <f>IFERROR(__xludf.DUMMYFUNCTION("""COMPUTED_VALUE"""),"NA ORIGEM")</f>
        <v>NA ORIGEM</v>
      </c>
      <c r="N237" s="15" t="str">
        <f>IFERROR(__xludf.DUMMYFUNCTION("""COMPUTED_VALUE"""),"Antes Prazo")</f>
        <v>Antes Prazo</v>
      </c>
      <c r="O237" s="15" t="str">
        <f>IFERROR(__xludf.DUMMYFUNCTION("""COMPUTED_VALUE"""),"B2B")</f>
        <v>B2B</v>
      </c>
      <c r="P237" s="16">
        <f>IFERROR(__xludf.DUMMYFUNCTION("""COMPUTED_VALUE"""),64.23)</f>
        <v>64.23</v>
      </c>
      <c r="Q237" s="15">
        <f>IFERROR(__xludf.DUMMYFUNCTION("""COMPUTED_VALUE"""),2.0)</f>
        <v>2</v>
      </c>
      <c r="R237" s="15" t="str">
        <f>IFERROR(__xludf.DUMMYFUNCTION("""COMPUTED_VALUE"""),"RODO")</f>
        <v>RODO</v>
      </c>
      <c r="S237" s="15" t="str">
        <f>IFERROR(__xludf.DUMMYFUNCTION("""COMPUTED_VALUE"""),"ITN")</f>
        <v>ITN</v>
      </c>
      <c r="T237" s="15" t="str">
        <f>IFERROR(__xludf.DUMMYFUNCTION("""COMPUTED_VALUE"""),"700")</f>
        <v>700</v>
      </c>
      <c r="U237" s="15" t="str">
        <f>IFERROR(__xludf.DUMMYFUNCTION("""COMPUTED_VALUE"""),"266803467 1305684 8176985 amn comercio de vestuario ltda trifil for 700")</f>
        <v>266803467 1305684 8176985 amn comercio de vestuario ltda trifil for 700</v>
      </c>
      <c r="V237" s="15" t="b">
        <f>IFERROR(__xludf.DUMMYFUNCTION("""COMPUTED_VALUE"""),FALSE)</f>
        <v>0</v>
      </c>
    </row>
    <row r="238">
      <c r="A238" s="19">
        <f>IFERROR(__xludf.DUMMYFUNCTION("""COMPUTED_VALUE"""),46304.0)</f>
        <v>46304</v>
      </c>
      <c r="B238" s="19">
        <f>IFERROR(__xludf.DUMMYFUNCTION("""COMPUTED_VALUE"""),46317.0)</f>
        <v>46317</v>
      </c>
      <c r="C238" s="15">
        <f>IFERROR(__xludf.DUMMYFUNCTION("""COMPUTED_VALUE"""),8.0)</f>
        <v>8</v>
      </c>
      <c r="D238" s="15" t="str">
        <f>IFERROR(__xludf.DUMMYFUNCTION("""COMPUTED_VALUE"""),"BTB")</f>
        <v>BTB</v>
      </c>
      <c r="E238" s="15" t="str">
        <f>IFERROR(__xludf.DUMMYFUNCTION("""COMPUTED_VALUE"""),"ALBA CALZINI LTDA")</f>
        <v>ALBA CALZINI LTDA</v>
      </c>
      <c r="F238" s="15" t="str">
        <f>IFERROR(__xludf.DUMMYFUNCTION("""COMPUTED_VALUE"""),"TRIFIL")</f>
        <v>TRIFIL</v>
      </c>
      <c r="G238" s="15" t="str">
        <f>IFERROR(__xludf.DUMMYFUNCTION("""COMPUTED_VALUE"""),"266803468")</f>
        <v>266803468</v>
      </c>
      <c r="H238" s="15" t="str">
        <f>IFERROR(__xludf.DUMMYFUNCTION("""COMPUTED_VALUE"""),"1304860, 1305403, 1305664")</f>
        <v>1304860, 1305403, 1305664</v>
      </c>
      <c r="I238" s="15" t="str">
        <f>IFERROR(__xludf.DUMMYFUNCTION("""COMPUTED_VALUE"""),"8177037")</f>
        <v>8177037</v>
      </c>
      <c r="J238" s="15" t="str">
        <f>IFERROR(__xludf.DUMMYFUNCTION("""COMPUTED_VALUE"""),"CIF")</f>
        <v>CIF</v>
      </c>
      <c r="K238" s="15" t="str">
        <f>IFERROR(__xludf.DUMMYFUNCTION("""COMPUTED_VALUE"""),"SAO-1")</f>
        <v>SAO-1</v>
      </c>
      <c r="L238" s="15" t="str">
        <f>IFERROR(__xludf.DUMMYFUNCTION("""COMPUTED_VALUE"""),"AUTORIZADO")</f>
        <v>AUTORIZADO</v>
      </c>
      <c r="M238" s="15" t="str">
        <f>IFERROR(__xludf.DUMMYFUNCTION("""COMPUTED_VALUE"""),"NA ORIGEM")</f>
        <v>NA ORIGEM</v>
      </c>
      <c r="N238" s="15" t="str">
        <f>IFERROR(__xludf.DUMMYFUNCTION("""COMPUTED_VALUE"""),"Antes Prazo")</f>
        <v>Antes Prazo</v>
      </c>
      <c r="O238" s="15" t="str">
        <f>IFERROR(__xludf.DUMMYFUNCTION("""COMPUTED_VALUE"""),"B2B")</f>
        <v>B2B</v>
      </c>
      <c r="P238" s="16">
        <f>IFERROR(__xludf.DUMMYFUNCTION("""COMPUTED_VALUE"""),45.49)</f>
        <v>45.49</v>
      </c>
      <c r="Q238" s="15">
        <f>IFERROR(__xludf.DUMMYFUNCTION("""COMPUTED_VALUE"""),3.0)</f>
        <v>3</v>
      </c>
      <c r="R238" s="15" t="str">
        <f>IFERROR(__xludf.DUMMYFUNCTION("""COMPUTED_VALUE"""),"RODO")</f>
        <v>RODO</v>
      </c>
      <c r="S238" s="15" t="str">
        <f>IFERROR(__xludf.DUMMYFUNCTION("""COMPUTED_VALUE"""),"ITN")</f>
        <v>ITN</v>
      </c>
      <c r="T238" s="15" t="str">
        <f>IFERROR(__xludf.DUMMYFUNCTION("""COMPUTED_VALUE"""),"1")</f>
        <v>1</v>
      </c>
      <c r="U238" s="15" t="str">
        <f>IFERROR(__xludf.DUMMYFUNCTION("""COMPUTED_VALUE"""),"266803468 1304860, 1305403, 1305664 8177037 alba calzini ltda trifil btb 1")</f>
        <v>266803468 1304860, 1305403, 1305664 8177037 alba calzini ltda trifil btb 1</v>
      </c>
      <c r="V238" s="15" t="b">
        <f>IFERROR(__xludf.DUMMYFUNCTION("""COMPUTED_VALUE"""),FALSE)</f>
        <v>0</v>
      </c>
    </row>
    <row r="239">
      <c r="A239" s="19">
        <f>IFERROR(__xludf.DUMMYFUNCTION("""COMPUTED_VALUE"""),46304.0)</f>
        <v>46304</v>
      </c>
      <c r="B239" s="19">
        <f>IFERROR(__xludf.DUMMYFUNCTION("""COMPUTED_VALUE"""),46315.0)</f>
        <v>46315</v>
      </c>
      <c r="C239" s="15">
        <f>IFERROR(__xludf.DUMMYFUNCTION("""COMPUTED_VALUE"""),6.0)</f>
        <v>6</v>
      </c>
      <c r="D239" s="15" t="str">
        <f>IFERROR(__xludf.DUMMYFUNCTION("""COMPUTED_VALUE"""),"FOR")</f>
        <v>FOR</v>
      </c>
      <c r="E239" s="15" t="str">
        <f>IFERROR(__xludf.DUMMYFUNCTION("""COMPUTED_VALUE"""),"LUPO")</f>
        <v>LUPO</v>
      </c>
      <c r="F239" s="15" t="str">
        <f>IFERROR(__xludf.DUMMYFUNCTION("""COMPUTED_VALUE"""),"TRIFIL")</f>
        <v>TRIFIL</v>
      </c>
      <c r="G239" s="15" t="str">
        <f>IFERROR(__xludf.DUMMYFUNCTION("""COMPUTED_VALUE"""),"266803469")</f>
        <v>266803469</v>
      </c>
      <c r="H239" s="15" t="str">
        <f>IFERROR(__xludf.DUMMYFUNCTION("""COMPUTED_VALUE"""),"1305932")</f>
        <v>1305932</v>
      </c>
      <c r="I239" s="15" t="str">
        <f>IFERROR(__xludf.DUMMYFUNCTION("""COMPUTED_VALUE"""),"8176716")</f>
        <v>8176716</v>
      </c>
      <c r="J239" s="15" t="str">
        <f>IFERROR(__xludf.DUMMYFUNCTION("""COMPUTED_VALUE"""),"CIF")</f>
        <v>CIF</v>
      </c>
      <c r="K239" s="15" t="str">
        <f>IFERROR(__xludf.DUMMYFUNCTION("""COMPUTED_VALUE"""),"FSA-1")</f>
        <v>FSA-1</v>
      </c>
      <c r="L239" s="15" t="str">
        <f>IFERROR(__xludf.DUMMYFUNCTION("""COMPUTED_VALUE"""),"AUTORIZADO")</f>
        <v>AUTORIZADO</v>
      </c>
      <c r="M239" s="15" t="str">
        <f>IFERROR(__xludf.DUMMYFUNCTION("""COMPUTED_VALUE"""),"NA ORIGEM")</f>
        <v>NA ORIGEM</v>
      </c>
      <c r="N239" s="15" t="str">
        <f>IFERROR(__xludf.DUMMYFUNCTION("""COMPUTED_VALUE"""),"Antes Prazo")</f>
        <v>Antes Prazo</v>
      </c>
      <c r="O239" s="15" t="str">
        <f>IFERROR(__xludf.DUMMYFUNCTION("""COMPUTED_VALUE"""),"B2B")</f>
        <v>B2B</v>
      </c>
      <c r="P239" s="16">
        <f>IFERROR(__xludf.DUMMYFUNCTION("""COMPUTED_VALUE"""),64.23)</f>
        <v>64.23</v>
      </c>
      <c r="Q239" s="15">
        <f>IFERROR(__xludf.DUMMYFUNCTION("""COMPUTED_VALUE"""),1.0)</f>
        <v>1</v>
      </c>
      <c r="R239" s="15" t="str">
        <f>IFERROR(__xludf.DUMMYFUNCTION("""COMPUTED_VALUE"""),"RODO")</f>
        <v>RODO</v>
      </c>
      <c r="S239" s="15" t="str">
        <f>IFERROR(__xludf.DUMMYFUNCTION("""COMPUTED_VALUE"""),"ITN")</f>
        <v>ITN</v>
      </c>
      <c r="T239" s="15" t="str">
        <f>IFERROR(__xludf.DUMMYFUNCTION("""COMPUTED_VALUE"""),"700")</f>
        <v>700</v>
      </c>
      <c r="U239" s="15" t="str">
        <f>IFERROR(__xludf.DUMMYFUNCTION("""COMPUTED_VALUE"""),"266803469 1305932 8176716 lupo trifil for 700")</f>
        <v>266803469 1305932 8176716 lupo trifil for 700</v>
      </c>
      <c r="V239" s="15" t="b">
        <f>IFERROR(__xludf.DUMMYFUNCTION("""COMPUTED_VALUE"""),FALSE)</f>
        <v>0</v>
      </c>
    </row>
    <row r="240">
      <c r="A240" s="19">
        <f>IFERROR(__xludf.DUMMYFUNCTION("""COMPUTED_VALUE"""),46304.0)</f>
        <v>46304</v>
      </c>
      <c r="B240" s="19">
        <f>IFERROR(__xludf.DUMMYFUNCTION("""COMPUTED_VALUE"""),46315.0)</f>
        <v>46315</v>
      </c>
      <c r="C240" s="15">
        <f>IFERROR(__xludf.DUMMYFUNCTION("""COMPUTED_VALUE"""),6.0)</f>
        <v>6</v>
      </c>
      <c r="D240" s="15" t="str">
        <f>IFERROR(__xludf.DUMMYFUNCTION("""COMPUTED_VALUE"""),"FOR")</f>
        <v>FOR</v>
      </c>
      <c r="E240" s="15" t="str">
        <f>IFERROR(__xludf.DUMMYFUNCTION("""COMPUTED_VALUE"""),"ASA COMERCIO DE VESTUARIO LTDA.")</f>
        <v>ASA COMERCIO DE VESTUARIO LTDA.</v>
      </c>
      <c r="F240" s="15" t="str">
        <f>IFERROR(__xludf.DUMMYFUNCTION("""COMPUTED_VALUE"""),"TRIFIL")</f>
        <v>TRIFIL</v>
      </c>
      <c r="G240" s="15" t="str">
        <f>IFERROR(__xludf.DUMMYFUNCTION("""COMPUTED_VALUE"""),"266803470")</f>
        <v>266803470</v>
      </c>
      <c r="H240" s="15" t="str">
        <f>IFERROR(__xludf.DUMMYFUNCTION("""COMPUTED_VALUE"""),"1305396, 1305608")</f>
        <v>1305396, 1305608</v>
      </c>
      <c r="I240" s="15" t="str">
        <f>IFERROR(__xludf.DUMMYFUNCTION("""COMPUTED_VALUE"""),"8176948")</f>
        <v>8176948</v>
      </c>
      <c r="J240" s="15" t="str">
        <f>IFERROR(__xludf.DUMMYFUNCTION("""COMPUTED_VALUE"""),"CIF")</f>
        <v>CIF</v>
      </c>
      <c r="K240" s="15" t="str">
        <f>IFERROR(__xludf.DUMMYFUNCTION("""COMPUTED_VALUE"""),"FSA-1")</f>
        <v>FSA-1</v>
      </c>
      <c r="L240" s="15" t="str">
        <f>IFERROR(__xludf.DUMMYFUNCTION("""COMPUTED_VALUE"""),"AUTORIZADO")</f>
        <v>AUTORIZADO</v>
      </c>
      <c r="M240" s="15" t="str">
        <f>IFERROR(__xludf.DUMMYFUNCTION("""COMPUTED_VALUE"""),"NA ORIGEM")</f>
        <v>NA ORIGEM</v>
      </c>
      <c r="N240" s="15" t="str">
        <f>IFERROR(__xludf.DUMMYFUNCTION("""COMPUTED_VALUE"""),"Antes Prazo")</f>
        <v>Antes Prazo</v>
      </c>
      <c r="O240" s="15" t="str">
        <f>IFERROR(__xludf.DUMMYFUNCTION("""COMPUTED_VALUE"""),"B2B")</f>
        <v>B2B</v>
      </c>
      <c r="P240" s="16">
        <f>IFERROR(__xludf.DUMMYFUNCTION("""COMPUTED_VALUE"""),64.23)</f>
        <v>64.23</v>
      </c>
      <c r="Q240" s="15">
        <f>IFERROR(__xludf.DUMMYFUNCTION("""COMPUTED_VALUE"""),2.0)</f>
        <v>2</v>
      </c>
      <c r="R240" s="15" t="str">
        <f>IFERROR(__xludf.DUMMYFUNCTION("""COMPUTED_VALUE"""),"RODO")</f>
        <v>RODO</v>
      </c>
      <c r="S240" s="15" t="str">
        <f>IFERROR(__xludf.DUMMYFUNCTION("""COMPUTED_VALUE"""),"ITN")</f>
        <v>ITN</v>
      </c>
      <c r="T240" s="15" t="str">
        <f>IFERROR(__xludf.DUMMYFUNCTION("""COMPUTED_VALUE"""),"16")</f>
        <v>16</v>
      </c>
      <c r="U240" s="15" t="str">
        <f>IFERROR(__xludf.DUMMYFUNCTION("""COMPUTED_VALUE"""),"266803470 1305396, 1305608 8176948 asa comercio de vestuario ltda. trifil for 16")</f>
        <v>266803470 1305396, 1305608 8176948 asa comercio de vestuario ltda. trifil for 16</v>
      </c>
      <c r="V240" s="15" t="b">
        <f>IFERROR(__xludf.DUMMYFUNCTION("""COMPUTED_VALUE"""),FALSE)</f>
        <v>0</v>
      </c>
    </row>
    <row r="241">
      <c r="A241" s="19">
        <f>IFERROR(__xludf.DUMMYFUNCTION("""COMPUTED_VALUE"""),46304.0)</f>
        <v>46304</v>
      </c>
      <c r="B241" s="19">
        <f>IFERROR(__xludf.DUMMYFUNCTION("""COMPUTED_VALUE"""),46315.0)</f>
        <v>46315</v>
      </c>
      <c r="C241" s="15">
        <f>IFERROR(__xludf.DUMMYFUNCTION("""COMPUTED_VALUE"""),6.0)</f>
        <v>6</v>
      </c>
      <c r="D241" s="15" t="str">
        <f>IFERROR(__xludf.DUMMYFUNCTION("""COMPUTED_VALUE"""),"FOR")</f>
        <v>FOR</v>
      </c>
      <c r="E241" s="15" t="str">
        <f>IFERROR(__xludf.DUMMYFUNCTION("""COMPUTED_VALUE"""),"MH Gadelha Comercio de Vestuario LTDA EP")</f>
        <v>MH Gadelha Comercio de Vestuario LTDA EP</v>
      </c>
      <c r="F241" s="15" t="str">
        <f>IFERROR(__xludf.DUMMYFUNCTION("""COMPUTED_VALUE"""),"TRIFIL")</f>
        <v>TRIFIL</v>
      </c>
      <c r="G241" s="15" t="str">
        <f>IFERROR(__xludf.DUMMYFUNCTION("""COMPUTED_VALUE"""),"266803471")</f>
        <v>266803471</v>
      </c>
      <c r="H241" s="15" t="str">
        <f>IFERROR(__xludf.DUMMYFUNCTION("""COMPUTED_VALUE"""),"1305079")</f>
        <v>1305079</v>
      </c>
      <c r="I241" s="15" t="str">
        <f>IFERROR(__xludf.DUMMYFUNCTION("""COMPUTED_VALUE"""),"8177038")</f>
        <v>8177038</v>
      </c>
      <c r="J241" s="15" t="str">
        <f>IFERROR(__xludf.DUMMYFUNCTION("""COMPUTED_VALUE"""),"CIF")</f>
        <v>CIF</v>
      </c>
      <c r="K241" s="15" t="str">
        <f>IFERROR(__xludf.DUMMYFUNCTION("""COMPUTED_VALUE"""),"FSA-1")</f>
        <v>FSA-1</v>
      </c>
      <c r="L241" s="15" t="str">
        <f>IFERROR(__xludf.DUMMYFUNCTION("""COMPUTED_VALUE"""),"AUTORIZADO")</f>
        <v>AUTORIZADO</v>
      </c>
      <c r="M241" s="15" t="str">
        <f>IFERROR(__xludf.DUMMYFUNCTION("""COMPUTED_VALUE"""),"NA ORIGEM")</f>
        <v>NA ORIGEM</v>
      </c>
      <c r="N241" s="15" t="str">
        <f>IFERROR(__xludf.DUMMYFUNCTION("""COMPUTED_VALUE"""),"Antes Prazo")</f>
        <v>Antes Prazo</v>
      </c>
      <c r="O241" s="15" t="str">
        <f>IFERROR(__xludf.DUMMYFUNCTION("""COMPUTED_VALUE"""),"B2B")</f>
        <v>B2B</v>
      </c>
      <c r="P241" s="16">
        <f>IFERROR(__xludf.DUMMYFUNCTION("""COMPUTED_VALUE"""),64.23)</f>
        <v>64.23</v>
      </c>
      <c r="Q241" s="15">
        <f>IFERROR(__xludf.DUMMYFUNCTION("""COMPUTED_VALUE"""),1.0)</f>
        <v>1</v>
      </c>
      <c r="R241" s="15" t="str">
        <f>IFERROR(__xludf.DUMMYFUNCTION("""COMPUTED_VALUE"""),"RODO")</f>
        <v>RODO</v>
      </c>
      <c r="S241" s="15" t="str">
        <f>IFERROR(__xludf.DUMMYFUNCTION("""COMPUTED_VALUE"""),"ITN")</f>
        <v>ITN</v>
      </c>
      <c r="T241" s="15" t="str">
        <f>IFERROR(__xludf.DUMMYFUNCTION("""COMPUTED_VALUE"""),"15")</f>
        <v>15</v>
      </c>
      <c r="U241" s="15" t="str">
        <f>IFERROR(__xludf.DUMMYFUNCTION("""COMPUTED_VALUE"""),"266803471 1305079 8177038 mh gadelha comercio de vestuario ltda ep trifil for 15")</f>
        <v>266803471 1305079 8177038 mh gadelha comercio de vestuario ltda ep trifil for 15</v>
      </c>
      <c r="V241" s="15" t="b">
        <f>IFERROR(__xludf.DUMMYFUNCTION("""COMPUTED_VALUE"""),FALSE)</f>
        <v>0</v>
      </c>
    </row>
    <row r="242">
      <c r="A242" s="19">
        <f>IFERROR(__xludf.DUMMYFUNCTION("""COMPUTED_VALUE"""),46304.0)</f>
        <v>46304</v>
      </c>
      <c r="B242" s="19">
        <f>IFERROR(__xludf.DUMMYFUNCTION("""COMPUTED_VALUE"""),46321.0)</f>
        <v>46321</v>
      </c>
      <c r="C242" s="15">
        <f>IFERROR(__xludf.DUMMYFUNCTION("""COMPUTED_VALUE"""),10.0)</f>
        <v>10</v>
      </c>
      <c r="D242" s="15" t="str">
        <f>IFERROR(__xludf.DUMMYFUNCTION("""COMPUTED_VALUE"""),"SBR")</f>
        <v>SBR</v>
      </c>
      <c r="E242" s="15" t="str">
        <f>IFERROR(__xludf.DUMMYFUNCTION("""COMPUTED_VALUE"""),"CRISTIANE OLIVEIRA PAIVA(0001006415)")</f>
        <v>CRISTIANE OLIVEIRA PAIVA(0001006415)</v>
      </c>
      <c r="F242" s="15" t="str">
        <f>IFERROR(__xludf.DUMMYFUNCTION("""COMPUTED_VALUE"""),"TRIFIL")</f>
        <v>TRIFIL</v>
      </c>
      <c r="G242" s="15" t="str">
        <f>IFERROR(__xludf.DUMMYFUNCTION("""COMPUTED_VALUE"""),"266803472")</f>
        <v>266803472</v>
      </c>
      <c r="H242" s="15" t="str">
        <f>IFERROR(__xludf.DUMMYFUNCTION("""COMPUTED_VALUE"""),"1303857")</f>
        <v>1303857</v>
      </c>
      <c r="I242" s="15" t="str">
        <f>IFERROR(__xludf.DUMMYFUNCTION("""COMPUTED_VALUE"""),"0")</f>
        <v>0</v>
      </c>
      <c r="J242" s="15" t="str">
        <f>IFERROR(__xludf.DUMMYFUNCTION("""COMPUTED_VALUE"""),"CIF")</f>
        <v>CIF</v>
      </c>
      <c r="K242" s="15" t="str">
        <f>IFERROR(__xludf.DUMMYFUNCTION("""COMPUTED_VALUE"""),"(sem célula)")</f>
        <v>(sem célula)</v>
      </c>
      <c r="L242" s="15" t="str">
        <f>IFERROR(__xludf.DUMMYFUNCTION("""COMPUTED_VALUE"""),"SEM CT-E")</f>
        <v>SEM CT-E</v>
      </c>
      <c r="M242" s="15" t="str">
        <f>IFERROR(__xludf.DUMMYFUNCTION("""COMPUTED_VALUE"""),"NA ORIGEM")</f>
        <v>NA ORIGEM</v>
      </c>
      <c r="N242" s="15" t="str">
        <f>IFERROR(__xludf.DUMMYFUNCTION("""COMPUTED_VALUE"""),"Antes Prazo")</f>
        <v>Antes Prazo</v>
      </c>
      <c r="O242" s="15" t="str">
        <f>IFERROR(__xludf.DUMMYFUNCTION("""COMPUTED_VALUE"""),"B2B")</f>
        <v>B2B</v>
      </c>
      <c r="P242" s="16">
        <f>IFERROR(__xludf.DUMMYFUNCTION("""COMPUTED_VALUE"""),71.9)</f>
        <v>71.9</v>
      </c>
      <c r="Q242" s="15">
        <f>IFERROR(__xludf.DUMMYFUNCTION("""COMPUTED_VALUE"""),1.0)</f>
        <v>1</v>
      </c>
      <c r="R242" s="15" t="str">
        <f>IFERROR(__xludf.DUMMYFUNCTION("""COMPUTED_VALUE"""),"RODO")</f>
        <v>RODO</v>
      </c>
      <c r="S242" s="15" t="str">
        <f>IFERROR(__xludf.DUMMYFUNCTION("""COMPUTED_VALUE"""),"ITN")</f>
        <v>ITN</v>
      </c>
      <c r="T242" s="15" t="str">
        <f>IFERROR(__xludf.DUMMYFUNCTION("""COMPUTED_VALUE"""),"102")</f>
        <v>102</v>
      </c>
      <c r="U242" s="15" t="str">
        <f>IFERROR(__xludf.DUMMYFUNCTION("""COMPUTED_VALUE"""),"266803472 1303857 0 cristiane oliveira paiva(0001006415) trifil sbr 102")</f>
        <v>266803472 1303857 0 cristiane oliveira paiva(0001006415) trifil sbr 102</v>
      </c>
      <c r="V242" s="15" t="b">
        <f>IFERROR(__xludf.DUMMYFUNCTION("""COMPUTED_VALUE"""),FALSE)</f>
        <v>0</v>
      </c>
    </row>
    <row r="243">
      <c r="A243" s="19">
        <f>IFERROR(__xludf.DUMMYFUNCTION("""COMPUTED_VALUE"""),46304.0)</f>
        <v>46304</v>
      </c>
      <c r="B243" s="19">
        <f>IFERROR(__xludf.DUMMYFUNCTION("""COMPUTED_VALUE"""),46323.0)</f>
        <v>46323</v>
      </c>
      <c r="C243" s="15">
        <f>IFERROR(__xludf.DUMMYFUNCTION("""COMPUTED_VALUE"""),12.0)</f>
        <v>12</v>
      </c>
      <c r="D243" s="15" t="str">
        <f>IFERROR(__xludf.DUMMYFUNCTION("""COMPUTED_VALUE"""),"SBR")</f>
        <v>SBR</v>
      </c>
      <c r="E243" s="15" t="str">
        <f>IFERROR(__xludf.DUMMYFUNCTION("""COMPUTED_VALUE"""),"FRANCISCO VINICIUS FERNANDES CHAVES")</f>
        <v>FRANCISCO VINICIUS FERNANDES CHAVES</v>
      </c>
      <c r="F243" s="15" t="str">
        <f>IFERROR(__xludf.DUMMYFUNCTION("""COMPUTED_VALUE"""),"TRIFIL")</f>
        <v>TRIFIL</v>
      </c>
      <c r="G243" s="15" t="str">
        <f>IFERROR(__xludf.DUMMYFUNCTION("""COMPUTED_VALUE"""),"266803473")</f>
        <v>266803473</v>
      </c>
      <c r="H243" s="15" t="str">
        <f>IFERROR(__xludf.DUMMYFUNCTION("""COMPUTED_VALUE"""),"1305326")</f>
        <v>1305326</v>
      </c>
      <c r="I243" s="15" t="str">
        <f>IFERROR(__xludf.DUMMYFUNCTION("""COMPUTED_VALUE"""),"8176912")</f>
        <v>8176912</v>
      </c>
      <c r="J243" s="15" t="str">
        <f>IFERROR(__xludf.DUMMYFUNCTION("""COMPUTED_VALUE"""),"CIF")</f>
        <v>CIF</v>
      </c>
      <c r="K243" s="15" t="str">
        <f>IFERROR(__xludf.DUMMYFUNCTION("""COMPUTED_VALUE"""),"SAO-1")</f>
        <v>SAO-1</v>
      </c>
      <c r="L243" s="15" t="str">
        <f>IFERROR(__xludf.DUMMYFUNCTION("""COMPUTED_VALUE"""),"AUTORIZADO")</f>
        <v>AUTORIZADO</v>
      </c>
      <c r="M243" s="15" t="str">
        <f>IFERROR(__xludf.DUMMYFUNCTION("""COMPUTED_VALUE"""),"NA ORIGEM")</f>
        <v>NA ORIGEM</v>
      </c>
      <c r="N243" s="15" t="str">
        <f>IFERROR(__xludf.DUMMYFUNCTION("""COMPUTED_VALUE"""),"Antes Prazo")</f>
        <v>Antes Prazo</v>
      </c>
      <c r="O243" s="15" t="str">
        <f>IFERROR(__xludf.DUMMYFUNCTION("""COMPUTED_VALUE"""),"B2B")</f>
        <v>B2B</v>
      </c>
      <c r="P243" s="16">
        <f>IFERROR(__xludf.DUMMYFUNCTION("""COMPUTED_VALUE"""),71.9)</f>
        <v>71.9</v>
      </c>
      <c r="Q243" s="15">
        <f>IFERROR(__xludf.DUMMYFUNCTION("""COMPUTED_VALUE"""),1.0)</f>
        <v>1</v>
      </c>
      <c r="R243" s="15" t="str">
        <f>IFERROR(__xludf.DUMMYFUNCTION("""COMPUTED_VALUE"""),"RODO")</f>
        <v>RODO</v>
      </c>
      <c r="S243" s="15" t="str">
        <f>IFERROR(__xludf.DUMMYFUNCTION("""COMPUTED_VALUE"""),"ITN")</f>
        <v>ITN</v>
      </c>
      <c r="T243" s="15" t="str">
        <f>IFERROR(__xludf.DUMMYFUNCTION("""COMPUTED_VALUE"""),"105")</f>
        <v>105</v>
      </c>
      <c r="U243" s="15" t="str">
        <f>IFERROR(__xludf.DUMMYFUNCTION("""COMPUTED_VALUE"""),"266803473 1305326 8176912 francisco vinicius fernandes chaves trifil sbr 105")</f>
        <v>266803473 1305326 8176912 francisco vinicius fernandes chaves trifil sbr 105</v>
      </c>
      <c r="V243" s="15" t="b">
        <f>IFERROR(__xludf.DUMMYFUNCTION("""COMPUTED_VALUE"""),FALSE)</f>
        <v>0</v>
      </c>
    </row>
    <row r="244">
      <c r="A244" s="19">
        <f>IFERROR(__xludf.DUMMYFUNCTION("""COMPUTED_VALUE"""),46304.0)</f>
        <v>46304</v>
      </c>
      <c r="B244" s="19">
        <f>IFERROR(__xludf.DUMMYFUNCTION("""COMPUTED_VALUE"""),46322.0)</f>
        <v>46322</v>
      </c>
      <c r="C244" s="15">
        <f>IFERROR(__xludf.DUMMYFUNCTION("""COMPUTED_VALUE"""),11.0)</f>
        <v>11</v>
      </c>
      <c r="D244" s="15" t="str">
        <f>IFERROR(__xludf.DUMMYFUNCTION("""COMPUTED_VALUE"""),"SBR")</f>
        <v>SBR</v>
      </c>
      <c r="E244" s="15" t="str">
        <f>IFERROR(__xludf.DUMMYFUNCTION("""COMPUTED_VALUE"""),"MEIRIANE MARCIA MUNIZ")</f>
        <v>MEIRIANE MARCIA MUNIZ</v>
      </c>
      <c r="F244" s="15" t="str">
        <f>IFERROR(__xludf.DUMMYFUNCTION("""COMPUTED_VALUE"""),"TRIFIL")</f>
        <v>TRIFIL</v>
      </c>
      <c r="G244" s="15" t="str">
        <f>IFERROR(__xludf.DUMMYFUNCTION("""COMPUTED_VALUE"""),"266803474")</f>
        <v>266803474</v>
      </c>
      <c r="H244" s="15" t="str">
        <f>IFERROR(__xludf.DUMMYFUNCTION("""COMPUTED_VALUE"""),"1305876")</f>
        <v>1305876</v>
      </c>
      <c r="I244" s="15" t="str">
        <f>IFERROR(__xludf.DUMMYFUNCTION("""COMPUTED_VALUE"""),"8176913")</f>
        <v>8176913</v>
      </c>
      <c r="J244" s="15" t="str">
        <f>IFERROR(__xludf.DUMMYFUNCTION("""COMPUTED_VALUE"""),"CIF")</f>
        <v>CIF</v>
      </c>
      <c r="K244" s="15" t="str">
        <f>IFERROR(__xludf.DUMMYFUNCTION("""COMPUTED_VALUE"""),"(sem célula)")</f>
        <v>(sem célula)</v>
      </c>
      <c r="L244" s="15" t="str">
        <f>IFERROR(__xludf.DUMMYFUNCTION("""COMPUTED_VALUE"""),"AUTORIZADO")</f>
        <v>AUTORIZADO</v>
      </c>
      <c r="M244" s="15" t="str">
        <f>IFERROR(__xludf.DUMMYFUNCTION("""COMPUTED_VALUE"""),"NA ORIGEM")</f>
        <v>NA ORIGEM</v>
      </c>
      <c r="N244" s="15" t="str">
        <f>IFERROR(__xludf.DUMMYFUNCTION("""COMPUTED_VALUE"""),"Antes Prazo")</f>
        <v>Antes Prazo</v>
      </c>
      <c r="O244" s="15" t="str">
        <f>IFERROR(__xludf.DUMMYFUNCTION("""COMPUTED_VALUE"""),"B2B")</f>
        <v>B2B</v>
      </c>
      <c r="P244" s="16">
        <f>IFERROR(__xludf.DUMMYFUNCTION("""COMPUTED_VALUE"""),71.9)</f>
        <v>71.9</v>
      </c>
      <c r="Q244" s="15">
        <f>IFERROR(__xludf.DUMMYFUNCTION("""COMPUTED_VALUE"""),1.0)</f>
        <v>1</v>
      </c>
      <c r="R244" s="15" t="str">
        <f>IFERROR(__xludf.DUMMYFUNCTION("""COMPUTED_VALUE"""),"RODO")</f>
        <v>RODO</v>
      </c>
      <c r="S244" s="15" t="str">
        <f>IFERROR(__xludf.DUMMYFUNCTION("""COMPUTED_VALUE"""),"ITN")</f>
        <v>ITN</v>
      </c>
      <c r="T244" s="15" t="str">
        <f>IFERROR(__xludf.DUMMYFUNCTION("""COMPUTED_VALUE"""),"107")</f>
        <v>107</v>
      </c>
      <c r="U244" s="15" t="str">
        <f>IFERROR(__xludf.DUMMYFUNCTION("""COMPUTED_VALUE"""),"266803474 1305876 8176913 meiriane marcia muniz trifil sbr 107")</f>
        <v>266803474 1305876 8176913 meiriane marcia muniz trifil sbr 107</v>
      </c>
      <c r="V244" s="15" t="b">
        <f>IFERROR(__xludf.DUMMYFUNCTION("""COMPUTED_VALUE"""),FALSE)</f>
        <v>0</v>
      </c>
    </row>
    <row r="245">
      <c r="A245" s="19">
        <f>IFERROR(__xludf.DUMMYFUNCTION("""COMPUTED_VALUE"""),46304.0)</f>
        <v>46304</v>
      </c>
      <c r="B245" s="19">
        <f>IFERROR(__xludf.DUMMYFUNCTION("""COMPUTED_VALUE"""),46318.0)</f>
        <v>46318</v>
      </c>
      <c r="C245" s="15">
        <f>IFERROR(__xludf.DUMMYFUNCTION("""COMPUTED_VALUE"""),9.0)</f>
        <v>9</v>
      </c>
      <c r="D245" s="15" t="str">
        <f>IFERROR(__xludf.DUMMYFUNCTION("""COMPUTED_VALUE"""),"FOR")</f>
        <v>FOR</v>
      </c>
      <c r="E245" s="15" t="str">
        <f>IFERROR(__xludf.DUMMYFUNCTION("""COMPUTED_VALUE"""),"ROBSON FERREIRA PINTO(0001015086)")</f>
        <v>ROBSON FERREIRA PINTO(0001015086)</v>
      </c>
      <c r="F245" s="15" t="str">
        <f>IFERROR(__xludf.DUMMYFUNCTION("""COMPUTED_VALUE"""),"TRIFIL")</f>
        <v>TRIFIL</v>
      </c>
      <c r="G245" s="15" t="str">
        <f>IFERROR(__xludf.DUMMYFUNCTION("""COMPUTED_VALUE"""),"266803475")</f>
        <v>266803475</v>
      </c>
      <c r="H245" s="15" t="str">
        <f>IFERROR(__xludf.DUMMYFUNCTION("""COMPUTED_VALUE"""),"1304744")</f>
        <v>1304744</v>
      </c>
      <c r="I245" s="15" t="str">
        <f>IFERROR(__xludf.DUMMYFUNCTION("""COMPUTED_VALUE"""),"8177039")</f>
        <v>8177039</v>
      </c>
      <c r="J245" s="15" t="str">
        <f>IFERROR(__xludf.DUMMYFUNCTION("""COMPUTED_VALUE"""),"CIF")</f>
        <v>CIF</v>
      </c>
      <c r="K245" s="15" t="str">
        <f>IFERROR(__xludf.DUMMYFUNCTION("""COMPUTED_VALUE"""),"FSA-1")</f>
        <v>FSA-1</v>
      </c>
      <c r="L245" s="15" t="str">
        <f>IFERROR(__xludf.DUMMYFUNCTION("""COMPUTED_VALUE"""),"AUTORIZADO")</f>
        <v>AUTORIZADO</v>
      </c>
      <c r="M245" s="15" t="str">
        <f>IFERROR(__xludf.DUMMYFUNCTION("""COMPUTED_VALUE"""),"NA ORIGEM")</f>
        <v>NA ORIGEM</v>
      </c>
      <c r="N245" s="15" t="str">
        <f>IFERROR(__xludf.DUMMYFUNCTION("""COMPUTED_VALUE"""),"Antes Prazo")</f>
        <v>Antes Prazo</v>
      </c>
      <c r="O245" s="15" t="str">
        <f>IFERROR(__xludf.DUMMYFUNCTION("""COMPUTED_VALUE"""),"B2B")</f>
        <v>B2B</v>
      </c>
      <c r="P245" s="16">
        <f>IFERROR(__xludf.DUMMYFUNCTION("""COMPUTED_VALUE"""),71.9)</f>
        <v>71.9</v>
      </c>
      <c r="Q245" s="15">
        <f>IFERROR(__xludf.DUMMYFUNCTION("""COMPUTED_VALUE"""),1.0)</f>
        <v>1</v>
      </c>
      <c r="R245" s="15" t="str">
        <f>IFERROR(__xludf.DUMMYFUNCTION("""COMPUTED_VALUE"""),"RODO")</f>
        <v>RODO</v>
      </c>
      <c r="S245" s="15" t="str">
        <f>IFERROR(__xludf.DUMMYFUNCTION("""COMPUTED_VALUE"""),"ITN")</f>
        <v>ITN</v>
      </c>
      <c r="T245" s="15" t="str">
        <f>IFERROR(__xludf.DUMMYFUNCTION("""COMPUTED_VALUE"""),"103")</f>
        <v>103</v>
      </c>
      <c r="U245" s="15" t="str">
        <f>IFERROR(__xludf.DUMMYFUNCTION("""COMPUTED_VALUE"""),"266803475 1304744 8177039 robson ferreira pinto(0001015086) trifil for 103")</f>
        <v>266803475 1304744 8177039 robson ferreira pinto(0001015086) trifil for 103</v>
      </c>
      <c r="V245" s="15" t="b">
        <f>IFERROR(__xludf.DUMMYFUNCTION("""COMPUTED_VALUE"""),FALSE)</f>
        <v>0</v>
      </c>
    </row>
    <row r="246">
      <c r="A246" s="19">
        <f>IFERROR(__xludf.DUMMYFUNCTION("""COMPUTED_VALUE"""),46304.0)</f>
        <v>46304</v>
      </c>
      <c r="B246" s="19">
        <f>IFERROR(__xludf.DUMMYFUNCTION("""COMPUTED_VALUE"""),46318.0)</f>
        <v>46318</v>
      </c>
      <c r="C246" s="15">
        <f>IFERROR(__xludf.DUMMYFUNCTION("""COMPUTED_VALUE"""),9.0)</f>
        <v>9</v>
      </c>
      <c r="D246" s="15" t="str">
        <f>IFERROR(__xludf.DUMMYFUNCTION("""COMPUTED_VALUE"""),"FOR")</f>
        <v>FOR</v>
      </c>
      <c r="E246" s="15" t="str">
        <f>IFERROR(__xludf.DUMMYFUNCTION("""COMPUTED_VALUE"""),"JEN CALCADOS")</f>
        <v>JEN CALCADOS</v>
      </c>
      <c r="F246" s="15" t="str">
        <f>IFERROR(__xludf.DUMMYFUNCTION("""COMPUTED_VALUE"""),"TRIFIL")</f>
        <v>TRIFIL</v>
      </c>
      <c r="G246" s="15" t="str">
        <f>IFERROR(__xludf.DUMMYFUNCTION("""COMPUTED_VALUE"""),"266803476")</f>
        <v>266803476</v>
      </c>
      <c r="H246" s="15" t="str">
        <f>IFERROR(__xludf.DUMMYFUNCTION("""COMPUTED_VALUE"""),"1305973")</f>
        <v>1305973</v>
      </c>
      <c r="I246" s="15" t="str">
        <f>IFERROR(__xludf.DUMMYFUNCTION("""COMPUTED_VALUE"""),"8176743")</f>
        <v>8176743</v>
      </c>
      <c r="J246" s="15" t="str">
        <f>IFERROR(__xludf.DUMMYFUNCTION("""COMPUTED_VALUE"""),"CIF")</f>
        <v>CIF</v>
      </c>
      <c r="K246" s="15" t="str">
        <f>IFERROR(__xludf.DUMMYFUNCTION("""COMPUTED_VALUE"""),"FSA-1")</f>
        <v>FSA-1</v>
      </c>
      <c r="L246" s="15" t="str">
        <f>IFERROR(__xludf.DUMMYFUNCTION("""COMPUTED_VALUE"""),"AUTORIZADO")</f>
        <v>AUTORIZADO</v>
      </c>
      <c r="M246" s="15" t="str">
        <f>IFERROR(__xludf.DUMMYFUNCTION("""COMPUTED_VALUE"""),"NA ORIGEM")</f>
        <v>NA ORIGEM</v>
      </c>
      <c r="N246" s="15" t="str">
        <f>IFERROR(__xludf.DUMMYFUNCTION("""COMPUTED_VALUE"""),"Antes Prazo")</f>
        <v>Antes Prazo</v>
      </c>
      <c r="O246" s="15" t="str">
        <f>IFERROR(__xludf.DUMMYFUNCTION("""COMPUTED_VALUE"""),"B2B")</f>
        <v>B2B</v>
      </c>
      <c r="P246" s="16">
        <f>IFERROR(__xludf.DUMMYFUNCTION("""COMPUTED_VALUE"""),71.9)</f>
        <v>71.9</v>
      </c>
      <c r="Q246" s="15">
        <f>IFERROR(__xludf.DUMMYFUNCTION("""COMPUTED_VALUE"""),4.0)</f>
        <v>4</v>
      </c>
      <c r="R246" s="15" t="str">
        <f>IFERROR(__xludf.DUMMYFUNCTION("""COMPUTED_VALUE"""),"RODO")</f>
        <v>RODO</v>
      </c>
      <c r="S246" s="15" t="str">
        <f>IFERROR(__xludf.DUMMYFUNCTION("""COMPUTED_VALUE"""),"ITN")</f>
        <v>ITN</v>
      </c>
      <c r="T246" s="15" t="str">
        <f>IFERROR(__xludf.DUMMYFUNCTION("""COMPUTED_VALUE"""),"102")</f>
        <v>102</v>
      </c>
      <c r="U246" s="15" t="str">
        <f>IFERROR(__xludf.DUMMYFUNCTION("""COMPUTED_VALUE"""),"266803476 1305973 8176743 jen calcados trifil for 102")</f>
        <v>266803476 1305973 8176743 jen calcados trifil for 102</v>
      </c>
      <c r="V246" s="15" t="b">
        <f>IFERROR(__xludf.DUMMYFUNCTION("""COMPUTED_VALUE"""),FALSE)</f>
        <v>0</v>
      </c>
    </row>
    <row r="247">
      <c r="A247" s="19">
        <f>IFERROR(__xludf.DUMMYFUNCTION("""COMPUTED_VALUE"""),46304.0)</f>
        <v>46304</v>
      </c>
      <c r="B247" s="19">
        <f>IFERROR(__xludf.DUMMYFUNCTION("""COMPUTED_VALUE"""),46317.0)</f>
        <v>46317</v>
      </c>
      <c r="C247" s="15">
        <f>IFERROR(__xludf.DUMMYFUNCTION("""COMPUTED_VALUE"""),8.0)</f>
        <v>8</v>
      </c>
      <c r="D247" s="15" t="str">
        <f>IFERROR(__xludf.DUMMYFUNCTION("""COMPUTED_VALUE"""),"BTB")</f>
        <v>BTB</v>
      </c>
      <c r="E247" s="15" t="str">
        <f>IFERROR(__xludf.DUMMYFUNCTION("""COMPUTED_VALUE"""),"BELLA INTIMATES LTDA ME")</f>
        <v>BELLA INTIMATES LTDA ME</v>
      </c>
      <c r="F247" s="15" t="str">
        <f>IFERROR(__xludf.DUMMYFUNCTION("""COMPUTED_VALUE"""),"TRIFIL")</f>
        <v>TRIFIL</v>
      </c>
      <c r="G247" s="15" t="str">
        <f>IFERROR(__xludf.DUMMYFUNCTION("""COMPUTED_VALUE"""),"266803477")</f>
        <v>266803477</v>
      </c>
      <c r="H247" s="15" t="str">
        <f>IFERROR(__xludf.DUMMYFUNCTION("""COMPUTED_VALUE"""),"1305054")</f>
        <v>1305054</v>
      </c>
      <c r="I247" s="15" t="str">
        <f>IFERROR(__xludf.DUMMYFUNCTION("""COMPUTED_VALUE"""),"8176881")</f>
        <v>8176881</v>
      </c>
      <c r="J247" s="15" t="str">
        <f>IFERROR(__xludf.DUMMYFUNCTION("""COMPUTED_VALUE"""),"CIF")</f>
        <v>CIF</v>
      </c>
      <c r="K247" s="15" t="str">
        <f>IFERROR(__xludf.DUMMYFUNCTION("""COMPUTED_VALUE"""),"(sem célula)")</f>
        <v>(sem célula)</v>
      </c>
      <c r="L247" s="15" t="str">
        <f>IFERROR(__xludf.DUMMYFUNCTION("""COMPUTED_VALUE"""),"AUTORIZADO")</f>
        <v>AUTORIZADO</v>
      </c>
      <c r="M247" s="15" t="str">
        <f>IFERROR(__xludf.DUMMYFUNCTION("""COMPUTED_VALUE"""),"NA ORIGEM")</f>
        <v>NA ORIGEM</v>
      </c>
      <c r="N247" s="15" t="str">
        <f>IFERROR(__xludf.DUMMYFUNCTION("""COMPUTED_VALUE"""),"Antes Prazo")</f>
        <v>Antes Prazo</v>
      </c>
      <c r="O247" s="15" t="str">
        <f>IFERROR(__xludf.DUMMYFUNCTION("""COMPUTED_VALUE"""),"B2B")</f>
        <v>B2B</v>
      </c>
      <c r="P247" s="16">
        <f>IFERROR(__xludf.DUMMYFUNCTION("""COMPUTED_VALUE"""),45.49)</f>
        <v>45.49</v>
      </c>
      <c r="Q247" s="15">
        <f>IFERROR(__xludf.DUMMYFUNCTION("""COMPUTED_VALUE"""),1.0)</f>
        <v>1</v>
      </c>
      <c r="R247" s="15" t="str">
        <f>IFERROR(__xludf.DUMMYFUNCTION("""COMPUTED_VALUE"""),"RODO")</f>
        <v>RODO</v>
      </c>
      <c r="S247" s="15" t="str">
        <f>IFERROR(__xludf.DUMMYFUNCTION("""COMPUTED_VALUE"""),"ITN")</f>
        <v>ITN</v>
      </c>
      <c r="T247" s="15" t="str">
        <f>IFERROR(__xludf.DUMMYFUNCTION("""COMPUTED_VALUE"""),"605")</f>
        <v>605</v>
      </c>
      <c r="U247" s="15" t="str">
        <f>IFERROR(__xludf.DUMMYFUNCTION("""COMPUTED_VALUE"""),"266803477 1305054 8176881 bella intimates ltda me trifil btb 605")</f>
        <v>266803477 1305054 8176881 bella intimates ltda me trifil btb 605</v>
      </c>
      <c r="V247" s="15" t="b">
        <f>IFERROR(__xludf.DUMMYFUNCTION("""COMPUTED_VALUE"""),FALSE)</f>
        <v>0</v>
      </c>
    </row>
    <row r="248">
      <c r="A248" s="19">
        <f>IFERROR(__xludf.DUMMYFUNCTION("""COMPUTED_VALUE"""),46304.0)</f>
        <v>46304</v>
      </c>
      <c r="B248" s="19">
        <f>IFERROR(__xludf.DUMMYFUNCTION("""COMPUTED_VALUE"""),46322.0)</f>
        <v>46322</v>
      </c>
      <c r="C248" s="15">
        <f>IFERROR(__xludf.DUMMYFUNCTION("""COMPUTED_VALUE"""),11.0)</f>
        <v>11</v>
      </c>
      <c r="D248" s="15" t="str">
        <f>IFERROR(__xludf.DUMMYFUNCTION("""COMPUTED_VALUE"""),"SBR")</f>
        <v>SBR</v>
      </c>
      <c r="E248" s="15" t="str">
        <f>IFERROR(__xludf.DUMMYFUNCTION("""COMPUTED_VALUE"""),"ANA ELCA CAVALCANTE LIMA DA SILVA")</f>
        <v>ANA ELCA CAVALCANTE LIMA DA SILVA</v>
      </c>
      <c r="F248" s="15" t="str">
        <f>IFERROR(__xludf.DUMMYFUNCTION("""COMPUTED_VALUE"""),"TRIFIL")</f>
        <v>TRIFIL</v>
      </c>
      <c r="G248" s="15" t="str">
        <f>IFERROR(__xludf.DUMMYFUNCTION("""COMPUTED_VALUE"""),"266803478")</f>
        <v>266803478</v>
      </c>
      <c r="H248" s="15" t="str">
        <f>IFERROR(__xludf.DUMMYFUNCTION("""COMPUTED_VALUE"""),"1305628")</f>
        <v>1305628</v>
      </c>
      <c r="I248" s="15" t="str">
        <f>IFERROR(__xludf.DUMMYFUNCTION("""COMPUTED_VALUE"""),"8176882")</f>
        <v>8176882</v>
      </c>
      <c r="J248" s="15" t="str">
        <f>IFERROR(__xludf.DUMMYFUNCTION("""COMPUTED_VALUE"""),"CIF")</f>
        <v>CIF</v>
      </c>
      <c r="K248" s="15" t="str">
        <f>IFERROR(__xludf.DUMMYFUNCTION("""COMPUTED_VALUE"""),"(sem célula)")</f>
        <v>(sem célula)</v>
      </c>
      <c r="L248" s="15" t="str">
        <f>IFERROR(__xludf.DUMMYFUNCTION("""COMPUTED_VALUE"""),"AUTORIZADO")</f>
        <v>AUTORIZADO</v>
      </c>
      <c r="M248" s="15" t="str">
        <f>IFERROR(__xludf.DUMMYFUNCTION("""COMPUTED_VALUE"""),"NA ORIGEM")</f>
        <v>NA ORIGEM</v>
      </c>
      <c r="N248" s="15" t="str">
        <f>IFERROR(__xludf.DUMMYFUNCTION("""COMPUTED_VALUE"""),"Antes Prazo")</f>
        <v>Antes Prazo</v>
      </c>
      <c r="O248" s="15" t="str">
        <f>IFERROR(__xludf.DUMMYFUNCTION("""COMPUTED_VALUE"""),"B2B")</f>
        <v>B2B</v>
      </c>
      <c r="P248" s="16">
        <f>IFERROR(__xludf.DUMMYFUNCTION("""COMPUTED_VALUE"""),71.9)</f>
        <v>71.9</v>
      </c>
      <c r="Q248" s="15">
        <f>IFERROR(__xludf.DUMMYFUNCTION("""COMPUTED_VALUE"""),1.0)</f>
        <v>1</v>
      </c>
      <c r="R248" s="15" t="str">
        <f>IFERROR(__xludf.DUMMYFUNCTION("""COMPUTED_VALUE"""),"RODO")</f>
        <v>RODO</v>
      </c>
      <c r="S248" s="15" t="str">
        <f>IFERROR(__xludf.DUMMYFUNCTION("""COMPUTED_VALUE"""),"ITN")</f>
        <v>ITN</v>
      </c>
      <c r="T248" s="15" t="str">
        <f>IFERROR(__xludf.DUMMYFUNCTION("""COMPUTED_VALUE"""),"103")</f>
        <v>103</v>
      </c>
      <c r="U248" s="15" t="str">
        <f>IFERROR(__xludf.DUMMYFUNCTION("""COMPUTED_VALUE"""),"266803478 1305628 8176882 ana elca cavalcante lima da silva trifil sbr 103")</f>
        <v>266803478 1305628 8176882 ana elca cavalcante lima da silva trifil sbr 103</v>
      </c>
      <c r="V248" s="15" t="b">
        <f>IFERROR(__xludf.DUMMYFUNCTION("""COMPUTED_VALUE"""),FALSE)</f>
        <v>0</v>
      </c>
    </row>
    <row r="249">
      <c r="A249" s="19">
        <f>IFERROR(__xludf.DUMMYFUNCTION("""COMPUTED_VALUE"""),46304.0)</f>
        <v>46304</v>
      </c>
      <c r="B249" s="19">
        <f>IFERROR(__xludf.DUMMYFUNCTION("""COMPUTED_VALUE"""),46323.0)</f>
        <v>46323</v>
      </c>
      <c r="C249" s="15">
        <f>IFERROR(__xludf.DUMMYFUNCTION("""COMPUTED_VALUE"""),11.0)</f>
        <v>11</v>
      </c>
      <c r="D249" s="15" t="str">
        <f>IFERROR(__xludf.DUMMYFUNCTION("""COMPUTED_VALUE"""),"THE")</f>
        <v>THE</v>
      </c>
      <c r="E249" s="15" t="str">
        <f>IFERROR(__xludf.DUMMYFUNCTION("""COMPUTED_VALUE"""),"CPC VESTUARIO LTDA")</f>
        <v>CPC VESTUARIO LTDA</v>
      </c>
      <c r="F249" s="15" t="str">
        <f>IFERROR(__xludf.DUMMYFUNCTION("""COMPUTED_VALUE"""),"TRIFIL")</f>
        <v>TRIFIL</v>
      </c>
      <c r="G249" s="15" t="str">
        <f>IFERROR(__xludf.DUMMYFUNCTION("""COMPUTED_VALUE"""),"266803479")</f>
        <v>266803479</v>
      </c>
      <c r="H249" s="15" t="str">
        <f>IFERROR(__xludf.DUMMYFUNCTION("""COMPUTED_VALUE"""),"1305530")</f>
        <v>1305530</v>
      </c>
      <c r="I249" s="15" t="str">
        <f>IFERROR(__xludf.DUMMYFUNCTION("""COMPUTED_VALUE"""),"8176986")</f>
        <v>8176986</v>
      </c>
      <c r="J249" s="15" t="str">
        <f>IFERROR(__xludf.DUMMYFUNCTION("""COMPUTED_VALUE"""),"CIF")</f>
        <v>CIF</v>
      </c>
      <c r="K249" s="15" t="str">
        <f>IFERROR(__xludf.DUMMYFUNCTION("""COMPUTED_VALUE"""),"SAO-1")</f>
        <v>SAO-1</v>
      </c>
      <c r="L249" s="15" t="str">
        <f>IFERROR(__xludf.DUMMYFUNCTION("""COMPUTED_VALUE"""),"AUTORIZADO")</f>
        <v>AUTORIZADO</v>
      </c>
      <c r="M249" s="15" t="str">
        <f>IFERROR(__xludf.DUMMYFUNCTION("""COMPUTED_VALUE"""),"NA ORIGEM")</f>
        <v>NA ORIGEM</v>
      </c>
      <c r="N249" s="15" t="str">
        <f>IFERROR(__xludf.DUMMYFUNCTION("""COMPUTED_VALUE"""),"Antes Prazo")</f>
        <v>Antes Prazo</v>
      </c>
      <c r="O249" s="15" t="str">
        <f>IFERROR(__xludf.DUMMYFUNCTION("""COMPUTED_VALUE"""),"B2B")</f>
        <v>B2B</v>
      </c>
      <c r="P249" s="16">
        <f>IFERROR(__xludf.DUMMYFUNCTION("""COMPUTED_VALUE"""),64.23)</f>
        <v>64.23</v>
      </c>
      <c r="Q249" s="15">
        <f>IFERROR(__xludf.DUMMYFUNCTION("""COMPUTED_VALUE"""),1.0)</f>
        <v>1</v>
      </c>
      <c r="R249" s="15" t="str">
        <f>IFERROR(__xludf.DUMMYFUNCTION("""COMPUTED_VALUE"""),"RODO")</f>
        <v>RODO</v>
      </c>
      <c r="S249" s="15" t="str">
        <f>IFERROR(__xludf.DUMMYFUNCTION("""COMPUTED_VALUE"""),"ITN")</f>
        <v>ITN</v>
      </c>
      <c r="T249" s="15" t="str">
        <f>IFERROR(__xludf.DUMMYFUNCTION("""COMPUTED_VALUE"""),"5")</f>
        <v>5</v>
      </c>
      <c r="U249" s="15" t="str">
        <f>IFERROR(__xludf.DUMMYFUNCTION("""COMPUTED_VALUE"""),"266803479 1305530 8176986 cpc vestuario ltda trifil the 5")</f>
        <v>266803479 1305530 8176986 cpc vestuario ltda trifil the 5</v>
      </c>
      <c r="V249" s="15" t="b">
        <f>IFERROR(__xludf.DUMMYFUNCTION("""COMPUTED_VALUE"""),FALSE)</f>
        <v>0</v>
      </c>
    </row>
    <row r="250">
      <c r="A250" s="19">
        <f>IFERROR(__xludf.DUMMYFUNCTION("""COMPUTED_VALUE"""),46304.0)</f>
        <v>46304</v>
      </c>
      <c r="B250" s="19">
        <f>IFERROR(__xludf.DUMMYFUNCTION("""COMPUTED_VALUE"""),46323.0)</f>
        <v>46323</v>
      </c>
      <c r="C250" s="15">
        <f>IFERROR(__xludf.DUMMYFUNCTION("""COMPUTED_VALUE"""),11.0)</f>
        <v>11</v>
      </c>
      <c r="D250" s="15" t="str">
        <f>IFERROR(__xludf.DUMMYFUNCTION("""COMPUTED_VALUE"""),"THE")</f>
        <v>THE</v>
      </c>
      <c r="E250" s="15" t="str">
        <f>IFERROR(__xludf.DUMMYFUNCTION("""COMPUTED_VALUE"""),"SCALA - SHOPPING RIVERSIDE - THE")</f>
        <v>SCALA - SHOPPING RIVERSIDE - THE</v>
      </c>
      <c r="F250" s="15" t="str">
        <f>IFERROR(__xludf.DUMMYFUNCTION("""COMPUTED_VALUE"""),"TRIFIL")</f>
        <v>TRIFIL</v>
      </c>
      <c r="G250" s="15" t="str">
        <f>IFERROR(__xludf.DUMMYFUNCTION("""COMPUTED_VALUE"""),"266803480")</f>
        <v>266803480</v>
      </c>
      <c r="H250" s="15" t="str">
        <f>IFERROR(__xludf.DUMMYFUNCTION("""COMPUTED_VALUE"""),"1304365, 1304590")</f>
        <v>1304365, 1304590</v>
      </c>
      <c r="I250" s="15" t="str">
        <f>IFERROR(__xludf.DUMMYFUNCTION("""COMPUTED_VALUE"""),"8177040")</f>
        <v>8177040</v>
      </c>
      <c r="J250" s="15" t="str">
        <f>IFERROR(__xludf.DUMMYFUNCTION("""COMPUTED_VALUE"""),"CIF")</f>
        <v>CIF</v>
      </c>
      <c r="K250" s="15" t="str">
        <f>IFERROR(__xludf.DUMMYFUNCTION("""COMPUTED_VALUE"""),"SAO-1")</f>
        <v>SAO-1</v>
      </c>
      <c r="L250" s="15" t="str">
        <f>IFERROR(__xludf.DUMMYFUNCTION("""COMPUTED_VALUE"""),"AUTORIZADO")</f>
        <v>AUTORIZADO</v>
      </c>
      <c r="M250" s="15" t="str">
        <f>IFERROR(__xludf.DUMMYFUNCTION("""COMPUTED_VALUE"""),"NA ORIGEM")</f>
        <v>NA ORIGEM</v>
      </c>
      <c r="N250" s="15" t="str">
        <f>IFERROR(__xludf.DUMMYFUNCTION("""COMPUTED_VALUE"""),"Antes Prazo")</f>
        <v>Antes Prazo</v>
      </c>
      <c r="O250" s="15" t="str">
        <f>IFERROR(__xludf.DUMMYFUNCTION("""COMPUTED_VALUE"""),"B2B")</f>
        <v>B2B</v>
      </c>
      <c r="P250" s="16">
        <f>IFERROR(__xludf.DUMMYFUNCTION("""COMPUTED_VALUE"""),64.23)</f>
        <v>64.23</v>
      </c>
      <c r="Q250" s="15">
        <f>IFERROR(__xludf.DUMMYFUNCTION("""COMPUTED_VALUE"""),4.0)</f>
        <v>4</v>
      </c>
      <c r="R250" s="15" t="str">
        <f>IFERROR(__xludf.DUMMYFUNCTION("""COMPUTED_VALUE"""),"RODO")</f>
        <v>RODO</v>
      </c>
      <c r="S250" s="15" t="str">
        <f>IFERROR(__xludf.DUMMYFUNCTION("""COMPUTED_VALUE"""),"ITN")</f>
        <v>ITN</v>
      </c>
      <c r="T250" s="15" t="str">
        <f>IFERROR(__xludf.DUMMYFUNCTION("""COMPUTED_VALUE"""),"6")</f>
        <v>6</v>
      </c>
      <c r="U250" s="15" t="str">
        <f>IFERROR(__xludf.DUMMYFUNCTION("""COMPUTED_VALUE"""),"266803480 1304365, 1304590 8177040 scala - shopping riverside - the trifil the 6")</f>
        <v>266803480 1304365, 1304590 8177040 scala - shopping riverside - the trifil the 6</v>
      </c>
      <c r="V250" s="15" t="b">
        <f>IFERROR(__xludf.DUMMYFUNCTION("""COMPUTED_VALUE"""),FALSE)</f>
        <v>0</v>
      </c>
    </row>
    <row r="251">
      <c r="A251" s="19">
        <f>IFERROR(__xludf.DUMMYFUNCTION("""COMPUTED_VALUE"""),46304.0)</f>
        <v>46304</v>
      </c>
      <c r="B251" s="19">
        <f>IFERROR(__xludf.DUMMYFUNCTION("""COMPUTED_VALUE"""),46323.0)</f>
        <v>46323</v>
      </c>
      <c r="C251" s="15">
        <f>IFERROR(__xludf.DUMMYFUNCTION("""COMPUTED_VALUE"""),11.0)</f>
        <v>11</v>
      </c>
      <c r="D251" s="15" t="str">
        <f>IFERROR(__xludf.DUMMYFUNCTION("""COMPUTED_VALUE"""),"THE")</f>
        <v>THE</v>
      </c>
      <c r="E251" s="15" t="str">
        <f>IFERROR(__xludf.DUMMYFUNCTION("""COMPUTED_VALUE"""),"MERCATTO SCALA- THE")</f>
        <v>MERCATTO SCALA- THE</v>
      </c>
      <c r="F251" s="15" t="str">
        <f>IFERROR(__xludf.DUMMYFUNCTION("""COMPUTED_VALUE"""),"TRIFIL")</f>
        <v>TRIFIL</v>
      </c>
      <c r="G251" s="15" t="str">
        <f>IFERROR(__xludf.DUMMYFUNCTION("""COMPUTED_VALUE"""),"266803481")</f>
        <v>266803481</v>
      </c>
      <c r="H251" s="15" t="str">
        <f>IFERROR(__xludf.DUMMYFUNCTION("""COMPUTED_VALUE"""),"1304541, 1304542")</f>
        <v>1304541, 1304542</v>
      </c>
      <c r="I251" s="15" t="str">
        <f>IFERROR(__xludf.DUMMYFUNCTION("""COMPUTED_VALUE"""),"8177061")</f>
        <v>8177061</v>
      </c>
      <c r="J251" s="15" t="str">
        <f>IFERROR(__xludf.DUMMYFUNCTION("""COMPUTED_VALUE"""),"CIF")</f>
        <v>CIF</v>
      </c>
      <c r="K251" s="15" t="str">
        <f>IFERROR(__xludf.DUMMYFUNCTION("""COMPUTED_VALUE"""),"SAO-1")</f>
        <v>SAO-1</v>
      </c>
      <c r="L251" s="15" t="str">
        <f>IFERROR(__xludf.DUMMYFUNCTION("""COMPUTED_VALUE"""),"AUTORIZADO")</f>
        <v>AUTORIZADO</v>
      </c>
      <c r="M251" s="15" t="str">
        <f>IFERROR(__xludf.DUMMYFUNCTION("""COMPUTED_VALUE"""),"NA ORIGEM")</f>
        <v>NA ORIGEM</v>
      </c>
      <c r="N251" s="15" t="str">
        <f>IFERROR(__xludf.DUMMYFUNCTION("""COMPUTED_VALUE"""),"Antes Prazo")</f>
        <v>Antes Prazo</v>
      </c>
      <c r="O251" s="15" t="str">
        <f>IFERROR(__xludf.DUMMYFUNCTION("""COMPUTED_VALUE"""),"B2B")</f>
        <v>B2B</v>
      </c>
      <c r="P251" s="16">
        <f>IFERROR(__xludf.DUMMYFUNCTION("""COMPUTED_VALUE"""),64.23)</f>
        <v>64.23</v>
      </c>
      <c r="Q251" s="15">
        <f>IFERROR(__xludf.DUMMYFUNCTION("""COMPUTED_VALUE"""),2.0)</f>
        <v>2</v>
      </c>
      <c r="R251" s="15" t="str">
        <f>IFERROR(__xludf.DUMMYFUNCTION("""COMPUTED_VALUE"""),"RODO")</f>
        <v>RODO</v>
      </c>
      <c r="S251" s="15" t="str">
        <f>IFERROR(__xludf.DUMMYFUNCTION("""COMPUTED_VALUE"""),"ITN")</f>
        <v>ITN</v>
      </c>
      <c r="T251" s="15" t="str">
        <f>IFERROR(__xludf.DUMMYFUNCTION("""COMPUTED_VALUE"""),"6")</f>
        <v>6</v>
      </c>
      <c r="U251" s="15" t="str">
        <f>IFERROR(__xludf.DUMMYFUNCTION("""COMPUTED_VALUE"""),"266803481 1304541, 1304542 8177061 mercatto scala- the trifil the 6")</f>
        <v>266803481 1304541, 1304542 8177061 mercatto scala- the trifil the 6</v>
      </c>
      <c r="V251" s="15" t="b">
        <f>IFERROR(__xludf.DUMMYFUNCTION("""COMPUTED_VALUE"""),FALSE)</f>
        <v>0</v>
      </c>
    </row>
    <row r="252">
      <c r="A252" s="19">
        <f>IFERROR(__xludf.DUMMYFUNCTION("""COMPUTED_VALUE"""),46304.0)</f>
        <v>46304</v>
      </c>
      <c r="B252" s="19">
        <f>IFERROR(__xludf.DUMMYFUNCTION("""COMPUTED_VALUE"""),46335.0)</f>
        <v>46335</v>
      </c>
      <c r="C252" s="15">
        <f>IFERROR(__xludf.DUMMYFUNCTION("""COMPUTED_VALUE"""),18.0)</f>
        <v>18</v>
      </c>
      <c r="D252" s="15" t="str">
        <f>IFERROR(__xludf.DUMMYFUNCTION("""COMPUTED_VALUE"""),"THE")</f>
        <v>THE</v>
      </c>
      <c r="E252" s="15" t="str">
        <f>IFERROR(__xludf.DUMMYFUNCTION("""COMPUTED_VALUE"""),"A. L SOARES DA SILVA")</f>
        <v>A. L SOARES DA SILVA</v>
      </c>
      <c r="F252" s="15" t="str">
        <f>IFERROR(__xludf.DUMMYFUNCTION("""COMPUTED_VALUE"""),"TRIFIL")</f>
        <v>TRIFIL</v>
      </c>
      <c r="G252" s="15" t="str">
        <f>IFERROR(__xludf.DUMMYFUNCTION("""COMPUTED_VALUE"""),"266803482")</f>
        <v>266803482</v>
      </c>
      <c r="H252" s="15" t="str">
        <f>IFERROR(__xludf.DUMMYFUNCTION("""COMPUTED_VALUE"""),"1305683")</f>
        <v>1305683</v>
      </c>
      <c r="I252" s="15" t="str">
        <f>IFERROR(__xludf.DUMMYFUNCTION("""COMPUTED_VALUE"""),"8176883")</f>
        <v>8176883</v>
      </c>
      <c r="J252" s="15" t="str">
        <f>IFERROR(__xludf.DUMMYFUNCTION("""COMPUTED_VALUE"""),"CIF")</f>
        <v>CIF</v>
      </c>
      <c r="K252" s="15" t="str">
        <f>IFERROR(__xludf.DUMMYFUNCTION("""COMPUTED_VALUE"""),"(sem célula)")</f>
        <v>(sem célula)</v>
      </c>
      <c r="L252" s="15" t="str">
        <f>IFERROR(__xludf.DUMMYFUNCTION("""COMPUTED_VALUE"""),"AUTORIZADO")</f>
        <v>AUTORIZADO</v>
      </c>
      <c r="M252" s="15" t="str">
        <f>IFERROR(__xludf.DUMMYFUNCTION("""COMPUTED_VALUE"""),"NA ORIGEM")</f>
        <v>NA ORIGEM</v>
      </c>
      <c r="N252" s="15" t="str">
        <f>IFERROR(__xludf.DUMMYFUNCTION("""COMPUTED_VALUE"""),"Antes Prazo")</f>
        <v>Antes Prazo</v>
      </c>
      <c r="O252" s="15" t="str">
        <f>IFERROR(__xludf.DUMMYFUNCTION("""COMPUTED_VALUE"""),"B2B")</f>
        <v>B2B</v>
      </c>
      <c r="P252" s="16">
        <f>IFERROR(__xludf.DUMMYFUNCTION("""COMPUTED_VALUE"""),71.9)</f>
        <v>71.9</v>
      </c>
      <c r="Q252" s="15">
        <f>IFERROR(__xludf.DUMMYFUNCTION("""COMPUTED_VALUE"""),1.0)</f>
        <v>1</v>
      </c>
      <c r="R252" s="15" t="str">
        <f>IFERROR(__xludf.DUMMYFUNCTION("""COMPUTED_VALUE"""),"RODO")</f>
        <v>RODO</v>
      </c>
      <c r="S252" s="15" t="str">
        <f>IFERROR(__xludf.DUMMYFUNCTION("""COMPUTED_VALUE"""),"ITN")</f>
        <v>ITN</v>
      </c>
      <c r="T252" s="15" t="str">
        <f>IFERROR(__xludf.DUMMYFUNCTION("""COMPUTED_VALUE"""),"103")</f>
        <v>103</v>
      </c>
      <c r="U252" s="15" t="str">
        <f>IFERROR(__xludf.DUMMYFUNCTION("""COMPUTED_VALUE"""),"266803482 1305683 8176883 a. l soares da silva trifil the 103")</f>
        <v>266803482 1305683 8176883 a. l soares da silva trifil the 103</v>
      </c>
      <c r="V252" s="15" t="b">
        <f>IFERROR(__xludf.DUMMYFUNCTION("""COMPUTED_VALUE"""),FALSE)</f>
        <v>0</v>
      </c>
    </row>
    <row r="253">
      <c r="A253" s="19">
        <f>IFERROR(__xludf.DUMMYFUNCTION("""COMPUTED_VALUE"""),46304.0)</f>
        <v>46304</v>
      </c>
      <c r="B253" s="19">
        <f>IFERROR(__xludf.DUMMYFUNCTION("""COMPUTED_VALUE"""),46324.0)</f>
        <v>46324</v>
      </c>
      <c r="C253" s="15">
        <f>IFERROR(__xludf.DUMMYFUNCTION("""COMPUTED_VALUE"""),13.0)</f>
        <v>13</v>
      </c>
      <c r="D253" s="15" t="str">
        <f>IFERROR(__xludf.DUMMYFUNCTION("""COMPUTED_VALUE"""),"PCS")</f>
        <v>PCS</v>
      </c>
      <c r="E253" s="15" t="str">
        <f>IFERROR(__xludf.DUMMYFUNCTION("""COMPUTED_VALUE"""),"APORTINATE BOTIQUE")</f>
        <v>APORTINATE BOTIQUE</v>
      </c>
      <c r="F253" s="15" t="str">
        <f>IFERROR(__xludf.DUMMYFUNCTION("""COMPUTED_VALUE"""),"TRIFIL")</f>
        <v>TRIFIL</v>
      </c>
      <c r="G253" s="15" t="str">
        <f>IFERROR(__xludf.DUMMYFUNCTION("""COMPUTED_VALUE"""),"266803483")</f>
        <v>266803483</v>
      </c>
      <c r="H253" s="15" t="str">
        <f>IFERROR(__xludf.DUMMYFUNCTION("""COMPUTED_VALUE"""),"1305648")</f>
        <v>1305648</v>
      </c>
      <c r="I253" s="15" t="str">
        <f>IFERROR(__xludf.DUMMYFUNCTION("""COMPUTED_VALUE"""),"8176789")</f>
        <v>8176789</v>
      </c>
      <c r="J253" s="15" t="str">
        <f>IFERROR(__xludf.DUMMYFUNCTION("""COMPUTED_VALUE"""),"CIF")</f>
        <v>CIF</v>
      </c>
      <c r="K253" s="15" t="str">
        <f>IFERROR(__xludf.DUMMYFUNCTION("""COMPUTED_VALUE"""),"FSA-1")</f>
        <v>FSA-1</v>
      </c>
      <c r="L253" s="15" t="str">
        <f>IFERROR(__xludf.DUMMYFUNCTION("""COMPUTED_VALUE"""),"AUTORIZADO")</f>
        <v>AUTORIZADO</v>
      </c>
      <c r="M253" s="15" t="str">
        <f>IFERROR(__xludf.DUMMYFUNCTION("""COMPUTED_VALUE"""),"NA ORIGEM")</f>
        <v>NA ORIGEM</v>
      </c>
      <c r="N253" s="15" t="str">
        <f>IFERROR(__xludf.DUMMYFUNCTION("""COMPUTED_VALUE"""),"Antes Prazo")</f>
        <v>Antes Prazo</v>
      </c>
      <c r="O253" s="15" t="str">
        <f>IFERROR(__xludf.DUMMYFUNCTION("""COMPUTED_VALUE"""),"B2B")</f>
        <v>B2B</v>
      </c>
      <c r="P253" s="16">
        <f>IFERROR(__xludf.DUMMYFUNCTION("""COMPUTED_VALUE"""),71.9)</f>
        <v>71.9</v>
      </c>
      <c r="Q253" s="15">
        <f>IFERROR(__xludf.DUMMYFUNCTION("""COMPUTED_VALUE"""),1.0)</f>
        <v>1</v>
      </c>
      <c r="R253" s="15" t="str">
        <f>IFERROR(__xludf.DUMMYFUNCTION("""COMPUTED_VALUE"""),"RODO")</f>
        <v>RODO</v>
      </c>
      <c r="S253" s="15" t="str">
        <f>IFERROR(__xludf.DUMMYFUNCTION("""COMPUTED_VALUE"""),"ITN")</f>
        <v>ITN</v>
      </c>
      <c r="T253" s="15" t="str">
        <f>IFERROR(__xludf.DUMMYFUNCTION("""COMPUTED_VALUE"""),"103")</f>
        <v>103</v>
      </c>
      <c r="U253" s="15" t="str">
        <f>IFERROR(__xludf.DUMMYFUNCTION("""COMPUTED_VALUE"""),"266803483 1305648 8176789 aportinate botique trifil pcs 103")</f>
        <v>266803483 1305648 8176789 aportinate botique trifil pcs 103</v>
      </c>
      <c r="V253" s="15" t="b">
        <f>IFERROR(__xludf.DUMMYFUNCTION("""COMPUTED_VALUE"""),FALSE)</f>
        <v>0</v>
      </c>
    </row>
    <row r="254">
      <c r="A254" s="19">
        <f>IFERROR(__xludf.DUMMYFUNCTION("""COMPUTED_VALUE"""),46304.0)</f>
        <v>46304</v>
      </c>
      <c r="B254" s="19">
        <f>IFERROR(__xludf.DUMMYFUNCTION("""COMPUTED_VALUE"""),46324.0)</f>
        <v>46324</v>
      </c>
      <c r="C254" s="15">
        <f>IFERROR(__xludf.DUMMYFUNCTION("""COMPUTED_VALUE"""),13.0)</f>
        <v>13</v>
      </c>
      <c r="D254" s="15" t="str">
        <f>IFERROR(__xludf.DUMMYFUNCTION("""COMPUTED_VALUE"""),"FLB")</f>
        <v>FLB</v>
      </c>
      <c r="E254" s="15" t="str">
        <f>IFERROR(__xludf.DUMMYFUNCTION("""COMPUTED_VALUE"""),"M. J. FEITOSA DE MOURA NE")</f>
        <v>M. J. FEITOSA DE MOURA NE</v>
      </c>
      <c r="F254" s="15" t="str">
        <f>IFERROR(__xludf.DUMMYFUNCTION("""COMPUTED_VALUE"""),"TRIFIL")</f>
        <v>TRIFIL</v>
      </c>
      <c r="G254" s="15" t="str">
        <f>IFERROR(__xludf.DUMMYFUNCTION("""COMPUTED_VALUE"""),"266803484")</f>
        <v>266803484</v>
      </c>
      <c r="H254" s="15" t="str">
        <f>IFERROR(__xludf.DUMMYFUNCTION("""COMPUTED_VALUE"""),"1305052")</f>
        <v>1305052</v>
      </c>
      <c r="I254" s="15" t="str">
        <f>IFERROR(__xludf.DUMMYFUNCTION("""COMPUTED_VALUE"""),"8176884")</f>
        <v>8176884</v>
      </c>
      <c r="J254" s="15" t="str">
        <f>IFERROR(__xludf.DUMMYFUNCTION("""COMPUTED_VALUE"""),"CIF")</f>
        <v>CIF</v>
      </c>
      <c r="K254" s="15" t="str">
        <f>IFERROR(__xludf.DUMMYFUNCTION("""COMPUTED_VALUE"""),"FSA-1")</f>
        <v>FSA-1</v>
      </c>
      <c r="L254" s="15" t="str">
        <f>IFERROR(__xludf.DUMMYFUNCTION("""COMPUTED_VALUE"""),"AUTORIZADO")</f>
        <v>AUTORIZADO</v>
      </c>
      <c r="M254" s="15" t="str">
        <f>IFERROR(__xludf.DUMMYFUNCTION("""COMPUTED_VALUE"""),"NA ORIGEM")</f>
        <v>NA ORIGEM</v>
      </c>
      <c r="N254" s="15" t="str">
        <f>IFERROR(__xludf.DUMMYFUNCTION("""COMPUTED_VALUE"""),"Antes Prazo")</f>
        <v>Antes Prazo</v>
      </c>
      <c r="O254" s="15" t="str">
        <f>IFERROR(__xludf.DUMMYFUNCTION("""COMPUTED_VALUE"""),"B2B")</f>
        <v>B2B</v>
      </c>
      <c r="P254" s="16">
        <f>IFERROR(__xludf.DUMMYFUNCTION("""COMPUTED_VALUE"""),71.9)</f>
        <v>71.9</v>
      </c>
      <c r="Q254" s="15">
        <f>IFERROR(__xludf.DUMMYFUNCTION("""COMPUTED_VALUE"""),1.0)</f>
        <v>1</v>
      </c>
      <c r="R254" s="15" t="str">
        <f>IFERROR(__xludf.DUMMYFUNCTION("""COMPUTED_VALUE"""),"RODO")</f>
        <v>RODO</v>
      </c>
      <c r="S254" s="15" t="str">
        <f>IFERROR(__xludf.DUMMYFUNCTION("""COMPUTED_VALUE"""),"ITN")</f>
        <v>ITN</v>
      </c>
      <c r="T254" s="15" t="str">
        <f>IFERROR(__xludf.DUMMYFUNCTION("""COMPUTED_VALUE"""),"0102f")</f>
        <v>0102f</v>
      </c>
      <c r="U254" s="15" t="str">
        <f>IFERROR(__xludf.DUMMYFUNCTION("""COMPUTED_VALUE"""),"266803484 1305052 8176884 m. j. feitosa de moura ne trifil flb 0102f")</f>
        <v>266803484 1305052 8176884 m. j. feitosa de moura ne trifil flb 0102f</v>
      </c>
      <c r="V254" s="15" t="b">
        <f>IFERROR(__xludf.DUMMYFUNCTION("""COMPUTED_VALUE"""),FALSE)</f>
        <v>0</v>
      </c>
    </row>
    <row r="255">
      <c r="A255" s="19">
        <f>IFERROR(__xludf.DUMMYFUNCTION("""COMPUTED_VALUE"""),46304.0)</f>
        <v>46304</v>
      </c>
      <c r="B255" s="19">
        <f>IFERROR(__xludf.DUMMYFUNCTION("""COMPUTED_VALUE"""),46323.0)</f>
        <v>46323</v>
      </c>
      <c r="C255" s="15">
        <f>IFERROR(__xludf.DUMMYFUNCTION("""COMPUTED_VALUE"""),12.0)</f>
        <v>12</v>
      </c>
      <c r="D255" s="15" t="str">
        <f>IFERROR(__xludf.DUMMYFUNCTION("""COMPUTED_VALUE"""),"SLZ")</f>
        <v>SLZ</v>
      </c>
      <c r="E255" s="15" t="str">
        <f>IFERROR(__xludf.DUMMYFUNCTION("""COMPUTED_VALUE"""),"G S MONTENEGRO")</f>
        <v>G S MONTENEGRO</v>
      </c>
      <c r="F255" s="15" t="str">
        <f>IFERROR(__xludf.DUMMYFUNCTION("""COMPUTED_VALUE"""),"TRIFIL")</f>
        <v>TRIFIL</v>
      </c>
      <c r="G255" s="15" t="str">
        <f>IFERROR(__xludf.DUMMYFUNCTION("""COMPUTED_VALUE"""),"266803485")</f>
        <v>266803485</v>
      </c>
      <c r="H255" s="15" t="str">
        <f>IFERROR(__xludf.DUMMYFUNCTION("""COMPUTED_VALUE"""),"1305959")</f>
        <v>1305959</v>
      </c>
      <c r="I255" s="15" t="str">
        <f>IFERROR(__xludf.DUMMYFUNCTION("""COMPUTED_VALUE"""),"8176751")</f>
        <v>8176751</v>
      </c>
      <c r="J255" s="15" t="str">
        <f>IFERROR(__xludf.DUMMYFUNCTION("""COMPUTED_VALUE"""),"CIF")</f>
        <v>CIF</v>
      </c>
      <c r="K255" s="15" t="str">
        <f>IFERROR(__xludf.DUMMYFUNCTION("""COMPUTED_VALUE"""),"FSA-1")</f>
        <v>FSA-1</v>
      </c>
      <c r="L255" s="15" t="str">
        <f>IFERROR(__xludf.DUMMYFUNCTION("""COMPUTED_VALUE"""),"AUTORIZADO")</f>
        <v>AUTORIZADO</v>
      </c>
      <c r="M255" s="15" t="str">
        <f>IFERROR(__xludf.DUMMYFUNCTION("""COMPUTED_VALUE"""),"NA ORIGEM")</f>
        <v>NA ORIGEM</v>
      </c>
      <c r="N255" s="15" t="str">
        <f>IFERROR(__xludf.DUMMYFUNCTION("""COMPUTED_VALUE"""),"Antes Prazo")</f>
        <v>Antes Prazo</v>
      </c>
      <c r="O255" s="15" t="str">
        <f>IFERROR(__xludf.DUMMYFUNCTION("""COMPUTED_VALUE"""),"B2B")</f>
        <v>B2B</v>
      </c>
      <c r="P255" s="16">
        <f>IFERROR(__xludf.DUMMYFUNCTION("""COMPUTED_VALUE"""),100.03)</f>
        <v>100.03</v>
      </c>
      <c r="Q255" s="15">
        <f>IFERROR(__xludf.DUMMYFUNCTION("""COMPUTED_VALUE"""),8.0)</f>
        <v>8</v>
      </c>
      <c r="R255" s="15" t="str">
        <f>IFERROR(__xludf.DUMMYFUNCTION("""COMPUTED_VALUE"""),"RODO")</f>
        <v>RODO</v>
      </c>
      <c r="S255" s="15" t="str">
        <f>IFERROR(__xludf.DUMMYFUNCTION("""COMPUTED_VALUE"""),"ITN")</f>
        <v>ITN</v>
      </c>
      <c r="T255" s="15" t="str">
        <f>IFERROR(__xludf.DUMMYFUNCTION("""COMPUTED_VALUE"""),"12")</f>
        <v>12</v>
      </c>
      <c r="U255" s="15" t="str">
        <f>IFERROR(__xludf.DUMMYFUNCTION("""COMPUTED_VALUE"""),"266803485 1305959 8176751 g s montenegro trifil slz 12")</f>
        <v>266803485 1305959 8176751 g s montenegro trifil slz 12</v>
      </c>
      <c r="V255" s="15" t="b">
        <f>IFERROR(__xludf.DUMMYFUNCTION("""COMPUTED_VALUE"""),FALSE)</f>
        <v>0</v>
      </c>
    </row>
    <row r="256">
      <c r="A256" s="19">
        <f>IFERROR(__xludf.DUMMYFUNCTION("""COMPUTED_VALUE"""),46304.0)</f>
        <v>46304</v>
      </c>
      <c r="B256" s="19">
        <f>IFERROR(__xludf.DUMMYFUNCTION("""COMPUTED_VALUE"""),46323.0)</f>
        <v>46323</v>
      </c>
      <c r="C256" s="15">
        <f>IFERROR(__xludf.DUMMYFUNCTION("""COMPUTED_VALUE"""),12.0)</f>
        <v>12</v>
      </c>
      <c r="D256" s="15" t="str">
        <f>IFERROR(__xludf.DUMMYFUNCTION("""COMPUTED_VALUE"""),"SLZ")</f>
        <v>SLZ</v>
      </c>
      <c r="E256" s="15" t="str">
        <f>IFERROR(__xludf.DUMMYFUNCTION("""COMPUTED_VALUE"""),"T H SOARES COMERCIO LTDA")</f>
        <v>T H SOARES COMERCIO LTDA</v>
      </c>
      <c r="F256" s="15" t="str">
        <f>IFERROR(__xludf.DUMMYFUNCTION("""COMPUTED_VALUE"""),"TRIFIL")</f>
        <v>TRIFIL</v>
      </c>
      <c r="G256" s="15" t="str">
        <f>IFERROR(__xludf.DUMMYFUNCTION("""COMPUTED_VALUE"""),"266803486")</f>
        <v>266803486</v>
      </c>
      <c r="H256" s="15" t="str">
        <f>IFERROR(__xludf.DUMMYFUNCTION("""COMPUTED_VALUE"""),"1305357")</f>
        <v>1305357</v>
      </c>
      <c r="I256" s="15" t="str">
        <f>IFERROR(__xludf.DUMMYFUNCTION("""COMPUTED_VALUE"""),"8176987")</f>
        <v>8176987</v>
      </c>
      <c r="J256" s="15" t="str">
        <f>IFERROR(__xludf.DUMMYFUNCTION("""COMPUTED_VALUE"""),"CIF")</f>
        <v>CIF</v>
      </c>
      <c r="K256" s="15" t="str">
        <f>IFERROR(__xludf.DUMMYFUNCTION("""COMPUTED_VALUE"""),"FSA-1")</f>
        <v>FSA-1</v>
      </c>
      <c r="L256" s="15" t="str">
        <f>IFERROR(__xludf.DUMMYFUNCTION("""COMPUTED_VALUE"""),"AUTORIZADO")</f>
        <v>AUTORIZADO</v>
      </c>
      <c r="M256" s="15" t="str">
        <f>IFERROR(__xludf.DUMMYFUNCTION("""COMPUTED_VALUE"""),"NA ORIGEM")</f>
        <v>NA ORIGEM</v>
      </c>
      <c r="N256" s="15" t="str">
        <f>IFERROR(__xludf.DUMMYFUNCTION("""COMPUTED_VALUE"""),"Antes Prazo")</f>
        <v>Antes Prazo</v>
      </c>
      <c r="O256" s="15" t="str">
        <f>IFERROR(__xludf.DUMMYFUNCTION("""COMPUTED_VALUE"""),"B2B")</f>
        <v>B2B</v>
      </c>
      <c r="P256" s="16">
        <f>IFERROR(__xludf.DUMMYFUNCTION("""COMPUTED_VALUE"""),64.23)</f>
        <v>64.23</v>
      </c>
      <c r="Q256" s="15">
        <f>IFERROR(__xludf.DUMMYFUNCTION("""COMPUTED_VALUE"""),1.0)</f>
        <v>1</v>
      </c>
      <c r="R256" s="15" t="str">
        <f>IFERROR(__xludf.DUMMYFUNCTION("""COMPUTED_VALUE"""),"RODO")</f>
        <v>RODO</v>
      </c>
      <c r="S256" s="15" t="str">
        <f>IFERROR(__xludf.DUMMYFUNCTION("""COMPUTED_VALUE"""),"ITN")</f>
        <v>ITN</v>
      </c>
      <c r="T256" s="15" t="str">
        <f>IFERROR(__xludf.DUMMYFUNCTION("""COMPUTED_VALUE"""),"4")</f>
        <v>4</v>
      </c>
      <c r="U256" s="15" t="str">
        <f>IFERROR(__xludf.DUMMYFUNCTION("""COMPUTED_VALUE"""),"266803486 1305357 8176987 t h soares comercio ltda trifil slz 4")</f>
        <v>266803486 1305357 8176987 t h soares comercio ltda trifil slz 4</v>
      </c>
      <c r="V256" s="15" t="b">
        <f>IFERROR(__xludf.DUMMYFUNCTION("""COMPUTED_VALUE"""),FALSE)</f>
        <v>0</v>
      </c>
    </row>
    <row r="257">
      <c r="A257" s="19">
        <f>IFERROR(__xludf.DUMMYFUNCTION("""COMPUTED_VALUE"""),46304.0)</f>
        <v>46304</v>
      </c>
      <c r="B257" s="19">
        <f>IFERROR(__xludf.DUMMYFUNCTION("""COMPUTED_VALUE"""),46336.0)</f>
        <v>46336</v>
      </c>
      <c r="C257" s="15">
        <f>IFERROR(__xludf.DUMMYFUNCTION("""COMPUTED_VALUE"""),20.0)</f>
        <v>20</v>
      </c>
      <c r="D257" s="15" t="str">
        <f>IFERROR(__xludf.DUMMYFUNCTION("""COMPUTED_VALUE"""),"SIN")</f>
        <v>SIN</v>
      </c>
      <c r="E257" s="15" t="str">
        <f>IFERROR(__xludf.DUMMYFUNCTION("""COMPUTED_VALUE"""),"MIRANDA CALCADOS LTDA")</f>
        <v>MIRANDA CALCADOS LTDA</v>
      </c>
      <c r="F257" s="15" t="str">
        <f>IFERROR(__xludf.DUMMYFUNCTION("""COMPUTED_VALUE"""),"TRIFIL")</f>
        <v>TRIFIL</v>
      </c>
      <c r="G257" s="15" t="str">
        <f>IFERROR(__xludf.DUMMYFUNCTION("""COMPUTED_VALUE"""),"266803488")</f>
        <v>266803488</v>
      </c>
      <c r="H257" s="15" t="str">
        <f>IFERROR(__xludf.DUMMYFUNCTION("""COMPUTED_VALUE"""),"1305578")</f>
        <v>1305578</v>
      </c>
      <c r="I257" s="15" t="str">
        <f>IFERROR(__xludf.DUMMYFUNCTION("""COMPUTED_VALUE"""),"8176885")</f>
        <v>8176885</v>
      </c>
      <c r="J257" s="15" t="str">
        <f>IFERROR(__xludf.DUMMYFUNCTION("""COMPUTED_VALUE"""),"CIF")</f>
        <v>CIF</v>
      </c>
      <c r="K257" s="15" t="str">
        <f>IFERROR(__xludf.DUMMYFUNCTION("""COMPUTED_VALUE"""),"FSA-1")</f>
        <v>FSA-1</v>
      </c>
      <c r="L257" s="15" t="str">
        <f>IFERROR(__xludf.DUMMYFUNCTION("""COMPUTED_VALUE"""),"AUTORIZADO")</f>
        <v>AUTORIZADO</v>
      </c>
      <c r="M257" s="15" t="str">
        <f>IFERROR(__xludf.DUMMYFUNCTION("""COMPUTED_VALUE"""),"NA ORIGEM")</f>
        <v>NA ORIGEM</v>
      </c>
      <c r="N257" s="15" t="str">
        <f>IFERROR(__xludf.DUMMYFUNCTION("""COMPUTED_VALUE"""),"Antes Prazo")</f>
        <v>Antes Prazo</v>
      </c>
      <c r="O257" s="15" t="str">
        <f>IFERROR(__xludf.DUMMYFUNCTION("""COMPUTED_VALUE"""),"B2B")</f>
        <v>B2B</v>
      </c>
      <c r="P257" s="16">
        <f>IFERROR(__xludf.DUMMYFUNCTION("""COMPUTED_VALUE"""),71.9)</f>
        <v>71.9</v>
      </c>
      <c r="Q257" s="15">
        <f>IFERROR(__xludf.DUMMYFUNCTION("""COMPUTED_VALUE"""),1.0)</f>
        <v>1</v>
      </c>
      <c r="R257" s="15" t="str">
        <f>IFERROR(__xludf.DUMMYFUNCTION("""COMPUTED_VALUE"""),"RODO")</f>
        <v>RODO</v>
      </c>
      <c r="S257" s="15" t="str">
        <f>IFERROR(__xludf.DUMMYFUNCTION("""COMPUTED_VALUE"""),"ITN")</f>
        <v>ITN</v>
      </c>
      <c r="T257" s="15" t="str">
        <f>IFERROR(__xludf.DUMMYFUNCTION("""COMPUTED_VALUE"""),"105")</f>
        <v>105</v>
      </c>
      <c r="U257" s="15" t="str">
        <f>IFERROR(__xludf.DUMMYFUNCTION("""COMPUTED_VALUE"""),"266803488 1305578 8176885 miranda calcados ltda trifil sin 105")</f>
        <v>266803488 1305578 8176885 miranda calcados ltda trifil sin 105</v>
      </c>
      <c r="V257" s="15" t="b">
        <f>IFERROR(__xludf.DUMMYFUNCTION("""COMPUTED_VALUE"""),FALSE)</f>
        <v>0</v>
      </c>
    </row>
    <row r="258">
      <c r="A258" s="19">
        <f>IFERROR(__xludf.DUMMYFUNCTION("""COMPUTED_VALUE"""),46304.0)</f>
        <v>46304</v>
      </c>
      <c r="B258" s="19">
        <f>IFERROR(__xludf.DUMMYFUNCTION("""COMPUTED_VALUE"""),46330.0)</f>
        <v>46330</v>
      </c>
      <c r="C258" s="15">
        <f>IFERROR(__xludf.DUMMYFUNCTION("""COMPUTED_VALUE"""),15.0)</f>
        <v>15</v>
      </c>
      <c r="D258" s="15" t="str">
        <f>IFERROR(__xludf.DUMMYFUNCTION("""COMPUTED_VALUE"""),"IMP")</f>
        <v>IMP</v>
      </c>
      <c r="E258" s="15" t="str">
        <f>IFERROR(__xludf.DUMMYFUNCTION("""COMPUTED_VALUE"""),"BALSAS CENTER MODAS LTDA")</f>
        <v>BALSAS CENTER MODAS LTDA</v>
      </c>
      <c r="F258" s="15" t="str">
        <f>IFERROR(__xludf.DUMMYFUNCTION("""COMPUTED_VALUE"""),"TRIFIL")</f>
        <v>TRIFIL</v>
      </c>
      <c r="G258" s="15" t="str">
        <f>IFERROR(__xludf.DUMMYFUNCTION("""COMPUTED_VALUE"""),"266803489")</f>
        <v>266803489</v>
      </c>
      <c r="H258" s="15" t="str">
        <f>IFERROR(__xludf.DUMMYFUNCTION("""COMPUTED_VALUE"""),"1305616")</f>
        <v>1305616</v>
      </c>
      <c r="I258" s="15" t="str">
        <f>IFERROR(__xludf.DUMMYFUNCTION("""COMPUTED_VALUE"""),"8176816")</f>
        <v>8176816</v>
      </c>
      <c r="J258" s="15" t="str">
        <f>IFERROR(__xludf.DUMMYFUNCTION("""COMPUTED_VALUE"""),"CIF")</f>
        <v>CIF</v>
      </c>
      <c r="K258" s="15" t="str">
        <f>IFERROR(__xludf.DUMMYFUNCTION("""COMPUTED_VALUE"""),"(sem célula)")</f>
        <v>(sem célula)</v>
      </c>
      <c r="L258" s="15" t="str">
        <f>IFERROR(__xludf.DUMMYFUNCTION("""COMPUTED_VALUE"""),"AUTORIZADO")</f>
        <v>AUTORIZADO</v>
      </c>
      <c r="M258" s="15" t="str">
        <f>IFERROR(__xludf.DUMMYFUNCTION("""COMPUTED_VALUE"""),"NA ORIGEM")</f>
        <v>NA ORIGEM</v>
      </c>
      <c r="N258" s="15" t="str">
        <f>IFERROR(__xludf.DUMMYFUNCTION("""COMPUTED_VALUE"""),"Antes Prazo")</f>
        <v>Antes Prazo</v>
      </c>
      <c r="O258" s="15" t="str">
        <f>IFERROR(__xludf.DUMMYFUNCTION("""COMPUTED_VALUE"""),"B2B")</f>
        <v>B2B</v>
      </c>
      <c r="P258" s="16">
        <f>IFERROR(__xludf.DUMMYFUNCTION("""COMPUTED_VALUE"""),71.9)</f>
        <v>71.9</v>
      </c>
      <c r="Q258" s="15">
        <f>IFERROR(__xludf.DUMMYFUNCTION("""COMPUTED_VALUE"""),1.0)</f>
        <v>1</v>
      </c>
      <c r="R258" s="15" t="str">
        <f>IFERROR(__xludf.DUMMYFUNCTION("""COMPUTED_VALUE"""),"RODO")</f>
        <v>RODO</v>
      </c>
      <c r="S258" s="15" t="str">
        <f>IFERROR(__xludf.DUMMYFUNCTION("""COMPUTED_VALUE"""),"ITN")</f>
        <v>ITN</v>
      </c>
      <c r="T258" s="15" t="str">
        <f>IFERROR(__xludf.DUMMYFUNCTION("""COMPUTED_VALUE"""),"400")</f>
        <v>400</v>
      </c>
      <c r="U258" s="15" t="str">
        <f>IFERROR(__xludf.DUMMYFUNCTION("""COMPUTED_VALUE"""),"266803489 1305616 8176816 balsas center modas ltda trifil imp 400")</f>
        <v>266803489 1305616 8176816 balsas center modas ltda trifil imp 400</v>
      </c>
      <c r="V258" s="15" t="b">
        <f>IFERROR(__xludf.DUMMYFUNCTION("""COMPUTED_VALUE"""),FALSE)</f>
        <v>0</v>
      </c>
    </row>
    <row r="259">
      <c r="A259" s="19">
        <f>IFERROR(__xludf.DUMMYFUNCTION("""COMPUTED_VALUE"""),46304.0)</f>
        <v>46304</v>
      </c>
      <c r="B259" s="19">
        <f>IFERROR(__xludf.DUMMYFUNCTION("""COMPUTED_VALUE"""),46321.0)</f>
        <v>46321</v>
      </c>
      <c r="C259" s="15">
        <f>IFERROR(__xludf.DUMMYFUNCTION("""COMPUTED_VALUE"""),9.0)</f>
        <v>9</v>
      </c>
      <c r="D259" s="15" t="str">
        <f>IFERROR(__xludf.DUMMYFUNCTION("""COMPUTED_VALUE"""),"IMP")</f>
        <v>IMP</v>
      </c>
      <c r="E259" s="15" t="str">
        <f>IFERROR(__xludf.DUMMYFUNCTION("""COMPUTED_VALUE"""),"LUPO")</f>
        <v>LUPO</v>
      </c>
      <c r="F259" s="15" t="str">
        <f>IFERROR(__xludf.DUMMYFUNCTION("""COMPUTED_VALUE"""),"TRIFIL")</f>
        <v>TRIFIL</v>
      </c>
      <c r="G259" s="15" t="str">
        <f>IFERROR(__xludf.DUMMYFUNCTION("""COMPUTED_VALUE"""),"266803490")</f>
        <v>266803490</v>
      </c>
      <c r="H259" s="15" t="str">
        <f>IFERROR(__xludf.DUMMYFUNCTION("""COMPUTED_VALUE"""),"1304173")</f>
        <v>1304173</v>
      </c>
      <c r="I259" s="15" t="str">
        <f>IFERROR(__xludf.DUMMYFUNCTION("""COMPUTED_VALUE"""),"8176855")</f>
        <v>8176855</v>
      </c>
      <c r="J259" s="15" t="str">
        <f>IFERROR(__xludf.DUMMYFUNCTION("""COMPUTED_VALUE"""),"CIF")</f>
        <v>CIF</v>
      </c>
      <c r="K259" s="15" t="str">
        <f>IFERROR(__xludf.DUMMYFUNCTION("""COMPUTED_VALUE"""),"(sem célula)")</f>
        <v>(sem célula)</v>
      </c>
      <c r="L259" s="15" t="str">
        <f>IFERROR(__xludf.DUMMYFUNCTION("""COMPUTED_VALUE"""),"AUTORIZADO")</f>
        <v>AUTORIZADO</v>
      </c>
      <c r="M259" s="15" t="str">
        <f>IFERROR(__xludf.DUMMYFUNCTION("""COMPUTED_VALUE"""),"NA ORIGEM")</f>
        <v>NA ORIGEM</v>
      </c>
      <c r="N259" s="15" t="str">
        <f>IFERROR(__xludf.DUMMYFUNCTION("""COMPUTED_VALUE"""),"Antes Prazo")</f>
        <v>Antes Prazo</v>
      </c>
      <c r="O259" s="15" t="str">
        <f>IFERROR(__xludf.DUMMYFUNCTION("""COMPUTED_VALUE"""),"B2B")</f>
        <v>B2B</v>
      </c>
      <c r="P259" s="16">
        <f>IFERROR(__xludf.DUMMYFUNCTION("""COMPUTED_VALUE"""),64.23)</f>
        <v>64.23</v>
      </c>
      <c r="Q259" s="15">
        <f>IFERROR(__xludf.DUMMYFUNCTION("""COMPUTED_VALUE"""),1.0)</f>
        <v>1</v>
      </c>
      <c r="R259" s="15" t="str">
        <f>IFERROR(__xludf.DUMMYFUNCTION("""COMPUTED_VALUE"""),"RODO")</f>
        <v>RODO</v>
      </c>
      <c r="S259" s="15" t="str">
        <f>IFERROR(__xludf.DUMMYFUNCTION("""COMPUTED_VALUE"""),"ITN")</f>
        <v>ITN</v>
      </c>
      <c r="T259" s="15" t="str">
        <f>IFERROR(__xludf.DUMMYFUNCTION("""COMPUTED_VALUE"""),"2")</f>
        <v>2</v>
      </c>
      <c r="U259" s="15" t="str">
        <f>IFERROR(__xludf.DUMMYFUNCTION("""COMPUTED_VALUE"""),"266803490 1304173 8176855 lupo trifil imp 2")</f>
        <v>266803490 1304173 8176855 lupo trifil imp 2</v>
      </c>
      <c r="V259" s="15" t="b">
        <f>IFERROR(__xludf.DUMMYFUNCTION("""COMPUTED_VALUE"""),FALSE)</f>
        <v>0</v>
      </c>
    </row>
    <row r="260">
      <c r="A260" s="19">
        <f>IFERROR(__xludf.DUMMYFUNCTION("""COMPUTED_VALUE"""),46304.0)</f>
        <v>46304</v>
      </c>
      <c r="B260" s="19">
        <f>IFERROR(__xludf.DUMMYFUNCTION("""COMPUTED_VALUE"""),46330.0)</f>
        <v>46330</v>
      </c>
      <c r="C260" s="15">
        <f>IFERROR(__xludf.DUMMYFUNCTION("""COMPUTED_VALUE"""),15.0)</f>
        <v>15</v>
      </c>
      <c r="D260" s="15" t="str">
        <f>IFERROR(__xludf.DUMMYFUNCTION("""COMPUTED_VALUE"""),"IMP")</f>
        <v>IMP</v>
      </c>
      <c r="E260" s="15" t="str">
        <f>IFERROR(__xludf.DUMMYFUNCTION("""COMPUTED_VALUE"""),"E DE SOUSA GALVAO ME")</f>
        <v>E DE SOUSA GALVAO ME</v>
      </c>
      <c r="F260" s="15" t="str">
        <f>IFERROR(__xludf.DUMMYFUNCTION("""COMPUTED_VALUE"""),"TRIFIL")</f>
        <v>TRIFIL</v>
      </c>
      <c r="G260" s="15" t="str">
        <f>IFERROR(__xludf.DUMMYFUNCTION("""COMPUTED_VALUE"""),"266803491")</f>
        <v>266803491</v>
      </c>
      <c r="H260" s="15" t="str">
        <f>IFERROR(__xludf.DUMMYFUNCTION("""COMPUTED_VALUE"""),"1305713, 1305927")</f>
        <v>1305713, 1305927</v>
      </c>
      <c r="I260" s="15" t="str">
        <f>IFERROR(__xludf.DUMMYFUNCTION("""COMPUTED_VALUE"""),"8176886")</f>
        <v>8176886</v>
      </c>
      <c r="J260" s="15" t="str">
        <f>IFERROR(__xludf.DUMMYFUNCTION("""COMPUTED_VALUE"""),"CIF")</f>
        <v>CIF</v>
      </c>
      <c r="K260" s="15" t="str">
        <f>IFERROR(__xludf.DUMMYFUNCTION("""COMPUTED_VALUE"""),"SAO-1")</f>
        <v>SAO-1</v>
      </c>
      <c r="L260" s="15" t="str">
        <f>IFERROR(__xludf.DUMMYFUNCTION("""COMPUTED_VALUE"""),"AUTORIZADO")</f>
        <v>AUTORIZADO</v>
      </c>
      <c r="M260" s="15" t="str">
        <f>IFERROR(__xludf.DUMMYFUNCTION("""COMPUTED_VALUE"""),"NA ORIGEM")</f>
        <v>NA ORIGEM</v>
      </c>
      <c r="N260" s="15" t="str">
        <f>IFERROR(__xludf.DUMMYFUNCTION("""COMPUTED_VALUE"""),"Antes Prazo")</f>
        <v>Antes Prazo</v>
      </c>
      <c r="O260" s="15" t="str">
        <f>IFERROR(__xludf.DUMMYFUNCTION("""COMPUTED_VALUE"""),"B2B")</f>
        <v>B2B</v>
      </c>
      <c r="P260" s="16">
        <f>IFERROR(__xludf.DUMMYFUNCTION("""COMPUTED_VALUE"""),71.9)</f>
        <v>71.9</v>
      </c>
      <c r="Q260" s="15">
        <f>IFERROR(__xludf.DUMMYFUNCTION("""COMPUTED_VALUE"""),2.0)</f>
        <v>2</v>
      </c>
      <c r="R260" s="15" t="str">
        <f>IFERROR(__xludf.DUMMYFUNCTION("""COMPUTED_VALUE"""),"RODO")</f>
        <v>RODO</v>
      </c>
      <c r="S260" s="15" t="str">
        <f>IFERROR(__xludf.DUMMYFUNCTION("""COMPUTED_VALUE"""),"ITN")</f>
        <v>ITN</v>
      </c>
      <c r="T260" s="15" t="str">
        <f>IFERROR(__xludf.DUMMYFUNCTION("""COMPUTED_VALUE"""),"207")</f>
        <v>207</v>
      </c>
      <c r="U260" s="15" t="str">
        <f>IFERROR(__xludf.DUMMYFUNCTION("""COMPUTED_VALUE"""),"266803491 1305713, 1305927 8176886 e de sousa galvao me trifil imp 207")</f>
        <v>266803491 1305713, 1305927 8176886 e de sousa galvao me trifil imp 207</v>
      </c>
      <c r="V260" s="15" t="b">
        <f>IFERROR(__xludf.DUMMYFUNCTION("""COMPUTED_VALUE"""),FALSE)</f>
        <v>0</v>
      </c>
    </row>
    <row r="261">
      <c r="A261" s="19">
        <f>IFERROR(__xludf.DUMMYFUNCTION("""COMPUTED_VALUE"""),46304.0)</f>
        <v>46304</v>
      </c>
      <c r="B261" s="19">
        <f>IFERROR(__xludf.DUMMYFUNCTION("""COMPUTED_VALUE"""),46323.0)</f>
        <v>46323</v>
      </c>
      <c r="C261" s="15">
        <f>IFERROR(__xludf.DUMMYFUNCTION("""COMPUTED_VALUE"""),12.0)</f>
        <v>12</v>
      </c>
      <c r="D261" s="15" t="str">
        <f>IFERROR(__xludf.DUMMYFUNCTION("""COMPUTED_VALUE"""),"BEL")</f>
        <v>BEL</v>
      </c>
      <c r="E261" s="15" t="str">
        <f>IFERROR(__xludf.DUMMYFUNCTION("""COMPUTED_VALUE"""),"LUPO-BOULEVARD")</f>
        <v>LUPO-BOULEVARD</v>
      </c>
      <c r="F261" s="15" t="str">
        <f>IFERROR(__xludf.DUMMYFUNCTION("""COMPUTED_VALUE"""),"TRIFIL")</f>
        <v>TRIFIL</v>
      </c>
      <c r="G261" s="15" t="str">
        <f>IFERROR(__xludf.DUMMYFUNCTION("""COMPUTED_VALUE"""),"266803492")</f>
        <v>266803492</v>
      </c>
      <c r="H261" s="15" t="str">
        <f>IFERROR(__xludf.DUMMYFUNCTION("""COMPUTED_VALUE"""),"1305102")</f>
        <v>1305102</v>
      </c>
      <c r="I261" s="15" t="str">
        <f>IFERROR(__xludf.DUMMYFUNCTION("""COMPUTED_VALUE"""),"8177041")</f>
        <v>8177041</v>
      </c>
      <c r="J261" s="15" t="str">
        <f>IFERROR(__xludf.DUMMYFUNCTION("""COMPUTED_VALUE"""),"CIF")</f>
        <v>CIF</v>
      </c>
      <c r="K261" s="15" t="str">
        <f>IFERROR(__xludf.DUMMYFUNCTION("""COMPUTED_VALUE"""),"FSA-1")</f>
        <v>FSA-1</v>
      </c>
      <c r="L261" s="15" t="str">
        <f>IFERROR(__xludf.DUMMYFUNCTION("""COMPUTED_VALUE"""),"AUTORIZADO")</f>
        <v>AUTORIZADO</v>
      </c>
      <c r="M261" s="15" t="str">
        <f>IFERROR(__xludf.DUMMYFUNCTION("""COMPUTED_VALUE"""),"NA ORIGEM")</f>
        <v>NA ORIGEM</v>
      </c>
      <c r="N261" s="15" t="str">
        <f>IFERROR(__xludf.DUMMYFUNCTION("""COMPUTED_VALUE"""),"Antes Prazo")</f>
        <v>Antes Prazo</v>
      </c>
      <c r="O261" s="15" t="str">
        <f>IFERROR(__xludf.DUMMYFUNCTION("""COMPUTED_VALUE"""),"B2B")</f>
        <v>B2B</v>
      </c>
      <c r="P261" s="16">
        <f>IFERROR(__xludf.DUMMYFUNCTION("""COMPUTED_VALUE"""),71.87)</f>
        <v>71.87</v>
      </c>
      <c r="Q261" s="15">
        <f>IFERROR(__xludf.DUMMYFUNCTION("""COMPUTED_VALUE"""),1.0)</f>
        <v>1</v>
      </c>
      <c r="R261" s="15" t="str">
        <f>IFERROR(__xludf.DUMMYFUNCTION("""COMPUTED_VALUE"""),"RODO")</f>
        <v>RODO</v>
      </c>
      <c r="S261" s="15" t="str">
        <f>IFERROR(__xludf.DUMMYFUNCTION("""COMPUTED_VALUE"""),"ITN")</f>
        <v>ITN</v>
      </c>
      <c r="T261" s="15" t="str">
        <f>IFERROR(__xludf.DUMMYFUNCTION("""COMPUTED_VALUE"""),"2")</f>
        <v>2</v>
      </c>
      <c r="U261" s="15" t="str">
        <f>IFERROR(__xludf.DUMMYFUNCTION("""COMPUTED_VALUE"""),"266803492 1305102 8177041 lupo-boulevard trifil bel 2")</f>
        <v>266803492 1305102 8177041 lupo-boulevard trifil bel 2</v>
      </c>
      <c r="V261" s="15" t="b">
        <f>IFERROR(__xludf.DUMMYFUNCTION("""COMPUTED_VALUE"""),FALSE)</f>
        <v>0</v>
      </c>
    </row>
    <row r="262">
      <c r="A262" s="19">
        <f>IFERROR(__xludf.DUMMYFUNCTION("""COMPUTED_VALUE"""),46304.0)</f>
        <v>46304</v>
      </c>
      <c r="B262" s="19">
        <f>IFERROR(__xludf.DUMMYFUNCTION("""COMPUTED_VALUE"""),46323.0)</f>
        <v>46323</v>
      </c>
      <c r="C262" s="15">
        <f>IFERROR(__xludf.DUMMYFUNCTION("""COMPUTED_VALUE"""),12.0)</f>
        <v>12</v>
      </c>
      <c r="D262" s="15" t="str">
        <f>IFERROR(__xludf.DUMMYFUNCTION("""COMPUTED_VALUE"""),"BEL")</f>
        <v>BEL</v>
      </c>
      <c r="E262" s="15" t="str">
        <f>IFERROR(__xludf.DUMMYFUNCTION("""COMPUTED_VALUE"""),"GISELE MARTINS RIBEIRO PLANZO")</f>
        <v>GISELE MARTINS RIBEIRO PLANZO</v>
      </c>
      <c r="F262" s="15" t="str">
        <f>IFERROR(__xludf.DUMMYFUNCTION("""COMPUTED_VALUE"""),"TRIFIL")</f>
        <v>TRIFIL</v>
      </c>
      <c r="G262" s="15" t="str">
        <f>IFERROR(__xludf.DUMMYFUNCTION("""COMPUTED_VALUE"""),"266803493")</f>
        <v>266803493</v>
      </c>
      <c r="H262" s="15" t="str">
        <f>IFERROR(__xludf.DUMMYFUNCTION("""COMPUTED_VALUE"""),"1305524")</f>
        <v>1305524</v>
      </c>
      <c r="I262" s="15" t="str">
        <f>IFERROR(__xludf.DUMMYFUNCTION("""COMPUTED_VALUE"""),"8176988")</f>
        <v>8176988</v>
      </c>
      <c r="J262" s="15" t="str">
        <f>IFERROR(__xludf.DUMMYFUNCTION("""COMPUTED_VALUE"""),"CIF")</f>
        <v>CIF</v>
      </c>
      <c r="K262" s="15" t="str">
        <f>IFERROR(__xludf.DUMMYFUNCTION("""COMPUTED_VALUE"""),"FSA-1")</f>
        <v>FSA-1</v>
      </c>
      <c r="L262" s="15" t="str">
        <f>IFERROR(__xludf.DUMMYFUNCTION("""COMPUTED_VALUE"""),"AUTORIZADO")</f>
        <v>AUTORIZADO</v>
      </c>
      <c r="M262" s="15" t="str">
        <f>IFERROR(__xludf.DUMMYFUNCTION("""COMPUTED_VALUE"""),"NA ORIGEM")</f>
        <v>NA ORIGEM</v>
      </c>
      <c r="N262" s="15" t="str">
        <f>IFERROR(__xludf.DUMMYFUNCTION("""COMPUTED_VALUE"""),"Antes Prazo")</f>
        <v>Antes Prazo</v>
      </c>
      <c r="O262" s="15" t="str">
        <f>IFERROR(__xludf.DUMMYFUNCTION("""COMPUTED_VALUE"""),"B2B")</f>
        <v>B2B</v>
      </c>
      <c r="P262" s="16">
        <f>IFERROR(__xludf.DUMMYFUNCTION("""COMPUTED_VALUE"""),71.87)</f>
        <v>71.87</v>
      </c>
      <c r="Q262" s="15">
        <f>IFERROR(__xludf.DUMMYFUNCTION("""COMPUTED_VALUE"""),1.0)</f>
        <v>1</v>
      </c>
      <c r="R262" s="15" t="str">
        <f>IFERROR(__xludf.DUMMYFUNCTION("""COMPUTED_VALUE"""),"RODO")</f>
        <v>RODO</v>
      </c>
      <c r="S262" s="15" t="str">
        <f>IFERROR(__xludf.DUMMYFUNCTION("""COMPUTED_VALUE"""),"ITN")</f>
        <v>ITN</v>
      </c>
      <c r="T262" s="15" t="str">
        <f>IFERROR(__xludf.DUMMYFUNCTION("""COMPUTED_VALUE"""),"2")</f>
        <v>2</v>
      </c>
      <c r="U262" s="15" t="str">
        <f>IFERROR(__xludf.DUMMYFUNCTION("""COMPUTED_VALUE"""),"266803493 1305524 8176988 gisele martins ribeiro planzo trifil bel 2")</f>
        <v>266803493 1305524 8176988 gisele martins ribeiro planzo trifil bel 2</v>
      </c>
      <c r="V262" s="15" t="b">
        <f>IFERROR(__xludf.DUMMYFUNCTION("""COMPUTED_VALUE"""),FALSE)</f>
        <v>0</v>
      </c>
    </row>
    <row r="263">
      <c r="A263" s="19">
        <f>IFERROR(__xludf.DUMMYFUNCTION("""COMPUTED_VALUE"""),46304.0)</f>
        <v>46304</v>
      </c>
      <c r="B263" s="19">
        <f>IFERROR(__xludf.DUMMYFUNCTION("""COMPUTED_VALUE"""),46323.0)</f>
        <v>46323</v>
      </c>
      <c r="C263" s="15">
        <f>IFERROR(__xludf.DUMMYFUNCTION("""COMPUTED_VALUE"""),12.0)</f>
        <v>12</v>
      </c>
      <c r="D263" s="15" t="str">
        <f>IFERROR(__xludf.DUMMYFUNCTION("""COMPUTED_VALUE"""),"BEL")</f>
        <v>BEL</v>
      </c>
      <c r="E263" s="15" t="str">
        <f>IFERROR(__xludf.DUMMYFUNCTION("""COMPUTED_VALUE"""),"BELEM MEIAS CONFECCOES LTDA")</f>
        <v>BELEM MEIAS CONFECCOES LTDA</v>
      </c>
      <c r="F263" s="15" t="str">
        <f>IFERROR(__xludf.DUMMYFUNCTION("""COMPUTED_VALUE"""),"TRIFIL")</f>
        <v>TRIFIL</v>
      </c>
      <c r="G263" s="15" t="str">
        <f>IFERROR(__xludf.DUMMYFUNCTION("""COMPUTED_VALUE"""),"266803494")</f>
        <v>266803494</v>
      </c>
      <c r="H263" s="15" t="str">
        <f>IFERROR(__xludf.DUMMYFUNCTION("""COMPUTED_VALUE"""),"1305173, 1305552")</f>
        <v>1305173, 1305552</v>
      </c>
      <c r="I263" s="15" t="str">
        <f>IFERROR(__xludf.DUMMYFUNCTION("""COMPUTED_VALUE"""),"8176989")</f>
        <v>8176989</v>
      </c>
      <c r="J263" s="15" t="str">
        <f>IFERROR(__xludf.DUMMYFUNCTION("""COMPUTED_VALUE"""),"CIF")</f>
        <v>CIF</v>
      </c>
      <c r="K263" s="15" t="str">
        <f>IFERROR(__xludf.DUMMYFUNCTION("""COMPUTED_VALUE"""),"FSA-1")</f>
        <v>FSA-1</v>
      </c>
      <c r="L263" s="15" t="str">
        <f>IFERROR(__xludf.DUMMYFUNCTION("""COMPUTED_VALUE"""),"AUTORIZADO")</f>
        <v>AUTORIZADO</v>
      </c>
      <c r="M263" s="15" t="str">
        <f>IFERROR(__xludf.DUMMYFUNCTION("""COMPUTED_VALUE"""),"NA ORIGEM")</f>
        <v>NA ORIGEM</v>
      </c>
      <c r="N263" s="15" t="str">
        <f>IFERROR(__xludf.DUMMYFUNCTION("""COMPUTED_VALUE"""),"Antes Prazo")</f>
        <v>Antes Prazo</v>
      </c>
      <c r="O263" s="15" t="str">
        <f>IFERROR(__xludf.DUMMYFUNCTION("""COMPUTED_VALUE"""),"B2B")</f>
        <v>B2B</v>
      </c>
      <c r="P263" s="16">
        <f>IFERROR(__xludf.DUMMYFUNCTION("""COMPUTED_VALUE"""),71.87)</f>
        <v>71.87</v>
      </c>
      <c r="Q263" s="15">
        <f>IFERROR(__xludf.DUMMYFUNCTION("""COMPUTED_VALUE"""),2.0)</f>
        <v>2</v>
      </c>
      <c r="R263" s="15" t="str">
        <f>IFERROR(__xludf.DUMMYFUNCTION("""COMPUTED_VALUE"""),"RODO")</f>
        <v>RODO</v>
      </c>
      <c r="S263" s="15" t="str">
        <f>IFERROR(__xludf.DUMMYFUNCTION("""COMPUTED_VALUE"""),"ITN")</f>
        <v>ITN</v>
      </c>
      <c r="T263" s="15" t="str">
        <f>IFERROR(__xludf.DUMMYFUNCTION("""COMPUTED_VALUE"""),"5")</f>
        <v>5</v>
      </c>
      <c r="U263" s="15" t="str">
        <f>IFERROR(__xludf.DUMMYFUNCTION("""COMPUTED_VALUE"""),"266803494 1305173, 1305552 8176989 belem meias confeccoes ltda trifil bel 5")</f>
        <v>266803494 1305173, 1305552 8176989 belem meias confeccoes ltda trifil bel 5</v>
      </c>
      <c r="V263" s="15" t="b">
        <f>IFERROR(__xludf.DUMMYFUNCTION("""COMPUTED_VALUE"""),FALSE)</f>
        <v>0</v>
      </c>
    </row>
    <row r="264">
      <c r="A264" s="19">
        <f>IFERROR(__xludf.DUMMYFUNCTION("""COMPUTED_VALUE"""),46304.0)</f>
        <v>46304</v>
      </c>
      <c r="B264" s="19">
        <f>IFERROR(__xludf.DUMMYFUNCTION("""COMPUTED_VALUE"""),46323.0)</f>
        <v>46323</v>
      </c>
      <c r="C264" s="15">
        <f>IFERROR(__xludf.DUMMYFUNCTION("""COMPUTED_VALUE"""),12.0)</f>
        <v>12</v>
      </c>
      <c r="D264" s="15" t="str">
        <f>IFERROR(__xludf.DUMMYFUNCTION("""COMPUTED_VALUE"""),"BEL")</f>
        <v>BEL</v>
      </c>
      <c r="E264" s="15" t="str">
        <f>IFERROR(__xludf.DUMMYFUNCTION("""COMPUTED_VALUE"""),"PARA MEIAS CONFECCOES LTDA")</f>
        <v>PARA MEIAS CONFECCOES LTDA</v>
      </c>
      <c r="F264" s="15" t="str">
        <f>IFERROR(__xludf.DUMMYFUNCTION("""COMPUTED_VALUE"""),"TRIFIL")</f>
        <v>TRIFIL</v>
      </c>
      <c r="G264" s="15" t="str">
        <f>IFERROR(__xludf.DUMMYFUNCTION("""COMPUTED_VALUE"""),"266803495")</f>
        <v>266803495</v>
      </c>
      <c r="H264" s="15" t="str">
        <f>IFERROR(__xludf.DUMMYFUNCTION("""COMPUTED_VALUE"""),"1305456")</f>
        <v>1305456</v>
      </c>
      <c r="I264" s="15" t="str">
        <f>IFERROR(__xludf.DUMMYFUNCTION("""COMPUTED_VALUE"""),"8176817")</f>
        <v>8176817</v>
      </c>
      <c r="J264" s="15" t="str">
        <f>IFERROR(__xludf.DUMMYFUNCTION("""COMPUTED_VALUE"""),"CIF")</f>
        <v>CIF</v>
      </c>
      <c r="K264" s="15" t="str">
        <f>IFERROR(__xludf.DUMMYFUNCTION("""COMPUTED_VALUE"""),"FSA-1")</f>
        <v>FSA-1</v>
      </c>
      <c r="L264" s="15" t="str">
        <f>IFERROR(__xludf.DUMMYFUNCTION("""COMPUTED_VALUE"""),"AUTORIZADO")</f>
        <v>AUTORIZADO</v>
      </c>
      <c r="M264" s="15" t="str">
        <f>IFERROR(__xludf.DUMMYFUNCTION("""COMPUTED_VALUE"""),"NA ORIGEM")</f>
        <v>NA ORIGEM</v>
      </c>
      <c r="N264" s="15" t="str">
        <f>IFERROR(__xludf.DUMMYFUNCTION("""COMPUTED_VALUE"""),"Antes Prazo")</f>
        <v>Antes Prazo</v>
      </c>
      <c r="O264" s="15" t="str">
        <f>IFERROR(__xludf.DUMMYFUNCTION("""COMPUTED_VALUE"""),"B2B")</f>
        <v>B2B</v>
      </c>
      <c r="P264" s="16">
        <f>IFERROR(__xludf.DUMMYFUNCTION("""COMPUTED_VALUE"""),71.87)</f>
        <v>71.87</v>
      </c>
      <c r="Q264" s="15">
        <f>IFERROR(__xludf.DUMMYFUNCTION("""COMPUTED_VALUE"""),1.0)</f>
        <v>1</v>
      </c>
      <c r="R264" s="15" t="str">
        <f>IFERROR(__xludf.DUMMYFUNCTION("""COMPUTED_VALUE"""),"RODO")</f>
        <v>RODO</v>
      </c>
      <c r="S264" s="15" t="str">
        <f>IFERROR(__xludf.DUMMYFUNCTION("""COMPUTED_VALUE"""),"ITN")</f>
        <v>ITN</v>
      </c>
      <c r="T264" s="15" t="str">
        <f>IFERROR(__xludf.DUMMYFUNCTION("""COMPUTED_VALUE"""),"5")</f>
        <v>5</v>
      </c>
      <c r="U264" s="15" t="str">
        <f>IFERROR(__xludf.DUMMYFUNCTION("""COMPUTED_VALUE"""),"266803495 1305456 8176817 para meias confeccoes ltda trifil bel 5")</f>
        <v>266803495 1305456 8176817 para meias confeccoes ltda trifil bel 5</v>
      </c>
      <c r="V264" s="15" t="b">
        <f>IFERROR(__xludf.DUMMYFUNCTION("""COMPUTED_VALUE"""),FALSE)</f>
        <v>0</v>
      </c>
    </row>
    <row r="265">
      <c r="A265" s="19">
        <f>IFERROR(__xludf.DUMMYFUNCTION("""COMPUTED_VALUE"""),46304.0)</f>
        <v>46304</v>
      </c>
      <c r="B265" s="19">
        <f>IFERROR(__xludf.DUMMYFUNCTION("""COMPUTED_VALUE"""),46317.0)</f>
        <v>46317</v>
      </c>
      <c r="C265" s="15">
        <f>IFERROR(__xludf.DUMMYFUNCTION("""COMPUTED_VALUE"""),8.0)</f>
        <v>8</v>
      </c>
      <c r="D265" s="15" t="str">
        <f>IFERROR(__xludf.DUMMYFUNCTION("""COMPUTED_VALUE"""),"STO")</f>
        <v>STO</v>
      </c>
      <c r="E265" s="15" t="str">
        <f>IFERROR(__xludf.DUMMYFUNCTION("""COMPUTED_VALUE"""),"CAPRI SHOES CALCADOS - EIRELI")</f>
        <v>CAPRI SHOES CALCADOS - EIRELI</v>
      </c>
      <c r="F265" s="15" t="str">
        <f>IFERROR(__xludf.DUMMYFUNCTION("""COMPUTED_VALUE"""),"TRIFIL")</f>
        <v>TRIFIL</v>
      </c>
      <c r="G265" s="15" t="str">
        <f>IFERROR(__xludf.DUMMYFUNCTION("""COMPUTED_VALUE"""),"266803496")</f>
        <v>266803496</v>
      </c>
      <c r="H265" s="15" t="str">
        <f>IFERROR(__xludf.DUMMYFUNCTION("""COMPUTED_VALUE"""),"1305387")</f>
        <v>1305387</v>
      </c>
      <c r="I265" s="15" t="str">
        <f>IFERROR(__xludf.DUMMYFUNCTION("""COMPUTED_VALUE"""),"8177577")</f>
        <v>8177577</v>
      </c>
      <c r="J265" s="15" t="str">
        <f>IFERROR(__xludf.DUMMYFUNCTION("""COMPUTED_VALUE"""),"CIF")</f>
        <v>CIF</v>
      </c>
      <c r="K265" s="15" t="str">
        <f>IFERROR(__xludf.DUMMYFUNCTION("""COMPUTED_VALUE"""),"(sem célula)")</f>
        <v>(sem célula)</v>
      </c>
      <c r="L265" s="15" t="str">
        <f>IFERROR(__xludf.DUMMYFUNCTION("""COMPUTED_VALUE"""),"AUTORIZADO")</f>
        <v>AUTORIZADO</v>
      </c>
      <c r="M265" s="15" t="str">
        <f>IFERROR(__xludf.DUMMYFUNCTION("""COMPUTED_VALUE"""),"NA ORIGEM")</f>
        <v>NA ORIGEM</v>
      </c>
      <c r="N265" s="15" t="str">
        <f>IFERROR(__xludf.DUMMYFUNCTION("""COMPUTED_VALUE"""),"Antes Prazo")</f>
        <v>Antes Prazo</v>
      </c>
      <c r="O265" s="15" t="str">
        <f>IFERROR(__xludf.DUMMYFUNCTION("""COMPUTED_VALUE"""),"B2B")</f>
        <v>B2B</v>
      </c>
      <c r="P265" s="16">
        <f>IFERROR(__xludf.DUMMYFUNCTION("""COMPUTED_VALUE"""),45.49)</f>
        <v>45.49</v>
      </c>
      <c r="Q265" s="15">
        <f>IFERROR(__xludf.DUMMYFUNCTION("""COMPUTED_VALUE"""),1.0)</f>
        <v>1</v>
      </c>
      <c r="R265" s="15" t="str">
        <f>IFERROR(__xludf.DUMMYFUNCTION("""COMPUTED_VALUE"""),"RODO")</f>
        <v>RODO</v>
      </c>
      <c r="S265" s="15" t="str">
        <f>IFERROR(__xludf.DUMMYFUNCTION("""COMPUTED_VALUE"""),"ITN")</f>
        <v>ITN</v>
      </c>
      <c r="T265" s="15" t="str">
        <f>IFERROR(__xludf.DUMMYFUNCTION("""COMPUTED_VALUE"""),"672")</f>
        <v>672</v>
      </c>
      <c r="U265" s="15" t="str">
        <f>IFERROR(__xludf.DUMMYFUNCTION("""COMPUTED_VALUE"""),"266803496 1305387 8177577 capri shoes calcados - eireli trifil sto 672")</f>
        <v>266803496 1305387 8177577 capri shoes calcados - eireli trifil sto 672</v>
      </c>
      <c r="V265" s="15" t="b">
        <f>IFERROR(__xludf.DUMMYFUNCTION("""COMPUTED_VALUE"""),FALSE)</f>
        <v>0</v>
      </c>
    </row>
    <row r="266">
      <c r="A266" s="19">
        <f>IFERROR(__xludf.DUMMYFUNCTION("""COMPUTED_VALUE"""),46304.0)</f>
        <v>46304</v>
      </c>
      <c r="B266" s="19">
        <f>IFERROR(__xludf.DUMMYFUNCTION("""COMPUTED_VALUE"""),46338.0)</f>
        <v>46338</v>
      </c>
      <c r="C266" s="15">
        <f>IFERROR(__xludf.DUMMYFUNCTION("""COMPUTED_VALUE"""),22.0)</f>
        <v>22</v>
      </c>
      <c r="D266" s="15" t="str">
        <f>IFERROR(__xludf.DUMMYFUNCTION("""COMPUTED_VALUE"""),"TUR")</f>
        <v>TUR</v>
      </c>
      <c r="E266" s="15" t="str">
        <f>IFERROR(__xludf.DUMMYFUNCTION("""COMPUTED_VALUE"""),"MODA KENT FLORATA ,")</f>
        <v>MODA KENT FLORATA ,</v>
      </c>
      <c r="F266" s="15" t="str">
        <f>IFERROR(__xludf.DUMMYFUNCTION("""COMPUTED_VALUE"""),"TRIFIL")</f>
        <v>TRIFIL</v>
      </c>
      <c r="G266" s="15" t="str">
        <f>IFERROR(__xludf.DUMMYFUNCTION("""COMPUTED_VALUE"""),"266803497")</f>
        <v>266803497</v>
      </c>
      <c r="H266" s="15" t="str">
        <f>IFERROR(__xludf.DUMMYFUNCTION("""COMPUTED_VALUE"""),"1305692")</f>
        <v>1305692</v>
      </c>
      <c r="I266" s="15" t="str">
        <f>IFERROR(__xludf.DUMMYFUNCTION("""COMPUTED_VALUE"""),"8176990")</f>
        <v>8176990</v>
      </c>
      <c r="J266" s="15" t="str">
        <f>IFERROR(__xludf.DUMMYFUNCTION("""COMPUTED_VALUE"""),"CIF")</f>
        <v>CIF</v>
      </c>
      <c r="K266" s="15" t="str">
        <f>IFERROR(__xludf.DUMMYFUNCTION("""COMPUTED_VALUE"""),"FSA-1")</f>
        <v>FSA-1</v>
      </c>
      <c r="L266" s="15" t="str">
        <f>IFERROR(__xludf.DUMMYFUNCTION("""COMPUTED_VALUE"""),"AUTORIZADO")</f>
        <v>AUTORIZADO</v>
      </c>
      <c r="M266" s="15" t="str">
        <f>IFERROR(__xludf.DUMMYFUNCTION("""COMPUTED_VALUE"""),"NA ORIGEM")</f>
        <v>NA ORIGEM</v>
      </c>
      <c r="N266" s="15" t="str">
        <f>IFERROR(__xludf.DUMMYFUNCTION("""COMPUTED_VALUE"""),"Antes Prazo")</f>
        <v>Antes Prazo</v>
      </c>
      <c r="O266" s="15" t="str">
        <f>IFERROR(__xludf.DUMMYFUNCTION("""COMPUTED_VALUE"""),"B2B")</f>
        <v>B2B</v>
      </c>
      <c r="P266" s="16">
        <f>IFERROR(__xludf.DUMMYFUNCTION("""COMPUTED_VALUE"""),71.87)</f>
        <v>71.87</v>
      </c>
      <c r="Q266" s="15">
        <f>IFERROR(__xludf.DUMMYFUNCTION("""COMPUTED_VALUE"""),1.0)</f>
        <v>1</v>
      </c>
      <c r="R266" s="15" t="str">
        <f>IFERROR(__xludf.DUMMYFUNCTION("""COMPUTED_VALUE"""),"RODO")</f>
        <v>RODO</v>
      </c>
      <c r="S266" s="15" t="str">
        <f>IFERROR(__xludf.DUMMYFUNCTION("""COMPUTED_VALUE"""),"ITN")</f>
        <v>ITN</v>
      </c>
      <c r="T266" s="15" t="str">
        <f>IFERROR(__xludf.DUMMYFUNCTION("""COMPUTED_VALUE"""),"500")</f>
        <v>500</v>
      </c>
      <c r="U266" s="15" t="str">
        <f>IFERROR(__xludf.DUMMYFUNCTION("""COMPUTED_VALUE"""),"266803497 1305692 8176990 moda kent florata , trifil tur 500")</f>
        <v>266803497 1305692 8176990 moda kent florata , trifil tur 500</v>
      </c>
      <c r="V266" s="15" t="b">
        <f>IFERROR(__xludf.DUMMYFUNCTION("""COMPUTED_VALUE"""),FALSE)</f>
        <v>0</v>
      </c>
    </row>
    <row r="267">
      <c r="A267" s="19">
        <f>IFERROR(__xludf.DUMMYFUNCTION("""COMPUTED_VALUE"""),46304.0)</f>
        <v>46304</v>
      </c>
      <c r="B267" s="19">
        <f>IFERROR(__xludf.DUMMYFUNCTION("""COMPUTED_VALUE"""),46345.0)</f>
        <v>46345</v>
      </c>
      <c r="C267" s="15">
        <f>IFERROR(__xludf.DUMMYFUNCTION("""COMPUTED_VALUE"""),27.0)</f>
        <v>27</v>
      </c>
      <c r="D267" s="15" t="str">
        <f>IFERROR(__xludf.DUMMYFUNCTION("""COMPUTED_VALUE"""),"MT1")</f>
        <v>MT1</v>
      </c>
      <c r="E267" s="15" t="str">
        <f>IFERROR(__xludf.DUMMYFUNCTION("""COMPUTED_VALUE"""),"MARLI BIRK")</f>
        <v>MARLI BIRK</v>
      </c>
      <c r="F267" s="15" t="str">
        <f>IFERROR(__xludf.DUMMYFUNCTION("""COMPUTED_VALUE"""),"TRIFIL")</f>
        <v>TRIFIL</v>
      </c>
      <c r="G267" s="15" t="str">
        <f>IFERROR(__xludf.DUMMYFUNCTION("""COMPUTED_VALUE"""),"266803498")</f>
        <v>266803498</v>
      </c>
      <c r="H267" s="15" t="str">
        <f>IFERROR(__xludf.DUMMYFUNCTION("""COMPUTED_VALUE"""),"1305027")</f>
        <v>1305027</v>
      </c>
      <c r="I267" s="15" t="str">
        <f>IFERROR(__xludf.DUMMYFUNCTION("""COMPUTED_VALUE"""),"8176818")</f>
        <v>8176818</v>
      </c>
      <c r="J267" s="15" t="str">
        <f>IFERROR(__xludf.DUMMYFUNCTION("""COMPUTED_VALUE"""),"CIF")</f>
        <v>CIF</v>
      </c>
      <c r="K267" s="15" t="str">
        <f>IFERROR(__xludf.DUMMYFUNCTION("""COMPUTED_VALUE"""),"(sem célula)")</f>
        <v>(sem célula)</v>
      </c>
      <c r="L267" s="15" t="str">
        <f>IFERROR(__xludf.DUMMYFUNCTION("""COMPUTED_VALUE"""),"AUTORIZADO")</f>
        <v>AUTORIZADO</v>
      </c>
      <c r="M267" s="15" t="str">
        <f>IFERROR(__xludf.DUMMYFUNCTION("""COMPUTED_VALUE"""),"NA ORIGEM")</f>
        <v>NA ORIGEM</v>
      </c>
      <c r="N267" s="15" t="str">
        <f>IFERROR(__xludf.DUMMYFUNCTION("""COMPUTED_VALUE"""),"Antes Prazo")</f>
        <v>Antes Prazo</v>
      </c>
      <c r="O267" s="15" t="str">
        <f>IFERROR(__xludf.DUMMYFUNCTION("""COMPUTED_VALUE"""),"B2B")</f>
        <v>B2B</v>
      </c>
      <c r="P267" s="16">
        <f>IFERROR(__xludf.DUMMYFUNCTION("""COMPUTED_VALUE"""),71.87)</f>
        <v>71.87</v>
      </c>
      <c r="Q267" s="15">
        <f>IFERROR(__xludf.DUMMYFUNCTION("""COMPUTED_VALUE"""),1.0)</f>
        <v>1</v>
      </c>
      <c r="R267" s="15" t="str">
        <f>IFERROR(__xludf.DUMMYFUNCTION("""COMPUTED_VALUE"""),"RODO")</f>
        <v>RODO</v>
      </c>
      <c r="S267" s="15" t="str">
        <f>IFERROR(__xludf.DUMMYFUNCTION("""COMPUTED_VALUE"""),"ITN")</f>
        <v>ITN</v>
      </c>
      <c r="T267" s="15" t="str">
        <f>IFERROR(__xludf.DUMMYFUNCTION("""COMPUTED_VALUE"""),"600")</f>
        <v>600</v>
      </c>
      <c r="U267" s="15" t="str">
        <f>IFERROR(__xludf.DUMMYFUNCTION("""COMPUTED_VALUE"""),"266803498 1305027 8176818 marli birk trifil mt1 600")</f>
        <v>266803498 1305027 8176818 marli birk trifil mt1 600</v>
      </c>
      <c r="V267" s="15" t="b">
        <f>IFERROR(__xludf.DUMMYFUNCTION("""COMPUTED_VALUE"""),FALSE)</f>
        <v>0</v>
      </c>
    </row>
    <row r="268">
      <c r="A268" s="19">
        <f>IFERROR(__xludf.DUMMYFUNCTION("""COMPUTED_VALUE"""),46304.0)</f>
        <v>46304</v>
      </c>
      <c r="B268" s="19">
        <f>IFERROR(__xludf.DUMMYFUNCTION("""COMPUTED_VALUE"""),46331.0)</f>
        <v>46331</v>
      </c>
      <c r="C268" s="15">
        <f>IFERROR(__xludf.DUMMYFUNCTION("""COMPUTED_VALUE"""),17.0)</f>
        <v>17</v>
      </c>
      <c r="D268" s="15" t="str">
        <f>IFERROR(__xludf.DUMMYFUNCTION("""COMPUTED_VALUE"""),"TUR")</f>
        <v>TUR</v>
      </c>
      <c r="E268" s="15" t="str">
        <f>IFERROR(__xludf.DUMMYFUNCTION("""COMPUTED_VALUE"""),"ADRIANA G ALCANTRA -ME - 31901")</f>
        <v>ADRIANA G ALCANTRA -ME - 31901</v>
      </c>
      <c r="F268" s="15" t="str">
        <f>IFERROR(__xludf.DUMMYFUNCTION("""COMPUTED_VALUE"""),"TRIFIL")</f>
        <v>TRIFIL</v>
      </c>
      <c r="G268" s="15" t="str">
        <f>IFERROR(__xludf.DUMMYFUNCTION("""COMPUTED_VALUE"""),"266803499")</f>
        <v>266803499</v>
      </c>
      <c r="H268" s="15" t="str">
        <f>IFERROR(__xludf.DUMMYFUNCTION("""COMPUTED_VALUE"""),"1304894")</f>
        <v>1304894</v>
      </c>
      <c r="I268" s="15" t="str">
        <f>IFERROR(__xludf.DUMMYFUNCTION("""COMPUTED_VALUE"""),"8177042")</f>
        <v>8177042</v>
      </c>
      <c r="J268" s="15" t="str">
        <f>IFERROR(__xludf.DUMMYFUNCTION("""COMPUTED_VALUE"""),"CIF")</f>
        <v>CIF</v>
      </c>
      <c r="K268" s="15" t="str">
        <f>IFERROR(__xludf.DUMMYFUNCTION("""COMPUTED_VALUE"""),"FSA-1")</f>
        <v>FSA-1</v>
      </c>
      <c r="L268" s="15" t="str">
        <f>IFERROR(__xludf.DUMMYFUNCTION("""COMPUTED_VALUE"""),"AUTORIZADO")</f>
        <v>AUTORIZADO</v>
      </c>
      <c r="M268" s="15" t="str">
        <f>IFERROR(__xludf.DUMMYFUNCTION("""COMPUTED_VALUE"""),"NA ORIGEM")</f>
        <v>NA ORIGEM</v>
      </c>
      <c r="N268" s="15" t="str">
        <f>IFERROR(__xludf.DUMMYFUNCTION("""COMPUTED_VALUE"""),"Antes Prazo")</f>
        <v>Antes Prazo</v>
      </c>
      <c r="O268" s="15" t="str">
        <f>IFERROR(__xludf.DUMMYFUNCTION("""COMPUTED_VALUE"""),"B2B")</f>
        <v>B2B</v>
      </c>
      <c r="P268" s="16">
        <f>IFERROR(__xludf.DUMMYFUNCTION("""COMPUTED_VALUE"""),71.87)</f>
        <v>71.87</v>
      </c>
      <c r="Q268" s="15">
        <f>IFERROR(__xludf.DUMMYFUNCTION("""COMPUTED_VALUE"""),1.0)</f>
        <v>1</v>
      </c>
      <c r="R268" s="15" t="str">
        <f>IFERROR(__xludf.DUMMYFUNCTION("""COMPUTED_VALUE"""),"RODO")</f>
        <v>RODO</v>
      </c>
      <c r="S268" s="15" t="str">
        <f>IFERROR(__xludf.DUMMYFUNCTION("""COMPUTED_VALUE"""),"ITN")</f>
        <v>ITN</v>
      </c>
      <c r="T268" s="15" t="str">
        <f>IFERROR(__xludf.DUMMYFUNCTION("""COMPUTED_VALUE"""),"600")</f>
        <v>600</v>
      </c>
      <c r="U268" s="15" t="str">
        <f>IFERROR(__xludf.DUMMYFUNCTION("""COMPUTED_VALUE"""),"266803499 1304894 8177042 adriana g alcantra -me - 31901 trifil tur 600")</f>
        <v>266803499 1304894 8177042 adriana g alcantra -me - 31901 trifil tur 600</v>
      </c>
      <c r="V268" s="15" t="b">
        <f>IFERROR(__xludf.DUMMYFUNCTION("""COMPUTED_VALUE"""),FALSE)</f>
        <v>0</v>
      </c>
    </row>
    <row r="269">
      <c r="A269" s="19">
        <f>IFERROR(__xludf.DUMMYFUNCTION("""COMPUTED_VALUE"""),46304.0)</f>
        <v>46304</v>
      </c>
      <c r="B269" s="19">
        <f>IFERROR(__xludf.DUMMYFUNCTION("""COMPUTED_VALUE"""),46330.0)</f>
        <v>46330</v>
      </c>
      <c r="C269" s="15">
        <f>IFERROR(__xludf.DUMMYFUNCTION("""COMPUTED_VALUE"""),16.0)</f>
        <v>16</v>
      </c>
      <c r="D269" s="15" t="str">
        <f>IFERROR(__xludf.DUMMYFUNCTION("""COMPUTED_VALUE"""),"NBL")</f>
        <v>NBL</v>
      </c>
      <c r="E269" s="15" t="str">
        <f>IFERROR(__xludf.DUMMYFUNCTION("""COMPUTED_VALUE"""),"W J D SLVEIRA LTDA")</f>
        <v>W J D SLVEIRA LTDA</v>
      </c>
      <c r="F269" s="15" t="str">
        <f>IFERROR(__xludf.DUMMYFUNCTION("""COMPUTED_VALUE"""),"TRIFIL")</f>
        <v>TRIFIL</v>
      </c>
      <c r="G269" s="15" t="str">
        <f>IFERROR(__xludf.DUMMYFUNCTION("""COMPUTED_VALUE"""),"266803500")</f>
        <v>266803500</v>
      </c>
      <c r="H269" s="15" t="str">
        <f>IFERROR(__xludf.DUMMYFUNCTION("""COMPUTED_VALUE"""),"1305043")</f>
        <v>1305043</v>
      </c>
      <c r="I269" s="15" t="str">
        <f>IFERROR(__xludf.DUMMYFUNCTION("""COMPUTED_VALUE"""),"8177062")</f>
        <v>8177062</v>
      </c>
      <c r="J269" s="15" t="str">
        <f>IFERROR(__xludf.DUMMYFUNCTION("""COMPUTED_VALUE"""),"CIF")</f>
        <v>CIF</v>
      </c>
      <c r="K269" s="15" t="str">
        <f>IFERROR(__xludf.DUMMYFUNCTION("""COMPUTED_VALUE"""),"FSA-1")</f>
        <v>FSA-1</v>
      </c>
      <c r="L269" s="15" t="str">
        <f>IFERROR(__xludf.DUMMYFUNCTION("""COMPUTED_VALUE"""),"AUTORIZADO")</f>
        <v>AUTORIZADO</v>
      </c>
      <c r="M269" s="15" t="str">
        <f>IFERROR(__xludf.DUMMYFUNCTION("""COMPUTED_VALUE"""),"NA ORIGEM")</f>
        <v>NA ORIGEM</v>
      </c>
      <c r="N269" s="15" t="str">
        <f>IFERROR(__xludf.DUMMYFUNCTION("""COMPUTED_VALUE"""),"Antes Prazo")</f>
        <v>Antes Prazo</v>
      </c>
      <c r="O269" s="15" t="str">
        <f>IFERROR(__xludf.DUMMYFUNCTION("""COMPUTED_VALUE"""),"B2B")</f>
        <v>B2B</v>
      </c>
      <c r="P269" s="16">
        <f>IFERROR(__xludf.DUMMYFUNCTION("""COMPUTED_VALUE"""),71.87)</f>
        <v>71.87</v>
      </c>
      <c r="Q269" s="15">
        <f>IFERROR(__xludf.DUMMYFUNCTION("""COMPUTED_VALUE"""),1.0)</f>
        <v>1</v>
      </c>
      <c r="R269" s="15" t="str">
        <f>IFERROR(__xludf.DUMMYFUNCTION("""COMPUTED_VALUE"""),"RODO")</f>
        <v>RODO</v>
      </c>
      <c r="S269" s="15" t="str">
        <f>IFERROR(__xludf.DUMMYFUNCTION("""COMPUTED_VALUE"""),"ITN")</f>
        <v>ITN</v>
      </c>
      <c r="T269" s="15" t="str">
        <f>IFERROR(__xludf.DUMMYFUNCTION("""COMPUTED_VALUE"""),"200")</f>
        <v>200</v>
      </c>
      <c r="U269" s="15" t="str">
        <f>IFERROR(__xludf.DUMMYFUNCTION("""COMPUTED_VALUE"""),"266803500 1305043 8177062 w j d slveira ltda trifil nbl 200")</f>
        <v>266803500 1305043 8177062 w j d slveira ltda trifil nbl 200</v>
      </c>
      <c r="V269" s="15" t="b">
        <f>IFERROR(__xludf.DUMMYFUNCTION("""COMPUTED_VALUE"""),FALSE)</f>
        <v>0</v>
      </c>
    </row>
    <row r="270">
      <c r="A270" s="19">
        <f>IFERROR(__xludf.DUMMYFUNCTION("""COMPUTED_VALUE"""),46304.0)</f>
        <v>46304</v>
      </c>
      <c r="B270" s="19">
        <f>IFERROR(__xludf.DUMMYFUNCTION("""COMPUTED_VALUE"""),46331.0)</f>
        <v>46331</v>
      </c>
      <c r="C270" s="15">
        <f>IFERROR(__xludf.DUMMYFUNCTION("""COMPUTED_VALUE"""),17.0)</f>
        <v>17</v>
      </c>
      <c r="D270" s="15" t="str">
        <f>IFERROR(__xludf.DUMMYFUNCTION("""COMPUTED_VALUE"""),"NBL")</f>
        <v>NBL</v>
      </c>
      <c r="E270" s="15" t="str">
        <f>IFERROR(__xludf.DUMMYFUNCTION("""COMPUTED_VALUE"""),"TEREZA RODRIGUES OLIVEIRA")</f>
        <v>TEREZA RODRIGUES OLIVEIRA</v>
      </c>
      <c r="F270" s="15" t="str">
        <f>IFERROR(__xludf.DUMMYFUNCTION("""COMPUTED_VALUE"""),"TRIFIL")</f>
        <v>TRIFIL</v>
      </c>
      <c r="G270" s="15" t="str">
        <f>IFERROR(__xludf.DUMMYFUNCTION("""COMPUTED_VALUE"""),"266803501")</f>
        <v>266803501</v>
      </c>
      <c r="H270" s="15" t="str">
        <f>IFERROR(__xludf.DUMMYFUNCTION("""COMPUTED_VALUE"""),"1304774")</f>
        <v>1304774</v>
      </c>
      <c r="I270" s="15" t="str">
        <f>IFERROR(__xludf.DUMMYFUNCTION("""COMPUTED_VALUE"""),"8177043")</f>
        <v>8177043</v>
      </c>
      <c r="J270" s="15" t="str">
        <f>IFERROR(__xludf.DUMMYFUNCTION("""COMPUTED_VALUE"""),"CIF")</f>
        <v>CIF</v>
      </c>
      <c r="K270" s="15" t="str">
        <f>IFERROR(__xludf.DUMMYFUNCTION("""COMPUTED_VALUE"""),"FSA-1")</f>
        <v>FSA-1</v>
      </c>
      <c r="L270" s="15" t="str">
        <f>IFERROR(__xludf.DUMMYFUNCTION("""COMPUTED_VALUE"""),"AUTORIZADO")</f>
        <v>AUTORIZADO</v>
      </c>
      <c r="M270" s="15" t="str">
        <f>IFERROR(__xludf.DUMMYFUNCTION("""COMPUTED_VALUE"""),"NA ORIGEM")</f>
        <v>NA ORIGEM</v>
      </c>
      <c r="N270" s="15" t="str">
        <f>IFERROR(__xludf.DUMMYFUNCTION("""COMPUTED_VALUE"""),"Antes Prazo")</f>
        <v>Antes Prazo</v>
      </c>
      <c r="O270" s="15" t="str">
        <f>IFERROR(__xludf.DUMMYFUNCTION("""COMPUTED_VALUE"""),"B2B")</f>
        <v>B2B</v>
      </c>
      <c r="P270" s="16">
        <f>IFERROR(__xludf.DUMMYFUNCTION("""COMPUTED_VALUE"""),71.87)</f>
        <v>71.87</v>
      </c>
      <c r="Q270" s="15">
        <f>IFERROR(__xludf.DUMMYFUNCTION("""COMPUTED_VALUE"""),1.0)</f>
        <v>1</v>
      </c>
      <c r="R270" s="15" t="str">
        <f>IFERROR(__xludf.DUMMYFUNCTION("""COMPUTED_VALUE"""),"RODO")</f>
        <v>RODO</v>
      </c>
      <c r="S270" s="15" t="str">
        <f>IFERROR(__xludf.DUMMYFUNCTION("""COMPUTED_VALUE"""),"ITN")</f>
        <v>ITN</v>
      </c>
      <c r="T270" s="15" t="str">
        <f>IFERROR(__xludf.DUMMYFUNCTION("""COMPUTED_VALUE"""),"100")</f>
        <v>100</v>
      </c>
      <c r="U270" s="15" t="str">
        <f>IFERROR(__xludf.DUMMYFUNCTION("""COMPUTED_VALUE"""),"266803501 1304774 8177043 tereza rodrigues oliveira trifil nbl 100")</f>
        <v>266803501 1304774 8177043 tereza rodrigues oliveira trifil nbl 100</v>
      </c>
      <c r="V270" s="15" t="b">
        <f>IFERROR(__xludf.DUMMYFUNCTION("""COMPUTED_VALUE"""),FALSE)</f>
        <v>0</v>
      </c>
    </row>
    <row r="271">
      <c r="A271" s="19">
        <f>IFERROR(__xludf.DUMMYFUNCTION("""COMPUTED_VALUE"""),46304.0)</f>
        <v>46304</v>
      </c>
      <c r="B271" s="19">
        <f>IFERROR(__xludf.DUMMYFUNCTION("""COMPUTED_VALUE"""),46324.0)</f>
        <v>46324</v>
      </c>
      <c r="C271" s="15">
        <f>IFERROR(__xludf.DUMMYFUNCTION("""COMPUTED_VALUE"""),13.0)</f>
        <v>13</v>
      </c>
      <c r="D271" s="15" t="str">
        <f>IFERROR(__xludf.DUMMYFUNCTION("""COMPUTED_VALUE"""),"BEL")</f>
        <v>BEL</v>
      </c>
      <c r="E271" s="15" t="str">
        <f>IFERROR(__xludf.DUMMYFUNCTION("""COMPUTED_VALUE"""),"ASCENIO GUSTAVO PINTO DA SILVEIRA(000102")</f>
        <v>ASCENIO GUSTAVO PINTO DA SILVEIRA(000102</v>
      </c>
      <c r="F271" s="15" t="str">
        <f>IFERROR(__xludf.DUMMYFUNCTION("""COMPUTED_VALUE"""),"TRIFIL")</f>
        <v>TRIFIL</v>
      </c>
      <c r="G271" s="15" t="str">
        <f>IFERROR(__xludf.DUMMYFUNCTION("""COMPUTED_VALUE"""),"266803502")</f>
        <v>266803502</v>
      </c>
      <c r="H271" s="15" t="str">
        <f>IFERROR(__xludf.DUMMYFUNCTION("""COMPUTED_VALUE"""),"1305794")</f>
        <v>1305794</v>
      </c>
      <c r="I271" s="15" t="str">
        <f>IFERROR(__xludf.DUMMYFUNCTION("""COMPUTED_VALUE"""),"8176790")</f>
        <v>8176790</v>
      </c>
      <c r="J271" s="15" t="str">
        <f>IFERROR(__xludf.DUMMYFUNCTION("""COMPUTED_VALUE"""),"CIF")</f>
        <v>CIF</v>
      </c>
      <c r="K271" s="15" t="str">
        <f>IFERROR(__xludf.DUMMYFUNCTION("""COMPUTED_VALUE"""),"FSA-1")</f>
        <v>FSA-1</v>
      </c>
      <c r="L271" s="15" t="str">
        <f>IFERROR(__xludf.DUMMYFUNCTION("""COMPUTED_VALUE"""),"AUTORIZADO")</f>
        <v>AUTORIZADO</v>
      </c>
      <c r="M271" s="15" t="str">
        <f>IFERROR(__xludf.DUMMYFUNCTION("""COMPUTED_VALUE"""),"NA ORIGEM")</f>
        <v>NA ORIGEM</v>
      </c>
      <c r="N271" s="15" t="str">
        <f>IFERROR(__xludf.DUMMYFUNCTION("""COMPUTED_VALUE"""),"Antes Prazo")</f>
        <v>Antes Prazo</v>
      </c>
      <c r="O271" s="15" t="str">
        <f>IFERROR(__xludf.DUMMYFUNCTION("""COMPUTED_VALUE"""),"B2B")</f>
        <v>B2B</v>
      </c>
      <c r="P271" s="16">
        <f>IFERROR(__xludf.DUMMYFUNCTION("""COMPUTED_VALUE"""),71.87)</f>
        <v>71.87</v>
      </c>
      <c r="Q271" s="15">
        <f>IFERROR(__xludf.DUMMYFUNCTION("""COMPUTED_VALUE"""),2.0)</f>
        <v>2</v>
      </c>
      <c r="R271" s="15" t="str">
        <f>IFERROR(__xludf.DUMMYFUNCTION("""COMPUTED_VALUE"""),"RODO")</f>
        <v>RODO</v>
      </c>
      <c r="S271" s="15" t="str">
        <f>IFERROR(__xludf.DUMMYFUNCTION("""COMPUTED_VALUE"""),"ITN")</f>
        <v>ITN</v>
      </c>
      <c r="T271" s="15" t="str">
        <f>IFERROR(__xludf.DUMMYFUNCTION("""COMPUTED_VALUE"""),"303")</f>
        <v>303</v>
      </c>
      <c r="U271" s="15" t="str">
        <f>IFERROR(__xludf.DUMMYFUNCTION("""COMPUTED_VALUE"""),"266803502 1305794 8176790 ascenio gustavo pinto da silveira(000102 trifil bel 303")</f>
        <v>266803502 1305794 8176790 ascenio gustavo pinto da silveira(000102 trifil bel 303</v>
      </c>
      <c r="V271" s="15" t="b">
        <f>IFERROR(__xludf.DUMMYFUNCTION("""COMPUTED_VALUE"""),FALSE)</f>
        <v>0</v>
      </c>
    </row>
    <row r="272">
      <c r="A272" s="19">
        <f>IFERROR(__xludf.DUMMYFUNCTION("""COMPUTED_VALUE"""),46304.0)</f>
        <v>46304</v>
      </c>
      <c r="B272" s="19">
        <f>IFERROR(__xludf.DUMMYFUNCTION("""COMPUTED_VALUE"""),46343.0)</f>
        <v>46343</v>
      </c>
      <c r="C272" s="15">
        <f>IFERROR(__xludf.DUMMYFUNCTION("""COMPUTED_VALUE"""),25.0)</f>
        <v>25</v>
      </c>
      <c r="D272" s="15" t="str">
        <f>IFERROR(__xludf.DUMMYFUNCTION("""COMPUTED_VALUE"""),"NBL")</f>
        <v>NBL</v>
      </c>
      <c r="E272" s="15" t="str">
        <f>IFERROR(__xludf.DUMMYFUNCTION("""COMPUTED_VALUE"""),"DORA BABY E KIDS LTDA-ME(0001042323)")</f>
        <v>DORA BABY E KIDS LTDA-ME(0001042323)</v>
      </c>
      <c r="F272" s="15" t="str">
        <f>IFERROR(__xludf.DUMMYFUNCTION("""COMPUTED_VALUE"""),"TRIFIL")</f>
        <v>TRIFIL</v>
      </c>
      <c r="G272" s="15" t="str">
        <f>IFERROR(__xludf.DUMMYFUNCTION("""COMPUTED_VALUE"""),"266803503")</f>
        <v>266803503</v>
      </c>
      <c r="H272" s="15" t="str">
        <f>IFERROR(__xludf.DUMMYFUNCTION("""COMPUTED_VALUE"""),"1305081")</f>
        <v>1305081</v>
      </c>
      <c r="I272" s="15" t="str">
        <f>IFERROR(__xludf.DUMMYFUNCTION("""COMPUTED_VALUE"""),"8176819")</f>
        <v>8176819</v>
      </c>
      <c r="J272" s="15" t="str">
        <f>IFERROR(__xludf.DUMMYFUNCTION("""COMPUTED_VALUE"""),"CIF")</f>
        <v>CIF</v>
      </c>
      <c r="K272" s="15" t="str">
        <f>IFERROR(__xludf.DUMMYFUNCTION("""COMPUTED_VALUE"""),"FSA-1")</f>
        <v>FSA-1</v>
      </c>
      <c r="L272" s="15" t="str">
        <f>IFERROR(__xludf.DUMMYFUNCTION("""COMPUTED_VALUE"""),"AUTORIZADO")</f>
        <v>AUTORIZADO</v>
      </c>
      <c r="M272" s="15" t="str">
        <f>IFERROR(__xludf.DUMMYFUNCTION("""COMPUTED_VALUE"""),"NA ORIGEM")</f>
        <v>NA ORIGEM</v>
      </c>
      <c r="N272" s="15" t="str">
        <f>IFERROR(__xludf.DUMMYFUNCTION("""COMPUTED_VALUE"""),"Antes Prazo")</f>
        <v>Antes Prazo</v>
      </c>
      <c r="O272" s="15" t="str">
        <f>IFERROR(__xludf.DUMMYFUNCTION("""COMPUTED_VALUE"""),"B2B")</f>
        <v>B2B</v>
      </c>
      <c r="P272" s="16">
        <f>IFERROR(__xludf.DUMMYFUNCTION("""COMPUTED_VALUE"""),212.21)</f>
        <v>212.21</v>
      </c>
      <c r="Q272" s="15">
        <f>IFERROR(__xludf.DUMMYFUNCTION("""COMPUTED_VALUE"""),1.0)</f>
        <v>1</v>
      </c>
      <c r="R272" s="15" t="str">
        <f>IFERROR(__xludf.DUMMYFUNCTION("""COMPUTED_VALUE"""),"RODO")</f>
        <v>RODO</v>
      </c>
      <c r="S272" s="15" t="str">
        <f>IFERROR(__xludf.DUMMYFUNCTION("""COMPUTED_VALUE"""),"ITN")</f>
        <v>ITN</v>
      </c>
      <c r="T272" s="15" t="str">
        <f>IFERROR(__xludf.DUMMYFUNCTION("""COMPUTED_VALUE"""),"902")</f>
        <v>902</v>
      </c>
      <c r="U272" s="15" t="str">
        <f>IFERROR(__xludf.DUMMYFUNCTION("""COMPUTED_VALUE"""),"266803503 1305081 8176819 dora baby e kids ltda-me(0001042323) trifil nbl 902")</f>
        <v>266803503 1305081 8176819 dora baby e kids ltda-me(0001042323) trifil nbl 902</v>
      </c>
      <c r="V272" s="15" t="b">
        <f>IFERROR(__xludf.DUMMYFUNCTION("""COMPUTED_VALUE"""),FALSE)</f>
        <v>0</v>
      </c>
    </row>
    <row r="273">
      <c r="A273" s="19">
        <f>IFERROR(__xludf.DUMMYFUNCTION("""COMPUTED_VALUE"""),46304.0)</f>
        <v>46304</v>
      </c>
      <c r="B273" s="19">
        <f>IFERROR(__xludf.DUMMYFUNCTION("""COMPUTED_VALUE"""),46360.0)</f>
        <v>46360</v>
      </c>
      <c r="C273" s="15">
        <f>IFERROR(__xludf.DUMMYFUNCTION("""COMPUTED_VALUE"""),37.0)</f>
        <v>37</v>
      </c>
      <c r="D273" s="15" t="str">
        <f>IFERROR(__xludf.DUMMYFUNCTION("""COMPUTED_VALUE"""),"BVB")</f>
        <v>BVB</v>
      </c>
      <c r="E273" s="15" t="str">
        <f>IFERROR(__xludf.DUMMYFUNCTION("""COMPUTED_VALUE"""),"ROSIVALDO A. DE AGUIAR")</f>
        <v>ROSIVALDO A. DE AGUIAR</v>
      </c>
      <c r="F273" s="15" t="str">
        <f>IFERROR(__xludf.DUMMYFUNCTION("""COMPUTED_VALUE"""),"TRIFIL")</f>
        <v>TRIFIL</v>
      </c>
      <c r="G273" s="15" t="str">
        <f>IFERROR(__xludf.DUMMYFUNCTION("""COMPUTED_VALUE"""),"266803504")</f>
        <v>266803504</v>
      </c>
      <c r="H273" s="15" t="str">
        <f>IFERROR(__xludf.DUMMYFUNCTION("""COMPUTED_VALUE"""),"1305119")</f>
        <v>1305119</v>
      </c>
      <c r="I273" s="15" t="str">
        <f>IFERROR(__xludf.DUMMYFUNCTION("""COMPUTED_VALUE"""),"8176820")</f>
        <v>8176820</v>
      </c>
      <c r="J273" s="15" t="str">
        <f>IFERROR(__xludf.DUMMYFUNCTION("""COMPUTED_VALUE"""),"CIF")</f>
        <v>CIF</v>
      </c>
      <c r="K273" s="15" t="str">
        <f>IFERROR(__xludf.DUMMYFUNCTION("""COMPUTED_VALUE"""),"SAO-1")</f>
        <v>SAO-1</v>
      </c>
      <c r="L273" s="15" t="str">
        <f>IFERROR(__xludf.DUMMYFUNCTION("""COMPUTED_VALUE"""),"AUTORIZADO")</f>
        <v>AUTORIZADO</v>
      </c>
      <c r="M273" s="15" t="str">
        <f>IFERROR(__xludf.DUMMYFUNCTION("""COMPUTED_VALUE"""),"NA ORIGEM")</f>
        <v>NA ORIGEM</v>
      </c>
      <c r="N273" s="15" t="str">
        <f>IFERROR(__xludf.DUMMYFUNCTION("""COMPUTED_VALUE"""),"Antes Prazo")</f>
        <v>Antes Prazo</v>
      </c>
      <c r="O273" s="15" t="str">
        <f>IFERROR(__xludf.DUMMYFUNCTION("""COMPUTED_VALUE"""),"B2B")</f>
        <v>B2B</v>
      </c>
      <c r="P273" s="16">
        <f>IFERROR(__xludf.DUMMYFUNCTION("""COMPUTED_VALUE"""),264.02)</f>
        <v>264.02</v>
      </c>
      <c r="Q273" s="15">
        <f>IFERROR(__xludf.DUMMYFUNCTION("""COMPUTED_VALUE"""),1.0)</f>
        <v>1</v>
      </c>
      <c r="R273" s="15" t="str">
        <f>IFERROR(__xludf.DUMMYFUNCTION("""COMPUTED_VALUE"""),"RODO")</f>
        <v>RODO</v>
      </c>
      <c r="S273" s="15" t="str">
        <f>IFERROR(__xludf.DUMMYFUNCTION("""COMPUTED_VALUE"""),"ITN")</f>
        <v>ITN</v>
      </c>
      <c r="T273" s="15" t="str">
        <f>IFERROR(__xludf.DUMMYFUNCTION("""COMPUTED_VALUE"""),"103")</f>
        <v>103</v>
      </c>
      <c r="U273" s="15" t="str">
        <f>IFERROR(__xludf.DUMMYFUNCTION("""COMPUTED_VALUE"""),"266803504 1305119 8176820 rosivaldo a. de aguiar trifil bvb 103")</f>
        <v>266803504 1305119 8176820 rosivaldo a. de aguiar trifil bvb 103</v>
      </c>
      <c r="V273" s="15" t="b">
        <f>IFERROR(__xludf.DUMMYFUNCTION("""COMPUTED_VALUE"""),FALSE)</f>
        <v>0</v>
      </c>
    </row>
    <row r="274">
      <c r="A274" s="19">
        <f>IFERROR(__xludf.DUMMYFUNCTION("""COMPUTED_VALUE"""),46304.0)</f>
        <v>46304</v>
      </c>
      <c r="B274" s="19">
        <f>IFERROR(__xludf.DUMMYFUNCTION("""COMPUTED_VALUE"""),46353.0)</f>
        <v>46353</v>
      </c>
      <c r="C274" s="15">
        <f>IFERROR(__xludf.DUMMYFUNCTION("""COMPUTED_VALUE"""),32.0)</f>
        <v>32</v>
      </c>
      <c r="D274" s="15" t="str">
        <f>IFERROR(__xludf.DUMMYFUNCTION("""COMPUTED_VALUE"""),"RBR")</f>
        <v>RBR</v>
      </c>
      <c r="E274" s="15" t="str">
        <f>IFERROR(__xludf.DUMMYFUNCTION("""COMPUTED_VALUE"""),"F G V Bezerra Cia Ltda - ME")</f>
        <v>F G V Bezerra Cia Ltda - ME</v>
      </c>
      <c r="F274" s="15" t="str">
        <f>IFERROR(__xludf.DUMMYFUNCTION("""COMPUTED_VALUE"""),"TRIFIL")</f>
        <v>TRIFIL</v>
      </c>
      <c r="G274" s="15" t="str">
        <f>IFERROR(__xludf.DUMMYFUNCTION("""COMPUTED_VALUE"""),"266803505")</f>
        <v>266803505</v>
      </c>
      <c r="H274" s="15" t="str">
        <f>IFERROR(__xludf.DUMMYFUNCTION("""COMPUTED_VALUE"""),"1305844")</f>
        <v>1305844</v>
      </c>
      <c r="I274" s="15" t="str">
        <f>IFERROR(__xludf.DUMMYFUNCTION("""COMPUTED_VALUE"""),"8176766")</f>
        <v>8176766</v>
      </c>
      <c r="J274" s="15" t="str">
        <f>IFERROR(__xludf.DUMMYFUNCTION("""COMPUTED_VALUE"""),"CIF")</f>
        <v>CIF</v>
      </c>
      <c r="K274" s="15" t="str">
        <f>IFERROR(__xludf.DUMMYFUNCTION("""COMPUTED_VALUE"""),"SAO-1")</f>
        <v>SAO-1</v>
      </c>
      <c r="L274" s="15" t="str">
        <f>IFERROR(__xludf.DUMMYFUNCTION("""COMPUTED_VALUE"""),"AUTORIZADO")</f>
        <v>AUTORIZADO</v>
      </c>
      <c r="M274" s="15" t="str">
        <f>IFERROR(__xludf.DUMMYFUNCTION("""COMPUTED_VALUE"""),"NA ORIGEM")</f>
        <v>NA ORIGEM</v>
      </c>
      <c r="N274" s="15" t="str">
        <f>IFERROR(__xludf.DUMMYFUNCTION("""COMPUTED_VALUE"""),"Antes Prazo")</f>
        <v>Antes Prazo</v>
      </c>
      <c r="O274" s="15" t="str">
        <f>IFERROR(__xludf.DUMMYFUNCTION("""COMPUTED_VALUE"""),"B2B")</f>
        <v>B2B</v>
      </c>
      <c r="P274" s="16">
        <f>IFERROR(__xludf.DUMMYFUNCTION("""COMPUTED_VALUE"""),156.52)</f>
        <v>156.52</v>
      </c>
      <c r="Q274" s="15">
        <f>IFERROR(__xludf.DUMMYFUNCTION("""COMPUTED_VALUE"""),6.0)</f>
        <v>6</v>
      </c>
      <c r="R274" s="15" t="str">
        <f>IFERROR(__xludf.DUMMYFUNCTION("""COMPUTED_VALUE"""),"RODO")</f>
        <v>RODO</v>
      </c>
      <c r="S274" s="15" t="str">
        <f>IFERROR(__xludf.DUMMYFUNCTION("""COMPUTED_VALUE"""),"ITN")</f>
        <v>ITN</v>
      </c>
      <c r="T274" s="15" t="str">
        <f>IFERROR(__xludf.DUMMYFUNCTION("""COMPUTED_VALUE"""),"1")</f>
        <v>1</v>
      </c>
      <c r="U274" s="15" t="str">
        <f>IFERROR(__xludf.DUMMYFUNCTION("""COMPUTED_VALUE"""),"266803505 1305844 8176766 f g v bezerra cia ltda - me trifil rbr 1")</f>
        <v>266803505 1305844 8176766 f g v bezerra cia ltda - me trifil rbr 1</v>
      </c>
      <c r="V274" s="15" t="b">
        <f>IFERROR(__xludf.DUMMYFUNCTION("""COMPUTED_VALUE"""),FALSE)</f>
        <v>0</v>
      </c>
    </row>
    <row r="275">
      <c r="A275" s="19">
        <f>IFERROR(__xludf.DUMMYFUNCTION("""COMPUTED_VALUE"""),46304.0)</f>
        <v>46304</v>
      </c>
      <c r="B275" s="19">
        <f>IFERROR(__xludf.DUMMYFUNCTION("""COMPUTED_VALUE"""),46316.0)</f>
        <v>46316</v>
      </c>
      <c r="C275" s="15">
        <f>IFERROR(__xludf.DUMMYFUNCTION("""COMPUTED_VALUE"""),7.0)</f>
        <v>7</v>
      </c>
      <c r="D275" s="15" t="str">
        <f>IFERROR(__xludf.DUMMYFUNCTION("""COMPUTED_VALUE"""),"BSB")</f>
        <v>BSB</v>
      </c>
      <c r="E275" s="15" t="str">
        <f>IFERROR(__xludf.DUMMYFUNCTION("""COMPUTED_VALUE"""),"LUPO CONJUNTO")</f>
        <v>LUPO CONJUNTO</v>
      </c>
      <c r="F275" s="15" t="str">
        <f>IFERROR(__xludf.DUMMYFUNCTION("""COMPUTED_VALUE"""),"TRIFIL")</f>
        <v>TRIFIL</v>
      </c>
      <c r="G275" s="15" t="str">
        <f>IFERROR(__xludf.DUMMYFUNCTION("""COMPUTED_VALUE"""),"266803506")</f>
        <v>266803506</v>
      </c>
      <c r="H275" s="15" t="str">
        <f>IFERROR(__xludf.DUMMYFUNCTION("""COMPUTED_VALUE"""),"1305725")</f>
        <v>1305725</v>
      </c>
      <c r="I275" s="15" t="str">
        <f>IFERROR(__xludf.DUMMYFUNCTION("""COMPUTED_VALUE"""),"8176887")</f>
        <v>8176887</v>
      </c>
      <c r="J275" s="15" t="str">
        <f>IFERROR(__xludf.DUMMYFUNCTION("""COMPUTED_VALUE"""),"CIF")</f>
        <v>CIF</v>
      </c>
      <c r="K275" s="15" t="str">
        <f>IFERROR(__xludf.DUMMYFUNCTION("""COMPUTED_VALUE"""),"(sem célula)")</f>
        <v>(sem célula)</v>
      </c>
      <c r="L275" s="15" t="str">
        <f>IFERROR(__xludf.DUMMYFUNCTION("""COMPUTED_VALUE"""),"AUTORIZADO")</f>
        <v>AUTORIZADO</v>
      </c>
      <c r="M275" s="15" t="str">
        <f>IFERROR(__xludf.DUMMYFUNCTION("""COMPUTED_VALUE"""),"NA ORIGEM")</f>
        <v>NA ORIGEM</v>
      </c>
      <c r="N275" s="15" t="str">
        <f>IFERROR(__xludf.DUMMYFUNCTION("""COMPUTED_VALUE"""),"Antes Prazo")</f>
        <v>Antes Prazo</v>
      </c>
      <c r="O275" s="15" t="str">
        <f>IFERROR(__xludf.DUMMYFUNCTION("""COMPUTED_VALUE"""),"B2B")</f>
        <v>B2B</v>
      </c>
      <c r="P275" s="16">
        <f>IFERROR(__xludf.DUMMYFUNCTION("""COMPUTED_VALUE"""),51.54)</f>
        <v>51.54</v>
      </c>
      <c r="Q275" s="15">
        <f>IFERROR(__xludf.DUMMYFUNCTION("""COMPUTED_VALUE"""),1.0)</f>
        <v>1</v>
      </c>
      <c r="R275" s="15" t="str">
        <f>IFERROR(__xludf.DUMMYFUNCTION("""COMPUTED_VALUE"""),"RODO")</f>
        <v>RODO</v>
      </c>
      <c r="S275" s="15" t="str">
        <f>IFERROR(__xludf.DUMMYFUNCTION("""COMPUTED_VALUE"""),"ITN")</f>
        <v>ITN</v>
      </c>
      <c r="T275" s="15" t="str">
        <f>IFERROR(__xludf.DUMMYFUNCTION("""COMPUTED_VALUE"""),"9")</f>
        <v>9</v>
      </c>
      <c r="U275" s="15" t="str">
        <f>IFERROR(__xludf.DUMMYFUNCTION("""COMPUTED_VALUE"""),"266803506 1305725 8176887 lupo conjunto trifil bsb 9")</f>
        <v>266803506 1305725 8176887 lupo conjunto trifil bsb 9</v>
      </c>
      <c r="V275" s="15" t="b">
        <f>IFERROR(__xludf.DUMMYFUNCTION("""COMPUTED_VALUE"""),FALSE)</f>
        <v>0</v>
      </c>
    </row>
    <row r="276">
      <c r="A276" s="19">
        <f>IFERROR(__xludf.DUMMYFUNCTION("""COMPUTED_VALUE"""),46304.0)</f>
        <v>46304</v>
      </c>
      <c r="B276" s="19">
        <f>IFERROR(__xludf.DUMMYFUNCTION("""COMPUTED_VALUE"""),46316.0)</f>
        <v>46316</v>
      </c>
      <c r="C276" s="15">
        <f>IFERROR(__xludf.DUMMYFUNCTION("""COMPUTED_VALUE"""),7.0)</f>
        <v>7</v>
      </c>
      <c r="D276" s="15" t="str">
        <f>IFERROR(__xludf.DUMMYFUNCTION("""COMPUTED_VALUE"""),"BSB")</f>
        <v>BSB</v>
      </c>
      <c r="E276" s="15" t="str">
        <f>IFERROR(__xludf.DUMMYFUNCTION("""COMPUTED_VALUE"""),"SCALA")</f>
        <v>SCALA</v>
      </c>
      <c r="F276" s="15" t="str">
        <f>IFERROR(__xludf.DUMMYFUNCTION("""COMPUTED_VALUE"""),"TRIFIL")</f>
        <v>TRIFIL</v>
      </c>
      <c r="G276" s="15" t="str">
        <f>IFERROR(__xludf.DUMMYFUNCTION("""COMPUTED_VALUE"""),"266803507")</f>
        <v>266803507</v>
      </c>
      <c r="H276" s="15" t="str">
        <f>IFERROR(__xludf.DUMMYFUNCTION("""COMPUTED_VALUE"""),"1305922")</f>
        <v>1305922</v>
      </c>
      <c r="I276" s="15" t="str">
        <f>IFERROR(__xludf.DUMMYFUNCTION("""COMPUTED_VALUE"""),"8176991")</f>
        <v>8176991</v>
      </c>
      <c r="J276" s="15" t="str">
        <f>IFERROR(__xludf.DUMMYFUNCTION("""COMPUTED_VALUE"""),"CIF")</f>
        <v>CIF</v>
      </c>
      <c r="K276" s="15" t="str">
        <f>IFERROR(__xludf.DUMMYFUNCTION("""COMPUTED_VALUE"""),"SAO-1")</f>
        <v>SAO-1</v>
      </c>
      <c r="L276" s="15" t="str">
        <f>IFERROR(__xludf.DUMMYFUNCTION("""COMPUTED_VALUE"""),"AUTORIZADO")</f>
        <v>AUTORIZADO</v>
      </c>
      <c r="M276" s="15" t="str">
        <f>IFERROR(__xludf.DUMMYFUNCTION("""COMPUTED_VALUE"""),"NA ORIGEM")</f>
        <v>NA ORIGEM</v>
      </c>
      <c r="N276" s="15" t="str">
        <f>IFERROR(__xludf.DUMMYFUNCTION("""COMPUTED_VALUE"""),"Antes Prazo")</f>
        <v>Antes Prazo</v>
      </c>
      <c r="O276" s="15" t="str">
        <f>IFERROR(__xludf.DUMMYFUNCTION("""COMPUTED_VALUE"""),"B2B")</f>
        <v>B2B</v>
      </c>
      <c r="P276" s="16">
        <f>IFERROR(__xludf.DUMMYFUNCTION("""COMPUTED_VALUE"""),51.54)</f>
        <v>51.54</v>
      </c>
      <c r="Q276" s="15">
        <f>IFERROR(__xludf.DUMMYFUNCTION("""COMPUTED_VALUE"""),3.0)</f>
        <v>3</v>
      </c>
      <c r="R276" s="15" t="str">
        <f>IFERROR(__xludf.DUMMYFUNCTION("""COMPUTED_VALUE"""),"RODO")</f>
        <v>RODO</v>
      </c>
      <c r="S276" s="15" t="str">
        <f>IFERROR(__xludf.DUMMYFUNCTION("""COMPUTED_VALUE"""),"ITN")</f>
        <v>ITN</v>
      </c>
      <c r="T276" s="15" t="str">
        <f>IFERROR(__xludf.DUMMYFUNCTION("""COMPUTED_VALUE"""),"2")</f>
        <v>2</v>
      </c>
      <c r="U276" s="15" t="str">
        <f>IFERROR(__xludf.DUMMYFUNCTION("""COMPUTED_VALUE"""),"266803507 1305922 8176991 scala trifil bsb 2")</f>
        <v>266803507 1305922 8176991 scala trifil bsb 2</v>
      </c>
      <c r="V276" s="15" t="b">
        <f>IFERROR(__xludf.DUMMYFUNCTION("""COMPUTED_VALUE"""),FALSE)</f>
        <v>0</v>
      </c>
    </row>
    <row r="277">
      <c r="A277" s="19">
        <f>IFERROR(__xludf.DUMMYFUNCTION("""COMPUTED_VALUE"""),46304.0)</f>
        <v>46304</v>
      </c>
      <c r="B277" s="19">
        <f>IFERROR(__xludf.DUMMYFUNCTION("""COMPUTED_VALUE"""),46316.0)</f>
        <v>46316</v>
      </c>
      <c r="C277" s="15">
        <f>IFERROR(__xludf.DUMMYFUNCTION("""COMPUTED_VALUE"""),7.0)</f>
        <v>7</v>
      </c>
      <c r="D277" s="15" t="str">
        <f>IFERROR(__xludf.DUMMYFUNCTION("""COMPUTED_VALUE"""),"BSB")</f>
        <v>BSB</v>
      </c>
      <c r="E277" s="15" t="str">
        <f>IFERROR(__xludf.DUMMYFUNCTION("""COMPUTED_VALUE"""),"MARIA MANIA E CIA")</f>
        <v>MARIA MANIA E CIA</v>
      </c>
      <c r="F277" s="15" t="str">
        <f>IFERROR(__xludf.DUMMYFUNCTION("""COMPUTED_VALUE"""),"TRIFIL")</f>
        <v>TRIFIL</v>
      </c>
      <c r="G277" s="15" t="str">
        <f>IFERROR(__xludf.DUMMYFUNCTION("""COMPUTED_VALUE"""),"266803508")</f>
        <v>266803508</v>
      </c>
      <c r="H277" s="15" t="str">
        <f>IFERROR(__xludf.DUMMYFUNCTION("""COMPUTED_VALUE"""),"1305165")</f>
        <v>1305165</v>
      </c>
      <c r="I277" s="15" t="str">
        <f>IFERROR(__xludf.DUMMYFUNCTION("""COMPUTED_VALUE"""),"8176821")</f>
        <v>8176821</v>
      </c>
      <c r="J277" s="15" t="str">
        <f>IFERROR(__xludf.DUMMYFUNCTION("""COMPUTED_VALUE"""),"CIF")</f>
        <v>CIF</v>
      </c>
      <c r="K277" s="15" t="str">
        <f>IFERROR(__xludf.DUMMYFUNCTION("""COMPUTED_VALUE"""),"SAO-1")</f>
        <v>SAO-1</v>
      </c>
      <c r="L277" s="15" t="str">
        <f>IFERROR(__xludf.DUMMYFUNCTION("""COMPUTED_VALUE"""),"AUTORIZADO")</f>
        <v>AUTORIZADO</v>
      </c>
      <c r="M277" s="15" t="str">
        <f>IFERROR(__xludf.DUMMYFUNCTION("""COMPUTED_VALUE"""),"NA ORIGEM")</f>
        <v>NA ORIGEM</v>
      </c>
      <c r="N277" s="15" t="str">
        <f>IFERROR(__xludf.DUMMYFUNCTION("""COMPUTED_VALUE"""),"Antes Prazo")</f>
        <v>Antes Prazo</v>
      </c>
      <c r="O277" s="15" t="str">
        <f>IFERROR(__xludf.DUMMYFUNCTION("""COMPUTED_VALUE"""),"B2B")</f>
        <v>B2B</v>
      </c>
      <c r="P277" s="16">
        <f>IFERROR(__xludf.DUMMYFUNCTION("""COMPUTED_VALUE"""),51.54)</f>
        <v>51.54</v>
      </c>
      <c r="Q277" s="15">
        <f>IFERROR(__xludf.DUMMYFUNCTION("""COMPUTED_VALUE"""),1.0)</f>
        <v>1</v>
      </c>
      <c r="R277" s="15" t="str">
        <f>IFERROR(__xludf.DUMMYFUNCTION("""COMPUTED_VALUE"""),"RODO")</f>
        <v>RODO</v>
      </c>
      <c r="S277" s="15" t="str">
        <f>IFERROR(__xludf.DUMMYFUNCTION("""COMPUTED_VALUE"""),"ITN")</f>
        <v>ITN</v>
      </c>
      <c r="T277" s="15" t="str">
        <f>IFERROR(__xludf.DUMMYFUNCTION("""COMPUTED_VALUE"""),"4")</f>
        <v>4</v>
      </c>
      <c r="U277" s="15" t="str">
        <f>IFERROR(__xludf.DUMMYFUNCTION("""COMPUTED_VALUE"""),"266803508 1305165 8176821 maria mania e cia trifil bsb 4")</f>
        <v>266803508 1305165 8176821 maria mania e cia trifil bsb 4</v>
      </c>
      <c r="V277" s="15" t="b">
        <f>IFERROR(__xludf.DUMMYFUNCTION("""COMPUTED_VALUE"""),FALSE)</f>
        <v>0</v>
      </c>
    </row>
    <row r="278">
      <c r="A278" s="19">
        <f>IFERROR(__xludf.DUMMYFUNCTION("""COMPUTED_VALUE"""),46304.0)</f>
        <v>46304</v>
      </c>
      <c r="B278" s="19">
        <f>IFERROR(__xludf.DUMMYFUNCTION("""COMPUTED_VALUE"""),46316.0)</f>
        <v>46316</v>
      </c>
      <c r="C278" s="15">
        <f>IFERROR(__xludf.DUMMYFUNCTION("""COMPUTED_VALUE"""),7.0)</f>
        <v>7</v>
      </c>
      <c r="D278" s="15" t="str">
        <f>IFERROR(__xludf.DUMMYFUNCTION("""COMPUTED_VALUE"""),"BSB")</f>
        <v>BSB</v>
      </c>
      <c r="E278" s="15" t="str">
        <f>IFERROR(__xludf.DUMMYFUNCTION("""COMPUTED_VALUE"""),"MARIA JOSE DE JESUS BARCELOS")</f>
        <v>MARIA JOSE DE JESUS BARCELOS</v>
      </c>
      <c r="F278" s="15" t="str">
        <f>IFERROR(__xludf.DUMMYFUNCTION("""COMPUTED_VALUE"""),"TRIFIL")</f>
        <v>TRIFIL</v>
      </c>
      <c r="G278" s="15" t="str">
        <f>IFERROR(__xludf.DUMMYFUNCTION("""COMPUTED_VALUE"""),"266803509")</f>
        <v>266803509</v>
      </c>
      <c r="H278" s="15" t="str">
        <f>IFERROR(__xludf.DUMMYFUNCTION("""COMPUTED_VALUE"""),"1305687")</f>
        <v>1305687</v>
      </c>
      <c r="I278" s="15" t="str">
        <f>IFERROR(__xludf.DUMMYFUNCTION("""COMPUTED_VALUE"""),"8176822")</f>
        <v>8176822</v>
      </c>
      <c r="J278" s="15" t="str">
        <f>IFERROR(__xludf.DUMMYFUNCTION("""COMPUTED_VALUE"""),"CIF")</f>
        <v>CIF</v>
      </c>
      <c r="K278" s="15" t="str">
        <f>IFERROR(__xludf.DUMMYFUNCTION("""COMPUTED_VALUE"""),"(sem célula)")</f>
        <v>(sem célula)</v>
      </c>
      <c r="L278" s="15" t="str">
        <f>IFERROR(__xludf.DUMMYFUNCTION("""COMPUTED_VALUE"""),"AUTORIZADO")</f>
        <v>AUTORIZADO</v>
      </c>
      <c r="M278" s="15" t="str">
        <f>IFERROR(__xludf.DUMMYFUNCTION("""COMPUTED_VALUE"""),"NA ORIGEM")</f>
        <v>NA ORIGEM</v>
      </c>
      <c r="N278" s="15" t="str">
        <f>IFERROR(__xludf.DUMMYFUNCTION("""COMPUTED_VALUE"""),"Antes Prazo")</f>
        <v>Antes Prazo</v>
      </c>
      <c r="O278" s="15" t="str">
        <f>IFERROR(__xludf.DUMMYFUNCTION("""COMPUTED_VALUE"""),"B2B")</f>
        <v>B2B</v>
      </c>
      <c r="P278" s="16">
        <f>IFERROR(__xludf.DUMMYFUNCTION("""COMPUTED_VALUE"""),51.54)</f>
        <v>51.54</v>
      </c>
      <c r="Q278" s="15">
        <f>IFERROR(__xludf.DUMMYFUNCTION("""COMPUTED_VALUE"""),1.0)</f>
        <v>1</v>
      </c>
      <c r="R278" s="15" t="str">
        <f>IFERROR(__xludf.DUMMYFUNCTION("""COMPUTED_VALUE"""),"RODO")</f>
        <v>RODO</v>
      </c>
      <c r="S278" s="15" t="str">
        <f>IFERROR(__xludf.DUMMYFUNCTION("""COMPUTED_VALUE"""),"ITN")</f>
        <v>ITN</v>
      </c>
      <c r="T278" s="15" t="str">
        <f>IFERROR(__xludf.DUMMYFUNCTION("""COMPUTED_VALUE"""),"3")</f>
        <v>3</v>
      </c>
      <c r="U278" s="15" t="str">
        <f>IFERROR(__xludf.DUMMYFUNCTION("""COMPUTED_VALUE"""),"266803509 1305687 8176822 maria jose de jesus barcelos trifil bsb 3")</f>
        <v>266803509 1305687 8176822 maria jose de jesus barcelos trifil bsb 3</v>
      </c>
      <c r="V278" s="15" t="b">
        <f>IFERROR(__xludf.DUMMYFUNCTION("""COMPUTED_VALUE"""),FALSE)</f>
        <v>0</v>
      </c>
    </row>
    <row r="279">
      <c r="A279" s="19">
        <f>IFERROR(__xludf.DUMMYFUNCTION("""COMPUTED_VALUE"""),46304.0)</f>
        <v>46304</v>
      </c>
      <c r="B279" s="19">
        <f>IFERROR(__xludf.DUMMYFUNCTION("""COMPUTED_VALUE"""),46316.0)</f>
        <v>46316</v>
      </c>
      <c r="C279" s="15">
        <f>IFERROR(__xludf.DUMMYFUNCTION("""COMPUTED_VALUE"""),7.0)</f>
        <v>7</v>
      </c>
      <c r="D279" s="15" t="str">
        <f>IFERROR(__xludf.DUMMYFUNCTION("""COMPUTED_VALUE"""),"BSB")</f>
        <v>BSB</v>
      </c>
      <c r="E279" s="15" t="str">
        <f>IFERROR(__xludf.DUMMYFUNCTION("""COMPUTED_VALUE"""),"LUPO - AGUAS CLARAS COPAIBA")</f>
        <v>LUPO - AGUAS CLARAS COPAIBA</v>
      </c>
      <c r="F279" s="15" t="str">
        <f>IFERROR(__xludf.DUMMYFUNCTION("""COMPUTED_VALUE"""),"TRIFIL")</f>
        <v>TRIFIL</v>
      </c>
      <c r="G279" s="15" t="str">
        <f>IFERROR(__xludf.DUMMYFUNCTION("""COMPUTED_VALUE"""),"266803510")</f>
        <v>266803510</v>
      </c>
      <c r="H279" s="15" t="str">
        <f>IFERROR(__xludf.DUMMYFUNCTION("""COMPUTED_VALUE"""),"1305555")</f>
        <v>1305555</v>
      </c>
      <c r="I279" s="15" t="str">
        <f>IFERROR(__xludf.DUMMYFUNCTION("""COMPUTED_VALUE"""),"8176992")</f>
        <v>8176992</v>
      </c>
      <c r="J279" s="15" t="str">
        <f>IFERROR(__xludf.DUMMYFUNCTION("""COMPUTED_VALUE"""),"CIF")</f>
        <v>CIF</v>
      </c>
      <c r="K279" s="15" t="str">
        <f>IFERROR(__xludf.DUMMYFUNCTION("""COMPUTED_VALUE"""),"SAO-1")</f>
        <v>SAO-1</v>
      </c>
      <c r="L279" s="15" t="str">
        <f>IFERROR(__xludf.DUMMYFUNCTION("""COMPUTED_VALUE"""),"AUTORIZADO")</f>
        <v>AUTORIZADO</v>
      </c>
      <c r="M279" s="15" t="str">
        <f>IFERROR(__xludf.DUMMYFUNCTION("""COMPUTED_VALUE"""),"NA ORIGEM")</f>
        <v>NA ORIGEM</v>
      </c>
      <c r="N279" s="15" t="str">
        <f>IFERROR(__xludf.DUMMYFUNCTION("""COMPUTED_VALUE"""),"Antes Prazo")</f>
        <v>Antes Prazo</v>
      </c>
      <c r="O279" s="15" t="str">
        <f>IFERROR(__xludf.DUMMYFUNCTION("""COMPUTED_VALUE"""),"B2B")</f>
        <v>B2B</v>
      </c>
      <c r="P279" s="16">
        <f>IFERROR(__xludf.DUMMYFUNCTION("""COMPUTED_VALUE"""),51.54)</f>
        <v>51.54</v>
      </c>
      <c r="Q279" s="15">
        <f>IFERROR(__xludf.DUMMYFUNCTION("""COMPUTED_VALUE"""),1.0)</f>
        <v>1</v>
      </c>
      <c r="R279" s="15" t="str">
        <f>IFERROR(__xludf.DUMMYFUNCTION("""COMPUTED_VALUE"""),"RODO")</f>
        <v>RODO</v>
      </c>
      <c r="S279" s="15" t="str">
        <f>IFERROR(__xludf.DUMMYFUNCTION("""COMPUTED_VALUE"""),"ITN")</f>
        <v>ITN</v>
      </c>
      <c r="T279" s="15" t="str">
        <f>IFERROR(__xludf.DUMMYFUNCTION("""COMPUTED_VALUE"""),"20")</f>
        <v>20</v>
      </c>
      <c r="U279" s="15" t="str">
        <f>IFERROR(__xludf.DUMMYFUNCTION("""COMPUTED_VALUE"""),"266803510 1305555 8176992 lupo - aguas claras copaiba trifil bsb 20")</f>
        <v>266803510 1305555 8176992 lupo - aguas claras copaiba trifil bsb 20</v>
      </c>
      <c r="V279" s="15" t="b">
        <f>IFERROR(__xludf.DUMMYFUNCTION("""COMPUTED_VALUE"""),FALSE)</f>
        <v>0</v>
      </c>
    </row>
    <row r="280">
      <c r="A280" s="19">
        <f>IFERROR(__xludf.DUMMYFUNCTION("""COMPUTED_VALUE"""),46304.0)</f>
        <v>46304</v>
      </c>
      <c r="B280" s="19">
        <f>IFERROR(__xludf.DUMMYFUNCTION("""COMPUTED_VALUE"""),46316.0)</f>
        <v>46316</v>
      </c>
      <c r="C280" s="15">
        <f>IFERROR(__xludf.DUMMYFUNCTION("""COMPUTED_VALUE"""),7.0)</f>
        <v>7</v>
      </c>
      <c r="D280" s="15" t="str">
        <f>IFERROR(__xludf.DUMMYFUNCTION("""COMPUTED_VALUE"""),"BSB")</f>
        <v>BSB</v>
      </c>
      <c r="E280" s="15" t="str">
        <f>IFERROR(__xludf.DUMMYFUNCTION("""COMPUTED_VALUE"""),"LUPO JK")</f>
        <v>LUPO JK</v>
      </c>
      <c r="F280" s="15" t="str">
        <f>IFERROR(__xludf.DUMMYFUNCTION("""COMPUTED_VALUE"""),"TRIFIL")</f>
        <v>TRIFIL</v>
      </c>
      <c r="G280" s="15" t="str">
        <f>IFERROR(__xludf.DUMMYFUNCTION("""COMPUTED_VALUE"""),"266803511")</f>
        <v>266803511</v>
      </c>
      <c r="H280" s="15" t="str">
        <f>IFERROR(__xludf.DUMMYFUNCTION("""COMPUTED_VALUE"""),"1305477")</f>
        <v>1305477</v>
      </c>
      <c r="I280" s="15" t="str">
        <f>IFERROR(__xludf.DUMMYFUNCTION("""COMPUTED_VALUE"""),"8176888")</f>
        <v>8176888</v>
      </c>
      <c r="J280" s="15" t="str">
        <f>IFERROR(__xludf.DUMMYFUNCTION("""COMPUTED_VALUE"""),"CIF")</f>
        <v>CIF</v>
      </c>
      <c r="K280" s="15" t="str">
        <f>IFERROR(__xludf.DUMMYFUNCTION("""COMPUTED_VALUE"""),"SAO-1")</f>
        <v>SAO-1</v>
      </c>
      <c r="L280" s="15" t="str">
        <f>IFERROR(__xludf.DUMMYFUNCTION("""COMPUTED_VALUE"""),"AUTORIZADO")</f>
        <v>AUTORIZADO</v>
      </c>
      <c r="M280" s="15" t="str">
        <f>IFERROR(__xludf.DUMMYFUNCTION("""COMPUTED_VALUE"""),"NA ORIGEM")</f>
        <v>NA ORIGEM</v>
      </c>
      <c r="N280" s="15" t="str">
        <f>IFERROR(__xludf.DUMMYFUNCTION("""COMPUTED_VALUE"""),"Antes Prazo")</f>
        <v>Antes Prazo</v>
      </c>
      <c r="O280" s="15" t="str">
        <f>IFERROR(__xludf.DUMMYFUNCTION("""COMPUTED_VALUE"""),"B2B")</f>
        <v>B2B</v>
      </c>
      <c r="P280" s="16">
        <f>IFERROR(__xludf.DUMMYFUNCTION("""COMPUTED_VALUE"""),51.54)</f>
        <v>51.54</v>
      </c>
      <c r="Q280" s="15">
        <f>IFERROR(__xludf.DUMMYFUNCTION("""COMPUTED_VALUE"""),1.0)</f>
        <v>1</v>
      </c>
      <c r="R280" s="15" t="str">
        <f>IFERROR(__xludf.DUMMYFUNCTION("""COMPUTED_VALUE"""),"RODO")</f>
        <v>RODO</v>
      </c>
      <c r="S280" s="15" t="str">
        <f>IFERROR(__xludf.DUMMYFUNCTION("""COMPUTED_VALUE"""),"ITN")</f>
        <v>ITN</v>
      </c>
      <c r="T280" s="15" t="str">
        <f>IFERROR(__xludf.DUMMYFUNCTION("""COMPUTED_VALUE"""),"21")</f>
        <v>21</v>
      </c>
      <c r="U280" s="15" t="str">
        <f>IFERROR(__xludf.DUMMYFUNCTION("""COMPUTED_VALUE"""),"266803511 1305477 8176888 lupo jk trifil bsb 21")</f>
        <v>266803511 1305477 8176888 lupo jk trifil bsb 21</v>
      </c>
      <c r="V280" s="15" t="b">
        <f>IFERROR(__xludf.DUMMYFUNCTION("""COMPUTED_VALUE"""),FALSE)</f>
        <v>0</v>
      </c>
    </row>
    <row r="281">
      <c r="A281" s="19">
        <f>IFERROR(__xludf.DUMMYFUNCTION("""COMPUTED_VALUE"""),46304.0)</f>
        <v>46304</v>
      </c>
      <c r="B281" s="19">
        <f>IFERROR(__xludf.DUMMYFUNCTION("""COMPUTED_VALUE"""),46321.0)</f>
        <v>46321</v>
      </c>
      <c r="C281" s="15">
        <f>IFERROR(__xludf.DUMMYFUNCTION("""COMPUTED_VALUE"""),10.0)</f>
        <v>10</v>
      </c>
      <c r="D281" s="15" t="str">
        <f>IFERROR(__xludf.DUMMYFUNCTION("""COMPUTED_VALUE"""),"BB2")</f>
        <v>BB2</v>
      </c>
      <c r="E281" s="15" t="str">
        <f>IFERROR(__xludf.DUMMYFUNCTION("""COMPUTED_VALUE"""),"MANIA CALCADOS LTDA")</f>
        <v>MANIA CALCADOS LTDA</v>
      </c>
      <c r="F281" s="15" t="str">
        <f>IFERROR(__xludf.DUMMYFUNCTION("""COMPUTED_VALUE"""),"TRIFIL")</f>
        <v>TRIFIL</v>
      </c>
      <c r="G281" s="15" t="str">
        <f>IFERROR(__xludf.DUMMYFUNCTION("""COMPUTED_VALUE"""),"266803512")</f>
        <v>266803512</v>
      </c>
      <c r="H281" s="15" t="str">
        <f>IFERROR(__xludf.DUMMYFUNCTION("""COMPUTED_VALUE"""),"1305804")</f>
        <v>1305804</v>
      </c>
      <c r="I281" s="15" t="str">
        <f>IFERROR(__xludf.DUMMYFUNCTION("""COMPUTED_VALUE"""),"8176752")</f>
        <v>8176752</v>
      </c>
      <c r="J281" s="15" t="str">
        <f>IFERROR(__xludf.DUMMYFUNCTION("""COMPUTED_VALUE"""),"CIF")</f>
        <v>CIF</v>
      </c>
      <c r="K281" s="15" t="str">
        <f>IFERROR(__xludf.DUMMYFUNCTION("""COMPUTED_VALUE"""),"SAO-1")</f>
        <v>SAO-1</v>
      </c>
      <c r="L281" s="15" t="str">
        <f>IFERROR(__xludf.DUMMYFUNCTION("""COMPUTED_VALUE"""),"AUTORIZADO")</f>
        <v>AUTORIZADO</v>
      </c>
      <c r="M281" s="15" t="str">
        <f>IFERROR(__xludf.DUMMYFUNCTION("""COMPUTED_VALUE"""),"NA ORIGEM")</f>
        <v>NA ORIGEM</v>
      </c>
      <c r="N281" s="15" t="str">
        <f>IFERROR(__xludf.DUMMYFUNCTION("""COMPUTED_VALUE"""),"Antes Prazo")</f>
        <v>Antes Prazo</v>
      </c>
      <c r="O281" s="15" t="str">
        <f>IFERROR(__xludf.DUMMYFUNCTION("""COMPUTED_VALUE"""),"B2B")</f>
        <v>B2B</v>
      </c>
      <c r="P281" s="16">
        <f>IFERROR(__xludf.DUMMYFUNCTION("""COMPUTED_VALUE"""),63.12)</f>
        <v>63.12</v>
      </c>
      <c r="Q281" s="15">
        <f>IFERROR(__xludf.DUMMYFUNCTION("""COMPUTED_VALUE"""),1.0)</f>
        <v>1</v>
      </c>
      <c r="R281" s="15" t="str">
        <f>IFERROR(__xludf.DUMMYFUNCTION("""COMPUTED_VALUE"""),"RODO")</f>
        <v>RODO</v>
      </c>
      <c r="S281" s="15" t="str">
        <f>IFERROR(__xludf.DUMMYFUNCTION("""COMPUTED_VALUE"""),"ITN")</f>
        <v>ITN</v>
      </c>
      <c r="T281" s="15" t="str">
        <f>IFERROR(__xludf.DUMMYFUNCTION("""COMPUTED_VALUE"""),"26")</f>
        <v>26</v>
      </c>
      <c r="U281" s="15" t="str">
        <f>IFERROR(__xludf.DUMMYFUNCTION("""COMPUTED_VALUE"""),"266803512 1305804 8176752 mania calcados ltda trifil bb2 26")</f>
        <v>266803512 1305804 8176752 mania calcados ltda trifil bb2 26</v>
      </c>
      <c r="V281" s="15" t="b">
        <f>IFERROR(__xludf.DUMMYFUNCTION("""COMPUTED_VALUE"""),FALSE)</f>
        <v>0</v>
      </c>
    </row>
    <row r="282">
      <c r="A282" s="19">
        <f>IFERROR(__xludf.DUMMYFUNCTION("""COMPUTED_VALUE"""),46304.0)</f>
        <v>46304</v>
      </c>
      <c r="B282" s="19">
        <f>IFERROR(__xludf.DUMMYFUNCTION("""COMPUTED_VALUE"""),46316.0)</f>
        <v>46316</v>
      </c>
      <c r="C282" s="15">
        <f>IFERROR(__xludf.DUMMYFUNCTION("""COMPUTED_VALUE"""),7.0)</f>
        <v>7</v>
      </c>
      <c r="D282" s="15" t="str">
        <f>IFERROR(__xludf.DUMMYFUNCTION("""COMPUTED_VALUE"""),"BB2")</f>
        <v>BB2</v>
      </c>
      <c r="E282" s="15" t="str">
        <f>IFERROR(__xludf.DUMMYFUNCTION("""COMPUTED_VALUE"""),"PASSITA CALCADOS LTDA")</f>
        <v>PASSITA CALCADOS LTDA</v>
      </c>
      <c r="F282" s="15" t="str">
        <f>IFERROR(__xludf.DUMMYFUNCTION("""COMPUTED_VALUE"""),"TRIFIL")</f>
        <v>TRIFIL</v>
      </c>
      <c r="G282" s="15" t="str">
        <f>IFERROR(__xludf.DUMMYFUNCTION("""COMPUTED_VALUE"""),"266803513")</f>
        <v>266803513</v>
      </c>
      <c r="H282" s="15" t="str">
        <f>IFERROR(__xludf.DUMMYFUNCTION("""COMPUTED_VALUE"""),"1305867")</f>
        <v>1305867</v>
      </c>
      <c r="I282" s="15" t="str">
        <f>IFERROR(__xludf.DUMMYFUNCTION("""COMPUTED_VALUE"""),"8176759")</f>
        <v>8176759</v>
      </c>
      <c r="J282" s="15" t="str">
        <f>IFERROR(__xludf.DUMMYFUNCTION("""COMPUTED_VALUE"""),"CIF")</f>
        <v>CIF</v>
      </c>
      <c r="K282" s="15" t="str">
        <f>IFERROR(__xludf.DUMMYFUNCTION("""COMPUTED_VALUE"""),"SAO-1")</f>
        <v>SAO-1</v>
      </c>
      <c r="L282" s="15" t="str">
        <f>IFERROR(__xludf.DUMMYFUNCTION("""COMPUTED_VALUE"""),"AUTORIZADO")</f>
        <v>AUTORIZADO</v>
      </c>
      <c r="M282" s="15" t="str">
        <f>IFERROR(__xludf.DUMMYFUNCTION("""COMPUTED_VALUE"""),"NA ORIGEM")</f>
        <v>NA ORIGEM</v>
      </c>
      <c r="N282" s="15" t="str">
        <f>IFERROR(__xludf.DUMMYFUNCTION("""COMPUTED_VALUE"""),"Antes Prazo")</f>
        <v>Antes Prazo</v>
      </c>
      <c r="O282" s="15" t="str">
        <f>IFERROR(__xludf.DUMMYFUNCTION("""COMPUTED_VALUE"""),"B2B")</f>
        <v>B2B</v>
      </c>
      <c r="P282" s="16">
        <f>IFERROR(__xludf.DUMMYFUNCTION("""COMPUTED_VALUE"""),51.54)</f>
        <v>51.54</v>
      </c>
      <c r="Q282" s="15">
        <f>IFERROR(__xludf.DUMMYFUNCTION("""COMPUTED_VALUE"""),2.0)</f>
        <v>2</v>
      </c>
      <c r="R282" s="15" t="str">
        <f>IFERROR(__xludf.DUMMYFUNCTION("""COMPUTED_VALUE"""),"RODO")</f>
        <v>RODO</v>
      </c>
      <c r="S282" s="15" t="str">
        <f>IFERROR(__xludf.DUMMYFUNCTION("""COMPUTED_VALUE"""),"ITN")</f>
        <v>ITN</v>
      </c>
      <c r="T282" s="15" t="str">
        <f>IFERROR(__xludf.DUMMYFUNCTION("""COMPUTED_VALUE"""),"27")</f>
        <v>27</v>
      </c>
      <c r="U282" s="15" t="str">
        <f>IFERROR(__xludf.DUMMYFUNCTION("""COMPUTED_VALUE"""),"266803513 1305867 8176759 passita calcados ltda trifil bb2 27")</f>
        <v>266803513 1305867 8176759 passita calcados ltda trifil bb2 27</v>
      </c>
      <c r="V282" s="15" t="b">
        <f>IFERROR(__xludf.DUMMYFUNCTION("""COMPUTED_VALUE"""),FALSE)</f>
        <v>0</v>
      </c>
    </row>
    <row r="283">
      <c r="A283" s="19">
        <f>IFERROR(__xludf.DUMMYFUNCTION("""COMPUTED_VALUE"""),46304.0)</f>
        <v>46304</v>
      </c>
      <c r="B283" s="19">
        <f>IFERROR(__xludf.DUMMYFUNCTION("""COMPUTED_VALUE"""),46316.0)</f>
        <v>46316</v>
      </c>
      <c r="C283" s="15">
        <f>IFERROR(__xludf.DUMMYFUNCTION("""COMPUTED_VALUE"""),7.0)</f>
        <v>7</v>
      </c>
      <c r="D283" s="15" t="str">
        <f>IFERROR(__xludf.DUMMYFUNCTION("""COMPUTED_VALUE"""),"BB2")</f>
        <v>BB2</v>
      </c>
      <c r="E283" s="15" t="str">
        <f>IFERROR(__xludf.DUMMYFUNCTION("""COMPUTED_VALUE"""),"ICON COMERCIO DO VESTUARIO LTDA")</f>
        <v>ICON COMERCIO DO VESTUARIO LTDA</v>
      </c>
      <c r="F283" s="15" t="str">
        <f>IFERROR(__xludf.DUMMYFUNCTION("""COMPUTED_VALUE"""),"TRIFIL")</f>
        <v>TRIFIL</v>
      </c>
      <c r="G283" s="15" t="str">
        <f>IFERROR(__xludf.DUMMYFUNCTION("""COMPUTED_VALUE"""),"266803514")</f>
        <v>266803514</v>
      </c>
      <c r="H283" s="15" t="str">
        <f>IFERROR(__xludf.DUMMYFUNCTION("""COMPUTED_VALUE"""),"1305681")</f>
        <v>1305681</v>
      </c>
      <c r="I283" s="15" t="str">
        <f>IFERROR(__xludf.DUMMYFUNCTION("""COMPUTED_VALUE"""),"8176856")</f>
        <v>8176856</v>
      </c>
      <c r="J283" s="15" t="str">
        <f>IFERROR(__xludf.DUMMYFUNCTION("""COMPUTED_VALUE"""),"CIF")</f>
        <v>CIF</v>
      </c>
      <c r="K283" s="15" t="str">
        <f>IFERROR(__xludf.DUMMYFUNCTION("""COMPUTED_VALUE"""),"(sem célula)")</f>
        <v>(sem célula)</v>
      </c>
      <c r="L283" s="15" t="str">
        <f>IFERROR(__xludf.DUMMYFUNCTION("""COMPUTED_VALUE"""),"AUTORIZADO")</f>
        <v>AUTORIZADO</v>
      </c>
      <c r="M283" s="15" t="str">
        <f>IFERROR(__xludf.DUMMYFUNCTION("""COMPUTED_VALUE"""),"NA ORIGEM")</f>
        <v>NA ORIGEM</v>
      </c>
      <c r="N283" s="15" t="str">
        <f>IFERROR(__xludf.DUMMYFUNCTION("""COMPUTED_VALUE"""),"Antes Prazo")</f>
        <v>Antes Prazo</v>
      </c>
      <c r="O283" s="15" t="str">
        <f>IFERROR(__xludf.DUMMYFUNCTION("""COMPUTED_VALUE"""),"B2B")</f>
        <v>B2B</v>
      </c>
      <c r="P283" s="16">
        <f>IFERROR(__xludf.DUMMYFUNCTION("""COMPUTED_VALUE"""),51.54)</f>
        <v>51.54</v>
      </c>
      <c r="Q283" s="15">
        <f>IFERROR(__xludf.DUMMYFUNCTION("""COMPUTED_VALUE"""),1.0)</f>
        <v>1</v>
      </c>
      <c r="R283" s="15" t="str">
        <f>IFERROR(__xludf.DUMMYFUNCTION("""COMPUTED_VALUE"""),"RODO")</f>
        <v>RODO</v>
      </c>
      <c r="S283" s="15" t="str">
        <f>IFERROR(__xludf.DUMMYFUNCTION("""COMPUTED_VALUE"""),"ITN")</f>
        <v>ITN</v>
      </c>
      <c r="T283" s="15" t="str">
        <f>IFERROR(__xludf.DUMMYFUNCTION("""COMPUTED_VALUE"""),"27")</f>
        <v>27</v>
      </c>
      <c r="U283" s="15" t="str">
        <f>IFERROR(__xludf.DUMMYFUNCTION("""COMPUTED_VALUE"""),"266803514 1305681 8176856 icon comercio do vestuario ltda trifil bb2 27")</f>
        <v>266803514 1305681 8176856 icon comercio do vestuario ltda trifil bb2 27</v>
      </c>
      <c r="V283" s="15" t="b">
        <f>IFERROR(__xludf.DUMMYFUNCTION("""COMPUTED_VALUE"""),FALSE)</f>
        <v>0</v>
      </c>
    </row>
    <row r="284">
      <c r="A284" s="19">
        <f>IFERROR(__xludf.DUMMYFUNCTION("""COMPUTED_VALUE"""),46304.0)</f>
        <v>46304</v>
      </c>
      <c r="B284" s="19">
        <f>IFERROR(__xludf.DUMMYFUNCTION("""COMPUTED_VALUE"""),46322.0)</f>
        <v>46322</v>
      </c>
      <c r="C284" s="15">
        <f>IFERROR(__xludf.DUMMYFUNCTION("""COMPUTED_VALUE"""),11.0)</f>
        <v>11</v>
      </c>
      <c r="D284" s="15" t="str">
        <f>IFERROR(__xludf.DUMMYFUNCTION("""COMPUTED_VALUE"""),"IGO")</f>
        <v>IGO</v>
      </c>
      <c r="E284" s="15" t="str">
        <f>IFERROR(__xludf.DUMMYFUNCTION("""COMPUTED_VALUE"""),"VITALY")</f>
        <v>VITALY</v>
      </c>
      <c r="F284" s="15" t="str">
        <f>IFERROR(__xludf.DUMMYFUNCTION("""COMPUTED_VALUE"""),"TRIFIL")</f>
        <v>TRIFIL</v>
      </c>
      <c r="G284" s="15" t="str">
        <f>IFERROR(__xludf.DUMMYFUNCTION("""COMPUTED_VALUE"""),"266803515")</f>
        <v>266803515</v>
      </c>
      <c r="H284" s="15" t="str">
        <f>IFERROR(__xludf.DUMMYFUNCTION("""COMPUTED_VALUE"""),"1305566")</f>
        <v>1305566</v>
      </c>
      <c r="I284" s="15" t="str">
        <f>IFERROR(__xludf.DUMMYFUNCTION("""COMPUTED_VALUE"""),"8176949")</f>
        <v>8176949</v>
      </c>
      <c r="J284" s="15" t="str">
        <f>IFERROR(__xludf.DUMMYFUNCTION("""COMPUTED_VALUE"""),"CIF")</f>
        <v>CIF</v>
      </c>
      <c r="K284" s="15" t="str">
        <f>IFERROR(__xludf.DUMMYFUNCTION("""COMPUTED_VALUE"""),"SAO-1")</f>
        <v>SAO-1</v>
      </c>
      <c r="L284" s="15" t="str">
        <f>IFERROR(__xludf.DUMMYFUNCTION("""COMPUTED_VALUE"""),"AUTORIZADO")</f>
        <v>AUTORIZADO</v>
      </c>
      <c r="M284" s="15" t="str">
        <f>IFERROR(__xludf.DUMMYFUNCTION("""COMPUTED_VALUE"""),"NA ORIGEM")</f>
        <v>NA ORIGEM</v>
      </c>
      <c r="N284" s="15" t="str">
        <f>IFERROR(__xludf.DUMMYFUNCTION("""COMPUTED_VALUE"""),"Antes Prazo")</f>
        <v>Antes Prazo</v>
      </c>
      <c r="O284" s="15" t="str">
        <f>IFERROR(__xludf.DUMMYFUNCTION("""COMPUTED_VALUE"""),"B2B")</f>
        <v>B2B</v>
      </c>
      <c r="P284" s="16">
        <f>IFERROR(__xludf.DUMMYFUNCTION("""COMPUTED_VALUE"""),63.12)</f>
        <v>63.12</v>
      </c>
      <c r="Q284" s="15">
        <f>IFERROR(__xludf.DUMMYFUNCTION("""COMPUTED_VALUE"""),2.0)</f>
        <v>2</v>
      </c>
      <c r="R284" s="15" t="str">
        <f>IFERROR(__xludf.DUMMYFUNCTION("""COMPUTED_VALUE"""),"RODO")</f>
        <v>RODO</v>
      </c>
      <c r="S284" s="15" t="str">
        <f>IFERROR(__xludf.DUMMYFUNCTION("""COMPUTED_VALUE"""),"ITN")</f>
        <v>ITN</v>
      </c>
      <c r="T284" s="15" t="str">
        <f>IFERROR(__xludf.DUMMYFUNCTION("""COMPUTED_VALUE"""),"300")</f>
        <v>300</v>
      </c>
      <c r="U284" s="15" t="str">
        <f>IFERROR(__xludf.DUMMYFUNCTION("""COMPUTED_VALUE"""),"266803515 1305566 8176949 vitaly trifil igo 300")</f>
        <v>266803515 1305566 8176949 vitaly trifil igo 300</v>
      </c>
      <c r="V284" s="15" t="b">
        <f>IFERROR(__xludf.DUMMYFUNCTION("""COMPUTED_VALUE"""),FALSE)</f>
        <v>0</v>
      </c>
    </row>
    <row r="285">
      <c r="A285" s="19">
        <f>IFERROR(__xludf.DUMMYFUNCTION("""COMPUTED_VALUE"""),46304.0)</f>
        <v>46304</v>
      </c>
      <c r="B285" s="19">
        <f>IFERROR(__xludf.DUMMYFUNCTION("""COMPUTED_VALUE"""),46316.0)</f>
        <v>46316</v>
      </c>
      <c r="C285" s="15">
        <f>IFERROR(__xludf.DUMMYFUNCTION("""COMPUTED_VALUE"""),7.0)</f>
        <v>7</v>
      </c>
      <c r="D285" s="15" t="str">
        <f>IFERROR(__xludf.DUMMYFUNCTION("""COMPUTED_VALUE"""),"GYN")</f>
        <v>GYN</v>
      </c>
      <c r="E285" s="15" t="str">
        <f>IFERROR(__xludf.DUMMYFUNCTION("""COMPUTED_VALUE"""),"ROGERIO CUECAS E MEIAS")</f>
        <v>ROGERIO CUECAS E MEIAS</v>
      </c>
      <c r="F285" s="15" t="str">
        <f>IFERROR(__xludf.DUMMYFUNCTION("""COMPUTED_VALUE"""),"TRIFIL")</f>
        <v>TRIFIL</v>
      </c>
      <c r="G285" s="15" t="str">
        <f>IFERROR(__xludf.DUMMYFUNCTION("""COMPUTED_VALUE"""),"266803516")</f>
        <v>266803516</v>
      </c>
      <c r="H285" s="15" t="str">
        <f>IFERROR(__xludf.DUMMYFUNCTION("""COMPUTED_VALUE"""),"1305229")</f>
        <v>1305229</v>
      </c>
      <c r="I285" s="15" t="str">
        <f>IFERROR(__xludf.DUMMYFUNCTION("""COMPUTED_VALUE"""),"8177044")</f>
        <v>8177044</v>
      </c>
      <c r="J285" s="15" t="str">
        <f>IFERROR(__xludf.DUMMYFUNCTION("""COMPUTED_VALUE"""),"CIF")</f>
        <v>CIF</v>
      </c>
      <c r="K285" s="15" t="str">
        <f>IFERROR(__xludf.DUMMYFUNCTION("""COMPUTED_VALUE"""),"(sem célula)")</f>
        <v>(sem célula)</v>
      </c>
      <c r="L285" s="15" t="str">
        <f>IFERROR(__xludf.DUMMYFUNCTION("""COMPUTED_VALUE"""),"AUTORIZADO")</f>
        <v>AUTORIZADO</v>
      </c>
      <c r="M285" s="15" t="str">
        <f>IFERROR(__xludf.DUMMYFUNCTION("""COMPUTED_VALUE"""),"NA ORIGEM")</f>
        <v>NA ORIGEM</v>
      </c>
      <c r="N285" s="15" t="str">
        <f>IFERROR(__xludf.DUMMYFUNCTION("""COMPUTED_VALUE"""),"Antes Prazo")</f>
        <v>Antes Prazo</v>
      </c>
      <c r="O285" s="15" t="str">
        <f>IFERROR(__xludf.DUMMYFUNCTION("""COMPUTED_VALUE"""),"B2B")</f>
        <v>B2B</v>
      </c>
      <c r="P285" s="16">
        <f>IFERROR(__xludf.DUMMYFUNCTION("""COMPUTED_VALUE"""),56.59)</f>
        <v>56.59</v>
      </c>
      <c r="Q285" s="15">
        <f>IFERROR(__xludf.DUMMYFUNCTION("""COMPUTED_VALUE"""),1.0)</f>
        <v>1</v>
      </c>
      <c r="R285" s="15" t="str">
        <f>IFERROR(__xludf.DUMMYFUNCTION("""COMPUTED_VALUE"""),"RODO")</f>
        <v>RODO</v>
      </c>
      <c r="S285" s="15" t="str">
        <f>IFERROR(__xludf.DUMMYFUNCTION("""COMPUTED_VALUE"""),"ITN")</f>
        <v>ITN</v>
      </c>
      <c r="T285" s="15" t="str">
        <f>IFERROR(__xludf.DUMMYFUNCTION("""COMPUTED_VALUE"""),"11")</f>
        <v>11</v>
      </c>
      <c r="U285" s="15" t="str">
        <f>IFERROR(__xludf.DUMMYFUNCTION("""COMPUTED_VALUE"""),"266803516 1305229 8177044 rogerio cuecas e meias trifil gyn 11")</f>
        <v>266803516 1305229 8177044 rogerio cuecas e meias trifil gyn 11</v>
      </c>
      <c r="V285" s="15" t="b">
        <f>IFERROR(__xludf.DUMMYFUNCTION("""COMPUTED_VALUE"""),FALSE)</f>
        <v>0</v>
      </c>
    </row>
    <row r="286">
      <c r="A286" s="19">
        <f>IFERROR(__xludf.DUMMYFUNCTION("""COMPUTED_VALUE"""),46304.0)</f>
        <v>46304</v>
      </c>
      <c r="B286" s="19">
        <f>IFERROR(__xludf.DUMMYFUNCTION("""COMPUTED_VALUE"""),46316.0)</f>
        <v>46316</v>
      </c>
      <c r="C286" s="15">
        <f>IFERROR(__xludf.DUMMYFUNCTION("""COMPUTED_VALUE"""),7.0)</f>
        <v>7</v>
      </c>
      <c r="D286" s="15" t="str">
        <f>IFERROR(__xludf.DUMMYFUNCTION("""COMPUTED_VALUE"""),"GYN")</f>
        <v>GYN</v>
      </c>
      <c r="E286" s="15" t="str">
        <f>IFERROR(__xludf.DUMMYFUNCTION("""COMPUTED_VALUE"""),"INTIMA MEIAS LTDA")</f>
        <v>INTIMA MEIAS LTDA</v>
      </c>
      <c r="F286" s="15" t="str">
        <f>IFERROR(__xludf.DUMMYFUNCTION("""COMPUTED_VALUE"""),"TRIFIL")</f>
        <v>TRIFIL</v>
      </c>
      <c r="G286" s="15" t="str">
        <f>IFERROR(__xludf.DUMMYFUNCTION("""COMPUTED_VALUE"""),"266803517")</f>
        <v>266803517</v>
      </c>
      <c r="H286" s="15" t="str">
        <f>IFERROR(__xludf.DUMMYFUNCTION("""COMPUTED_VALUE"""),"1305504")</f>
        <v>1305504</v>
      </c>
      <c r="I286" s="15" t="str">
        <f>IFERROR(__xludf.DUMMYFUNCTION("""COMPUTED_VALUE"""),"8176914")</f>
        <v>8176914</v>
      </c>
      <c r="J286" s="15" t="str">
        <f>IFERROR(__xludf.DUMMYFUNCTION("""COMPUTED_VALUE"""),"CIF")</f>
        <v>CIF</v>
      </c>
      <c r="K286" s="15" t="str">
        <f>IFERROR(__xludf.DUMMYFUNCTION("""COMPUTED_VALUE"""),"SAO-1")</f>
        <v>SAO-1</v>
      </c>
      <c r="L286" s="15" t="str">
        <f>IFERROR(__xludf.DUMMYFUNCTION("""COMPUTED_VALUE"""),"AUTORIZADO")</f>
        <v>AUTORIZADO</v>
      </c>
      <c r="M286" s="15" t="str">
        <f>IFERROR(__xludf.DUMMYFUNCTION("""COMPUTED_VALUE"""),"NA ORIGEM")</f>
        <v>NA ORIGEM</v>
      </c>
      <c r="N286" s="15" t="str">
        <f>IFERROR(__xludf.DUMMYFUNCTION("""COMPUTED_VALUE"""),"Antes Prazo")</f>
        <v>Antes Prazo</v>
      </c>
      <c r="O286" s="15" t="str">
        <f>IFERROR(__xludf.DUMMYFUNCTION("""COMPUTED_VALUE"""),"B2B")</f>
        <v>B2B</v>
      </c>
      <c r="P286" s="16">
        <f>IFERROR(__xludf.DUMMYFUNCTION("""COMPUTED_VALUE"""),56.59)</f>
        <v>56.59</v>
      </c>
      <c r="Q286" s="15">
        <f>IFERROR(__xludf.DUMMYFUNCTION("""COMPUTED_VALUE"""),1.0)</f>
        <v>1</v>
      </c>
      <c r="R286" s="15" t="str">
        <f>IFERROR(__xludf.DUMMYFUNCTION("""COMPUTED_VALUE"""),"RODO")</f>
        <v>RODO</v>
      </c>
      <c r="S286" s="15" t="str">
        <f>IFERROR(__xludf.DUMMYFUNCTION("""COMPUTED_VALUE"""),"ITN")</f>
        <v>ITN</v>
      </c>
      <c r="T286" s="15" t="str">
        <f>IFERROR(__xludf.DUMMYFUNCTION("""COMPUTED_VALUE"""),"4")</f>
        <v>4</v>
      </c>
      <c r="U286" s="15" t="str">
        <f>IFERROR(__xludf.DUMMYFUNCTION("""COMPUTED_VALUE"""),"266803517 1305504 8176914 intima meias ltda trifil gyn 4")</f>
        <v>266803517 1305504 8176914 intima meias ltda trifil gyn 4</v>
      </c>
      <c r="V286" s="15" t="b">
        <f>IFERROR(__xludf.DUMMYFUNCTION("""COMPUTED_VALUE"""),FALSE)</f>
        <v>0</v>
      </c>
    </row>
    <row r="287">
      <c r="A287" s="19">
        <f>IFERROR(__xludf.DUMMYFUNCTION("""COMPUTED_VALUE"""),46304.0)</f>
        <v>46304</v>
      </c>
      <c r="B287" s="19">
        <f>IFERROR(__xludf.DUMMYFUNCTION("""COMPUTED_VALUE"""),46316.0)</f>
        <v>46316</v>
      </c>
      <c r="C287" s="15">
        <f>IFERROR(__xludf.DUMMYFUNCTION("""COMPUTED_VALUE"""),7.0)</f>
        <v>7</v>
      </c>
      <c r="D287" s="15" t="str">
        <f>IFERROR(__xludf.DUMMYFUNCTION("""COMPUTED_VALUE"""),"GYN")</f>
        <v>GYN</v>
      </c>
      <c r="E287" s="15" t="str">
        <f>IFERROR(__xludf.DUMMYFUNCTION("""COMPUTED_VALUE"""),"TECIDOS UNIVERSO LTDA - EPP")</f>
        <v>TECIDOS UNIVERSO LTDA - EPP</v>
      </c>
      <c r="F287" s="15" t="str">
        <f>IFERROR(__xludf.DUMMYFUNCTION("""COMPUTED_VALUE"""),"TRIFIL")</f>
        <v>TRIFIL</v>
      </c>
      <c r="G287" s="15" t="str">
        <f>IFERROR(__xludf.DUMMYFUNCTION("""COMPUTED_VALUE"""),"266803518")</f>
        <v>266803518</v>
      </c>
      <c r="H287" s="15" t="str">
        <f>IFERROR(__xludf.DUMMYFUNCTION("""COMPUTED_VALUE"""),"1305377")</f>
        <v>1305377</v>
      </c>
      <c r="I287" s="15" t="str">
        <f>IFERROR(__xludf.DUMMYFUNCTION("""COMPUTED_VALUE"""),"8176993")</f>
        <v>8176993</v>
      </c>
      <c r="J287" s="15" t="str">
        <f>IFERROR(__xludf.DUMMYFUNCTION("""COMPUTED_VALUE"""),"CIF")</f>
        <v>CIF</v>
      </c>
      <c r="K287" s="15" t="str">
        <f>IFERROR(__xludf.DUMMYFUNCTION("""COMPUTED_VALUE"""),"(sem célula)")</f>
        <v>(sem célula)</v>
      </c>
      <c r="L287" s="15" t="str">
        <f>IFERROR(__xludf.DUMMYFUNCTION("""COMPUTED_VALUE"""),"AUTORIZADO")</f>
        <v>AUTORIZADO</v>
      </c>
      <c r="M287" s="15" t="str">
        <f>IFERROR(__xludf.DUMMYFUNCTION("""COMPUTED_VALUE"""),"NA ORIGEM")</f>
        <v>NA ORIGEM</v>
      </c>
      <c r="N287" s="15" t="str">
        <f>IFERROR(__xludf.DUMMYFUNCTION("""COMPUTED_VALUE"""),"Antes Prazo")</f>
        <v>Antes Prazo</v>
      </c>
      <c r="O287" s="15" t="str">
        <f>IFERROR(__xludf.DUMMYFUNCTION("""COMPUTED_VALUE"""),"B2B")</f>
        <v>B2B</v>
      </c>
      <c r="P287" s="16">
        <f>IFERROR(__xludf.DUMMYFUNCTION("""COMPUTED_VALUE"""),56.59)</f>
        <v>56.59</v>
      </c>
      <c r="Q287" s="15">
        <f>IFERROR(__xludf.DUMMYFUNCTION("""COMPUTED_VALUE"""),1.0)</f>
        <v>1</v>
      </c>
      <c r="R287" s="15" t="str">
        <f>IFERROR(__xludf.DUMMYFUNCTION("""COMPUTED_VALUE"""),"RODO")</f>
        <v>RODO</v>
      </c>
      <c r="S287" s="15" t="str">
        <f>IFERROR(__xludf.DUMMYFUNCTION("""COMPUTED_VALUE"""),"ITN")</f>
        <v>ITN</v>
      </c>
      <c r="T287" s="15" t="str">
        <f>IFERROR(__xludf.DUMMYFUNCTION("""COMPUTED_VALUE"""),"8")</f>
        <v>8</v>
      </c>
      <c r="U287" s="15" t="str">
        <f>IFERROR(__xludf.DUMMYFUNCTION("""COMPUTED_VALUE"""),"266803518 1305377 8176993 tecidos universo ltda - epp trifil gyn 8")</f>
        <v>266803518 1305377 8176993 tecidos universo ltda - epp trifil gyn 8</v>
      </c>
      <c r="V287" s="15" t="b">
        <f>IFERROR(__xludf.DUMMYFUNCTION("""COMPUTED_VALUE"""),FALSE)</f>
        <v>0</v>
      </c>
    </row>
    <row r="288">
      <c r="A288" s="19">
        <f>IFERROR(__xludf.DUMMYFUNCTION("""COMPUTED_VALUE"""),46304.0)</f>
        <v>46304</v>
      </c>
      <c r="B288" s="19">
        <f>IFERROR(__xludf.DUMMYFUNCTION("""COMPUTED_VALUE"""),46316.0)</f>
        <v>46316</v>
      </c>
      <c r="C288" s="15">
        <f>IFERROR(__xludf.DUMMYFUNCTION("""COMPUTED_VALUE"""),7.0)</f>
        <v>7</v>
      </c>
      <c r="D288" s="15" t="str">
        <f>IFERROR(__xludf.DUMMYFUNCTION("""COMPUTED_VALUE"""),"GYN")</f>
        <v>GYN</v>
      </c>
      <c r="E288" s="15" t="str">
        <f>IFERROR(__xludf.DUMMYFUNCTION("""COMPUTED_VALUE"""),"LUPO")</f>
        <v>LUPO</v>
      </c>
      <c r="F288" s="15" t="str">
        <f>IFERROR(__xludf.DUMMYFUNCTION("""COMPUTED_VALUE"""),"TRIFIL")</f>
        <v>TRIFIL</v>
      </c>
      <c r="G288" s="15" t="str">
        <f>IFERROR(__xludf.DUMMYFUNCTION("""COMPUTED_VALUE"""),"266803519")</f>
        <v>266803519</v>
      </c>
      <c r="H288" s="15" t="str">
        <f>IFERROR(__xludf.DUMMYFUNCTION("""COMPUTED_VALUE"""),"1305433, 1305474, 1305497")</f>
        <v>1305433, 1305474, 1305497</v>
      </c>
      <c r="I288" s="15" t="str">
        <f>IFERROR(__xludf.DUMMYFUNCTION("""COMPUTED_VALUE"""),"8176994")</f>
        <v>8176994</v>
      </c>
      <c r="J288" s="15" t="str">
        <f>IFERROR(__xludf.DUMMYFUNCTION("""COMPUTED_VALUE"""),"CIF")</f>
        <v>CIF</v>
      </c>
      <c r="K288" s="15" t="str">
        <f>IFERROR(__xludf.DUMMYFUNCTION("""COMPUTED_VALUE"""),"SAO-1")</f>
        <v>SAO-1</v>
      </c>
      <c r="L288" s="15" t="str">
        <f>IFERROR(__xludf.DUMMYFUNCTION("""COMPUTED_VALUE"""),"AUTORIZADO")</f>
        <v>AUTORIZADO</v>
      </c>
      <c r="M288" s="15" t="str">
        <f>IFERROR(__xludf.DUMMYFUNCTION("""COMPUTED_VALUE"""),"NA ORIGEM")</f>
        <v>NA ORIGEM</v>
      </c>
      <c r="N288" s="15" t="str">
        <f>IFERROR(__xludf.DUMMYFUNCTION("""COMPUTED_VALUE"""),"Antes Prazo")</f>
        <v>Antes Prazo</v>
      </c>
      <c r="O288" s="15" t="str">
        <f>IFERROR(__xludf.DUMMYFUNCTION("""COMPUTED_VALUE"""),"B2B")</f>
        <v>B2B</v>
      </c>
      <c r="P288" s="16">
        <f>IFERROR(__xludf.DUMMYFUNCTION("""COMPUTED_VALUE"""),56.59)</f>
        <v>56.59</v>
      </c>
      <c r="Q288" s="15">
        <f>IFERROR(__xludf.DUMMYFUNCTION("""COMPUTED_VALUE"""),3.0)</f>
        <v>3</v>
      </c>
      <c r="R288" s="15" t="str">
        <f>IFERROR(__xludf.DUMMYFUNCTION("""COMPUTED_VALUE"""),"RODO")</f>
        <v>RODO</v>
      </c>
      <c r="S288" s="15" t="str">
        <f>IFERROR(__xludf.DUMMYFUNCTION("""COMPUTED_VALUE"""),"ITN")</f>
        <v>ITN</v>
      </c>
      <c r="T288" s="15" t="str">
        <f>IFERROR(__xludf.DUMMYFUNCTION("""COMPUTED_VALUE"""),"16")</f>
        <v>16</v>
      </c>
      <c r="U288" s="15" t="str">
        <f>IFERROR(__xludf.DUMMYFUNCTION("""COMPUTED_VALUE"""),"266803519 1305433, 1305474, 1305497 8176994 lupo trifil gyn 16")</f>
        <v>266803519 1305433, 1305474, 1305497 8176994 lupo trifil gyn 16</v>
      </c>
      <c r="V288" s="15" t="b">
        <f>IFERROR(__xludf.DUMMYFUNCTION("""COMPUTED_VALUE"""),FALSE)</f>
        <v>0</v>
      </c>
    </row>
    <row r="289">
      <c r="A289" s="19">
        <f>IFERROR(__xludf.DUMMYFUNCTION("""COMPUTED_VALUE"""),46304.0)</f>
        <v>46304</v>
      </c>
      <c r="B289" s="19">
        <f>IFERROR(__xludf.DUMMYFUNCTION("""COMPUTED_VALUE"""),46316.0)</f>
        <v>46316</v>
      </c>
      <c r="C289" s="15">
        <f>IFERROR(__xludf.DUMMYFUNCTION("""COMPUTED_VALUE"""),7.0)</f>
        <v>7</v>
      </c>
      <c r="D289" s="15" t="str">
        <f>IFERROR(__xludf.DUMMYFUNCTION("""COMPUTED_VALUE"""),"GYN")</f>
        <v>GYN</v>
      </c>
      <c r="E289" s="15" t="str">
        <f>IFERROR(__xludf.DUMMYFUNCTION("""COMPUTED_VALUE"""),"O. S. B. PASSOS EIRELI - ME")</f>
        <v>O. S. B. PASSOS EIRELI - ME</v>
      </c>
      <c r="F289" s="15" t="str">
        <f>IFERROR(__xludf.DUMMYFUNCTION("""COMPUTED_VALUE"""),"TRIFIL")</f>
        <v>TRIFIL</v>
      </c>
      <c r="G289" s="15" t="str">
        <f>IFERROR(__xludf.DUMMYFUNCTION("""COMPUTED_VALUE"""),"266803520")</f>
        <v>266803520</v>
      </c>
      <c r="H289" s="15" t="str">
        <f>IFERROR(__xludf.DUMMYFUNCTION("""COMPUTED_VALUE"""),"1305703")</f>
        <v>1305703</v>
      </c>
      <c r="I289" s="15" t="str">
        <f>IFERROR(__xludf.DUMMYFUNCTION("""COMPUTED_VALUE"""),"8176791")</f>
        <v>8176791</v>
      </c>
      <c r="J289" s="15" t="str">
        <f>IFERROR(__xludf.DUMMYFUNCTION("""COMPUTED_VALUE"""),"CIF")</f>
        <v>CIF</v>
      </c>
      <c r="K289" s="15" t="str">
        <f>IFERROR(__xludf.DUMMYFUNCTION("""COMPUTED_VALUE"""),"SAO-1")</f>
        <v>SAO-1</v>
      </c>
      <c r="L289" s="15" t="str">
        <f>IFERROR(__xludf.DUMMYFUNCTION("""COMPUTED_VALUE"""),"AUTORIZADO")</f>
        <v>AUTORIZADO</v>
      </c>
      <c r="M289" s="15" t="str">
        <f>IFERROR(__xludf.DUMMYFUNCTION("""COMPUTED_VALUE"""),"NA ORIGEM")</f>
        <v>NA ORIGEM</v>
      </c>
      <c r="N289" s="15" t="str">
        <f>IFERROR(__xludf.DUMMYFUNCTION("""COMPUTED_VALUE"""),"Antes Prazo")</f>
        <v>Antes Prazo</v>
      </c>
      <c r="O289" s="15" t="str">
        <f>IFERROR(__xludf.DUMMYFUNCTION("""COMPUTED_VALUE"""),"B2B")</f>
        <v>B2B</v>
      </c>
      <c r="P289" s="16">
        <f>IFERROR(__xludf.DUMMYFUNCTION("""COMPUTED_VALUE"""),56.59)</f>
        <v>56.59</v>
      </c>
      <c r="Q289" s="15">
        <f>IFERROR(__xludf.DUMMYFUNCTION("""COMPUTED_VALUE"""),1.0)</f>
        <v>1</v>
      </c>
      <c r="R289" s="15" t="str">
        <f>IFERROR(__xludf.DUMMYFUNCTION("""COMPUTED_VALUE"""),"RODO")</f>
        <v>RODO</v>
      </c>
      <c r="S289" s="15" t="str">
        <f>IFERROR(__xludf.DUMMYFUNCTION("""COMPUTED_VALUE"""),"ITN")</f>
        <v>ITN</v>
      </c>
      <c r="T289" s="15" t="str">
        <f>IFERROR(__xludf.DUMMYFUNCTION("""COMPUTED_VALUE"""),"14")</f>
        <v>14</v>
      </c>
      <c r="U289" s="15" t="str">
        <f>IFERROR(__xludf.DUMMYFUNCTION("""COMPUTED_VALUE"""),"266803520 1305703 8176791 o. s. b. passos eireli - me trifil gyn 14")</f>
        <v>266803520 1305703 8176791 o. s. b. passos eireli - me trifil gyn 14</v>
      </c>
      <c r="V289" s="15" t="b">
        <f>IFERROR(__xludf.DUMMYFUNCTION("""COMPUTED_VALUE"""),FALSE)</f>
        <v>0</v>
      </c>
    </row>
    <row r="290">
      <c r="A290" s="19">
        <f>IFERROR(__xludf.DUMMYFUNCTION("""COMPUTED_VALUE"""),46304.0)</f>
        <v>46304</v>
      </c>
      <c r="B290" s="19">
        <f>IFERROR(__xludf.DUMMYFUNCTION("""COMPUTED_VALUE"""),46316.0)</f>
        <v>46316</v>
      </c>
      <c r="C290" s="15">
        <f>IFERROR(__xludf.DUMMYFUNCTION("""COMPUTED_VALUE"""),7.0)</f>
        <v>7</v>
      </c>
      <c r="D290" s="15" t="str">
        <f>IFERROR(__xludf.DUMMYFUNCTION("""COMPUTED_VALUE"""),"GYN")</f>
        <v>GYN</v>
      </c>
      <c r="E290" s="15" t="str">
        <f>IFERROR(__xludf.DUMMYFUNCTION("""COMPUTED_VALUE"""),"LUPO FLAMBOYANT")</f>
        <v>LUPO FLAMBOYANT</v>
      </c>
      <c r="F290" s="15" t="str">
        <f>IFERROR(__xludf.DUMMYFUNCTION("""COMPUTED_VALUE"""),"TRIFIL")</f>
        <v>TRIFIL</v>
      </c>
      <c r="G290" s="15" t="str">
        <f>IFERROR(__xludf.DUMMYFUNCTION("""COMPUTED_VALUE"""),"266803521")</f>
        <v>266803521</v>
      </c>
      <c r="H290" s="15" t="str">
        <f>IFERROR(__xludf.DUMMYFUNCTION("""COMPUTED_VALUE"""),"1305508")</f>
        <v>1305508</v>
      </c>
      <c r="I290" s="15" t="str">
        <f>IFERROR(__xludf.DUMMYFUNCTION("""COMPUTED_VALUE"""),"8176915")</f>
        <v>8176915</v>
      </c>
      <c r="J290" s="15" t="str">
        <f>IFERROR(__xludf.DUMMYFUNCTION("""COMPUTED_VALUE"""),"CIF")</f>
        <v>CIF</v>
      </c>
      <c r="K290" s="15" t="str">
        <f>IFERROR(__xludf.DUMMYFUNCTION("""COMPUTED_VALUE"""),"SAO-1")</f>
        <v>SAO-1</v>
      </c>
      <c r="L290" s="15" t="str">
        <f>IFERROR(__xludf.DUMMYFUNCTION("""COMPUTED_VALUE"""),"AUTORIZADO")</f>
        <v>AUTORIZADO</v>
      </c>
      <c r="M290" s="15" t="str">
        <f>IFERROR(__xludf.DUMMYFUNCTION("""COMPUTED_VALUE"""),"NA ORIGEM")</f>
        <v>NA ORIGEM</v>
      </c>
      <c r="N290" s="15" t="str">
        <f>IFERROR(__xludf.DUMMYFUNCTION("""COMPUTED_VALUE"""),"Antes Prazo")</f>
        <v>Antes Prazo</v>
      </c>
      <c r="O290" s="15" t="str">
        <f>IFERROR(__xludf.DUMMYFUNCTION("""COMPUTED_VALUE"""),"B2B")</f>
        <v>B2B</v>
      </c>
      <c r="P290" s="16">
        <f>IFERROR(__xludf.DUMMYFUNCTION("""COMPUTED_VALUE"""),56.59)</f>
        <v>56.59</v>
      </c>
      <c r="Q290" s="15">
        <f>IFERROR(__xludf.DUMMYFUNCTION("""COMPUTED_VALUE"""),1.0)</f>
        <v>1</v>
      </c>
      <c r="R290" s="15" t="str">
        <f>IFERROR(__xludf.DUMMYFUNCTION("""COMPUTED_VALUE"""),"RODO")</f>
        <v>RODO</v>
      </c>
      <c r="S290" s="15" t="str">
        <f>IFERROR(__xludf.DUMMYFUNCTION("""COMPUTED_VALUE"""),"ITN")</f>
        <v>ITN</v>
      </c>
      <c r="T290" s="15" t="str">
        <f>IFERROR(__xludf.DUMMYFUNCTION("""COMPUTED_VALUE"""),"19")</f>
        <v>19</v>
      </c>
      <c r="U290" s="15" t="str">
        <f>IFERROR(__xludf.DUMMYFUNCTION("""COMPUTED_VALUE"""),"266803521 1305508 8176915 lupo flamboyant trifil gyn 19")</f>
        <v>266803521 1305508 8176915 lupo flamboyant trifil gyn 19</v>
      </c>
      <c r="V290" s="15" t="b">
        <f>IFERROR(__xludf.DUMMYFUNCTION("""COMPUTED_VALUE"""),FALSE)</f>
        <v>0</v>
      </c>
    </row>
    <row r="291">
      <c r="A291" s="19">
        <f>IFERROR(__xludf.DUMMYFUNCTION("""COMPUTED_VALUE"""),46304.0)</f>
        <v>46304</v>
      </c>
      <c r="B291" s="19">
        <f>IFERROR(__xludf.DUMMYFUNCTION("""COMPUTED_VALUE"""),46317.0)</f>
        <v>46317</v>
      </c>
      <c r="C291" s="15">
        <f>IFERROR(__xludf.DUMMYFUNCTION("""COMPUTED_VALUE"""),8.0)</f>
        <v>8</v>
      </c>
      <c r="D291" s="15" t="str">
        <f>IFERROR(__xludf.DUMMYFUNCTION("""COMPUTED_VALUE"""),"ITG")</f>
        <v>ITG</v>
      </c>
      <c r="E291" s="15" t="str">
        <f>IFERROR(__xludf.DUMMYFUNCTION("""COMPUTED_VALUE"""),"MARANATA ITUMBIARA")</f>
        <v>MARANATA ITUMBIARA</v>
      </c>
      <c r="F291" s="15" t="str">
        <f>IFERROR(__xludf.DUMMYFUNCTION("""COMPUTED_VALUE"""),"TRIFIL")</f>
        <v>TRIFIL</v>
      </c>
      <c r="G291" s="15" t="str">
        <f>IFERROR(__xludf.DUMMYFUNCTION("""COMPUTED_VALUE"""),"266803523")</f>
        <v>266803523</v>
      </c>
      <c r="H291" s="15" t="str">
        <f>IFERROR(__xludf.DUMMYFUNCTION("""COMPUTED_VALUE"""),"1305406")</f>
        <v>1305406</v>
      </c>
      <c r="I291" s="15" t="str">
        <f>IFERROR(__xludf.DUMMYFUNCTION("""COMPUTED_VALUE"""),"8176916")</f>
        <v>8176916</v>
      </c>
      <c r="J291" s="15" t="str">
        <f>IFERROR(__xludf.DUMMYFUNCTION("""COMPUTED_VALUE"""),"CIF")</f>
        <v>CIF</v>
      </c>
      <c r="K291" s="15" t="str">
        <f>IFERROR(__xludf.DUMMYFUNCTION("""COMPUTED_VALUE"""),"SAO-1")</f>
        <v>SAO-1</v>
      </c>
      <c r="L291" s="15" t="str">
        <f>IFERROR(__xludf.DUMMYFUNCTION("""COMPUTED_VALUE"""),"AUTORIZADO")</f>
        <v>AUTORIZADO</v>
      </c>
      <c r="M291" s="15" t="str">
        <f>IFERROR(__xludf.DUMMYFUNCTION("""COMPUTED_VALUE"""),"NA ORIGEM")</f>
        <v>NA ORIGEM</v>
      </c>
      <c r="N291" s="15" t="str">
        <f>IFERROR(__xludf.DUMMYFUNCTION("""COMPUTED_VALUE"""),"Antes Prazo")</f>
        <v>Antes Prazo</v>
      </c>
      <c r="O291" s="15" t="str">
        <f>IFERROR(__xludf.DUMMYFUNCTION("""COMPUTED_VALUE"""),"B2B")</f>
        <v>B2B</v>
      </c>
      <c r="P291" s="16">
        <f>IFERROR(__xludf.DUMMYFUNCTION("""COMPUTED_VALUE"""),56.59)</f>
        <v>56.59</v>
      </c>
      <c r="Q291" s="15">
        <f>IFERROR(__xludf.DUMMYFUNCTION("""COMPUTED_VALUE"""),1.0)</f>
        <v>1</v>
      </c>
      <c r="R291" s="15" t="str">
        <f>IFERROR(__xludf.DUMMYFUNCTION("""COMPUTED_VALUE"""),"RODO")</f>
        <v>RODO</v>
      </c>
      <c r="S291" s="15" t="str">
        <f>IFERROR(__xludf.DUMMYFUNCTION("""COMPUTED_VALUE"""),"ITN")</f>
        <v>ITN</v>
      </c>
      <c r="T291" s="15" t="str">
        <f>IFERROR(__xludf.DUMMYFUNCTION("""COMPUTED_VALUE"""),"1")</f>
        <v>1</v>
      </c>
      <c r="U291" s="15" t="str">
        <f>IFERROR(__xludf.DUMMYFUNCTION("""COMPUTED_VALUE"""),"266803523 1305406 8176916 maranata itumbiara trifil itg 1")</f>
        <v>266803523 1305406 8176916 maranata itumbiara trifil itg 1</v>
      </c>
      <c r="V291" s="15" t="b">
        <f>IFERROR(__xludf.DUMMYFUNCTION("""COMPUTED_VALUE"""),FALSE)</f>
        <v>0</v>
      </c>
    </row>
    <row r="292">
      <c r="A292" s="19">
        <f>IFERROR(__xludf.DUMMYFUNCTION("""COMPUTED_VALUE"""),46304.0)</f>
        <v>46304</v>
      </c>
      <c r="B292" s="19">
        <f>IFERROR(__xludf.DUMMYFUNCTION("""COMPUTED_VALUE"""),46318.0)</f>
        <v>46318</v>
      </c>
      <c r="C292" s="15">
        <f>IFERROR(__xludf.DUMMYFUNCTION("""COMPUTED_VALUE"""),9.0)</f>
        <v>9</v>
      </c>
      <c r="D292" s="15" t="str">
        <f>IFERROR(__xludf.DUMMYFUNCTION("""COMPUTED_VALUE"""),"ITG")</f>
        <v>ITG</v>
      </c>
      <c r="E292" s="15" t="str">
        <f>IFERROR(__xludf.DUMMYFUNCTION("""COMPUTED_VALUE"""),"ATUAL TECIDOS LTDA")</f>
        <v>ATUAL TECIDOS LTDA</v>
      </c>
      <c r="F292" s="15" t="str">
        <f>IFERROR(__xludf.DUMMYFUNCTION("""COMPUTED_VALUE"""),"TRIFIL")</f>
        <v>TRIFIL</v>
      </c>
      <c r="G292" s="15" t="str">
        <f>IFERROR(__xludf.DUMMYFUNCTION("""COMPUTED_VALUE"""),"266803524")</f>
        <v>266803524</v>
      </c>
      <c r="H292" s="15" t="str">
        <f>IFERROR(__xludf.DUMMYFUNCTION("""COMPUTED_VALUE"""),"1304822")</f>
        <v>1304822</v>
      </c>
      <c r="I292" s="15" t="str">
        <f>IFERROR(__xludf.DUMMYFUNCTION("""COMPUTED_VALUE"""),"8177063")</f>
        <v>8177063</v>
      </c>
      <c r="J292" s="15" t="str">
        <f>IFERROR(__xludf.DUMMYFUNCTION("""COMPUTED_VALUE"""),"CIF")</f>
        <v>CIF</v>
      </c>
      <c r="K292" s="15" t="str">
        <f>IFERROR(__xludf.DUMMYFUNCTION("""COMPUTED_VALUE"""),"(sem célula)")</f>
        <v>(sem célula)</v>
      </c>
      <c r="L292" s="15" t="str">
        <f>IFERROR(__xludf.DUMMYFUNCTION("""COMPUTED_VALUE"""),"AUTORIZADO")</f>
        <v>AUTORIZADO</v>
      </c>
      <c r="M292" s="15" t="str">
        <f>IFERROR(__xludf.DUMMYFUNCTION("""COMPUTED_VALUE"""),"NA ORIGEM")</f>
        <v>NA ORIGEM</v>
      </c>
      <c r="N292" s="15" t="str">
        <f>IFERROR(__xludf.DUMMYFUNCTION("""COMPUTED_VALUE"""),"Antes Prazo")</f>
        <v>Antes Prazo</v>
      </c>
      <c r="O292" s="15" t="str">
        <f>IFERROR(__xludf.DUMMYFUNCTION("""COMPUTED_VALUE"""),"B2B")</f>
        <v>B2B</v>
      </c>
      <c r="P292" s="16">
        <f>IFERROR(__xludf.DUMMYFUNCTION("""COMPUTED_VALUE"""),63.12)</f>
        <v>63.12</v>
      </c>
      <c r="Q292" s="15">
        <f>IFERROR(__xludf.DUMMYFUNCTION("""COMPUTED_VALUE"""),1.0)</f>
        <v>1</v>
      </c>
      <c r="R292" s="15" t="str">
        <f>IFERROR(__xludf.DUMMYFUNCTION("""COMPUTED_VALUE"""),"RODO")</f>
        <v>RODO</v>
      </c>
      <c r="S292" s="15" t="str">
        <f>IFERROR(__xludf.DUMMYFUNCTION("""COMPUTED_VALUE"""),"ITN")</f>
        <v>ITN</v>
      </c>
      <c r="T292" s="15" t="str">
        <f>IFERROR(__xludf.DUMMYFUNCTION("""COMPUTED_VALUE"""),"103")</f>
        <v>103</v>
      </c>
      <c r="U292" s="15" t="str">
        <f>IFERROR(__xludf.DUMMYFUNCTION("""COMPUTED_VALUE"""),"266803524 1304822 8177063 atual tecidos ltda trifil itg 103")</f>
        <v>266803524 1304822 8177063 atual tecidos ltda trifil itg 103</v>
      </c>
      <c r="V292" s="15" t="b">
        <f>IFERROR(__xludf.DUMMYFUNCTION("""COMPUTED_VALUE"""),FALSE)</f>
        <v>0</v>
      </c>
    </row>
    <row r="293">
      <c r="A293" s="19">
        <f>IFERROR(__xludf.DUMMYFUNCTION("""COMPUTED_VALUE"""),46304.0)</f>
        <v>46304</v>
      </c>
      <c r="B293" s="19">
        <f>IFERROR(__xludf.DUMMYFUNCTION("""COMPUTED_VALUE"""),46318.0)</f>
        <v>46318</v>
      </c>
      <c r="C293" s="15">
        <f>IFERROR(__xludf.DUMMYFUNCTION("""COMPUTED_VALUE"""),9.0)</f>
        <v>9</v>
      </c>
      <c r="D293" s="15" t="str">
        <f>IFERROR(__xludf.DUMMYFUNCTION("""COMPUTED_VALUE"""),"ITG")</f>
        <v>ITG</v>
      </c>
      <c r="E293" s="15" t="str">
        <f>IFERROR(__xludf.DUMMYFUNCTION("""COMPUTED_VALUE"""),"Avila E Silva Ltda")</f>
        <v>Avila E Silva Ltda</v>
      </c>
      <c r="F293" s="15" t="str">
        <f>IFERROR(__xludf.DUMMYFUNCTION("""COMPUTED_VALUE"""),"TRIFIL")</f>
        <v>TRIFIL</v>
      </c>
      <c r="G293" s="15" t="str">
        <f>IFERROR(__xludf.DUMMYFUNCTION("""COMPUTED_VALUE"""),"266803525")</f>
        <v>266803525</v>
      </c>
      <c r="H293" s="15" t="str">
        <f>IFERROR(__xludf.DUMMYFUNCTION("""COMPUTED_VALUE"""),"1305242")</f>
        <v>1305242</v>
      </c>
      <c r="I293" s="15" t="str">
        <f>IFERROR(__xludf.DUMMYFUNCTION("""COMPUTED_VALUE"""),"8176823")</f>
        <v>8176823</v>
      </c>
      <c r="J293" s="15" t="str">
        <f>IFERROR(__xludf.DUMMYFUNCTION("""COMPUTED_VALUE"""),"CIF")</f>
        <v>CIF</v>
      </c>
      <c r="K293" s="15" t="str">
        <f>IFERROR(__xludf.DUMMYFUNCTION("""COMPUTED_VALUE"""),"SAO-1")</f>
        <v>SAO-1</v>
      </c>
      <c r="L293" s="15" t="str">
        <f>IFERROR(__xludf.DUMMYFUNCTION("""COMPUTED_VALUE"""),"AUTORIZADO")</f>
        <v>AUTORIZADO</v>
      </c>
      <c r="M293" s="15" t="str">
        <f>IFERROR(__xludf.DUMMYFUNCTION("""COMPUTED_VALUE"""),"NA ORIGEM")</f>
        <v>NA ORIGEM</v>
      </c>
      <c r="N293" s="15" t="str">
        <f>IFERROR(__xludf.DUMMYFUNCTION("""COMPUTED_VALUE"""),"Antes Prazo")</f>
        <v>Antes Prazo</v>
      </c>
      <c r="O293" s="15" t="str">
        <f>IFERROR(__xludf.DUMMYFUNCTION("""COMPUTED_VALUE"""),"B2B")</f>
        <v>B2B</v>
      </c>
      <c r="P293" s="16">
        <f>IFERROR(__xludf.DUMMYFUNCTION("""COMPUTED_VALUE"""),63.12)</f>
        <v>63.12</v>
      </c>
      <c r="Q293" s="15">
        <f>IFERROR(__xludf.DUMMYFUNCTION("""COMPUTED_VALUE"""),1.0)</f>
        <v>1</v>
      </c>
      <c r="R293" s="15" t="str">
        <f>IFERROR(__xludf.DUMMYFUNCTION("""COMPUTED_VALUE"""),"RODO")</f>
        <v>RODO</v>
      </c>
      <c r="S293" s="15" t="str">
        <f>IFERROR(__xludf.DUMMYFUNCTION("""COMPUTED_VALUE"""),"ITN")</f>
        <v>ITN</v>
      </c>
      <c r="T293" s="15" t="str">
        <f>IFERROR(__xludf.DUMMYFUNCTION("""COMPUTED_VALUE"""),"103")</f>
        <v>103</v>
      </c>
      <c r="U293" s="15" t="str">
        <f>IFERROR(__xludf.DUMMYFUNCTION("""COMPUTED_VALUE"""),"266803525 1305242 8176823 avila e silva ltda trifil itg 103")</f>
        <v>266803525 1305242 8176823 avila e silva ltda trifil itg 103</v>
      </c>
      <c r="V293" s="15" t="b">
        <f>IFERROR(__xludf.DUMMYFUNCTION("""COMPUTED_VALUE"""),FALSE)</f>
        <v>0</v>
      </c>
    </row>
    <row r="294">
      <c r="A294" s="19">
        <f>IFERROR(__xludf.DUMMYFUNCTION("""COMPUTED_VALUE"""),46304.0)</f>
        <v>46304</v>
      </c>
      <c r="B294" s="19">
        <f>IFERROR(__xludf.DUMMYFUNCTION("""COMPUTED_VALUE"""),46318.0)</f>
        <v>46318</v>
      </c>
      <c r="C294" s="15">
        <f>IFERROR(__xludf.DUMMYFUNCTION("""COMPUTED_VALUE"""),9.0)</f>
        <v>9</v>
      </c>
      <c r="D294" s="15" t="str">
        <f>IFERROR(__xludf.DUMMYFUNCTION("""COMPUTED_VALUE"""),"ITG")</f>
        <v>ITG</v>
      </c>
      <c r="E294" s="15" t="str">
        <f>IFERROR(__xludf.DUMMYFUNCTION("""COMPUTED_VALUE"""),"Eduardo Avila da Silva Carvalho")</f>
        <v>Eduardo Avila da Silva Carvalho</v>
      </c>
      <c r="F294" s="15" t="str">
        <f>IFERROR(__xludf.DUMMYFUNCTION("""COMPUTED_VALUE"""),"TRIFIL")</f>
        <v>TRIFIL</v>
      </c>
      <c r="G294" s="15" t="str">
        <f>IFERROR(__xludf.DUMMYFUNCTION("""COMPUTED_VALUE"""),"266803526")</f>
        <v>266803526</v>
      </c>
      <c r="H294" s="15" t="str">
        <f>IFERROR(__xludf.DUMMYFUNCTION("""COMPUTED_VALUE"""),"1305247")</f>
        <v>1305247</v>
      </c>
      <c r="I294" s="15" t="str">
        <f>IFERROR(__xludf.DUMMYFUNCTION("""COMPUTED_VALUE"""),"8177045")</f>
        <v>8177045</v>
      </c>
      <c r="J294" s="15" t="str">
        <f>IFERROR(__xludf.DUMMYFUNCTION("""COMPUTED_VALUE"""),"CIF")</f>
        <v>CIF</v>
      </c>
      <c r="K294" s="15" t="str">
        <f>IFERROR(__xludf.DUMMYFUNCTION("""COMPUTED_VALUE"""),"(sem célula)")</f>
        <v>(sem célula)</v>
      </c>
      <c r="L294" s="15" t="str">
        <f>IFERROR(__xludf.DUMMYFUNCTION("""COMPUTED_VALUE"""),"AUTORIZADO")</f>
        <v>AUTORIZADO</v>
      </c>
      <c r="M294" s="15" t="str">
        <f>IFERROR(__xludf.DUMMYFUNCTION("""COMPUTED_VALUE"""),"NA ORIGEM")</f>
        <v>NA ORIGEM</v>
      </c>
      <c r="N294" s="15" t="str">
        <f>IFERROR(__xludf.DUMMYFUNCTION("""COMPUTED_VALUE"""),"Antes Prazo")</f>
        <v>Antes Prazo</v>
      </c>
      <c r="O294" s="15" t="str">
        <f>IFERROR(__xludf.DUMMYFUNCTION("""COMPUTED_VALUE"""),"B2B")</f>
        <v>B2B</v>
      </c>
      <c r="P294" s="16">
        <f>IFERROR(__xludf.DUMMYFUNCTION("""COMPUTED_VALUE"""),63.12)</f>
        <v>63.12</v>
      </c>
      <c r="Q294" s="15">
        <f>IFERROR(__xludf.DUMMYFUNCTION("""COMPUTED_VALUE"""),1.0)</f>
        <v>1</v>
      </c>
      <c r="R294" s="15" t="str">
        <f>IFERROR(__xludf.DUMMYFUNCTION("""COMPUTED_VALUE"""),"RODO")</f>
        <v>RODO</v>
      </c>
      <c r="S294" s="15" t="str">
        <f>IFERROR(__xludf.DUMMYFUNCTION("""COMPUTED_VALUE"""),"ITN")</f>
        <v>ITN</v>
      </c>
      <c r="T294" s="15" t="str">
        <f>IFERROR(__xludf.DUMMYFUNCTION("""COMPUTED_VALUE"""),"103")</f>
        <v>103</v>
      </c>
      <c r="U294" s="15" t="str">
        <f>IFERROR(__xludf.DUMMYFUNCTION("""COMPUTED_VALUE"""),"266803526 1305247 8177045 eduardo avila da silva carvalho trifil itg 103")</f>
        <v>266803526 1305247 8177045 eduardo avila da silva carvalho trifil itg 103</v>
      </c>
      <c r="V294" s="15" t="b">
        <f>IFERROR(__xludf.DUMMYFUNCTION("""COMPUTED_VALUE"""),FALSE)</f>
        <v>0</v>
      </c>
    </row>
    <row r="295">
      <c r="A295" s="19">
        <f>IFERROR(__xludf.DUMMYFUNCTION("""COMPUTED_VALUE"""),46304.0)</f>
        <v>46304</v>
      </c>
      <c r="B295" s="19">
        <f>IFERROR(__xludf.DUMMYFUNCTION("""COMPUTED_VALUE"""),46318.0)</f>
        <v>46318</v>
      </c>
      <c r="C295" s="15">
        <f>IFERROR(__xludf.DUMMYFUNCTION("""COMPUTED_VALUE"""),9.0)</f>
        <v>9</v>
      </c>
      <c r="D295" s="15" t="str">
        <f>IFERROR(__xludf.DUMMYFUNCTION("""COMPUTED_VALUE"""),"ITG")</f>
        <v>ITG</v>
      </c>
      <c r="E295" s="15" t="str">
        <f>IFERROR(__xludf.DUMMYFUNCTION("""COMPUTED_VALUE"""),"HIPER LOCAL MODAS DE MORRINHOS LTDA - EP")</f>
        <v>HIPER LOCAL MODAS DE MORRINHOS LTDA - EP</v>
      </c>
      <c r="F295" s="15" t="str">
        <f>IFERROR(__xludf.DUMMYFUNCTION("""COMPUTED_VALUE"""),"TRIFIL")</f>
        <v>TRIFIL</v>
      </c>
      <c r="G295" s="15" t="str">
        <f>IFERROR(__xludf.DUMMYFUNCTION("""COMPUTED_VALUE"""),"266803527")</f>
        <v>266803527</v>
      </c>
      <c r="H295" s="15" t="str">
        <f>IFERROR(__xludf.DUMMYFUNCTION("""COMPUTED_VALUE"""),"1304818")</f>
        <v>1304818</v>
      </c>
      <c r="I295" s="15" t="str">
        <f>IFERROR(__xludf.DUMMYFUNCTION("""COMPUTED_VALUE"""),"8177046")</f>
        <v>8177046</v>
      </c>
      <c r="J295" s="15" t="str">
        <f>IFERROR(__xludf.DUMMYFUNCTION("""COMPUTED_VALUE"""),"CIF")</f>
        <v>CIF</v>
      </c>
      <c r="K295" s="15" t="str">
        <f>IFERROR(__xludf.DUMMYFUNCTION("""COMPUTED_VALUE"""),"(sem célula)")</f>
        <v>(sem célula)</v>
      </c>
      <c r="L295" s="15" t="str">
        <f>IFERROR(__xludf.DUMMYFUNCTION("""COMPUTED_VALUE"""),"AUTORIZADO")</f>
        <v>AUTORIZADO</v>
      </c>
      <c r="M295" s="15" t="str">
        <f>IFERROR(__xludf.DUMMYFUNCTION("""COMPUTED_VALUE"""),"NA ORIGEM")</f>
        <v>NA ORIGEM</v>
      </c>
      <c r="N295" s="15" t="str">
        <f>IFERROR(__xludf.DUMMYFUNCTION("""COMPUTED_VALUE"""),"Antes Prazo")</f>
        <v>Antes Prazo</v>
      </c>
      <c r="O295" s="15" t="str">
        <f>IFERROR(__xludf.DUMMYFUNCTION("""COMPUTED_VALUE"""),"B2B")</f>
        <v>B2B</v>
      </c>
      <c r="P295" s="16">
        <f>IFERROR(__xludf.DUMMYFUNCTION("""COMPUTED_VALUE"""),63.12)</f>
        <v>63.12</v>
      </c>
      <c r="Q295" s="15">
        <f>IFERROR(__xludf.DUMMYFUNCTION("""COMPUTED_VALUE"""),1.0)</f>
        <v>1</v>
      </c>
      <c r="R295" s="15" t="str">
        <f>IFERROR(__xludf.DUMMYFUNCTION("""COMPUTED_VALUE"""),"RODO")</f>
        <v>RODO</v>
      </c>
      <c r="S295" s="15" t="str">
        <f>IFERROR(__xludf.DUMMYFUNCTION("""COMPUTED_VALUE"""),"ITN")</f>
        <v>ITN</v>
      </c>
      <c r="T295" s="15" t="str">
        <f>IFERROR(__xludf.DUMMYFUNCTION("""COMPUTED_VALUE"""),"103")</f>
        <v>103</v>
      </c>
      <c r="U295" s="15" t="str">
        <f>IFERROR(__xludf.DUMMYFUNCTION("""COMPUTED_VALUE"""),"266803527 1304818 8177046 hiper local modas de morrinhos ltda - ep trifil itg 103")</f>
        <v>266803527 1304818 8177046 hiper local modas de morrinhos ltda - ep trifil itg 103</v>
      </c>
      <c r="V295" s="15" t="b">
        <f>IFERROR(__xludf.DUMMYFUNCTION("""COMPUTED_VALUE"""),FALSE)</f>
        <v>0</v>
      </c>
    </row>
    <row r="296">
      <c r="A296" s="19">
        <f>IFERROR(__xludf.DUMMYFUNCTION("""COMPUTED_VALUE"""),46304.0)</f>
        <v>46304</v>
      </c>
      <c r="B296" s="19">
        <f>IFERROR(__xludf.DUMMYFUNCTION("""COMPUTED_VALUE"""),46324.0)</f>
        <v>46324</v>
      </c>
      <c r="C296" s="15">
        <f>IFERROR(__xludf.DUMMYFUNCTION("""COMPUTED_VALUE"""),13.0)</f>
        <v>13</v>
      </c>
      <c r="D296" s="15" t="str">
        <f>IFERROR(__xludf.DUMMYFUNCTION("""COMPUTED_VALUE"""),"RVD")</f>
        <v>RVD</v>
      </c>
      <c r="E296" s="15" t="str">
        <f>IFERROR(__xludf.DUMMYFUNCTION("""COMPUTED_VALUE"""),"ESPAÇO MODAS")</f>
        <v>ESPAÇO MODAS</v>
      </c>
      <c r="F296" s="15" t="str">
        <f>IFERROR(__xludf.DUMMYFUNCTION("""COMPUTED_VALUE"""),"TRIFIL")</f>
        <v>TRIFIL</v>
      </c>
      <c r="G296" s="15" t="str">
        <f>IFERROR(__xludf.DUMMYFUNCTION("""COMPUTED_VALUE"""),"266803528")</f>
        <v>266803528</v>
      </c>
      <c r="H296" s="15" t="str">
        <f>IFERROR(__xludf.DUMMYFUNCTION("""COMPUTED_VALUE"""),"1305413")</f>
        <v>1305413</v>
      </c>
      <c r="I296" s="15" t="str">
        <f>IFERROR(__xludf.DUMMYFUNCTION("""COMPUTED_VALUE"""),"8176995")</f>
        <v>8176995</v>
      </c>
      <c r="J296" s="15" t="str">
        <f>IFERROR(__xludf.DUMMYFUNCTION("""COMPUTED_VALUE"""),"CIF")</f>
        <v>CIF</v>
      </c>
      <c r="K296" s="15" t="str">
        <f>IFERROR(__xludf.DUMMYFUNCTION("""COMPUTED_VALUE"""),"SAO-1")</f>
        <v>SAO-1</v>
      </c>
      <c r="L296" s="15" t="str">
        <f>IFERROR(__xludf.DUMMYFUNCTION("""COMPUTED_VALUE"""),"AUTORIZADO")</f>
        <v>AUTORIZADO</v>
      </c>
      <c r="M296" s="15" t="str">
        <f>IFERROR(__xludf.DUMMYFUNCTION("""COMPUTED_VALUE"""),"NA ORIGEM")</f>
        <v>NA ORIGEM</v>
      </c>
      <c r="N296" s="15" t="str">
        <f>IFERROR(__xludf.DUMMYFUNCTION("""COMPUTED_VALUE"""),"Antes Prazo")</f>
        <v>Antes Prazo</v>
      </c>
      <c r="O296" s="15" t="str">
        <f>IFERROR(__xludf.DUMMYFUNCTION("""COMPUTED_VALUE"""),"B2B")</f>
        <v>B2B</v>
      </c>
      <c r="P296" s="16">
        <f>IFERROR(__xludf.DUMMYFUNCTION("""COMPUTED_VALUE"""),63.12)</f>
        <v>63.12</v>
      </c>
      <c r="Q296" s="15">
        <f>IFERROR(__xludf.DUMMYFUNCTION("""COMPUTED_VALUE"""),1.0)</f>
        <v>1</v>
      </c>
      <c r="R296" s="15" t="str">
        <f>IFERROR(__xludf.DUMMYFUNCTION("""COMPUTED_VALUE"""),"RODO")</f>
        <v>RODO</v>
      </c>
      <c r="S296" s="15" t="str">
        <f>IFERROR(__xludf.DUMMYFUNCTION("""COMPUTED_VALUE"""),"ITN")</f>
        <v>ITN</v>
      </c>
      <c r="T296" s="15" t="str">
        <f>IFERROR(__xludf.DUMMYFUNCTION("""COMPUTED_VALUE"""),"103")</f>
        <v>103</v>
      </c>
      <c r="U296" s="15" t="str">
        <f>IFERROR(__xludf.DUMMYFUNCTION("""COMPUTED_VALUE"""),"266803528 1305413 8176995 espaço modas trifil rvd 103")</f>
        <v>266803528 1305413 8176995 espaço modas trifil rvd 103</v>
      </c>
      <c r="V296" s="15" t="b">
        <f>IFERROR(__xludf.DUMMYFUNCTION("""COMPUTED_VALUE"""),FALSE)</f>
        <v>0</v>
      </c>
    </row>
    <row r="297">
      <c r="A297" s="19">
        <f>IFERROR(__xludf.DUMMYFUNCTION("""COMPUTED_VALUE"""),46304.0)</f>
        <v>46304</v>
      </c>
      <c r="B297" s="19">
        <f>IFERROR(__xludf.DUMMYFUNCTION("""COMPUTED_VALUE"""),46322.0)</f>
        <v>46322</v>
      </c>
      <c r="C297" s="15">
        <f>IFERROR(__xludf.DUMMYFUNCTION("""COMPUTED_VALUE"""),11.0)</f>
        <v>11</v>
      </c>
      <c r="D297" s="15" t="str">
        <f>IFERROR(__xludf.DUMMYFUNCTION("""COMPUTED_VALUE"""),"PGT")</f>
        <v>PGT</v>
      </c>
      <c r="E297" s="15" t="str">
        <f>IFERROR(__xludf.DUMMYFUNCTION("""COMPUTED_VALUE"""),"DESTAK URUACU COMERCIO DE CALCADOS LTDA")</f>
        <v>DESTAK URUACU COMERCIO DE CALCADOS LTDA</v>
      </c>
      <c r="F297" s="15" t="str">
        <f>IFERROR(__xludf.DUMMYFUNCTION("""COMPUTED_VALUE"""),"TRIFIL")</f>
        <v>TRIFIL</v>
      </c>
      <c r="G297" s="15" t="str">
        <f>IFERROR(__xludf.DUMMYFUNCTION("""COMPUTED_VALUE"""),"266803529")</f>
        <v>266803529</v>
      </c>
      <c r="H297" s="15" t="str">
        <f>IFERROR(__xludf.DUMMYFUNCTION("""COMPUTED_VALUE"""),"1305729")</f>
        <v>1305729</v>
      </c>
      <c r="I297" s="15" t="str">
        <f>IFERROR(__xludf.DUMMYFUNCTION("""COMPUTED_VALUE"""),"8176889")</f>
        <v>8176889</v>
      </c>
      <c r="J297" s="15" t="str">
        <f>IFERROR(__xludf.DUMMYFUNCTION("""COMPUTED_VALUE"""),"CIF")</f>
        <v>CIF</v>
      </c>
      <c r="K297" s="15" t="str">
        <f>IFERROR(__xludf.DUMMYFUNCTION("""COMPUTED_VALUE"""),"SAO-1")</f>
        <v>SAO-1</v>
      </c>
      <c r="L297" s="15" t="str">
        <f>IFERROR(__xludf.DUMMYFUNCTION("""COMPUTED_VALUE"""),"AUTORIZADO")</f>
        <v>AUTORIZADO</v>
      </c>
      <c r="M297" s="15" t="str">
        <f>IFERROR(__xludf.DUMMYFUNCTION("""COMPUTED_VALUE"""),"NA ORIGEM")</f>
        <v>NA ORIGEM</v>
      </c>
      <c r="N297" s="15" t="str">
        <f>IFERROR(__xludf.DUMMYFUNCTION("""COMPUTED_VALUE"""),"Antes Prazo")</f>
        <v>Antes Prazo</v>
      </c>
      <c r="O297" s="15" t="str">
        <f>IFERROR(__xludf.DUMMYFUNCTION("""COMPUTED_VALUE"""),"B2B")</f>
        <v>B2B</v>
      </c>
      <c r="P297" s="16">
        <f>IFERROR(__xludf.DUMMYFUNCTION("""COMPUTED_VALUE"""),63.12)</f>
        <v>63.12</v>
      </c>
      <c r="Q297" s="15">
        <f>IFERROR(__xludf.DUMMYFUNCTION("""COMPUTED_VALUE"""),1.0)</f>
        <v>1</v>
      </c>
      <c r="R297" s="15" t="str">
        <f>IFERROR(__xludf.DUMMYFUNCTION("""COMPUTED_VALUE"""),"RODO")</f>
        <v>RODO</v>
      </c>
      <c r="S297" s="15" t="str">
        <f>IFERROR(__xludf.DUMMYFUNCTION("""COMPUTED_VALUE"""),"ITN")</f>
        <v>ITN</v>
      </c>
      <c r="T297" s="15" t="str">
        <f>IFERROR(__xludf.DUMMYFUNCTION("""COMPUTED_VALUE"""),"101")</f>
        <v>101</v>
      </c>
      <c r="U297" s="15" t="str">
        <f>IFERROR(__xludf.DUMMYFUNCTION("""COMPUTED_VALUE"""),"266803529 1305729 8176889 destak uruacu comercio de calcados ltda trifil pgt 101")</f>
        <v>266803529 1305729 8176889 destak uruacu comercio de calcados ltda trifil pgt 101</v>
      </c>
      <c r="V297" s="15" t="b">
        <f>IFERROR(__xludf.DUMMYFUNCTION("""COMPUTED_VALUE"""),FALSE)</f>
        <v>0</v>
      </c>
    </row>
    <row r="298">
      <c r="A298" s="19">
        <f>IFERROR(__xludf.DUMMYFUNCTION("""COMPUTED_VALUE"""),46304.0)</f>
        <v>46304</v>
      </c>
      <c r="B298" s="19">
        <f>IFERROR(__xludf.DUMMYFUNCTION("""COMPUTED_VALUE"""),46322.0)</f>
        <v>46322</v>
      </c>
      <c r="C298" s="15">
        <f>IFERROR(__xludf.DUMMYFUNCTION("""COMPUTED_VALUE"""),11.0)</f>
        <v>11</v>
      </c>
      <c r="D298" s="15" t="str">
        <f>IFERROR(__xludf.DUMMYFUNCTION("""COMPUTED_VALUE"""),"PGT")</f>
        <v>PGT</v>
      </c>
      <c r="E298" s="15" t="str">
        <f>IFERROR(__xludf.DUMMYFUNCTION("""COMPUTED_VALUE"""),"DESTAK MODAS - CAMPINORTE")</f>
        <v>DESTAK MODAS - CAMPINORTE</v>
      </c>
      <c r="F298" s="15" t="str">
        <f>IFERROR(__xludf.DUMMYFUNCTION("""COMPUTED_VALUE"""),"TRIFIL")</f>
        <v>TRIFIL</v>
      </c>
      <c r="G298" s="15" t="str">
        <f>IFERROR(__xludf.DUMMYFUNCTION("""COMPUTED_VALUE"""),"266803530")</f>
        <v>266803530</v>
      </c>
      <c r="H298" s="15" t="str">
        <f>IFERROR(__xludf.DUMMYFUNCTION("""COMPUTED_VALUE"""),"1305740")</f>
        <v>1305740</v>
      </c>
      <c r="I298" s="15" t="str">
        <f>IFERROR(__xludf.DUMMYFUNCTION("""COMPUTED_VALUE"""),"8176857")</f>
        <v>8176857</v>
      </c>
      <c r="J298" s="15" t="str">
        <f>IFERROR(__xludf.DUMMYFUNCTION("""COMPUTED_VALUE"""),"CIF")</f>
        <v>CIF</v>
      </c>
      <c r="K298" s="15" t="str">
        <f>IFERROR(__xludf.DUMMYFUNCTION("""COMPUTED_VALUE"""),"(sem célula)")</f>
        <v>(sem célula)</v>
      </c>
      <c r="L298" s="15" t="str">
        <f>IFERROR(__xludf.DUMMYFUNCTION("""COMPUTED_VALUE"""),"AUTORIZADO")</f>
        <v>AUTORIZADO</v>
      </c>
      <c r="M298" s="15" t="str">
        <f>IFERROR(__xludf.DUMMYFUNCTION("""COMPUTED_VALUE"""),"NA ORIGEM")</f>
        <v>NA ORIGEM</v>
      </c>
      <c r="N298" s="15" t="str">
        <f>IFERROR(__xludf.DUMMYFUNCTION("""COMPUTED_VALUE"""),"Antes Prazo")</f>
        <v>Antes Prazo</v>
      </c>
      <c r="O298" s="15" t="str">
        <f>IFERROR(__xludf.DUMMYFUNCTION("""COMPUTED_VALUE"""),"B2B")</f>
        <v>B2B</v>
      </c>
      <c r="P298" s="16">
        <f>IFERROR(__xludf.DUMMYFUNCTION("""COMPUTED_VALUE"""),63.12)</f>
        <v>63.12</v>
      </c>
      <c r="Q298" s="15">
        <f>IFERROR(__xludf.DUMMYFUNCTION("""COMPUTED_VALUE"""),1.0)</f>
        <v>1</v>
      </c>
      <c r="R298" s="15" t="str">
        <f>IFERROR(__xludf.DUMMYFUNCTION("""COMPUTED_VALUE"""),"RODO")</f>
        <v>RODO</v>
      </c>
      <c r="S298" s="15" t="str">
        <f>IFERROR(__xludf.DUMMYFUNCTION("""COMPUTED_VALUE"""),"ITN")</f>
        <v>ITN</v>
      </c>
      <c r="T298" s="15" t="str">
        <f>IFERROR(__xludf.DUMMYFUNCTION("""COMPUTED_VALUE"""),"101")</f>
        <v>101</v>
      </c>
      <c r="U298" s="15" t="str">
        <f>IFERROR(__xludf.DUMMYFUNCTION("""COMPUTED_VALUE"""),"266803530 1305740 8176857 destak modas - campinorte trifil pgt 101")</f>
        <v>266803530 1305740 8176857 destak modas - campinorte trifil pgt 101</v>
      </c>
      <c r="V298" s="15" t="b">
        <f>IFERROR(__xludf.DUMMYFUNCTION("""COMPUTED_VALUE"""),FALSE)</f>
        <v>0</v>
      </c>
    </row>
    <row r="299">
      <c r="A299" s="19">
        <f>IFERROR(__xludf.DUMMYFUNCTION("""COMPUTED_VALUE"""),46304.0)</f>
        <v>46304</v>
      </c>
      <c r="B299" s="19">
        <f>IFERROR(__xludf.DUMMYFUNCTION("""COMPUTED_VALUE"""),46323.0)</f>
        <v>46323</v>
      </c>
      <c r="C299" s="15">
        <f>IFERROR(__xludf.DUMMYFUNCTION("""COMPUTED_VALUE"""),12.0)</f>
        <v>12</v>
      </c>
      <c r="D299" s="15" t="str">
        <f>IFERROR(__xludf.DUMMYFUNCTION("""COMPUTED_VALUE"""),"PGT")</f>
        <v>PGT</v>
      </c>
      <c r="E299" s="15" t="str">
        <f>IFERROR(__xludf.DUMMYFUNCTION("""COMPUTED_VALUE"""),"CASA DE TECIDOS ECONOMICA LTDA(000101775")</f>
        <v>CASA DE TECIDOS ECONOMICA LTDA(000101775</v>
      </c>
      <c r="F299" s="15" t="str">
        <f>IFERROR(__xludf.DUMMYFUNCTION("""COMPUTED_VALUE"""),"TRIFIL")</f>
        <v>TRIFIL</v>
      </c>
      <c r="G299" s="15" t="str">
        <f>IFERROR(__xludf.DUMMYFUNCTION("""COMPUTED_VALUE"""),"266803531")</f>
        <v>266803531</v>
      </c>
      <c r="H299" s="15" t="str">
        <f>IFERROR(__xludf.DUMMYFUNCTION("""COMPUTED_VALUE"""),"1305465")</f>
        <v>1305465</v>
      </c>
      <c r="I299" s="15" t="str">
        <f>IFERROR(__xludf.DUMMYFUNCTION("""COMPUTED_VALUE"""),"8176950")</f>
        <v>8176950</v>
      </c>
      <c r="J299" s="15" t="str">
        <f>IFERROR(__xludf.DUMMYFUNCTION("""COMPUTED_VALUE"""),"CIF")</f>
        <v>CIF</v>
      </c>
      <c r="K299" s="15" t="str">
        <f>IFERROR(__xludf.DUMMYFUNCTION("""COMPUTED_VALUE"""),"SAO-1")</f>
        <v>SAO-1</v>
      </c>
      <c r="L299" s="15" t="str">
        <f>IFERROR(__xludf.DUMMYFUNCTION("""COMPUTED_VALUE"""),"AUTORIZADO")</f>
        <v>AUTORIZADO</v>
      </c>
      <c r="M299" s="15" t="str">
        <f>IFERROR(__xludf.DUMMYFUNCTION("""COMPUTED_VALUE"""),"NA ORIGEM")</f>
        <v>NA ORIGEM</v>
      </c>
      <c r="N299" s="15" t="str">
        <f>IFERROR(__xludf.DUMMYFUNCTION("""COMPUTED_VALUE"""),"Antes Prazo")</f>
        <v>Antes Prazo</v>
      </c>
      <c r="O299" s="15" t="str">
        <f>IFERROR(__xludf.DUMMYFUNCTION("""COMPUTED_VALUE"""),"B2B")</f>
        <v>B2B</v>
      </c>
      <c r="P299" s="16">
        <f>IFERROR(__xludf.DUMMYFUNCTION("""COMPUTED_VALUE"""),63.12)</f>
        <v>63.12</v>
      </c>
      <c r="Q299" s="15">
        <f>IFERROR(__xludf.DUMMYFUNCTION("""COMPUTED_VALUE"""),1.0)</f>
        <v>1</v>
      </c>
      <c r="R299" s="15" t="str">
        <f>IFERROR(__xludf.DUMMYFUNCTION("""COMPUTED_VALUE"""),"RODO")</f>
        <v>RODO</v>
      </c>
      <c r="S299" s="15" t="str">
        <f>IFERROR(__xludf.DUMMYFUNCTION("""COMPUTED_VALUE"""),"ITN")</f>
        <v>ITN</v>
      </c>
      <c r="T299" s="15" t="str">
        <f>IFERROR(__xludf.DUMMYFUNCTION("""COMPUTED_VALUE"""),"103")</f>
        <v>103</v>
      </c>
      <c r="U299" s="15" t="str">
        <f>IFERROR(__xludf.DUMMYFUNCTION("""COMPUTED_VALUE"""),"266803531 1305465 8176950 casa de tecidos economica ltda(000101775 trifil pgt 103")</f>
        <v>266803531 1305465 8176950 casa de tecidos economica ltda(000101775 trifil pgt 103</v>
      </c>
      <c r="V299" s="15" t="b">
        <f>IFERROR(__xludf.DUMMYFUNCTION("""COMPUTED_VALUE"""),FALSE)</f>
        <v>0</v>
      </c>
    </row>
    <row r="300">
      <c r="A300" s="19">
        <f>IFERROR(__xludf.DUMMYFUNCTION("""COMPUTED_VALUE"""),46304.0)</f>
        <v>46304</v>
      </c>
      <c r="B300" s="19">
        <f>IFERROR(__xludf.DUMMYFUNCTION("""COMPUTED_VALUE"""),46342.0)</f>
        <v>46342</v>
      </c>
      <c r="C300" s="15">
        <f>IFERROR(__xludf.DUMMYFUNCTION("""COMPUTED_VALUE"""),24.0)</f>
        <v>24</v>
      </c>
      <c r="D300" s="15" t="str">
        <f>IFERROR(__xludf.DUMMYFUNCTION("""COMPUTED_VALUE"""),"JPR")</f>
        <v>JPR</v>
      </c>
      <c r="E300" s="15" t="str">
        <f>IFERROR(__xludf.DUMMYFUNCTION("""COMPUTED_VALUE"""),"LOJA VARUNA")</f>
        <v>LOJA VARUNA</v>
      </c>
      <c r="F300" s="15" t="str">
        <f>IFERROR(__xludf.DUMMYFUNCTION("""COMPUTED_VALUE"""),"TRIFIL")</f>
        <v>TRIFIL</v>
      </c>
      <c r="G300" s="15" t="str">
        <f>IFERROR(__xludf.DUMMYFUNCTION("""COMPUTED_VALUE"""),"266803532")</f>
        <v>266803532</v>
      </c>
      <c r="H300" s="15" t="str">
        <f>IFERROR(__xludf.DUMMYFUNCTION("""COMPUTED_VALUE"""),"1305847")</f>
        <v>1305847</v>
      </c>
      <c r="I300" s="15" t="str">
        <f>IFERROR(__xludf.DUMMYFUNCTION("""COMPUTED_VALUE"""),"8176712")</f>
        <v>8176712</v>
      </c>
      <c r="J300" s="15" t="str">
        <f>IFERROR(__xludf.DUMMYFUNCTION("""COMPUTED_VALUE"""),"CIF")</f>
        <v>CIF</v>
      </c>
      <c r="K300" s="15" t="str">
        <f>IFERROR(__xludf.DUMMYFUNCTION("""COMPUTED_VALUE"""),"SAO-1")</f>
        <v>SAO-1</v>
      </c>
      <c r="L300" s="15" t="str">
        <f>IFERROR(__xludf.DUMMYFUNCTION("""COMPUTED_VALUE"""),"AUTORIZADO")</f>
        <v>AUTORIZADO</v>
      </c>
      <c r="M300" s="15" t="str">
        <f>IFERROR(__xludf.DUMMYFUNCTION("""COMPUTED_VALUE"""),"NA ORIGEM")</f>
        <v>NA ORIGEM</v>
      </c>
      <c r="N300" s="15" t="str">
        <f>IFERROR(__xludf.DUMMYFUNCTION("""COMPUTED_VALUE"""),"Antes Prazo")</f>
        <v>Antes Prazo</v>
      </c>
      <c r="O300" s="15" t="str">
        <f>IFERROR(__xludf.DUMMYFUNCTION("""COMPUTED_VALUE"""),"B2B")</f>
        <v>B2B</v>
      </c>
      <c r="P300" s="16">
        <f>IFERROR(__xludf.DUMMYFUNCTION("""COMPUTED_VALUE"""),119.2)</f>
        <v>119.2</v>
      </c>
      <c r="Q300" s="15">
        <f>IFERROR(__xludf.DUMMYFUNCTION("""COMPUTED_VALUE"""),1.0)</f>
        <v>1</v>
      </c>
      <c r="R300" s="15" t="str">
        <f>IFERROR(__xludf.DUMMYFUNCTION("""COMPUTED_VALUE"""),"RODO")</f>
        <v>RODO</v>
      </c>
      <c r="S300" s="15" t="str">
        <f>IFERROR(__xludf.DUMMYFUNCTION("""COMPUTED_VALUE"""),"ITN")</f>
        <v>ITN</v>
      </c>
      <c r="T300" s="15" t="str">
        <f>IFERROR(__xludf.DUMMYFUNCTION("""COMPUTED_VALUE"""),"1")</f>
        <v>1</v>
      </c>
      <c r="U300" s="15" t="str">
        <f>IFERROR(__xludf.DUMMYFUNCTION("""COMPUTED_VALUE"""),"266803532 1305847 8176712 loja varuna trifil jpr 1")</f>
        <v>266803532 1305847 8176712 loja varuna trifil jpr 1</v>
      </c>
      <c r="V300" s="15" t="b">
        <f>IFERROR(__xludf.DUMMYFUNCTION("""COMPUTED_VALUE"""),FALSE)</f>
        <v>0</v>
      </c>
    </row>
    <row r="301">
      <c r="A301" s="19">
        <f>IFERROR(__xludf.DUMMYFUNCTION("""COMPUTED_VALUE"""),46304.0)</f>
        <v>46304</v>
      </c>
      <c r="B301" s="19">
        <f>IFERROR(__xludf.DUMMYFUNCTION("""COMPUTED_VALUE"""),46342.0)</f>
        <v>46342</v>
      </c>
      <c r="C301" s="15">
        <f>IFERROR(__xludf.DUMMYFUNCTION("""COMPUTED_VALUE"""),24.0)</f>
        <v>24</v>
      </c>
      <c r="D301" s="15" t="str">
        <f>IFERROR(__xludf.DUMMYFUNCTION("""COMPUTED_VALUE"""),"JPR")</f>
        <v>JPR</v>
      </c>
      <c r="E301" s="15" t="str">
        <f>IFERROR(__xludf.DUMMYFUNCTION("""COMPUTED_VALUE"""),"H. S. CALCADOS E CONFECCOES LTDA")</f>
        <v>H. S. CALCADOS E CONFECCOES LTDA</v>
      </c>
      <c r="F301" s="15" t="str">
        <f>IFERROR(__xludf.DUMMYFUNCTION("""COMPUTED_VALUE"""),"TRIFIL")</f>
        <v>TRIFIL</v>
      </c>
      <c r="G301" s="15" t="str">
        <f>IFERROR(__xludf.DUMMYFUNCTION("""COMPUTED_VALUE"""),"266803533")</f>
        <v>266803533</v>
      </c>
      <c r="H301" s="15" t="str">
        <f>IFERROR(__xludf.DUMMYFUNCTION("""COMPUTED_VALUE"""),"1305853")</f>
        <v>1305853</v>
      </c>
      <c r="I301" s="15" t="str">
        <f>IFERROR(__xludf.DUMMYFUNCTION("""COMPUTED_VALUE"""),"8176996")</f>
        <v>8176996</v>
      </c>
      <c r="J301" s="15" t="str">
        <f>IFERROR(__xludf.DUMMYFUNCTION("""COMPUTED_VALUE"""),"CIF")</f>
        <v>CIF</v>
      </c>
      <c r="K301" s="15" t="str">
        <f>IFERROR(__xludf.DUMMYFUNCTION("""COMPUTED_VALUE"""),"SAO-1")</f>
        <v>SAO-1</v>
      </c>
      <c r="L301" s="15" t="str">
        <f>IFERROR(__xludf.DUMMYFUNCTION("""COMPUTED_VALUE"""),"AUTORIZADO")</f>
        <v>AUTORIZADO</v>
      </c>
      <c r="M301" s="15" t="str">
        <f>IFERROR(__xludf.DUMMYFUNCTION("""COMPUTED_VALUE"""),"NA ORIGEM")</f>
        <v>NA ORIGEM</v>
      </c>
      <c r="N301" s="15" t="str">
        <f>IFERROR(__xludf.DUMMYFUNCTION("""COMPUTED_VALUE"""),"Antes Prazo")</f>
        <v>Antes Prazo</v>
      </c>
      <c r="O301" s="15" t="str">
        <f>IFERROR(__xludf.DUMMYFUNCTION("""COMPUTED_VALUE"""),"B2B")</f>
        <v>B2B</v>
      </c>
      <c r="P301" s="16">
        <f>IFERROR(__xludf.DUMMYFUNCTION("""COMPUTED_VALUE"""),119.2)</f>
        <v>119.2</v>
      </c>
      <c r="Q301" s="15">
        <f>IFERROR(__xludf.DUMMYFUNCTION("""COMPUTED_VALUE"""),1.0)</f>
        <v>1</v>
      </c>
      <c r="R301" s="15" t="str">
        <f>IFERROR(__xludf.DUMMYFUNCTION("""COMPUTED_VALUE"""),"RODO")</f>
        <v>RODO</v>
      </c>
      <c r="S301" s="15" t="str">
        <f>IFERROR(__xludf.DUMMYFUNCTION("""COMPUTED_VALUE"""),"ITN")</f>
        <v>ITN</v>
      </c>
      <c r="T301" s="15" t="str">
        <f>IFERROR(__xludf.DUMMYFUNCTION("""COMPUTED_VALUE"""),"1")</f>
        <v>1</v>
      </c>
      <c r="U301" s="15" t="str">
        <f>IFERROR(__xludf.DUMMYFUNCTION("""COMPUTED_VALUE"""),"266803533 1305853 8176996 h. s. calcados e confeccoes ltda trifil jpr 1")</f>
        <v>266803533 1305853 8176996 h. s. calcados e confeccoes ltda trifil jpr 1</v>
      </c>
      <c r="V301" s="15" t="b">
        <f>IFERROR(__xludf.DUMMYFUNCTION("""COMPUTED_VALUE"""),FALSE)</f>
        <v>0</v>
      </c>
    </row>
    <row r="302">
      <c r="A302" s="19">
        <f>IFERROR(__xludf.DUMMYFUNCTION("""COMPUTED_VALUE"""),46304.0)</f>
        <v>46304</v>
      </c>
      <c r="B302" s="19">
        <f>IFERROR(__xludf.DUMMYFUNCTION("""COMPUTED_VALUE"""),46342.0)</f>
        <v>46342</v>
      </c>
      <c r="C302" s="15">
        <f>IFERROR(__xludf.DUMMYFUNCTION("""COMPUTED_VALUE"""),24.0)</f>
        <v>24</v>
      </c>
      <c r="D302" s="15" t="str">
        <f>IFERROR(__xludf.DUMMYFUNCTION("""COMPUTED_VALUE"""),"JPR")</f>
        <v>JPR</v>
      </c>
      <c r="E302" s="15" t="str">
        <f>IFERROR(__xludf.DUMMYFUNCTION("""COMPUTED_VALUE"""),"H. S. CALCADOS E CONFECCOES LTDA")</f>
        <v>H. S. CALCADOS E CONFECCOES LTDA</v>
      </c>
      <c r="F302" s="15" t="str">
        <f>IFERROR(__xludf.DUMMYFUNCTION("""COMPUTED_VALUE"""),"TRIFIL")</f>
        <v>TRIFIL</v>
      </c>
      <c r="G302" s="15" t="str">
        <f>IFERROR(__xludf.DUMMYFUNCTION("""COMPUTED_VALUE"""),"266803534")</f>
        <v>266803534</v>
      </c>
      <c r="H302" s="15" t="str">
        <f>IFERROR(__xludf.DUMMYFUNCTION("""COMPUTED_VALUE"""),"1305854")</f>
        <v>1305854</v>
      </c>
      <c r="I302" s="15" t="str">
        <f>IFERROR(__xludf.DUMMYFUNCTION("""COMPUTED_VALUE"""),"8176917")</f>
        <v>8176917</v>
      </c>
      <c r="J302" s="15" t="str">
        <f>IFERROR(__xludf.DUMMYFUNCTION("""COMPUTED_VALUE"""),"CIF")</f>
        <v>CIF</v>
      </c>
      <c r="K302" s="15" t="str">
        <f>IFERROR(__xludf.DUMMYFUNCTION("""COMPUTED_VALUE"""),"SAO-1")</f>
        <v>SAO-1</v>
      </c>
      <c r="L302" s="15" t="str">
        <f>IFERROR(__xludf.DUMMYFUNCTION("""COMPUTED_VALUE"""),"AUTORIZADO")</f>
        <v>AUTORIZADO</v>
      </c>
      <c r="M302" s="15" t="str">
        <f>IFERROR(__xludf.DUMMYFUNCTION("""COMPUTED_VALUE"""),"NA ORIGEM")</f>
        <v>NA ORIGEM</v>
      </c>
      <c r="N302" s="15" t="str">
        <f>IFERROR(__xludf.DUMMYFUNCTION("""COMPUTED_VALUE"""),"Antes Prazo")</f>
        <v>Antes Prazo</v>
      </c>
      <c r="O302" s="15" t="str">
        <f>IFERROR(__xludf.DUMMYFUNCTION("""COMPUTED_VALUE"""),"B2B")</f>
        <v>B2B</v>
      </c>
      <c r="P302" s="16">
        <f>IFERROR(__xludf.DUMMYFUNCTION("""COMPUTED_VALUE"""),119.2)</f>
        <v>119.2</v>
      </c>
      <c r="Q302" s="15">
        <f>IFERROR(__xludf.DUMMYFUNCTION("""COMPUTED_VALUE"""),1.0)</f>
        <v>1</v>
      </c>
      <c r="R302" s="15" t="str">
        <f>IFERROR(__xludf.DUMMYFUNCTION("""COMPUTED_VALUE"""),"RODO")</f>
        <v>RODO</v>
      </c>
      <c r="S302" s="15" t="str">
        <f>IFERROR(__xludf.DUMMYFUNCTION("""COMPUTED_VALUE"""),"ITN")</f>
        <v>ITN</v>
      </c>
      <c r="T302" s="15" t="str">
        <f>IFERROR(__xludf.DUMMYFUNCTION("""COMPUTED_VALUE"""),"1")</f>
        <v>1</v>
      </c>
      <c r="U302" s="15" t="str">
        <f>IFERROR(__xludf.DUMMYFUNCTION("""COMPUTED_VALUE"""),"266803534 1305854 8176917 h. s. calcados e confeccoes ltda trifil jpr 1")</f>
        <v>266803534 1305854 8176917 h. s. calcados e confeccoes ltda trifil jpr 1</v>
      </c>
      <c r="V302" s="15" t="b">
        <f>IFERROR(__xludf.DUMMYFUNCTION("""COMPUTED_VALUE"""),FALSE)</f>
        <v>0</v>
      </c>
    </row>
    <row r="303">
      <c r="A303" s="19">
        <f>IFERROR(__xludf.DUMMYFUNCTION("""COMPUTED_VALUE"""),46304.0)</f>
        <v>46304</v>
      </c>
      <c r="B303" s="19">
        <f>IFERROR(__xludf.DUMMYFUNCTION("""COMPUTED_VALUE"""),46351.0)</f>
        <v>46351</v>
      </c>
      <c r="C303" s="15">
        <f>IFERROR(__xludf.DUMMYFUNCTION("""COMPUTED_VALUE"""),30.0)</f>
        <v>30</v>
      </c>
      <c r="D303" s="15" t="str">
        <f>IFERROR(__xludf.DUMMYFUNCTION("""COMPUTED_VALUE"""),"JPR")</f>
        <v>JPR</v>
      </c>
      <c r="E303" s="15" t="str">
        <f>IFERROR(__xludf.DUMMYFUNCTION("""COMPUTED_VALUE"""),"KATAMA DISTRIBUIDORA")</f>
        <v>KATAMA DISTRIBUIDORA</v>
      </c>
      <c r="F303" s="15" t="str">
        <f>IFERROR(__xludf.DUMMYFUNCTION("""COMPUTED_VALUE"""),"TRIFIL")</f>
        <v>TRIFIL</v>
      </c>
      <c r="G303" s="15" t="str">
        <f>IFERROR(__xludf.DUMMYFUNCTION("""COMPUTED_VALUE"""),"266803535")</f>
        <v>266803535</v>
      </c>
      <c r="H303" s="15" t="str">
        <f>IFERROR(__xludf.DUMMYFUNCTION("""COMPUTED_VALUE"""),"1303675")</f>
        <v>1303675</v>
      </c>
      <c r="I303" s="15" t="str">
        <f>IFERROR(__xludf.DUMMYFUNCTION("""COMPUTED_VALUE"""),"8176890")</f>
        <v>8176890</v>
      </c>
      <c r="J303" s="15" t="str">
        <f>IFERROR(__xludf.DUMMYFUNCTION("""COMPUTED_VALUE"""),"CIF")</f>
        <v>CIF</v>
      </c>
      <c r="K303" s="15" t="str">
        <f>IFERROR(__xludf.DUMMYFUNCTION("""COMPUTED_VALUE"""),"(sem célula)")</f>
        <v>(sem célula)</v>
      </c>
      <c r="L303" s="15" t="str">
        <f>IFERROR(__xludf.DUMMYFUNCTION("""COMPUTED_VALUE"""),"AUTORIZADO")</f>
        <v>AUTORIZADO</v>
      </c>
      <c r="M303" s="15" t="str">
        <f>IFERROR(__xludf.DUMMYFUNCTION("""COMPUTED_VALUE"""),"NA ORIGEM")</f>
        <v>NA ORIGEM</v>
      </c>
      <c r="N303" s="15" t="str">
        <f>IFERROR(__xludf.DUMMYFUNCTION("""COMPUTED_VALUE"""),"Antes Prazo")</f>
        <v>Antes Prazo</v>
      </c>
      <c r="O303" s="15" t="str">
        <f>IFERROR(__xludf.DUMMYFUNCTION("""COMPUTED_VALUE"""),"B2B")</f>
        <v>B2B</v>
      </c>
      <c r="P303" s="16">
        <f>IFERROR(__xludf.DUMMYFUNCTION("""COMPUTED_VALUE"""),119.2)</f>
        <v>119.2</v>
      </c>
      <c r="Q303" s="15">
        <f>IFERROR(__xludf.DUMMYFUNCTION("""COMPUTED_VALUE"""),1.0)</f>
        <v>1</v>
      </c>
      <c r="R303" s="15" t="str">
        <f>IFERROR(__xludf.DUMMYFUNCTION("""COMPUTED_VALUE"""),"RODO")</f>
        <v>RODO</v>
      </c>
      <c r="S303" s="15" t="str">
        <f>IFERROR(__xludf.DUMMYFUNCTION("""COMPUTED_VALUE"""),"ITN")</f>
        <v>ITN</v>
      </c>
      <c r="T303" s="15" t="str">
        <f>IFERROR(__xludf.DUMMYFUNCTION("""COMPUTED_VALUE"""),"1")</f>
        <v>1</v>
      </c>
      <c r="U303" s="15" t="str">
        <f>IFERROR(__xludf.DUMMYFUNCTION("""COMPUTED_VALUE"""),"266803535 1303675 8176890 katama distribuidora trifil jpr 1")</f>
        <v>266803535 1303675 8176890 katama distribuidora trifil jpr 1</v>
      </c>
      <c r="V303" s="15" t="b">
        <f>IFERROR(__xludf.DUMMYFUNCTION("""COMPUTED_VALUE"""),FALSE)</f>
        <v>0</v>
      </c>
    </row>
    <row r="304">
      <c r="A304" s="19">
        <f>IFERROR(__xludf.DUMMYFUNCTION("""COMPUTED_VALUE"""),46304.0)</f>
        <v>46304</v>
      </c>
      <c r="B304" s="19">
        <f>IFERROR(__xludf.DUMMYFUNCTION("""COMPUTED_VALUE"""),46337.0)</f>
        <v>46337</v>
      </c>
      <c r="C304" s="15">
        <f>IFERROR(__xludf.DUMMYFUNCTION("""COMPUTED_VALUE"""),21.0)</f>
        <v>21</v>
      </c>
      <c r="D304" s="15" t="str">
        <f>IFERROR(__xludf.DUMMYFUNCTION("""COMPUTED_VALUE"""),"PBO")</f>
        <v>PBO</v>
      </c>
      <c r="E304" s="15" t="str">
        <f>IFERROR(__xludf.DUMMYFUNCTION("""COMPUTED_VALUE"""),"LOJAS DANIELA")</f>
        <v>LOJAS DANIELA</v>
      </c>
      <c r="F304" s="15" t="str">
        <f>IFERROR(__xludf.DUMMYFUNCTION("""COMPUTED_VALUE"""),"TRIFIL")</f>
        <v>TRIFIL</v>
      </c>
      <c r="G304" s="15" t="str">
        <f>IFERROR(__xludf.DUMMYFUNCTION("""COMPUTED_VALUE"""),"266803536")</f>
        <v>266803536</v>
      </c>
      <c r="H304" s="15" t="str">
        <f>IFERROR(__xludf.DUMMYFUNCTION("""COMPUTED_VALUE"""),"1305661")</f>
        <v>1305661</v>
      </c>
      <c r="I304" s="15" t="str">
        <f>IFERROR(__xludf.DUMMYFUNCTION("""COMPUTED_VALUE"""),"8176918")</f>
        <v>8176918</v>
      </c>
      <c r="J304" s="15" t="str">
        <f>IFERROR(__xludf.DUMMYFUNCTION("""COMPUTED_VALUE"""),"CIF")</f>
        <v>CIF</v>
      </c>
      <c r="K304" s="15" t="str">
        <f>IFERROR(__xludf.DUMMYFUNCTION("""COMPUTED_VALUE"""),"SAO-1")</f>
        <v>SAO-1</v>
      </c>
      <c r="L304" s="15" t="str">
        <f>IFERROR(__xludf.DUMMYFUNCTION("""COMPUTED_VALUE"""),"AUTORIZADO")</f>
        <v>AUTORIZADO</v>
      </c>
      <c r="M304" s="15" t="str">
        <f>IFERROR(__xludf.DUMMYFUNCTION("""COMPUTED_VALUE"""),"NA ORIGEM")</f>
        <v>NA ORIGEM</v>
      </c>
      <c r="N304" s="15" t="str">
        <f>IFERROR(__xludf.DUMMYFUNCTION("""COMPUTED_VALUE"""),"Antes Prazo")</f>
        <v>Antes Prazo</v>
      </c>
      <c r="O304" s="15" t="str">
        <f>IFERROR(__xludf.DUMMYFUNCTION("""COMPUTED_VALUE"""),"B2B")</f>
        <v>B2B</v>
      </c>
      <c r="P304" s="16">
        <f>IFERROR(__xludf.DUMMYFUNCTION("""COMPUTED_VALUE"""),119.2)</f>
        <v>119.2</v>
      </c>
      <c r="Q304" s="15">
        <f>IFERROR(__xludf.DUMMYFUNCTION("""COMPUTED_VALUE"""),1.0)</f>
        <v>1</v>
      </c>
      <c r="R304" s="15" t="str">
        <f>IFERROR(__xludf.DUMMYFUNCTION("""COMPUTED_VALUE"""),"RODO")</f>
        <v>RODO</v>
      </c>
      <c r="S304" s="15" t="str">
        <f>IFERROR(__xludf.DUMMYFUNCTION("""COMPUTED_VALUE"""),"ITN")</f>
        <v>ITN</v>
      </c>
      <c r="T304" s="15" t="str">
        <f>IFERROR(__xludf.DUMMYFUNCTION("""COMPUTED_VALUE"""),"101")</f>
        <v>101</v>
      </c>
      <c r="U304" s="15" t="str">
        <f>IFERROR(__xludf.DUMMYFUNCTION("""COMPUTED_VALUE"""),"266803536 1305661 8176918 lojas daniela trifil pbo 101")</f>
        <v>266803536 1305661 8176918 lojas daniela trifil pbo 101</v>
      </c>
      <c r="V304" s="15" t="b">
        <f>IFERROR(__xludf.DUMMYFUNCTION("""COMPUTED_VALUE"""),FALSE)</f>
        <v>0</v>
      </c>
    </row>
    <row r="305">
      <c r="A305" s="19">
        <f>IFERROR(__xludf.DUMMYFUNCTION("""COMPUTED_VALUE"""),46304.0)</f>
        <v>46304</v>
      </c>
      <c r="B305" s="19">
        <f>IFERROR(__xludf.DUMMYFUNCTION("""COMPUTED_VALUE"""),46337.0)</f>
        <v>46337</v>
      </c>
      <c r="C305" s="15">
        <f>IFERROR(__xludf.DUMMYFUNCTION("""COMPUTED_VALUE"""),21.0)</f>
        <v>21</v>
      </c>
      <c r="D305" s="15" t="str">
        <f>IFERROR(__xludf.DUMMYFUNCTION("""COMPUTED_VALUE"""),"PBO")</f>
        <v>PBO</v>
      </c>
      <c r="E305" s="15" t="str">
        <f>IFERROR(__xludf.DUMMYFUNCTION("""COMPUTED_VALUE"""),"SPORT TOTAL LTDA ME")</f>
        <v>SPORT TOTAL LTDA ME</v>
      </c>
      <c r="F305" s="15" t="str">
        <f>IFERROR(__xludf.DUMMYFUNCTION("""COMPUTED_VALUE"""),"TRIFIL")</f>
        <v>TRIFIL</v>
      </c>
      <c r="G305" s="15" t="str">
        <f>IFERROR(__xludf.DUMMYFUNCTION("""COMPUTED_VALUE"""),"266803537")</f>
        <v>266803537</v>
      </c>
      <c r="H305" s="15" t="str">
        <f>IFERROR(__xludf.DUMMYFUNCTION("""COMPUTED_VALUE"""),"1305883")</f>
        <v>1305883</v>
      </c>
      <c r="I305" s="15" t="str">
        <f>IFERROR(__xludf.DUMMYFUNCTION("""COMPUTED_VALUE"""),"8176767")</f>
        <v>8176767</v>
      </c>
      <c r="J305" s="15" t="str">
        <f>IFERROR(__xludf.DUMMYFUNCTION("""COMPUTED_VALUE"""),"CIF")</f>
        <v>CIF</v>
      </c>
      <c r="K305" s="15" t="str">
        <f>IFERROR(__xludf.DUMMYFUNCTION("""COMPUTED_VALUE"""),"SAO-1")</f>
        <v>SAO-1</v>
      </c>
      <c r="L305" s="15" t="str">
        <f>IFERROR(__xludf.DUMMYFUNCTION("""COMPUTED_VALUE"""),"AUTORIZADO")</f>
        <v>AUTORIZADO</v>
      </c>
      <c r="M305" s="15" t="str">
        <f>IFERROR(__xludf.DUMMYFUNCTION("""COMPUTED_VALUE"""),"NA ORIGEM")</f>
        <v>NA ORIGEM</v>
      </c>
      <c r="N305" s="15" t="str">
        <f>IFERROR(__xludf.DUMMYFUNCTION("""COMPUTED_VALUE"""),"Antes Prazo")</f>
        <v>Antes Prazo</v>
      </c>
      <c r="O305" s="15" t="str">
        <f>IFERROR(__xludf.DUMMYFUNCTION("""COMPUTED_VALUE"""),"B2B")</f>
        <v>B2B</v>
      </c>
      <c r="P305" s="16">
        <f>IFERROR(__xludf.DUMMYFUNCTION("""COMPUTED_VALUE"""),119.2)</f>
        <v>119.2</v>
      </c>
      <c r="Q305" s="15">
        <f>IFERROR(__xludf.DUMMYFUNCTION("""COMPUTED_VALUE"""),2.0)</f>
        <v>2</v>
      </c>
      <c r="R305" s="15" t="str">
        <f>IFERROR(__xludf.DUMMYFUNCTION("""COMPUTED_VALUE"""),"RODO")</f>
        <v>RODO</v>
      </c>
      <c r="S305" s="15" t="str">
        <f>IFERROR(__xludf.DUMMYFUNCTION("""COMPUTED_VALUE"""),"ITN")</f>
        <v>ITN</v>
      </c>
      <c r="T305" s="15" t="str">
        <f>IFERROR(__xludf.DUMMYFUNCTION("""COMPUTED_VALUE"""),"101")</f>
        <v>101</v>
      </c>
      <c r="U305" s="15" t="str">
        <f>IFERROR(__xludf.DUMMYFUNCTION("""COMPUTED_VALUE"""),"266803537 1305883 8176767 sport total ltda me trifil pbo 101")</f>
        <v>266803537 1305883 8176767 sport total ltda me trifil pbo 101</v>
      </c>
      <c r="V305" s="15" t="b">
        <f>IFERROR(__xludf.DUMMYFUNCTION("""COMPUTED_VALUE"""),FALSE)</f>
        <v>0</v>
      </c>
    </row>
    <row r="306">
      <c r="A306" s="19">
        <f>IFERROR(__xludf.DUMMYFUNCTION("""COMPUTED_VALUE"""),46304.0)</f>
        <v>46304</v>
      </c>
      <c r="B306" s="19">
        <f>IFERROR(__xludf.DUMMYFUNCTION("""COMPUTED_VALUE"""),46331.0)</f>
        <v>46331</v>
      </c>
      <c r="C306" s="15">
        <f>IFERROR(__xludf.DUMMYFUNCTION("""COMPUTED_VALUE"""),17.0)</f>
        <v>17</v>
      </c>
      <c r="D306" s="15" t="str">
        <f>IFERROR(__xludf.DUMMYFUNCTION("""COMPUTED_VALUE"""),"PMW")</f>
        <v>PMW</v>
      </c>
      <c r="E306" s="15" t="str">
        <f>IFERROR(__xludf.DUMMYFUNCTION("""COMPUTED_VALUE"""),"ALIANÇA MAGAZINE")</f>
        <v>ALIANÇA MAGAZINE</v>
      </c>
      <c r="F306" s="15" t="str">
        <f>IFERROR(__xludf.DUMMYFUNCTION("""COMPUTED_VALUE"""),"TRIFIL")</f>
        <v>TRIFIL</v>
      </c>
      <c r="G306" s="15" t="str">
        <f>IFERROR(__xludf.DUMMYFUNCTION("""COMPUTED_VALUE"""),"266803538")</f>
        <v>266803538</v>
      </c>
      <c r="H306" s="15" t="str">
        <f>IFERROR(__xludf.DUMMYFUNCTION("""COMPUTED_VALUE"""),"1305015")</f>
        <v>1305015</v>
      </c>
      <c r="I306" s="15" t="str">
        <f>IFERROR(__xludf.DUMMYFUNCTION("""COMPUTED_VALUE"""),"8176891")</f>
        <v>8176891</v>
      </c>
      <c r="J306" s="15" t="str">
        <f>IFERROR(__xludf.DUMMYFUNCTION("""COMPUTED_VALUE"""),"CIF")</f>
        <v>CIF</v>
      </c>
      <c r="K306" s="15" t="str">
        <f>IFERROR(__xludf.DUMMYFUNCTION("""COMPUTED_VALUE"""),"(sem célula)")</f>
        <v>(sem célula)</v>
      </c>
      <c r="L306" s="15" t="str">
        <f>IFERROR(__xludf.DUMMYFUNCTION("""COMPUTED_VALUE"""),"AUTORIZADO")</f>
        <v>AUTORIZADO</v>
      </c>
      <c r="M306" s="15" t="str">
        <f>IFERROR(__xludf.DUMMYFUNCTION("""COMPUTED_VALUE"""),"NA ORIGEM")</f>
        <v>NA ORIGEM</v>
      </c>
      <c r="N306" s="15" t="str">
        <f>IFERROR(__xludf.DUMMYFUNCTION("""COMPUTED_VALUE"""),"Antes Prazo")</f>
        <v>Antes Prazo</v>
      </c>
      <c r="O306" s="15" t="str">
        <f>IFERROR(__xludf.DUMMYFUNCTION("""COMPUTED_VALUE"""),"B2B")</f>
        <v>B2B</v>
      </c>
      <c r="P306" s="16">
        <f>IFERROR(__xludf.DUMMYFUNCTION("""COMPUTED_VALUE"""),63.12)</f>
        <v>63.12</v>
      </c>
      <c r="Q306" s="15">
        <f>IFERROR(__xludf.DUMMYFUNCTION("""COMPUTED_VALUE"""),1.0)</f>
        <v>1</v>
      </c>
      <c r="R306" s="15" t="str">
        <f>IFERROR(__xludf.DUMMYFUNCTION("""COMPUTED_VALUE"""),"RODO")</f>
        <v>RODO</v>
      </c>
      <c r="S306" s="15" t="str">
        <f>IFERROR(__xludf.DUMMYFUNCTION("""COMPUTED_VALUE"""),"ITN")</f>
        <v>ITN</v>
      </c>
      <c r="T306" s="15" t="str">
        <f>IFERROR(__xludf.DUMMYFUNCTION("""COMPUTED_VALUE"""),"108")</f>
        <v>108</v>
      </c>
      <c r="U306" s="15" t="str">
        <f>IFERROR(__xludf.DUMMYFUNCTION("""COMPUTED_VALUE"""),"266803538 1305015 8176891 aliança magazine trifil pmw 108")</f>
        <v>266803538 1305015 8176891 aliança magazine trifil pmw 108</v>
      </c>
      <c r="V306" s="15" t="b">
        <f>IFERROR(__xludf.DUMMYFUNCTION("""COMPUTED_VALUE"""),FALSE)</f>
        <v>0</v>
      </c>
    </row>
    <row r="307">
      <c r="A307" s="19">
        <f>IFERROR(__xludf.DUMMYFUNCTION("""COMPUTED_VALUE"""),46304.0)</f>
        <v>46304</v>
      </c>
      <c r="B307" s="19">
        <f>IFERROR(__xludf.DUMMYFUNCTION("""COMPUTED_VALUE"""),46330.0)</f>
        <v>46330</v>
      </c>
      <c r="C307" s="15">
        <f>IFERROR(__xludf.DUMMYFUNCTION("""COMPUTED_VALUE"""),16.0)</f>
        <v>16</v>
      </c>
      <c r="D307" s="15" t="str">
        <f>IFERROR(__xludf.DUMMYFUNCTION("""COMPUTED_VALUE"""),"PMW")</f>
        <v>PMW</v>
      </c>
      <c r="E307" s="15" t="str">
        <f>IFERROR(__xludf.DUMMYFUNCTION("""COMPUTED_VALUE"""),"B. BATISTA DA SILVA(0001007119)")</f>
        <v>B. BATISTA DA SILVA(0001007119)</v>
      </c>
      <c r="F307" s="15" t="str">
        <f>IFERROR(__xludf.DUMMYFUNCTION("""COMPUTED_VALUE"""),"TRIFIL")</f>
        <v>TRIFIL</v>
      </c>
      <c r="G307" s="15" t="str">
        <f>IFERROR(__xludf.DUMMYFUNCTION("""COMPUTED_VALUE"""),"266803539")</f>
        <v>266803539</v>
      </c>
      <c r="H307" s="15" t="str">
        <f>IFERROR(__xludf.DUMMYFUNCTION("""COMPUTED_VALUE"""),"1305109")</f>
        <v>1305109</v>
      </c>
      <c r="I307" s="15" t="str">
        <f>IFERROR(__xludf.DUMMYFUNCTION("""COMPUTED_VALUE"""),"8176824")</f>
        <v>8176824</v>
      </c>
      <c r="J307" s="15" t="str">
        <f>IFERROR(__xludf.DUMMYFUNCTION("""COMPUTED_VALUE"""),"CIF")</f>
        <v>CIF</v>
      </c>
      <c r="K307" s="15" t="str">
        <f>IFERROR(__xludf.DUMMYFUNCTION("""COMPUTED_VALUE"""),"SAO-1")</f>
        <v>SAO-1</v>
      </c>
      <c r="L307" s="15" t="str">
        <f>IFERROR(__xludf.DUMMYFUNCTION("""COMPUTED_VALUE"""),"AUTORIZADO")</f>
        <v>AUTORIZADO</v>
      </c>
      <c r="M307" s="15" t="str">
        <f>IFERROR(__xludf.DUMMYFUNCTION("""COMPUTED_VALUE"""),"NA ORIGEM")</f>
        <v>NA ORIGEM</v>
      </c>
      <c r="N307" s="15" t="str">
        <f>IFERROR(__xludf.DUMMYFUNCTION("""COMPUTED_VALUE"""),"Antes Prazo")</f>
        <v>Antes Prazo</v>
      </c>
      <c r="O307" s="15" t="str">
        <f>IFERROR(__xludf.DUMMYFUNCTION("""COMPUTED_VALUE"""),"B2B")</f>
        <v>B2B</v>
      </c>
      <c r="P307" s="16">
        <f>IFERROR(__xludf.DUMMYFUNCTION("""COMPUTED_VALUE"""),56.59)</f>
        <v>56.59</v>
      </c>
      <c r="Q307" s="15">
        <f>IFERROR(__xludf.DUMMYFUNCTION("""COMPUTED_VALUE"""),1.0)</f>
        <v>1</v>
      </c>
      <c r="R307" s="15" t="str">
        <f>IFERROR(__xludf.DUMMYFUNCTION("""COMPUTED_VALUE"""),"RODO")</f>
        <v>RODO</v>
      </c>
      <c r="S307" s="15" t="str">
        <f>IFERROR(__xludf.DUMMYFUNCTION("""COMPUTED_VALUE"""),"ITN")</f>
        <v>ITN</v>
      </c>
      <c r="T307" s="15" t="str">
        <f>IFERROR(__xludf.DUMMYFUNCTION("""COMPUTED_VALUE"""),"109")</f>
        <v>109</v>
      </c>
      <c r="U307" s="15" t="str">
        <f>IFERROR(__xludf.DUMMYFUNCTION("""COMPUTED_VALUE"""),"266803539 1305109 8176824 b. batista da silva(0001007119) trifil pmw 109")</f>
        <v>266803539 1305109 8176824 b. batista da silva(0001007119) trifil pmw 109</v>
      </c>
      <c r="V307" s="15" t="b">
        <f>IFERROR(__xludf.DUMMYFUNCTION("""COMPUTED_VALUE"""),FALSE)</f>
        <v>0</v>
      </c>
    </row>
    <row r="308">
      <c r="A308" s="19">
        <f>IFERROR(__xludf.DUMMYFUNCTION("""COMPUTED_VALUE"""),46304.0)</f>
        <v>46304</v>
      </c>
      <c r="B308" s="19">
        <f>IFERROR(__xludf.DUMMYFUNCTION("""COMPUTED_VALUE"""),46330.0)</f>
        <v>46330</v>
      </c>
      <c r="C308" s="15">
        <f>IFERROR(__xludf.DUMMYFUNCTION("""COMPUTED_VALUE"""),16.0)</f>
        <v>16</v>
      </c>
      <c r="D308" s="15" t="str">
        <f>IFERROR(__xludf.DUMMYFUNCTION("""COMPUTED_VALUE"""),"PMW")</f>
        <v>PMW</v>
      </c>
      <c r="E308" s="15" t="str">
        <f>IFERROR(__xludf.DUMMYFUNCTION("""COMPUTED_VALUE"""),"PARAISO ACESSORIOS E COMPLEMENTO LT")</f>
        <v>PARAISO ACESSORIOS E COMPLEMENTO LT</v>
      </c>
      <c r="F308" s="15" t="str">
        <f>IFERROR(__xludf.DUMMYFUNCTION("""COMPUTED_VALUE"""),"TRIFIL")</f>
        <v>TRIFIL</v>
      </c>
      <c r="G308" s="15" t="str">
        <f>IFERROR(__xludf.DUMMYFUNCTION("""COMPUTED_VALUE"""),"266803540")</f>
        <v>266803540</v>
      </c>
      <c r="H308" s="15" t="str">
        <f>IFERROR(__xludf.DUMMYFUNCTION("""COMPUTED_VALUE"""),"1305131")</f>
        <v>1305131</v>
      </c>
      <c r="I308" s="15" t="str">
        <f>IFERROR(__xludf.DUMMYFUNCTION("""COMPUTED_VALUE"""),"8176825")</f>
        <v>8176825</v>
      </c>
      <c r="J308" s="15" t="str">
        <f>IFERROR(__xludf.DUMMYFUNCTION("""COMPUTED_VALUE"""),"CIF")</f>
        <v>CIF</v>
      </c>
      <c r="K308" s="15" t="str">
        <f>IFERROR(__xludf.DUMMYFUNCTION("""COMPUTED_VALUE"""),"(sem célula)")</f>
        <v>(sem célula)</v>
      </c>
      <c r="L308" s="15" t="str">
        <f>IFERROR(__xludf.DUMMYFUNCTION("""COMPUTED_VALUE"""),"AUTORIZADO")</f>
        <v>AUTORIZADO</v>
      </c>
      <c r="M308" s="15" t="str">
        <f>IFERROR(__xludf.DUMMYFUNCTION("""COMPUTED_VALUE"""),"NA ORIGEM")</f>
        <v>NA ORIGEM</v>
      </c>
      <c r="N308" s="15" t="str">
        <f>IFERROR(__xludf.DUMMYFUNCTION("""COMPUTED_VALUE"""),"Antes Prazo")</f>
        <v>Antes Prazo</v>
      </c>
      <c r="O308" s="15" t="str">
        <f>IFERROR(__xludf.DUMMYFUNCTION("""COMPUTED_VALUE"""),"B2B")</f>
        <v>B2B</v>
      </c>
      <c r="P308" s="16">
        <f>IFERROR(__xludf.DUMMYFUNCTION("""COMPUTED_VALUE"""),56.59)</f>
        <v>56.59</v>
      </c>
      <c r="Q308" s="15">
        <f>IFERROR(__xludf.DUMMYFUNCTION("""COMPUTED_VALUE"""),1.0)</f>
        <v>1</v>
      </c>
      <c r="R308" s="15" t="str">
        <f>IFERROR(__xludf.DUMMYFUNCTION("""COMPUTED_VALUE"""),"RODO")</f>
        <v>RODO</v>
      </c>
      <c r="S308" s="15" t="str">
        <f>IFERROR(__xludf.DUMMYFUNCTION("""COMPUTED_VALUE"""),"ITN")</f>
        <v>ITN</v>
      </c>
      <c r="T308" s="15" t="str">
        <f>IFERROR(__xludf.DUMMYFUNCTION("""COMPUTED_VALUE"""),"109")</f>
        <v>109</v>
      </c>
      <c r="U308" s="15" t="str">
        <f>IFERROR(__xludf.DUMMYFUNCTION("""COMPUTED_VALUE"""),"266803540 1305131 8176825 paraiso acessorios e complemento lt trifil pmw 109")</f>
        <v>266803540 1305131 8176825 paraiso acessorios e complemento lt trifil pmw 109</v>
      </c>
      <c r="V308" s="15" t="b">
        <f>IFERROR(__xludf.DUMMYFUNCTION("""COMPUTED_VALUE"""),FALSE)</f>
        <v>0</v>
      </c>
    </row>
    <row r="309">
      <c r="A309" s="19">
        <f>IFERROR(__xludf.DUMMYFUNCTION("""COMPUTED_VALUE"""),46304.0)</f>
        <v>46304</v>
      </c>
      <c r="B309" s="19">
        <f>IFERROR(__xludf.DUMMYFUNCTION("""COMPUTED_VALUE"""),46331.0)</f>
        <v>46331</v>
      </c>
      <c r="C309" s="15">
        <f>IFERROR(__xludf.DUMMYFUNCTION("""COMPUTED_VALUE"""),17.0)</f>
        <v>17</v>
      </c>
      <c r="D309" s="15" t="str">
        <f>IFERROR(__xludf.DUMMYFUNCTION("""COMPUTED_VALUE"""),"AUX")</f>
        <v>AUX</v>
      </c>
      <c r="E309" s="15" t="str">
        <f>IFERROR(__xludf.DUMMYFUNCTION("""COMPUTED_VALUE"""),"HELLEN CONFECCOES")</f>
        <v>HELLEN CONFECCOES</v>
      </c>
      <c r="F309" s="15" t="str">
        <f>IFERROR(__xludf.DUMMYFUNCTION("""COMPUTED_VALUE"""),"TRIFIL")</f>
        <v>TRIFIL</v>
      </c>
      <c r="G309" s="15" t="str">
        <f>IFERROR(__xludf.DUMMYFUNCTION("""COMPUTED_VALUE"""),"266803541")</f>
        <v>266803541</v>
      </c>
      <c r="H309" s="15" t="str">
        <f>IFERROR(__xludf.DUMMYFUNCTION("""COMPUTED_VALUE"""),"1305207")</f>
        <v>1305207</v>
      </c>
      <c r="I309" s="15" t="str">
        <f>IFERROR(__xludf.DUMMYFUNCTION("""COMPUTED_VALUE"""),"8176826")</f>
        <v>8176826</v>
      </c>
      <c r="J309" s="15" t="str">
        <f>IFERROR(__xludf.DUMMYFUNCTION("""COMPUTED_VALUE"""),"CIF")</f>
        <v>CIF</v>
      </c>
      <c r="K309" s="15" t="str">
        <f>IFERROR(__xludf.DUMMYFUNCTION("""COMPUTED_VALUE"""),"SAO-1")</f>
        <v>SAO-1</v>
      </c>
      <c r="L309" s="15" t="str">
        <f>IFERROR(__xludf.DUMMYFUNCTION("""COMPUTED_VALUE"""),"AUTORIZADO")</f>
        <v>AUTORIZADO</v>
      </c>
      <c r="M309" s="15" t="str">
        <f>IFERROR(__xludf.DUMMYFUNCTION("""COMPUTED_VALUE"""),"NA ORIGEM")</f>
        <v>NA ORIGEM</v>
      </c>
      <c r="N309" s="15" t="str">
        <f>IFERROR(__xludf.DUMMYFUNCTION("""COMPUTED_VALUE"""),"Antes Prazo")</f>
        <v>Antes Prazo</v>
      </c>
      <c r="O309" s="15" t="str">
        <f>IFERROR(__xludf.DUMMYFUNCTION("""COMPUTED_VALUE"""),"B2B")</f>
        <v>B2B</v>
      </c>
      <c r="P309" s="16">
        <f>IFERROR(__xludf.DUMMYFUNCTION("""COMPUTED_VALUE"""),63.12)</f>
        <v>63.12</v>
      </c>
      <c r="Q309" s="15">
        <f>IFERROR(__xludf.DUMMYFUNCTION("""COMPUTED_VALUE"""),1.0)</f>
        <v>1</v>
      </c>
      <c r="R309" s="15" t="str">
        <f>IFERROR(__xludf.DUMMYFUNCTION("""COMPUTED_VALUE"""),"RODO")</f>
        <v>RODO</v>
      </c>
      <c r="S309" s="15" t="str">
        <f>IFERROR(__xludf.DUMMYFUNCTION("""COMPUTED_VALUE"""),"ITN")</f>
        <v>ITN</v>
      </c>
      <c r="T309" s="15" t="str">
        <f>IFERROR(__xludf.DUMMYFUNCTION("""COMPUTED_VALUE"""),"103")</f>
        <v>103</v>
      </c>
      <c r="U309" s="15" t="str">
        <f>IFERROR(__xludf.DUMMYFUNCTION("""COMPUTED_VALUE"""),"266803541 1305207 8176826 hellen confeccoes trifil aux 103")</f>
        <v>266803541 1305207 8176826 hellen confeccoes trifil aux 103</v>
      </c>
      <c r="V309" s="15" t="b">
        <f>IFERROR(__xludf.DUMMYFUNCTION("""COMPUTED_VALUE"""),FALSE)</f>
        <v>0</v>
      </c>
    </row>
    <row r="310">
      <c r="A310" s="19">
        <f>IFERROR(__xludf.DUMMYFUNCTION("""COMPUTED_VALUE"""),46304.0)</f>
        <v>46304</v>
      </c>
      <c r="B310" s="19">
        <f>IFERROR(__xludf.DUMMYFUNCTION("""COMPUTED_VALUE"""),46317.0)</f>
        <v>46317</v>
      </c>
      <c r="C310" s="15">
        <f>IFERROR(__xludf.DUMMYFUNCTION("""COMPUTED_VALUE"""),8.0)</f>
        <v>8</v>
      </c>
      <c r="D310" s="15" t="str">
        <f>IFERROR(__xludf.DUMMYFUNCTION("""COMPUTED_VALUE"""),"CGB")</f>
        <v>CGB</v>
      </c>
      <c r="E310" s="15" t="str">
        <f>IFERROR(__xludf.DUMMYFUNCTION("""COMPUTED_VALUE"""),"LUPO - PANTANAL SHOPPING")</f>
        <v>LUPO - PANTANAL SHOPPING</v>
      </c>
      <c r="F310" s="15" t="str">
        <f>IFERROR(__xludf.DUMMYFUNCTION("""COMPUTED_VALUE"""),"TRIFIL")</f>
        <v>TRIFIL</v>
      </c>
      <c r="G310" s="15" t="str">
        <f>IFERROR(__xludf.DUMMYFUNCTION("""COMPUTED_VALUE"""),"266803542")</f>
        <v>266803542</v>
      </c>
      <c r="H310" s="15" t="str">
        <f>IFERROR(__xludf.DUMMYFUNCTION("""COMPUTED_VALUE"""),"1305419")</f>
        <v>1305419</v>
      </c>
      <c r="I310" s="15" t="str">
        <f>IFERROR(__xludf.DUMMYFUNCTION("""COMPUTED_VALUE"""),"8176919")</f>
        <v>8176919</v>
      </c>
      <c r="J310" s="15" t="str">
        <f>IFERROR(__xludf.DUMMYFUNCTION("""COMPUTED_VALUE"""),"CIF")</f>
        <v>CIF</v>
      </c>
      <c r="K310" s="15" t="str">
        <f>IFERROR(__xludf.DUMMYFUNCTION("""COMPUTED_VALUE"""),"SAO-1")</f>
        <v>SAO-1</v>
      </c>
      <c r="L310" s="15" t="str">
        <f>IFERROR(__xludf.DUMMYFUNCTION("""COMPUTED_VALUE"""),"AUTORIZADO")</f>
        <v>AUTORIZADO</v>
      </c>
      <c r="M310" s="15" t="str">
        <f>IFERROR(__xludf.DUMMYFUNCTION("""COMPUTED_VALUE"""),"NA ORIGEM")</f>
        <v>NA ORIGEM</v>
      </c>
      <c r="N310" s="15" t="str">
        <f>IFERROR(__xludf.DUMMYFUNCTION("""COMPUTED_VALUE"""),"Antes Prazo")</f>
        <v>Antes Prazo</v>
      </c>
      <c r="O310" s="15" t="str">
        <f>IFERROR(__xludf.DUMMYFUNCTION("""COMPUTED_VALUE"""),"B2B")</f>
        <v>B2B</v>
      </c>
      <c r="P310" s="16">
        <f>IFERROR(__xludf.DUMMYFUNCTION("""COMPUTED_VALUE"""),60.94)</f>
        <v>60.94</v>
      </c>
      <c r="Q310" s="15">
        <f>IFERROR(__xludf.DUMMYFUNCTION("""COMPUTED_VALUE"""),1.0)</f>
        <v>1</v>
      </c>
      <c r="R310" s="15" t="str">
        <f>IFERROR(__xludf.DUMMYFUNCTION("""COMPUTED_VALUE"""),"RODO")</f>
        <v>RODO</v>
      </c>
      <c r="S310" s="15" t="str">
        <f>IFERROR(__xludf.DUMMYFUNCTION("""COMPUTED_VALUE"""),"ITN")</f>
        <v>ITN</v>
      </c>
      <c r="T310" s="15" t="str">
        <f>IFERROR(__xludf.DUMMYFUNCTION("""COMPUTED_VALUE"""),"1")</f>
        <v>1</v>
      </c>
      <c r="U310" s="15" t="str">
        <f>IFERROR(__xludf.DUMMYFUNCTION("""COMPUTED_VALUE"""),"266803542 1305419 8176919 lupo - pantanal shopping trifil cgb 1")</f>
        <v>266803542 1305419 8176919 lupo - pantanal shopping trifil cgb 1</v>
      </c>
      <c r="V310" s="15" t="b">
        <f>IFERROR(__xludf.DUMMYFUNCTION("""COMPUTED_VALUE"""),FALSE)</f>
        <v>0</v>
      </c>
    </row>
    <row r="311">
      <c r="A311" s="19">
        <f>IFERROR(__xludf.DUMMYFUNCTION("""COMPUTED_VALUE"""),46304.0)</f>
        <v>46304</v>
      </c>
      <c r="B311" s="19">
        <f>IFERROR(__xludf.DUMMYFUNCTION("""COMPUTED_VALUE"""),46317.0)</f>
        <v>46317</v>
      </c>
      <c r="C311" s="15">
        <f>IFERROR(__xludf.DUMMYFUNCTION("""COMPUTED_VALUE"""),8.0)</f>
        <v>8</v>
      </c>
      <c r="D311" s="15" t="str">
        <f>IFERROR(__xludf.DUMMYFUNCTION("""COMPUTED_VALUE"""),"CGB")</f>
        <v>CGB</v>
      </c>
      <c r="E311" s="15" t="str">
        <f>IFERROR(__xludf.DUMMYFUNCTION("""COMPUTED_VALUE"""),"TC COMERCIO VAREJISTA EIRELI")</f>
        <v>TC COMERCIO VAREJISTA EIRELI</v>
      </c>
      <c r="F311" s="15" t="str">
        <f>IFERROR(__xludf.DUMMYFUNCTION("""COMPUTED_VALUE"""),"TRIFIL")</f>
        <v>TRIFIL</v>
      </c>
      <c r="G311" s="15" t="str">
        <f>IFERROR(__xludf.DUMMYFUNCTION("""COMPUTED_VALUE"""),"266803543")</f>
        <v>266803543</v>
      </c>
      <c r="H311" s="15" t="str">
        <f>IFERROR(__xludf.DUMMYFUNCTION("""COMPUTED_VALUE"""),"1305617")</f>
        <v>1305617</v>
      </c>
      <c r="I311" s="15" t="str">
        <f>IFERROR(__xludf.DUMMYFUNCTION("""COMPUTED_VALUE"""),"8176997")</f>
        <v>8176997</v>
      </c>
      <c r="J311" s="15" t="str">
        <f>IFERROR(__xludf.DUMMYFUNCTION("""COMPUTED_VALUE"""),"CIF")</f>
        <v>CIF</v>
      </c>
      <c r="K311" s="15" t="str">
        <f>IFERROR(__xludf.DUMMYFUNCTION("""COMPUTED_VALUE"""),"SAO-1")</f>
        <v>SAO-1</v>
      </c>
      <c r="L311" s="15" t="str">
        <f>IFERROR(__xludf.DUMMYFUNCTION("""COMPUTED_VALUE"""),"AUTORIZADO")</f>
        <v>AUTORIZADO</v>
      </c>
      <c r="M311" s="15" t="str">
        <f>IFERROR(__xludf.DUMMYFUNCTION("""COMPUTED_VALUE"""),"NA ORIGEM")</f>
        <v>NA ORIGEM</v>
      </c>
      <c r="N311" s="15" t="str">
        <f>IFERROR(__xludf.DUMMYFUNCTION("""COMPUTED_VALUE"""),"Antes Prazo")</f>
        <v>Antes Prazo</v>
      </c>
      <c r="O311" s="15" t="str">
        <f>IFERROR(__xludf.DUMMYFUNCTION("""COMPUTED_VALUE"""),"B2B")</f>
        <v>B2B</v>
      </c>
      <c r="P311" s="16">
        <f>IFERROR(__xludf.DUMMYFUNCTION("""COMPUTED_VALUE"""),60.94)</f>
        <v>60.94</v>
      </c>
      <c r="Q311" s="15">
        <f>IFERROR(__xludf.DUMMYFUNCTION("""COMPUTED_VALUE"""),3.0)</f>
        <v>3</v>
      </c>
      <c r="R311" s="15" t="str">
        <f>IFERROR(__xludf.DUMMYFUNCTION("""COMPUTED_VALUE"""),"RODO")</f>
        <v>RODO</v>
      </c>
      <c r="S311" s="15" t="str">
        <f>IFERROR(__xludf.DUMMYFUNCTION("""COMPUTED_VALUE"""),"ITN")</f>
        <v>ITN</v>
      </c>
      <c r="T311" s="15" t="str">
        <f>IFERROR(__xludf.DUMMYFUNCTION("""COMPUTED_VALUE"""),"4")</f>
        <v>4</v>
      </c>
      <c r="U311" s="15" t="str">
        <f>IFERROR(__xludf.DUMMYFUNCTION("""COMPUTED_VALUE"""),"266803543 1305617 8176997 tc comercio varejista eireli trifil cgb 4")</f>
        <v>266803543 1305617 8176997 tc comercio varejista eireli trifil cgb 4</v>
      </c>
      <c r="V311" s="15" t="b">
        <f>IFERROR(__xludf.DUMMYFUNCTION("""COMPUTED_VALUE"""),FALSE)</f>
        <v>0</v>
      </c>
    </row>
    <row r="312">
      <c r="A312" s="19">
        <f>IFERROR(__xludf.DUMMYFUNCTION("""COMPUTED_VALUE"""),46304.0)</f>
        <v>46304</v>
      </c>
      <c r="B312" s="19">
        <f>IFERROR(__xludf.DUMMYFUNCTION("""COMPUTED_VALUE"""),46318.0)</f>
        <v>46318</v>
      </c>
      <c r="C312" s="15">
        <f>IFERROR(__xludf.DUMMYFUNCTION("""COMPUTED_VALUE"""),9.0)</f>
        <v>9</v>
      </c>
      <c r="D312" s="15" t="str">
        <f>IFERROR(__xludf.DUMMYFUNCTION("""COMPUTED_VALUE"""),"CGB")</f>
        <v>CGB</v>
      </c>
      <c r="E312" s="15" t="str">
        <f>IFERROR(__xludf.DUMMYFUNCTION("""COMPUTED_VALUE"""),"TC COMERCIO VAREJISTA EIRELI")</f>
        <v>TC COMERCIO VAREJISTA EIRELI</v>
      </c>
      <c r="F312" s="15" t="str">
        <f>IFERROR(__xludf.DUMMYFUNCTION("""COMPUTED_VALUE"""),"TRIFIL")</f>
        <v>TRIFIL</v>
      </c>
      <c r="G312" s="15" t="str">
        <f>IFERROR(__xludf.DUMMYFUNCTION("""COMPUTED_VALUE"""),"266803544")</f>
        <v>266803544</v>
      </c>
      <c r="H312" s="15" t="str">
        <f>IFERROR(__xludf.DUMMYFUNCTION("""COMPUTED_VALUE"""),"1305941")</f>
        <v>1305941</v>
      </c>
      <c r="I312" s="15" t="str">
        <f>IFERROR(__xludf.DUMMYFUNCTION("""COMPUTED_VALUE"""),"8176744")</f>
        <v>8176744</v>
      </c>
      <c r="J312" s="15" t="str">
        <f>IFERROR(__xludf.DUMMYFUNCTION("""COMPUTED_VALUE"""),"CIF")</f>
        <v>CIF</v>
      </c>
      <c r="K312" s="15" t="str">
        <f>IFERROR(__xludf.DUMMYFUNCTION("""COMPUTED_VALUE"""),"SAO-1")</f>
        <v>SAO-1</v>
      </c>
      <c r="L312" s="15" t="str">
        <f>IFERROR(__xludf.DUMMYFUNCTION("""COMPUTED_VALUE"""),"AUTORIZADO")</f>
        <v>AUTORIZADO</v>
      </c>
      <c r="M312" s="15" t="str">
        <f>IFERROR(__xludf.DUMMYFUNCTION("""COMPUTED_VALUE"""),"NA ORIGEM")</f>
        <v>NA ORIGEM</v>
      </c>
      <c r="N312" s="15" t="str">
        <f>IFERROR(__xludf.DUMMYFUNCTION("""COMPUTED_VALUE"""),"Antes Prazo")</f>
        <v>Antes Prazo</v>
      </c>
      <c r="O312" s="15" t="str">
        <f>IFERROR(__xludf.DUMMYFUNCTION("""COMPUTED_VALUE"""),"B2B")</f>
        <v>B2B</v>
      </c>
      <c r="P312" s="16">
        <f>IFERROR(__xludf.DUMMYFUNCTION("""COMPUTED_VALUE"""),70.51)</f>
        <v>70.51</v>
      </c>
      <c r="Q312" s="15">
        <f>IFERROR(__xludf.DUMMYFUNCTION("""COMPUTED_VALUE"""),3.0)</f>
        <v>3</v>
      </c>
      <c r="R312" s="15" t="str">
        <f>IFERROR(__xludf.DUMMYFUNCTION("""COMPUTED_VALUE"""),"RODO")</f>
        <v>RODO</v>
      </c>
      <c r="S312" s="15" t="str">
        <f>IFERROR(__xludf.DUMMYFUNCTION("""COMPUTED_VALUE"""),"ITN")</f>
        <v>ITN</v>
      </c>
      <c r="T312" s="15" t="str">
        <f>IFERROR(__xludf.DUMMYFUNCTION("""COMPUTED_VALUE"""),"15")</f>
        <v>15</v>
      </c>
      <c r="U312" s="15" t="str">
        <f>IFERROR(__xludf.DUMMYFUNCTION("""COMPUTED_VALUE"""),"266803544 1305941 8176744 tc comercio varejista eireli trifil cgb 15")</f>
        <v>266803544 1305941 8176744 tc comercio varejista eireli trifil cgb 15</v>
      </c>
      <c r="V312" s="15" t="b">
        <f>IFERROR(__xludf.DUMMYFUNCTION("""COMPUTED_VALUE"""),FALSE)</f>
        <v>0</v>
      </c>
    </row>
    <row r="313">
      <c r="A313" s="19">
        <f>IFERROR(__xludf.DUMMYFUNCTION("""COMPUTED_VALUE"""),46304.0)</f>
        <v>46304</v>
      </c>
      <c r="B313" s="19">
        <f>IFERROR(__xludf.DUMMYFUNCTION("""COMPUTED_VALUE"""),46323.0)</f>
        <v>46323</v>
      </c>
      <c r="C313" s="15">
        <f>IFERROR(__xludf.DUMMYFUNCTION("""COMPUTED_VALUE"""),12.0)</f>
        <v>12</v>
      </c>
      <c r="D313" s="15" t="str">
        <f>IFERROR(__xludf.DUMMYFUNCTION("""COMPUTED_VALUE"""),"MT2")</f>
        <v>MT2</v>
      </c>
      <c r="E313" s="15" t="str">
        <f>IFERROR(__xludf.DUMMYFUNCTION("""COMPUTED_VALUE"""),"L1 COMERCIO DE ROUPAS LTDA")</f>
        <v>L1 COMERCIO DE ROUPAS LTDA</v>
      </c>
      <c r="F313" s="15" t="str">
        <f>IFERROR(__xludf.DUMMYFUNCTION("""COMPUTED_VALUE"""),"TRIFIL")</f>
        <v>TRIFIL</v>
      </c>
      <c r="G313" s="15" t="str">
        <f>IFERROR(__xludf.DUMMYFUNCTION("""COMPUTED_VALUE"""),"266803545")</f>
        <v>266803545</v>
      </c>
      <c r="H313" s="15" t="str">
        <f>IFERROR(__xludf.DUMMYFUNCTION("""COMPUTED_VALUE"""),"1305956")</f>
        <v>1305956</v>
      </c>
      <c r="I313" s="15" t="str">
        <f>IFERROR(__xludf.DUMMYFUNCTION("""COMPUTED_VALUE"""),"8176920")</f>
        <v>8176920</v>
      </c>
      <c r="J313" s="15" t="str">
        <f>IFERROR(__xludf.DUMMYFUNCTION("""COMPUTED_VALUE"""),"CIF")</f>
        <v>CIF</v>
      </c>
      <c r="K313" s="15" t="str">
        <f>IFERROR(__xludf.DUMMYFUNCTION("""COMPUTED_VALUE"""),"SAO-1")</f>
        <v>SAO-1</v>
      </c>
      <c r="L313" s="15" t="str">
        <f>IFERROR(__xludf.DUMMYFUNCTION("""COMPUTED_VALUE"""),"AUTORIZADO")</f>
        <v>AUTORIZADO</v>
      </c>
      <c r="M313" s="15" t="str">
        <f>IFERROR(__xludf.DUMMYFUNCTION("""COMPUTED_VALUE"""),"NA ORIGEM")</f>
        <v>NA ORIGEM</v>
      </c>
      <c r="N313" s="15" t="str">
        <f>IFERROR(__xludf.DUMMYFUNCTION("""COMPUTED_VALUE"""),"Antes Prazo")</f>
        <v>Antes Prazo</v>
      </c>
      <c r="O313" s="15" t="str">
        <f>IFERROR(__xludf.DUMMYFUNCTION("""COMPUTED_VALUE"""),"B2B")</f>
        <v>B2B</v>
      </c>
      <c r="P313" s="16">
        <f>IFERROR(__xludf.DUMMYFUNCTION("""COMPUTED_VALUE"""),68.09)</f>
        <v>68.09</v>
      </c>
      <c r="Q313" s="15">
        <f>IFERROR(__xludf.DUMMYFUNCTION("""COMPUTED_VALUE"""),1.0)</f>
        <v>1</v>
      </c>
      <c r="R313" s="15" t="str">
        <f>IFERROR(__xludf.DUMMYFUNCTION("""COMPUTED_VALUE"""),"RODO")</f>
        <v>RODO</v>
      </c>
      <c r="S313" s="15" t="str">
        <f>IFERROR(__xludf.DUMMYFUNCTION("""COMPUTED_VALUE"""),"ITN")</f>
        <v>ITN</v>
      </c>
      <c r="T313" s="15" t="str">
        <f>IFERROR(__xludf.DUMMYFUNCTION("""COMPUTED_VALUE"""),"101")</f>
        <v>101</v>
      </c>
      <c r="U313" s="15" t="str">
        <f>IFERROR(__xludf.DUMMYFUNCTION("""COMPUTED_VALUE"""),"266803545 1305956 8176920 l1 comercio de roupas ltda trifil mt2 101")</f>
        <v>266803545 1305956 8176920 l1 comercio de roupas ltda trifil mt2 101</v>
      </c>
      <c r="V313" s="15" t="b">
        <f>IFERROR(__xludf.DUMMYFUNCTION("""COMPUTED_VALUE"""),FALSE)</f>
        <v>0</v>
      </c>
    </row>
    <row r="314">
      <c r="A314" s="19">
        <f>IFERROR(__xludf.DUMMYFUNCTION("""COMPUTED_VALUE"""),46304.0)</f>
        <v>46304</v>
      </c>
      <c r="B314" s="19">
        <f>IFERROR(__xludf.DUMMYFUNCTION("""COMPUTED_VALUE"""),46335.0)</f>
        <v>46335</v>
      </c>
      <c r="C314" s="15">
        <f>IFERROR(__xludf.DUMMYFUNCTION("""COMPUTED_VALUE"""),19.0)</f>
        <v>19</v>
      </c>
      <c r="D314" s="15" t="str">
        <f>IFERROR(__xludf.DUMMYFUNCTION("""COMPUTED_VALUE"""),"MT2")</f>
        <v>MT2</v>
      </c>
      <c r="E314" s="15" t="str">
        <f>IFERROR(__xludf.DUMMYFUNCTION("""COMPUTED_VALUE"""),"MULTIMARCAS")</f>
        <v>MULTIMARCAS</v>
      </c>
      <c r="F314" s="15" t="str">
        <f>IFERROR(__xludf.DUMMYFUNCTION("""COMPUTED_VALUE"""),"TRIFIL")</f>
        <v>TRIFIL</v>
      </c>
      <c r="G314" s="15" t="str">
        <f>IFERROR(__xludf.DUMMYFUNCTION("""COMPUTED_VALUE"""),"266803546")</f>
        <v>266803546</v>
      </c>
      <c r="H314" s="15" t="str">
        <f>IFERROR(__xludf.DUMMYFUNCTION("""COMPUTED_VALUE"""),"1305347")</f>
        <v>1305347</v>
      </c>
      <c r="I314" s="15" t="str">
        <f>IFERROR(__xludf.DUMMYFUNCTION("""COMPUTED_VALUE"""),"8176998")</f>
        <v>8176998</v>
      </c>
      <c r="J314" s="15" t="str">
        <f>IFERROR(__xludf.DUMMYFUNCTION("""COMPUTED_VALUE"""),"CIF")</f>
        <v>CIF</v>
      </c>
      <c r="K314" s="15" t="str">
        <f>IFERROR(__xludf.DUMMYFUNCTION("""COMPUTED_VALUE"""),"SAO-1")</f>
        <v>SAO-1</v>
      </c>
      <c r="L314" s="15" t="str">
        <f>IFERROR(__xludf.DUMMYFUNCTION("""COMPUTED_VALUE"""),"AUTORIZADO")</f>
        <v>AUTORIZADO</v>
      </c>
      <c r="M314" s="15" t="str">
        <f>IFERROR(__xludf.DUMMYFUNCTION("""COMPUTED_VALUE"""),"NA ORIGEM")</f>
        <v>NA ORIGEM</v>
      </c>
      <c r="N314" s="15" t="str">
        <f>IFERROR(__xludf.DUMMYFUNCTION("""COMPUTED_VALUE"""),"Antes Prazo")</f>
        <v>Antes Prazo</v>
      </c>
      <c r="O314" s="15" t="str">
        <f>IFERROR(__xludf.DUMMYFUNCTION("""COMPUTED_VALUE"""),"B2B")</f>
        <v>B2B</v>
      </c>
      <c r="P314" s="16">
        <f>IFERROR(__xludf.DUMMYFUNCTION("""COMPUTED_VALUE"""),68.09)</f>
        <v>68.09</v>
      </c>
      <c r="Q314" s="15">
        <f>IFERROR(__xludf.DUMMYFUNCTION("""COMPUTED_VALUE"""),1.0)</f>
        <v>1</v>
      </c>
      <c r="R314" s="15" t="str">
        <f>IFERROR(__xludf.DUMMYFUNCTION("""COMPUTED_VALUE"""),"RODO")</f>
        <v>RODO</v>
      </c>
      <c r="S314" s="15" t="str">
        <f>IFERROR(__xludf.DUMMYFUNCTION("""COMPUTED_VALUE"""),"ITN")</f>
        <v>ITN</v>
      </c>
      <c r="T314" s="15" t="str">
        <f>IFERROR(__xludf.DUMMYFUNCTION("""COMPUTED_VALUE"""),"101")</f>
        <v>101</v>
      </c>
      <c r="U314" s="15" t="str">
        <f>IFERROR(__xludf.DUMMYFUNCTION("""COMPUTED_VALUE"""),"266803546 1305347 8176998 multimarcas trifil mt2 101")</f>
        <v>266803546 1305347 8176998 multimarcas trifil mt2 101</v>
      </c>
      <c r="V314" s="15" t="b">
        <f>IFERROR(__xludf.DUMMYFUNCTION("""COMPUTED_VALUE"""),FALSE)</f>
        <v>0</v>
      </c>
    </row>
    <row r="315">
      <c r="A315" s="19">
        <f>IFERROR(__xludf.DUMMYFUNCTION("""COMPUTED_VALUE"""),46304.0)</f>
        <v>46304</v>
      </c>
      <c r="B315" s="19">
        <f>IFERROR(__xludf.DUMMYFUNCTION("""COMPUTED_VALUE"""),46329.0)</f>
        <v>46329</v>
      </c>
      <c r="C315" s="15">
        <f>IFERROR(__xludf.DUMMYFUNCTION("""COMPUTED_VALUE"""),15.0)</f>
        <v>15</v>
      </c>
      <c r="D315" s="15" t="str">
        <f>IFERROR(__xludf.DUMMYFUNCTION("""COMPUTED_VALUE"""),"CGB")</f>
        <v>CGB</v>
      </c>
      <c r="E315" s="15" t="str">
        <f>IFERROR(__xludf.DUMMYFUNCTION("""COMPUTED_VALUE"""),"J E KARPINSKI &amp; CIA LTDA")</f>
        <v>J E KARPINSKI &amp; CIA LTDA</v>
      </c>
      <c r="F315" s="15" t="str">
        <f>IFERROR(__xludf.DUMMYFUNCTION("""COMPUTED_VALUE"""),"TRIFIL")</f>
        <v>TRIFIL</v>
      </c>
      <c r="G315" s="15" t="str">
        <f>IFERROR(__xludf.DUMMYFUNCTION("""COMPUTED_VALUE"""),"266803547")</f>
        <v>266803547</v>
      </c>
      <c r="H315" s="15" t="str">
        <f>IFERROR(__xludf.DUMMYFUNCTION("""COMPUTED_VALUE"""),"1305811")</f>
        <v>1305811</v>
      </c>
      <c r="I315" s="15" t="str">
        <f>IFERROR(__xludf.DUMMYFUNCTION("""COMPUTED_VALUE"""),"8176792")</f>
        <v>8176792</v>
      </c>
      <c r="J315" s="15" t="str">
        <f>IFERROR(__xludf.DUMMYFUNCTION("""COMPUTED_VALUE"""),"CIF")</f>
        <v>CIF</v>
      </c>
      <c r="K315" s="15" t="str">
        <f>IFERROR(__xludf.DUMMYFUNCTION("""COMPUTED_VALUE"""),"SAO-1")</f>
        <v>SAO-1</v>
      </c>
      <c r="L315" s="15" t="str">
        <f>IFERROR(__xludf.DUMMYFUNCTION("""COMPUTED_VALUE"""),"AUTORIZADO")</f>
        <v>AUTORIZADO</v>
      </c>
      <c r="M315" s="15" t="str">
        <f>IFERROR(__xludf.DUMMYFUNCTION("""COMPUTED_VALUE"""),"NA ORIGEM")</f>
        <v>NA ORIGEM</v>
      </c>
      <c r="N315" s="15" t="str">
        <f>IFERROR(__xludf.DUMMYFUNCTION("""COMPUTED_VALUE"""),"Antes Prazo")</f>
        <v>Antes Prazo</v>
      </c>
      <c r="O315" s="15" t="str">
        <f>IFERROR(__xludf.DUMMYFUNCTION("""COMPUTED_VALUE"""),"B2B")</f>
        <v>B2B</v>
      </c>
      <c r="P315" s="16">
        <f>IFERROR(__xludf.DUMMYFUNCTION("""COMPUTED_VALUE"""),68.09)</f>
        <v>68.09</v>
      </c>
      <c r="Q315" s="15">
        <f>IFERROR(__xludf.DUMMYFUNCTION("""COMPUTED_VALUE"""),1.0)</f>
        <v>1</v>
      </c>
      <c r="R315" s="15" t="str">
        <f>IFERROR(__xludf.DUMMYFUNCTION("""COMPUTED_VALUE"""),"RODO")</f>
        <v>RODO</v>
      </c>
      <c r="S315" s="15" t="str">
        <f>IFERROR(__xludf.DUMMYFUNCTION("""COMPUTED_VALUE"""),"ITN")</f>
        <v>ITN</v>
      </c>
      <c r="T315" s="15" t="str">
        <f>IFERROR(__xludf.DUMMYFUNCTION("""COMPUTED_VALUE"""),"502")</f>
        <v>502</v>
      </c>
      <c r="U315" s="15" t="str">
        <f>IFERROR(__xludf.DUMMYFUNCTION("""COMPUTED_VALUE"""),"266803547 1305811 8176792 j e karpinski &amp; cia ltda trifil cgb 502")</f>
        <v>266803547 1305811 8176792 j e karpinski &amp; cia ltda trifil cgb 502</v>
      </c>
      <c r="V315" s="15" t="b">
        <f>IFERROR(__xludf.DUMMYFUNCTION("""COMPUTED_VALUE"""),FALSE)</f>
        <v>0</v>
      </c>
    </row>
    <row r="316">
      <c r="A316" s="19">
        <f>IFERROR(__xludf.DUMMYFUNCTION("""COMPUTED_VALUE"""),46304.0)</f>
        <v>46304</v>
      </c>
      <c r="B316" s="19">
        <f>IFERROR(__xludf.DUMMYFUNCTION("""COMPUTED_VALUE"""),46323.0)</f>
        <v>46323</v>
      </c>
      <c r="C316" s="15">
        <f>IFERROR(__xludf.DUMMYFUNCTION("""COMPUTED_VALUE"""),12.0)</f>
        <v>12</v>
      </c>
      <c r="D316" s="15" t="str">
        <f>IFERROR(__xludf.DUMMYFUNCTION("""COMPUTED_VALUE"""),"MSS")</f>
        <v>MSS</v>
      </c>
      <c r="E316" s="15" t="str">
        <f>IFERROR(__xludf.DUMMYFUNCTION("""COMPUTED_VALUE"""),"22.972.416 PATRICIA PATUSSI NASCIMENTO P")</f>
        <v>22.972.416 PATRICIA PATUSSI NASCIMENTO P</v>
      </c>
      <c r="F316" s="15" t="str">
        <f>IFERROR(__xludf.DUMMYFUNCTION("""COMPUTED_VALUE"""),"TRIFIL")</f>
        <v>TRIFIL</v>
      </c>
      <c r="G316" s="15" t="str">
        <f>IFERROR(__xludf.DUMMYFUNCTION("""COMPUTED_VALUE"""),"266803548")</f>
        <v>266803548</v>
      </c>
      <c r="H316" s="15" t="str">
        <f>IFERROR(__xludf.DUMMYFUNCTION("""COMPUTED_VALUE"""),"1305515")</f>
        <v>1305515</v>
      </c>
      <c r="I316" s="15" t="str">
        <f>IFERROR(__xludf.DUMMYFUNCTION("""COMPUTED_VALUE"""),"8176858")</f>
        <v>8176858</v>
      </c>
      <c r="J316" s="15" t="str">
        <f>IFERROR(__xludf.DUMMYFUNCTION("""COMPUTED_VALUE"""),"CIF")</f>
        <v>CIF</v>
      </c>
      <c r="K316" s="15" t="str">
        <f>IFERROR(__xludf.DUMMYFUNCTION("""COMPUTED_VALUE"""),"(sem célula)")</f>
        <v>(sem célula)</v>
      </c>
      <c r="L316" s="15" t="str">
        <f>IFERROR(__xludf.DUMMYFUNCTION("""COMPUTED_VALUE"""),"AUTORIZADO")</f>
        <v>AUTORIZADO</v>
      </c>
      <c r="M316" s="15" t="str">
        <f>IFERROR(__xludf.DUMMYFUNCTION("""COMPUTED_VALUE"""),"NA ORIGEM")</f>
        <v>NA ORIGEM</v>
      </c>
      <c r="N316" s="15" t="str">
        <f>IFERROR(__xludf.DUMMYFUNCTION("""COMPUTED_VALUE"""),"Antes Prazo")</f>
        <v>Antes Prazo</v>
      </c>
      <c r="O316" s="15" t="str">
        <f>IFERROR(__xludf.DUMMYFUNCTION("""COMPUTED_VALUE"""),"B2B")</f>
        <v>B2B</v>
      </c>
      <c r="P316" s="16">
        <f>IFERROR(__xludf.DUMMYFUNCTION("""COMPUTED_VALUE"""),68.09)</f>
        <v>68.09</v>
      </c>
      <c r="Q316" s="15">
        <f>IFERROR(__xludf.DUMMYFUNCTION("""COMPUTED_VALUE"""),1.0)</f>
        <v>1</v>
      </c>
      <c r="R316" s="15" t="str">
        <f>IFERROR(__xludf.DUMMYFUNCTION("""COMPUTED_VALUE"""),"RODO")</f>
        <v>RODO</v>
      </c>
      <c r="S316" s="15" t="str">
        <f>IFERROR(__xludf.DUMMYFUNCTION("""COMPUTED_VALUE"""),"ITN")</f>
        <v>ITN</v>
      </c>
      <c r="T316" s="15" t="str">
        <f>IFERROR(__xludf.DUMMYFUNCTION("""COMPUTED_VALUE"""),"600")</f>
        <v>600</v>
      </c>
      <c r="U316" s="15" t="str">
        <f>IFERROR(__xludf.DUMMYFUNCTION("""COMPUTED_VALUE"""),"266803548 1305515 8176858 22.972.416 patricia patussi nascimento p trifil mss 600")</f>
        <v>266803548 1305515 8176858 22.972.416 patricia patussi nascimento p trifil mss 600</v>
      </c>
      <c r="V316" s="15" t="b">
        <f>IFERROR(__xludf.DUMMYFUNCTION("""COMPUTED_VALUE"""),FALSE)</f>
        <v>0</v>
      </c>
    </row>
    <row r="317">
      <c r="A317" s="19">
        <f>IFERROR(__xludf.DUMMYFUNCTION("""COMPUTED_VALUE"""),46304.0)</f>
        <v>46304</v>
      </c>
      <c r="B317" s="19">
        <f>IFERROR(__xludf.DUMMYFUNCTION("""COMPUTED_VALUE"""),46323.0)</f>
        <v>46323</v>
      </c>
      <c r="C317" s="15">
        <f>IFERROR(__xludf.DUMMYFUNCTION("""COMPUTED_VALUE"""),12.0)</f>
        <v>12</v>
      </c>
      <c r="D317" s="15" t="str">
        <f>IFERROR(__xludf.DUMMYFUNCTION("""COMPUTED_VALUE"""),"MSS")</f>
        <v>MSS</v>
      </c>
      <c r="E317" s="15" t="str">
        <f>IFERROR(__xludf.DUMMYFUNCTION("""COMPUTED_VALUE"""),"VITORIA FASHION MODAS EIRELI - 19426")</f>
        <v>VITORIA FASHION MODAS EIRELI - 19426</v>
      </c>
      <c r="F317" s="15" t="str">
        <f>IFERROR(__xludf.DUMMYFUNCTION("""COMPUTED_VALUE"""),"TRIFIL")</f>
        <v>TRIFIL</v>
      </c>
      <c r="G317" s="15" t="str">
        <f>IFERROR(__xludf.DUMMYFUNCTION("""COMPUTED_VALUE"""),"266803549")</f>
        <v>266803549</v>
      </c>
      <c r="H317" s="15" t="str">
        <f>IFERROR(__xludf.DUMMYFUNCTION("""COMPUTED_VALUE"""),"1303923")</f>
        <v>1303923</v>
      </c>
      <c r="I317" s="15" t="str">
        <f>IFERROR(__xludf.DUMMYFUNCTION("""COMPUTED_VALUE"""),"8176892")</f>
        <v>8176892</v>
      </c>
      <c r="J317" s="15" t="str">
        <f>IFERROR(__xludf.DUMMYFUNCTION("""COMPUTED_VALUE"""),"CIF")</f>
        <v>CIF</v>
      </c>
      <c r="K317" s="15" t="str">
        <f>IFERROR(__xludf.DUMMYFUNCTION("""COMPUTED_VALUE"""),"(sem célula)")</f>
        <v>(sem célula)</v>
      </c>
      <c r="L317" s="15" t="str">
        <f>IFERROR(__xludf.DUMMYFUNCTION("""COMPUTED_VALUE"""),"AUTORIZADO")</f>
        <v>AUTORIZADO</v>
      </c>
      <c r="M317" s="15" t="str">
        <f>IFERROR(__xludf.DUMMYFUNCTION("""COMPUTED_VALUE"""),"NA ORIGEM")</f>
        <v>NA ORIGEM</v>
      </c>
      <c r="N317" s="15" t="str">
        <f>IFERROR(__xludf.DUMMYFUNCTION("""COMPUTED_VALUE"""),"Antes Prazo")</f>
        <v>Antes Prazo</v>
      </c>
      <c r="O317" s="15" t="str">
        <f>IFERROR(__xludf.DUMMYFUNCTION("""COMPUTED_VALUE"""),"B2B")</f>
        <v>B2B</v>
      </c>
      <c r="P317" s="16">
        <f>IFERROR(__xludf.DUMMYFUNCTION("""COMPUTED_VALUE"""),68.09)</f>
        <v>68.09</v>
      </c>
      <c r="Q317" s="15">
        <f>IFERROR(__xludf.DUMMYFUNCTION("""COMPUTED_VALUE"""),1.0)</f>
        <v>1</v>
      </c>
      <c r="R317" s="15" t="str">
        <f>IFERROR(__xludf.DUMMYFUNCTION("""COMPUTED_VALUE"""),"RODO")</f>
        <v>RODO</v>
      </c>
      <c r="S317" s="15" t="str">
        <f>IFERROR(__xludf.DUMMYFUNCTION("""COMPUTED_VALUE"""),"ITN")</f>
        <v>ITN</v>
      </c>
      <c r="T317" s="15" t="str">
        <f>IFERROR(__xludf.DUMMYFUNCTION("""COMPUTED_VALUE"""),"501")</f>
        <v>501</v>
      </c>
      <c r="U317" s="15" t="str">
        <f>IFERROR(__xludf.DUMMYFUNCTION("""COMPUTED_VALUE"""),"266803549 1303923 8176892 vitoria fashion modas eireli - 19426 trifil mss 501")</f>
        <v>266803549 1303923 8176892 vitoria fashion modas eireli - 19426 trifil mss 501</v>
      </c>
      <c r="V317" s="15" t="b">
        <f>IFERROR(__xludf.DUMMYFUNCTION("""COMPUTED_VALUE"""),FALSE)</f>
        <v>0</v>
      </c>
    </row>
    <row r="318">
      <c r="A318" s="19">
        <f>IFERROR(__xludf.DUMMYFUNCTION("""COMPUTED_VALUE"""),46304.0)</f>
        <v>46304</v>
      </c>
      <c r="B318" s="19">
        <f>IFERROR(__xludf.DUMMYFUNCTION("""COMPUTED_VALUE"""),46323.0)</f>
        <v>46323</v>
      </c>
      <c r="C318" s="15">
        <f>IFERROR(__xludf.DUMMYFUNCTION("""COMPUTED_VALUE"""),12.0)</f>
        <v>12</v>
      </c>
      <c r="D318" s="15" t="str">
        <f>IFERROR(__xludf.DUMMYFUNCTION("""COMPUTED_VALUE"""),"MSS")</f>
        <v>MSS</v>
      </c>
      <c r="E318" s="15" t="str">
        <f>IFERROR(__xludf.DUMMYFUNCTION("""COMPUTED_VALUE"""),"LOJA LUPO")</f>
        <v>LOJA LUPO</v>
      </c>
      <c r="F318" s="15" t="str">
        <f>IFERROR(__xludf.DUMMYFUNCTION("""COMPUTED_VALUE"""),"TRIFIL")</f>
        <v>TRIFIL</v>
      </c>
      <c r="G318" s="15" t="str">
        <f>IFERROR(__xludf.DUMMYFUNCTION("""COMPUTED_VALUE"""),"266803550")</f>
        <v>266803550</v>
      </c>
      <c r="H318" s="15" t="str">
        <f>IFERROR(__xludf.DUMMYFUNCTION("""COMPUTED_VALUE"""),"1305103")</f>
        <v>1305103</v>
      </c>
      <c r="I318" s="15" t="str">
        <f>IFERROR(__xludf.DUMMYFUNCTION("""COMPUTED_VALUE"""),"8177047")</f>
        <v>8177047</v>
      </c>
      <c r="J318" s="15" t="str">
        <f>IFERROR(__xludf.DUMMYFUNCTION("""COMPUTED_VALUE"""),"CIF")</f>
        <v>CIF</v>
      </c>
      <c r="K318" s="15" t="str">
        <f>IFERROR(__xludf.DUMMYFUNCTION("""COMPUTED_VALUE"""),"(sem célula)")</f>
        <v>(sem célula)</v>
      </c>
      <c r="L318" s="15" t="str">
        <f>IFERROR(__xludf.DUMMYFUNCTION("""COMPUTED_VALUE"""),"AUTORIZADO")</f>
        <v>AUTORIZADO</v>
      </c>
      <c r="M318" s="15" t="str">
        <f>IFERROR(__xludf.DUMMYFUNCTION("""COMPUTED_VALUE"""),"NA ORIGEM")</f>
        <v>NA ORIGEM</v>
      </c>
      <c r="N318" s="15" t="str">
        <f>IFERROR(__xludf.DUMMYFUNCTION("""COMPUTED_VALUE"""),"Antes Prazo")</f>
        <v>Antes Prazo</v>
      </c>
      <c r="O318" s="15" t="str">
        <f>IFERROR(__xludf.DUMMYFUNCTION("""COMPUTED_VALUE"""),"B2B")</f>
        <v>B2B</v>
      </c>
      <c r="P318" s="16">
        <f>IFERROR(__xludf.DUMMYFUNCTION("""COMPUTED_VALUE"""),68.09)</f>
        <v>68.09</v>
      </c>
      <c r="Q318" s="15">
        <f>IFERROR(__xludf.DUMMYFUNCTION("""COMPUTED_VALUE"""),1.0)</f>
        <v>1</v>
      </c>
      <c r="R318" s="15" t="str">
        <f>IFERROR(__xludf.DUMMYFUNCTION("""COMPUTED_VALUE"""),"RODO")</f>
        <v>RODO</v>
      </c>
      <c r="S318" s="15" t="str">
        <f>IFERROR(__xludf.DUMMYFUNCTION("""COMPUTED_VALUE"""),"ITN")</f>
        <v>ITN</v>
      </c>
      <c r="T318" s="15" t="str">
        <f>IFERROR(__xludf.DUMMYFUNCTION("""COMPUTED_VALUE"""),"501")</f>
        <v>501</v>
      </c>
      <c r="U318" s="15" t="str">
        <f>IFERROR(__xludf.DUMMYFUNCTION("""COMPUTED_VALUE"""),"266803550 1305103 8177047 loja lupo trifil mss 501")</f>
        <v>266803550 1305103 8177047 loja lupo trifil mss 501</v>
      </c>
      <c r="V318" s="15" t="b">
        <f>IFERROR(__xludf.DUMMYFUNCTION("""COMPUTED_VALUE"""),FALSE)</f>
        <v>0</v>
      </c>
    </row>
    <row r="319">
      <c r="A319" s="19">
        <f>IFERROR(__xludf.DUMMYFUNCTION("""COMPUTED_VALUE"""),46304.0)</f>
        <v>46304</v>
      </c>
      <c r="B319" s="19">
        <f>IFERROR(__xludf.DUMMYFUNCTION("""COMPUTED_VALUE"""),46323.0)</f>
        <v>46323</v>
      </c>
      <c r="C319" s="15">
        <f>IFERROR(__xludf.DUMMYFUNCTION("""COMPUTED_VALUE"""),12.0)</f>
        <v>12</v>
      </c>
      <c r="D319" s="15" t="str">
        <f>IFERROR(__xludf.DUMMYFUNCTION("""COMPUTED_VALUE"""),"MSS")</f>
        <v>MSS</v>
      </c>
      <c r="E319" s="15" t="str">
        <f>IFERROR(__xludf.DUMMYFUNCTION("""COMPUTED_VALUE"""),"IVONICE DE ARAUJO FARIAS")</f>
        <v>IVONICE DE ARAUJO FARIAS</v>
      </c>
      <c r="F319" s="15" t="str">
        <f>IFERROR(__xludf.DUMMYFUNCTION("""COMPUTED_VALUE"""),"TRIFIL")</f>
        <v>TRIFIL</v>
      </c>
      <c r="G319" s="15" t="str">
        <f>IFERROR(__xludf.DUMMYFUNCTION("""COMPUTED_VALUE"""),"266803551")</f>
        <v>266803551</v>
      </c>
      <c r="H319" s="15" t="str">
        <f>IFERROR(__xludf.DUMMYFUNCTION("""COMPUTED_VALUE"""),"1305611")</f>
        <v>1305611</v>
      </c>
      <c r="I319" s="15" t="str">
        <f>IFERROR(__xludf.DUMMYFUNCTION("""COMPUTED_VALUE"""),"8176999")</f>
        <v>8176999</v>
      </c>
      <c r="J319" s="15" t="str">
        <f>IFERROR(__xludf.DUMMYFUNCTION("""COMPUTED_VALUE"""),"CIF")</f>
        <v>CIF</v>
      </c>
      <c r="K319" s="15" t="str">
        <f>IFERROR(__xludf.DUMMYFUNCTION("""COMPUTED_VALUE"""),"(sem célula)")</f>
        <v>(sem célula)</v>
      </c>
      <c r="L319" s="15" t="str">
        <f>IFERROR(__xludf.DUMMYFUNCTION("""COMPUTED_VALUE"""),"AUTORIZADO")</f>
        <v>AUTORIZADO</v>
      </c>
      <c r="M319" s="15" t="str">
        <f>IFERROR(__xludf.DUMMYFUNCTION("""COMPUTED_VALUE"""),"NA ORIGEM")</f>
        <v>NA ORIGEM</v>
      </c>
      <c r="N319" s="15" t="str">
        <f>IFERROR(__xludf.DUMMYFUNCTION("""COMPUTED_VALUE"""),"Antes Prazo")</f>
        <v>Antes Prazo</v>
      </c>
      <c r="O319" s="15" t="str">
        <f>IFERROR(__xludf.DUMMYFUNCTION("""COMPUTED_VALUE"""),"B2B")</f>
        <v>B2B</v>
      </c>
      <c r="P319" s="16">
        <f>IFERROR(__xludf.DUMMYFUNCTION("""COMPUTED_VALUE"""),68.09)</f>
        <v>68.09</v>
      </c>
      <c r="Q319" s="15">
        <f>IFERROR(__xludf.DUMMYFUNCTION("""COMPUTED_VALUE"""),1.0)</f>
        <v>1</v>
      </c>
      <c r="R319" s="15" t="str">
        <f>IFERROR(__xludf.DUMMYFUNCTION("""COMPUTED_VALUE"""),"RODO")</f>
        <v>RODO</v>
      </c>
      <c r="S319" s="15" t="str">
        <f>IFERROR(__xludf.DUMMYFUNCTION("""COMPUTED_VALUE"""),"ITN")</f>
        <v>ITN</v>
      </c>
      <c r="T319" s="15" t="str">
        <f>IFERROR(__xludf.DUMMYFUNCTION("""COMPUTED_VALUE"""),"101")</f>
        <v>101</v>
      </c>
      <c r="U319" s="15" t="str">
        <f>IFERROR(__xludf.DUMMYFUNCTION("""COMPUTED_VALUE"""),"266803551 1305611 8176999 ivonice de araujo farias trifil mss 101")</f>
        <v>266803551 1305611 8176999 ivonice de araujo farias trifil mss 101</v>
      </c>
      <c r="V319" s="15" t="b">
        <f>IFERROR(__xludf.DUMMYFUNCTION("""COMPUTED_VALUE"""),FALSE)</f>
        <v>0</v>
      </c>
    </row>
    <row r="320">
      <c r="A320" s="19">
        <f>IFERROR(__xludf.DUMMYFUNCTION("""COMPUTED_VALUE"""),46304.0)</f>
        <v>46304</v>
      </c>
      <c r="B320" s="19">
        <f>IFERROR(__xludf.DUMMYFUNCTION("""COMPUTED_VALUE"""),46316.0)</f>
        <v>46316</v>
      </c>
      <c r="C320" s="15">
        <f>IFERROR(__xludf.DUMMYFUNCTION("""COMPUTED_VALUE"""),7.0)</f>
        <v>7</v>
      </c>
      <c r="D320" s="15" t="str">
        <f>IFERROR(__xludf.DUMMYFUNCTION("""COMPUTED_VALUE"""),"CWB")</f>
        <v>CWB</v>
      </c>
      <c r="E320" s="15" t="str">
        <f>IFERROR(__xludf.DUMMYFUNCTION("""COMPUTED_VALUE"""),"MODELA MODA INTIMA LTDA - ME")</f>
        <v>MODELA MODA INTIMA LTDA - ME</v>
      </c>
      <c r="F320" s="15" t="str">
        <f>IFERROR(__xludf.DUMMYFUNCTION("""COMPUTED_VALUE"""),"TRIFIL")</f>
        <v>TRIFIL</v>
      </c>
      <c r="G320" s="15" t="str">
        <f>IFERROR(__xludf.DUMMYFUNCTION("""COMPUTED_VALUE"""),"266803553")</f>
        <v>266803553</v>
      </c>
      <c r="H320" s="15" t="str">
        <f>IFERROR(__xludf.DUMMYFUNCTION("""COMPUTED_VALUE"""),"1305964")</f>
        <v>1305964</v>
      </c>
      <c r="I320" s="15" t="str">
        <f>IFERROR(__xludf.DUMMYFUNCTION("""COMPUTED_VALUE"""),"8176760")</f>
        <v>8176760</v>
      </c>
      <c r="J320" s="15" t="str">
        <f>IFERROR(__xludf.DUMMYFUNCTION("""COMPUTED_VALUE"""),"CIF")</f>
        <v>CIF</v>
      </c>
      <c r="K320" s="15" t="str">
        <f>IFERROR(__xludf.DUMMYFUNCTION("""COMPUTED_VALUE"""),"FSA-1")</f>
        <v>FSA-1</v>
      </c>
      <c r="L320" s="15" t="str">
        <f>IFERROR(__xludf.DUMMYFUNCTION("""COMPUTED_VALUE"""),"AUTORIZADO")</f>
        <v>AUTORIZADO</v>
      </c>
      <c r="M320" s="15" t="str">
        <f>IFERROR(__xludf.DUMMYFUNCTION("""COMPUTED_VALUE"""),"NA ORIGEM")</f>
        <v>NA ORIGEM</v>
      </c>
      <c r="N320" s="15" t="str">
        <f>IFERROR(__xludf.DUMMYFUNCTION("""COMPUTED_VALUE"""),"Antes Prazo")</f>
        <v>Antes Prazo</v>
      </c>
      <c r="O320" s="15" t="str">
        <f>IFERROR(__xludf.DUMMYFUNCTION("""COMPUTED_VALUE"""),"B2B")</f>
        <v>B2B</v>
      </c>
      <c r="P320" s="16">
        <f>IFERROR(__xludf.DUMMYFUNCTION("""COMPUTED_VALUE"""),67.31)</f>
        <v>67.31</v>
      </c>
      <c r="Q320" s="15">
        <f>IFERROR(__xludf.DUMMYFUNCTION("""COMPUTED_VALUE"""),7.0)</f>
        <v>7</v>
      </c>
      <c r="R320" s="15" t="str">
        <f>IFERROR(__xludf.DUMMYFUNCTION("""COMPUTED_VALUE"""),"RODO")</f>
        <v>RODO</v>
      </c>
      <c r="S320" s="15" t="str">
        <f>IFERROR(__xludf.DUMMYFUNCTION("""COMPUTED_VALUE"""),"ITN")</f>
        <v>ITN</v>
      </c>
      <c r="T320" s="15" t="str">
        <f>IFERROR(__xludf.DUMMYFUNCTION("""COMPUTED_VALUE"""),"14")</f>
        <v>14</v>
      </c>
      <c r="U320" s="15" t="str">
        <f>IFERROR(__xludf.DUMMYFUNCTION("""COMPUTED_VALUE"""),"266803553 1305964 8176760 modela moda intima ltda - me trifil cwb 14")</f>
        <v>266803553 1305964 8176760 modela moda intima ltda - me trifil cwb 14</v>
      </c>
      <c r="V320" s="15" t="b">
        <f>IFERROR(__xludf.DUMMYFUNCTION("""COMPUTED_VALUE"""),FALSE)</f>
        <v>0</v>
      </c>
    </row>
    <row r="321">
      <c r="A321" s="19">
        <f>IFERROR(__xludf.DUMMYFUNCTION("""COMPUTED_VALUE"""),46304.0)</f>
        <v>46304</v>
      </c>
      <c r="B321" s="19">
        <f>IFERROR(__xludf.DUMMYFUNCTION("""COMPUTED_VALUE"""),46316.0)</f>
        <v>46316</v>
      </c>
      <c r="C321" s="15">
        <f>IFERROR(__xludf.DUMMYFUNCTION("""COMPUTED_VALUE"""),7.0)</f>
        <v>7</v>
      </c>
      <c r="D321" s="15" t="str">
        <f>IFERROR(__xludf.DUMMYFUNCTION("""COMPUTED_VALUE"""),"CWB")</f>
        <v>CWB</v>
      </c>
      <c r="E321" s="15" t="str">
        <f>IFERROR(__xludf.DUMMYFUNCTION("""COMPUTED_VALUE"""),"TRIPILIKA CALCADOS LTDA")</f>
        <v>TRIPILIKA CALCADOS LTDA</v>
      </c>
      <c r="F321" s="15" t="str">
        <f>IFERROR(__xludf.DUMMYFUNCTION("""COMPUTED_VALUE"""),"TRIFIL")</f>
        <v>TRIFIL</v>
      </c>
      <c r="G321" s="15" t="str">
        <f>IFERROR(__xludf.DUMMYFUNCTION("""COMPUTED_VALUE"""),"266803554")</f>
        <v>266803554</v>
      </c>
      <c r="H321" s="15" t="str">
        <f>IFERROR(__xludf.DUMMYFUNCTION("""COMPUTED_VALUE"""),"1305162")</f>
        <v>1305162</v>
      </c>
      <c r="I321" s="15" t="str">
        <f>IFERROR(__xludf.DUMMYFUNCTION("""COMPUTED_VALUE"""),"8176827")</f>
        <v>8176827</v>
      </c>
      <c r="J321" s="15" t="str">
        <f>IFERROR(__xludf.DUMMYFUNCTION("""COMPUTED_VALUE"""),"CIF")</f>
        <v>CIF</v>
      </c>
      <c r="K321" s="15" t="str">
        <f>IFERROR(__xludf.DUMMYFUNCTION("""COMPUTED_VALUE"""),"FSA-1")</f>
        <v>FSA-1</v>
      </c>
      <c r="L321" s="15" t="str">
        <f>IFERROR(__xludf.DUMMYFUNCTION("""COMPUTED_VALUE"""),"AUTORIZADO")</f>
        <v>AUTORIZADO</v>
      </c>
      <c r="M321" s="15" t="str">
        <f>IFERROR(__xludf.DUMMYFUNCTION("""COMPUTED_VALUE"""),"NA ORIGEM")</f>
        <v>NA ORIGEM</v>
      </c>
      <c r="N321" s="15" t="str">
        <f>IFERROR(__xludf.DUMMYFUNCTION("""COMPUTED_VALUE"""),"Antes Prazo")</f>
        <v>Antes Prazo</v>
      </c>
      <c r="O321" s="15" t="str">
        <f>IFERROR(__xludf.DUMMYFUNCTION("""COMPUTED_VALUE"""),"B2B")</f>
        <v>B2B</v>
      </c>
      <c r="P321" s="16">
        <f>IFERROR(__xludf.DUMMYFUNCTION("""COMPUTED_VALUE"""),47.89)</f>
        <v>47.89</v>
      </c>
      <c r="Q321" s="15">
        <f>IFERROR(__xludf.DUMMYFUNCTION("""COMPUTED_VALUE"""),1.0)</f>
        <v>1</v>
      </c>
      <c r="R321" s="15" t="str">
        <f>IFERROR(__xludf.DUMMYFUNCTION("""COMPUTED_VALUE"""),"RODO")</f>
        <v>RODO</v>
      </c>
      <c r="S321" s="15" t="str">
        <f>IFERROR(__xludf.DUMMYFUNCTION("""COMPUTED_VALUE"""),"ITN")</f>
        <v>ITN</v>
      </c>
      <c r="T321" s="15" t="str">
        <f>IFERROR(__xludf.DUMMYFUNCTION("""COMPUTED_VALUE"""),"25")</f>
        <v>25</v>
      </c>
      <c r="U321" s="15" t="str">
        <f>IFERROR(__xludf.DUMMYFUNCTION("""COMPUTED_VALUE"""),"266803554 1305162 8176827 tripilika calcados ltda trifil cwb 25")</f>
        <v>266803554 1305162 8176827 tripilika calcados ltda trifil cwb 25</v>
      </c>
      <c r="V321" s="15" t="b">
        <f>IFERROR(__xludf.DUMMYFUNCTION("""COMPUTED_VALUE"""),FALSE)</f>
        <v>0</v>
      </c>
    </row>
    <row r="322">
      <c r="A322" s="19">
        <f>IFERROR(__xludf.DUMMYFUNCTION("""COMPUTED_VALUE"""),46304.0)</f>
        <v>46304</v>
      </c>
      <c r="B322" s="19">
        <f>IFERROR(__xludf.DUMMYFUNCTION("""COMPUTED_VALUE"""),46316.0)</f>
        <v>46316</v>
      </c>
      <c r="C322" s="15">
        <f>IFERROR(__xludf.DUMMYFUNCTION("""COMPUTED_VALUE"""),7.0)</f>
        <v>7</v>
      </c>
      <c r="D322" s="15" t="str">
        <f>IFERROR(__xludf.DUMMYFUNCTION("""COMPUTED_VALUE"""),"CWB")</f>
        <v>CWB</v>
      </c>
      <c r="E322" s="15" t="str">
        <f>IFERROR(__xludf.DUMMYFUNCTION("""COMPUTED_VALUE"""),"WOMAN COMERCIO DE CONFECCOES LTDA.")</f>
        <v>WOMAN COMERCIO DE CONFECCOES LTDA.</v>
      </c>
      <c r="F322" s="15" t="str">
        <f>IFERROR(__xludf.DUMMYFUNCTION("""COMPUTED_VALUE"""),"TRIFIL")</f>
        <v>TRIFIL</v>
      </c>
      <c r="G322" s="15" t="str">
        <f>IFERROR(__xludf.DUMMYFUNCTION("""COMPUTED_VALUE"""),"266803556")</f>
        <v>266803556</v>
      </c>
      <c r="H322" s="15" t="str">
        <f>IFERROR(__xludf.DUMMYFUNCTION("""COMPUTED_VALUE"""),"1305539")</f>
        <v>1305539</v>
      </c>
      <c r="I322" s="15" t="str">
        <f>IFERROR(__xludf.DUMMYFUNCTION("""COMPUTED_VALUE"""),"8176951")</f>
        <v>8176951</v>
      </c>
      <c r="J322" s="15" t="str">
        <f>IFERROR(__xludf.DUMMYFUNCTION("""COMPUTED_VALUE"""),"CIF")</f>
        <v>CIF</v>
      </c>
      <c r="K322" s="15" t="str">
        <f>IFERROR(__xludf.DUMMYFUNCTION("""COMPUTED_VALUE"""),"FSA-1")</f>
        <v>FSA-1</v>
      </c>
      <c r="L322" s="15" t="str">
        <f>IFERROR(__xludf.DUMMYFUNCTION("""COMPUTED_VALUE"""),"AUTORIZADO")</f>
        <v>AUTORIZADO</v>
      </c>
      <c r="M322" s="15" t="str">
        <f>IFERROR(__xludf.DUMMYFUNCTION("""COMPUTED_VALUE"""),"NA ORIGEM")</f>
        <v>NA ORIGEM</v>
      </c>
      <c r="N322" s="15" t="str">
        <f>IFERROR(__xludf.DUMMYFUNCTION("""COMPUTED_VALUE"""),"Antes Prazo")</f>
        <v>Antes Prazo</v>
      </c>
      <c r="O322" s="15" t="str">
        <f>IFERROR(__xludf.DUMMYFUNCTION("""COMPUTED_VALUE"""),"B2B")</f>
        <v>B2B</v>
      </c>
      <c r="P322" s="16">
        <f>IFERROR(__xludf.DUMMYFUNCTION("""COMPUTED_VALUE"""),47.89)</f>
        <v>47.89</v>
      </c>
      <c r="Q322" s="15">
        <f>IFERROR(__xludf.DUMMYFUNCTION("""COMPUTED_VALUE"""),1.0)</f>
        <v>1</v>
      </c>
      <c r="R322" s="15" t="str">
        <f>IFERROR(__xludf.DUMMYFUNCTION("""COMPUTED_VALUE"""),"RODO")</f>
        <v>RODO</v>
      </c>
      <c r="S322" s="15" t="str">
        <f>IFERROR(__xludf.DUMMYFUNCTION("""COMPUTED_VALUE"""),"ITN")</f>
        <v>ITN</v>
      </c>
      <c r="T322" s="15" t="str">
        <f>IFERROR(__xludf.DUMMYFUNCTION("""COMPUTED_VALUE"""),"25")</f>
        <v>25</v>
      </c>
      <c r="U322" s="15" t="str">
        <f>IFERROR(__xludf.DUMMYFUNCTION("""COMPUTED_VALUE"""),"266803556 1305539 8176951 woman comercio de confeccoes ltda. trifil cwb 25")</f>
        <v>266803556 1305539 8176951 woman comercio de confeccoes ltda. trifil cwb 25</v>
      </c>
      <c r="V322" s="15" t="b">
        <f>IFERROR(__xludf.DUMMYFUNCTION("""COMPUTED_VALUE"""),FALSE)</f>
        <v>0</v>
      </c>
    </row>
    <row r="323">
      <c r="A323" s="19">
        <f>IFERROR(__xludf.DUMMYFUNCTION("""COMPUTED_VALUE"""),46304.0)</f>
        <v>46304</v>
      </c>
      <c r="B323" s="19">
        <f>IFERROR(__xludf.DUMMYFUNCTION("""COMPUTED_VALUE"""),46316.0)</f>
        <v>46316</v>
      </c>
      <c r="C323" s="15">
        <f>IFERROR(__xludf.DUMMYFUNCTION("""COMPUTED_VALUE"""),7.0)</f>
        <v>7</v>
      </c>
      <c r="D323" s="15" t="str">
        <f>IFERROR(__xludf.DUMMYFUNCTION("""COMPUTED_VALUE"""),"CWB")</f>
        <v>CWB</v>
      </c>
      <c r="E323" s="15" t="str">
        <f>IFERROR(__xludf.DUMMYFUNCTION("""COMPUTED_VALUE"""),"SIMO LTDA")</f>
        <v>SIMO LTDA</v>
      </c>
      <c r="F323" s="15" t="str">
        <f>IFERROR(__xludf.DUMMYFUNCTION("""COMPUTED_VALUE"""),"TRIFIL")</f>
        <v>TRIFIL</v>
      </c>
      <c r="G323" s="15" t="str">
        <f>IFERROR(__xludf.DUMMYFUNCTION("""COMPUTED_VALUE"""),"266803558")</f>
        <v>266803558</v>
      </c>
      <c r="H323" s="15" t="str">
        <f>IFERROR(__xludf.DUMMYFUNCTION("""COMPUTED_VALUE"""),"1305366")</f>
        <v>1305366</v>
      </c>
      <c r="I323" s="15" t="str">
        <f>IFERROR(__xludf.DUMMYFUNCTION("""COMPUTED_VALUE"""),"8176952")</f>
        <v>8176952</v>
      </c>
      <c r="J323" s="15" t="str">
        <f>IFERROR(__xludf.DUMMYFUNCTION("""COMPUTED_VALUE"""),"CIF")</f>
        <v>CIF</v>
      </c>
      <c r="K323" s="15" t="str">
        <f>IFERROR(__xludf.DUMMYFUNCTION("""COMPUTED_VALUE"""),"FSA-1")</f>
        <v>FSA-1</v>
      </c>
      <c r="L323" s="15" t="str">
        <f>IFERROR(__xludf.DUMMYFUNCTION("""COMPUTED_VALUE"""),"AUTORIZADO")</f>
        <v>AUTORIZADO</v>
      </c>
      <c r="M323" s="15" t="str">
        <f>IFERROR(__xludf.DUMMYFUNCTION("""COMPUTED_VALUE"""),"NA ORIGEM")</f>
        <v>NA ORIGEM</v>
      </c>
      <c r="N323" s="15" t="str">
        <f>IFERROR(__xludf.DUMMYFUNCTION("""COMPUTED_VALUE"""),"Antes Prazo")</f>
        <v>Antes Prazo</v>
      </c>
      <c r="O323" s="15" t="str">
        <f>IFERROR(__xludf.DUMMYFUNCTION("""COMPUTED_VALUE"""),"B2B")</f>
        <v>B2B</v>
      </c>
      <c r="P323" s="16">
        <f>IFERROR(__xludf.DUMMYFUNCTION("""COMPUTED_VALUE"""),47.89)</f>
        <v>47.89</v>
      </c>
      <c r="Q323" s="15">
        <f>IFERROR(__xludf.DUMMYFUNCTION("""COMPUTED_VALUE"""),1.0)</f>
        <v>1</v>
      </c>
      <c r="R323" s="15" t="str">
        <f>IFERROR(__xludf.DUMMYFUNCTION("""COMPUTED_VALUE"""),"RODO")</f>
        <v>RODO</v>
      </c>
      <c r="S323" s="15" t="str">
        <f>IFERROR(__xludf.DUMMYFUNCTION("""COMPUTED_VALUE"""),"ITN")</f>
        <v>ITN</v>
      </c>
      <c r="T323" s="15" t="str">
        <f>IFERROR(__xludf.DUMMYFUNCTION("""COMPUTED_VALUE"""),"27")</f>
        <v>27</v>
      </c>
      <c r="U323" s="15" t="str">
        <f>IFERROR(__xludf.DUMMYFUNCTION("""COMPUTED_VALUE"""),"266803558 1305366 8176952 simo ltda trifil cwb 27")</f>
        <v>266803558 1305366 8176952 simo ltda trifil cwb 27</v>
      </c>
      <c r="V323" s="15" t="b">
        <f>IFERROR(__xludf.DUMMYFUNCTION("""COMPUTED_VALUE"""),FALSE)</f>
        <v>0</v>
      </c>
    </row>
    <row r="324">
      <c r="A324" s="19">
        <f>IFERROR(__xludf.DUMMYFUNCTION("""COMPUTED_VALUE"""),46304.0)</f>
        <v>46304</v>
      </c>
      <c r="B324" s="19">
        <f>IFERROR(__xludf.DUMMYFUNCTION("""COMPUTED_VALUE"""),46316.0)</f>
        <v>46316</v>
      </c>
      <c r="C324" s="15">
        <f>IFERROR(__xludf.DUMMYFUNCTION("""COMPUTED_VALUE"""),7.0)</f>
        <v>7</v>
      </c>
      <c r="D324" s="15" t="str">
        <f>IFERROR(__xludf.DUMMYFUNCTION("""COMPUTED_VALUE"""),"CWB")</f>
        <v>CWB</v>
      </c>
      <c r="E324" s="15" t="str">
        <f>IFERROR(__xludf.DUMMYFUNCTION("""COMPUTED_VALUE"""),"A PAGAN &amp; CIA LTDA ME")</f>
        <v>A PAGAN &amp; CIA LTDA ME</v>
      </c>
      <c r="F324" s="15" t="str">
        <f>IFERROR(__xludf.DUMMYFUNCTION("""COMPUTED_VALUE"""),"TRIFIL")</f>
        <v>TRIFIL</v>
      </c>
      <c r="G324" s="15" t="str">
        <f>IFERROR(__xludf.DUMMYFUNCTION("""COMPUTED_VALUE"""),"266803560")</f>
        <v>266803560</v>
      </c>
      <c r="H324" s="15" t="str">
        <f>IFERROR(__xludf.DUMMYFUNCTION("""COMPUTED_VALUE"""),"1304147")</f>
        <v>1304147</v>
      </c>
      <c r="I324" s="15" t="str">
        <f>IFERROR(__xludf.DUMMYFUNCTION("""COMPUTED_VALUE"""),"8176921")</f>
        <v>8176921</v>
      </c>
      <c r="J324" s="15" t="str">
        <f>IFERROR(__xludf.DUMMYFUNCTION("""COMPUTED_VALUE"""),"CIF")</f>
        <v>CIF</v>
      </c>
      <c r="K324" s="15" t="str">
        <f>IFERROR(__xludf.DUMMYFUNCTION("""COMPUTED_VALUE"""),"FSA-1")</f>
        <v>FSA-1</v>
      </c>
      <c r="L324" s="15" t="str">
        <f>IFERROR(__xludf.DUMMYFUNCTION("""COMPUTED_VALUE"""),"AUTORIZADO")</f>
        <v>AUTORIZADO</v>
      </c>
      <c r="M324" s="15" t="str">
        <f>IFERROR(__xludf.DUMMYFUNCTION("""COMPUTED_VALUE"""),"NA ORIGEM")</f>
        <v>NA ORIGEM</v>
      </c>
      <c r="N324" s="15" t="str">
        <f>IFERROR(__xludf.DUMMYFUNCTION("""COMPUTED_VALUE"""),"Antes Prazo")</f>
        <v>Antes Prazo</v>
      </c>
      <c r="O324" s="15" t="str">
        <f>IFERROR(__xludf.DUMMYFUNCTION("""COMPUTED_VALUE"""),"B2B")</f>
        <v>B2B</v>
      </c>
      <c r="P324" s="16">
        <f>IFERROR(__xludf.DUMMYFUNCTION("""COMPUTED_VALUE"""),47.89)</f>
        <v>47.89</v>
      </c>
      <c r="Q324" s="15">
        <f>IFERROR(__xludf.DUMMYFUNCTION("""COMPUTED_VALUE"""),1.0)</f>
        <v>1</v>
      </c>
      <c r="R324" s="15" t="str">
        <f>IFERROR(__xludf.DUMMYFUNCTION("""COMPUTED_VALUE"""),"RODO")</f>
        <v>RODO</v>
      </c>
      <c r="S324" s="15" t="str">
        <f>IFERROR(__xludf.DUMMYFUNCTION("""COMPUTED_VALUE"""),"ITN")</f>
        <v>ITN</v>
      </c>
      <c r="T324" s="15" t="str">
        <f>IFERROR(__xludf.DUMMYFUNCTION("""COMPUTED_VALUE"""),"5")</f>
        <v>5</v>
      </c>
      <c r="U324" s="15" t="str">
        <f>IFERROR(__xludf.DUMMYFUNCTION("""COMPUTED_VALUE"""),"266803560 1304147 8176921 a pagan &amp; cia ltda me trifil cwb 5")</f>
        <v>266803560 1304147 8176921 a pagan &amp; cia ltda me trifil cwb 5</v>
      </c>
      <c r="V324" s="15" t="b">
        <f>IFERROR(__xludf.DUMMYFUNCTION("""COMPUTED_VALUE"""),FALSE)</f>
        <v>0</v>
      </c>
    </row>
    <row r="325">
      <c r="A325" s="19">
        <f>IFERROR(__xludf.DUMMYFUNCTION("""COMPUTED_VALUE"""),46304.0)</f>
        <v>46304</v>
      </c>
      <c r="B325" s="19">
        <f>IFERROR(__xludf.DUMMYFUNCTION("""COMPUTED_VALUE"""),46316.0)</f>
        <v>46316</v>
      </c>
      <c r="C325" s="15">
        <f>IFERROR(__xludf.DUMMYFUNCTION("""COMPUTED_VALUE"""),7.0)</f>
        <v>7</v>
      </c>
      <c r="D325" s="15" t="str">
        <f>IFERROR(__xludf.DUMMYFUNCTION("""COMPUTED_VALUE"""),"CWB")</f>
        <v>CWB</v>
      </c>
      <c r="E325" s="15" t="str">
        <f>IFERROR(__xludf.DUMMYFUNCTION("""COMPUTED_VALUE"""),"ROSA APARECIDA TIMOTEO LOJA DE CONF")</f>
        <v>ROSA APARECIDA TIMOTEO LOJA DE CONF</v>
      </c>
      <c r="F325" s="15" t="str">
        <f>IFERROR(__xludf.DUMMYFUNCTION("""COMPUTED_VALUE"""),"TRIFIL")</f>
        <v>TRIFIL</v>
      </c>
      <c r="G325" s="15" t="str">
        <f>IFERROR(__xludf.DUMMYFUNCTION("""COMPUTED_VALUE"""),"266803562")</f>
        <v>266803562</v>
      </c>
      <c r="H325" s="15" t="str">
        <f>IFERROR(__xludf.DUMMYFUNCTION("""COMPUTED_VALUE"""),"1305984")</f>
        <v>1305984</v>
      </c>
      <c r="I325" s="15" t="str">
        <f>IFERROR(__xludf.DUMMYFUNCTION("""COMPUTED_VALUE"""),"8176717")</f>
        <v>8176717</v>
      </c>
      <c r="J325" s="15" t="str">
        <f>IFERROR(__xludf.DUMMYFUNCTION("""COMPUTED_VALUE"""),"CIF")</f>
        <v>CIF</v>
      </c>
      <c r="K325" s="15" t="str">
        <f>IFERROR(__xludf.DUMMYFUNCTION("""COMPUTED_VALUE"""),"FSA-1")</f>
        <v>FSA-1</v>
      </c>
      <c r="L325" s="15" t="str">
        <f>IFERROR(__xludf.DUMMYFUNCTION("""COMPUTED_VALUE"""),"AUTORIZADO")</f>
        <v>AUTORIZADO</v>
      </c>
      <c r="M325" s="15" t="str">
        <f>IFERROR(__xludf.DUMMYFUNCTION("""COMPUTED_VALUE"""),"NA ORIGEM")</f>
        <v>NA ORIGEM</v>
      </c>
      <c r="N325" s="15" t="str">
        <f>IFERROR(__xludf.DUMMYFUNCTION("""COMPUTED_VALUE"""),"Antes Prazo")</f>
        <v>Antes Prazo</v>
      </c>
      <c r="O325" s="15" t="str">
        <f>IFERROR(__xludf.DUMMYFUNCTION("""COMPUTED_VALUE"""),"B2B")</f>
        <v>B2B</v>
      </c>
      <c r="P325" s="16">
        <f>IFERROR(__xludf.DUMMYFUNCTION("""COMPUTED_VALUE"""),47.89)</f>
        <v>47.89</v>
      </c>
      <c r="Q325" s="15">
        <f>IFERROR(__xludf.DUMMYFUNCTION("""COMPUTED_VALUE"""),2.0)</f>
        <v>2</v>
      </c>
      <c r="R325" s="15" t="str">
        <f>IFERROR(__xludf.DUMMYFUNCTION("""COMPUTED_VALUE"""),"RODO")</f>
        <v>RODO</v>
      </c>
      <c r="S325" s="15" t="str">
        <f>IFERROR(__xludf.DUMMYFUNCTION("""COMPUTED_VALUE"""),"ITN")</f>
        <v>ITN</v>
      </c>
      <c r="T325" s="15" t="str">
        <f>IFERROR(__xludf.DUMMYFUNCTION("""COMPUTED_VALUE"""),"5")</f>
        <v>5</v>
      </c>
      <c r="U325" s="15" t="str">
        <f>IFERROR(__xludf.DUMMYFUNCTION("""COMPUTED_VALUE"""),"266803562 1305984 8176717 rosa aparecida timoteo loja de conf trifil cwb 5")</f>
        <v>266803562 1305984 8176717 rosa aparecida timoteo loja de conf trifil cwb 5</v>
      </c>
      <c r="V325" s="15" t="b">
        <f>IFERROR(__xludf.DUMMYFUNCTION("""COMPUTED_VALUE"""),FALSE)</f>
        <v>0</v>
      </c>
    </row>
    <row r="326">
      <c r="A326" s="19">
        <f>IFERROR(__xludf.DUMMYFUNCTION("""COMPUTED_VALUE"""),46304.0)</f>
        <v>46304</v>
      </c>
      <c r="B326" s="19">
        <f>IFERROR(__xludf.DUMMYFUNCTION("""COMPUTED_VALUE"""),46316.0)</f>
        <v>46316</v>
      </c>
      <c r="C326" s="15">
        <f>IFERROR(__xludf.DUMMYFUNCTION("""COMPUTED_VALUE"""),7.0)</f>
        <v>7</v>
      </c>
      <c r="D326" s="15" t="str">
        <f>IFERROR(__xludf.DUMMYFUNCTION("""COMPUTED_VALUE"""),"CWB")</f>
        <v>CWB</v>
      </c>
      <c r="E326" s="15" t="str">
        <f>IFERROR(__xludf.DUMMYFUNCTION("""COMPUTED_VALUE"""),"KARIN FAMILY")</f>
        <v>KARIN FAMILY</v>
      </c>
      <c r="F326" s="15" t="str">
        <f>IFERROR(__xludf.DUMMYFUNCTION("""COMPUTED_VALUE"""),"TRIFIL")</f>
        <v>TRIFIL</v>
      </c>
      <c r="G326" s="15" t="str">
        <f>IFERROR(__xludf.DUMMYFUNCTION("""COMPUTED_VALUE"""),"266803564")</f>
        <v>266803564</v>
      </c>
      <c r="H326" s="15" t="str">
        <f>IFERROR(__xludf.DUMMYFUNCTION("""COMPUTED_VALUE"""),"1305255")</f>
        <v>1305255</v>
      </c>
      <c r="I326" s="15" t="str">
        <f>IFERROR(__xludf.DUMMYFUNCTION("""COMPUTED_VALUE"""),"8177000")</f>
        <v>8177000</v>
      </c>
      <c r="J326" s="15" t="str">
        <f>IFERROR(__xludf.DUMMYFUNCTION("""COMPUTED_VALUE"""),"CIF")</f>
        <v>CIF</v>
      </c>
      <c r="K326" s="15" t="str">
        <f>IFERROR(__xludf.DUMMYFUNCTION("""COMPUTED_VALUE"""),"FSA-1")</f>
        <v>FSA-1</v>
      </c>
      <c r="L326" s="15" t="str">
        <f>IFERROR(__xludf.DUMMYFUNCTION("""COMPUTED_VALUE"""),"AUTORIZADO")</f>
        <v>AUTORIZADO</v>
      </c>
      <c r="M326" s="15" t="str">
        <f>IFERROR(__xludf.DUMMYFUNCTION("""COMPUTED_VALUE"""),"NA ORIGEM")</f>
        <v>NA ORIGEM</v>
      </c>
      <c r="N326" s="15" t="str">
        <f>IFERROR(__xludf.DUMMYFUNCTION("""COMPUTED_VALUE"""),"Antes Prazo")</f>
        <v>Antes Prazo</v>
      </c>
      <c r="O326" s="15" t="str">
        <f>IFERROR(__xludf.DUMMYFUNCTION("""COMPUTED_VALUE"""),"B2B")</f>
        <v>B2B</v>
      </c>
      <c r="P326" s="16">
        <f>IFERROR(__xludf.DUMMYFUNCTION("""COMPUTED_VALUE"""),47.89)</f>
        <v>47.89</v>
      </c>
      <c r="Q326" s="15">
        <f>IFERROR(__xludf.DUMMYFUNCTION("""COMPUTED_VALUE"""),1.0)</f>
        <v>1</v>
      </c>
      <c r="R326" s="15" t="str">
        <f>IFERROR(__xludf.DUMMYFUNCTION("""COMPUTED_VALUE"""),"RODO")</f>
        <v>RODO</v>
      </c>
      <c r="S326" s="15" t="str">
        <f>IFERROR(__xludf.DUMMYFUNCTION("""COMPUTED_VALUE"""),"ITN")</f>
        <v>ITN</v>
      </c>
      <c r="T326" s="15" t="str">
        <f>IFERROR(__xludf.DUMMYFUNCTION("""COMPUTED_VALUE"""),"23")</f>
        <v>23</v>
      </c>
      <c r="U326" s="15" t="str">
        <f>IFERROR(__xludf.DUMMYFUNCTION("""COMPUTED_VALUE"""),"266803564 1305255 8177000 karin family trifil cwb 23")</f>
        <v>266803564 1305255 8177000 karin family trifil cwb 23</v>
      </c>
      <c r="V326" s="15" t="b">
        <f>IFERROR(__xludf.DUMMYFUNCTION("""COMPUTED_VALUE"""),FALSE)</f>
        <v>0</v>
      </c>
    </row>
    <row r="327">
      <c r="A327" s="19">
        <f>IFERROR(__xludf.DUMMYFUNCTION("""COMPUTED_VALUE"""),46304.0)</f>
        <v>46304</v>
      </c>
      <c r="B327" s="19">
        <f>IFERROR(__xludf.DUMMYFUNCTION("""COMPUTED_VALUE"""),46316.0)</f>
        <v>46316</v>
      </c>
      <c r="C327" s="15">
        <f>IFERROR(__xludf.DUMMYFUNCTION("""COMPUTED_VALUE"""),7.0)</f>
        <v>7</v>
      </c>
      <c r="D327" s="15" t="str">
        <f>IFERROR(__xludf.DUMMYFUNCTION("""COMPUTED_VALUE"""),"GRU")</f>
        <v>GRU</v>
      </c>
      <c r="E327" s="15" t="str">
        <f>IFERROR(__xludf.DUMMYFUNCTION("""COMPUTED_VALUE"""),"E. DEPOLE - INTIMATES")</f>
        <v>E. DEPOLE - INTIMATES</v>
      </c>
      <c r="F327" s="15" t="str">
        <f>IFERROR(__xludf.DUMMYFUNCTION("""COMPUTED_VALUE"""),"TRIFIL")</f>
        <v>TRIFIL</v>
      </c>
      <c r="G327" s="15" t="str">
        <f>IFERROR(__xludf.DUMMYFUNCTION("""COMPUTED_VALUE"""),"266803566")</f>
        <v>266803566</v>
      </c>
      <c r="H327" s="15" t="str">
        <f>IFERROR(__xludf.DUMMYFUNCTION("""COMPUTED_VALUE"""),"1305220, 1305400")</f>
        <v>1305220, 1305400</v>
      </c>
      <c r="I327" s="15" t="str">
        <f>IFERROR(__xludf.DUMMYFUNCTION("""COMPUTED_VALUE"""),"8177048")</f>
        <v>8177048</v>
      </c>
      <c r="J327" s="15" t="str">
        <f>IFERROR(__xludf.DUMMYFUNCTION("""COMPUTED_VALUE"""),"CIF")</f>
        <v>CIF</v>
      </c>
      <c r="K327" s="15" t="str">
        <f>IFERROR(__xludf.DUMMYFUNCTION("""COMPUTED_VALUE"""),"SAO-1")</f>
        <v>SAO-1</v>
      </c>
      <c r="L327" s="15" t="str">
        <f>IFERROR(__xludf.DUMMYFUNCTION("""COMPUTED_VALUE"""),"AUTORIZADO")</f>
        <v>AUTORIZADO</v>
      </c>
      <c r="M327" s="15" t="str">
        <f>IFERROR(__xludf.DUMMYFUNCTION("""COMPUTED_VALUE"""),"NA ORIGEM")</f>
        <v>NA ORIGEM</v>
      </c>
      <c r="N327" s="15" t="str">
        <f>IFERROR(__xludf.DUMMYFUNCTION("""COMPUTED_VALUE"""),"Antes Prazo")</f>
        <v>Antes Prazo</v>
      </c>
      <c r="O327" s="15" t="str">
        <f>IFERROR(__xludf.DUMMYFUNCTION("""COMPUTED_VALUE"""),"B2B")</f>
        <v>B2B</v>
      </c>
      <c r="P327" s="16">
        <f>IFERROR(__xludf.DUMMYFUNCTION("""COMPUTED_VALUE"""),45.49)</f>
        <v>45.49</v>
      </c>
      <c r="Q327" s="15">
        <f>IFERROR(__xludf.DUMMYFUNCTION("""COMPUTED_VALUE"""),2.0)</f>
        <v>2</v>
      </c>
      <c r="R327" s="15" t="str">
        <f>IFERROR(__xludf.DUMMYFUNCTION("""COMPUTED_VALUE"""),"RODO")</f>
        <v>RODO</v>
      </c>
      <c r="S327" s="15" t="str">
        <f>IFERROR(__xludf.DUMMYFUNCTION("""COMPUTED_VALUE"""),"ITN")</f>
        <v>ITN</v>
      </c>
      <c r="T327" s="15" t="str">
        <f>IFERROR(__xludf.DUMMYFUNCTION("""COMPUTED_VALUE"""),"821")</f>
        <v>821</v>
      </c>
      <c r="U327" s="15" t="str">
        <f>IFERROR(__xludf.DUMMYFUNCTION("""COMPUTED_VALUE"""),"266803566 1305220, 1305400 8177048 e. depole - intimates trifil gru 821")</f>
        <v>266803566 1305220, 1305400 8177048 e. depole - intimates trifil gru 821</v>
      </c>
      <c r="V327" s="15" t="b">
        <f>IFERROR(__xludf.DUMMYFUNCTION("""COMPUTED_VALUE"""),FALSE)</f>
        <v>0</v>
      </c>
    </row>
    <row r="328">
      <c r="A328" s="19">
        <f>IFERROR(__xludf.DUMMYFUNCTION("""COMPUTED_VALUE"""),46304.0)</f>
        <v>46304</v>
      </c>
      <c r="B328" s="19">
        <f>IFERROR(__xludf.DUMMYFUNCTION("""COMPUTED_VALUE"""),46316.0)</f>
        <v>46316</v>
      </c>
      <c r="C328" s="15">
        <f>IFERROR(__xludf.DUMMYFUNCTION("""COMPUTED_VALUE"""),7.0)</f>
        <v>7</v>
      </c>
      <c r="D328" s="15" t="str">
        <f>IFERROR(__xludf.DUMMYFUNCTION("""COMPUTED_VALUE"""),"CWB")</f>
        <v>CWB</v>
      </c>
      <c r="E328" s="15" t="str">
        <f>IFERROR(__xludf.DUMMYFUNCTION("""COMPUTED_VALUE"""),"MARIA BERNADETE CARDOSO CONFECCOES - EIR")</f>
        <v>MARIA BERNADETE CARDOSO CONFECCOES - EIR</v>
      </c>
      <c r="F328" s="15" t="str">
        <f>IFERROR(__xludf.DUMMYFUNCTION("""COMPUTED_VALUE"""),"TRIFIL")</f>
        <v>TRIFIL</v>
      </c>
      <c r="G328" s="15" t="str">
        <f>IFERROR(__xludf.DUMMYFUNCTION("""COMPUTED_VALUE"""),"266803568")</f>
        <v>266803568</v>
      </c>
      <c r="H328" s="15" t="str">
        <f>IFERROR(__xludf.DUMMYFUNCTION("""COMPUTED_VALUE"""),"1305938")</f>
        <v>1305938</v>
      </c>
      <c r="I328" s="15" t="str">
        <f>IFERROR(__xludf.DUMMYFUNCTION("""COMPUTED_VALUE"""),"8176753")</f>
        <v>8176753</v>
      </c>
      <c r="J328" s="15" t="str">
        <f>IFERROR(__xludf.DUMMYFUNCTION("""COMPUTED_VALUE"""),"CIF")</f>
        <v>CIF</v>
      </c>
      <c r="K328" s="15" t="str">
        <f>IFERROR(__xludf.DUMMYFUNCTION("""COMPUTED_VALUE"""),"FSA-1")</f>
        <v>FSA-1</v>
      </c>
      <c r="L328" s="15" t="str">
        <f>IFERROR(__xludf.DUMMYFUNCTION("""COMPUTED_VALUE"""),"AUTORIZADO")</f>
        <v>AUTORIZADO</v>
      </c>
      <c r="M328" s="15" t="str">
        <f>IFERROR(__xludf.DUMMYFUNCTION("""COMPUTED_VALUE"""),"NA ORIGEM")</f>
        <v>NA ORIGEM</v>
      </c>
      <c r="N328" s="15" t="str">
        <f>IFERROR(__xludf.DUMMYFUNCTION("""COMPUTED_VALUE"""),"Antes Prazo")</f>
        <v>Antes Prazo</v>
      </c>
      <c r="O328" s="15" t="str">
        <f>IFERROR(__xludf.DUMMYFUNCTION("""COMPUTED_VALUE"""),"B2B")</f>
        <v>B2B</v>
      </c>
      <c r="P328" s="16">
        <f>IFERROR(__xludf.DUMMYFUNCTION("""COMPUTED_VALUE"""),47.89)</f>
        <v>47.89</v>
      </c>
      <c r="Q328" s="15">
        <f>IFERROR(__xludf.DUMMYFUNCTION("""COMPUTED_VALUE"""),2.0)</f>
        <v>2</v>
      </c>
      <c r="R328" s="15" t="str">
        <f>IFERROR(__xludf.DUMMYFUNCTION("""COMPUTED_VALUE"""),"RODO")</f>
        <v>RODO</v>
      </c>
      <c r="S328" s="15" t="str">
        <f>IFERROR(__xludf.DUMMYFUNCTION("""COMPUTED_VALUE"""),"ITN")</f>
        <v>ITN</v>
      </c>
      <c r="T328" s="15" t="str">
        <f>IFERROR(__xludf.DUMMYFUNCTION("""COMPUTED_VALUE"""),"9")</f>
        <v>9</v>
      </c>
      <c r="U328" s="15" t="str">
        <f>IFERROR(__xludf.DUMMYFUNCTION("""COMPUTED_VALUE"""),"266803568 1305938 8176753 maria bernadete cardoso confeccoes - eir trifil cwb 9")</f>
        <v>266803568 1305938 8176753 maria bernadete cardoso confeccoes - eir trifil cwb 9</v>
      </c>
      <c r="V328" s="15" t="b">
        <f>IFERROR(__xludf.DUMMYFUNCTION("""COMPUTED_VALUE"""),FALSE)</f>
        <v>0</v>
      </c>
    </row>
    <row r="329">
      <c r="A329" s="19">
        <f>IFERROR(__xludf.DUMMYFUNCTION("""COMPUTED_VALUE"""),46304.0)</f>
        <v>46304</v>
      </c>
      <c r="B329" s="19">
        <f>IFERROR(__xludf.DUMMYFUNCTION("""COMPUTED_VALUE"""),46317.0)</f>
        <v>46317</v>
      </c>
      <c r="C329" s="15">
        <f>IFERROR(__xludf.DUMMYFUNCTION("""COMPUTED_VALUE"""),8.0)</f>
        <v>8</v>
      </c>
      <c r="D329" s="15" t="str">
        <f>IFERROR(__xludf.DUMMYFUNCTION("""COMPUTED_VALUE"""),"CWB")</f>
        <v>CWB</v>
      </c>
      <c r="E329" s="15" t="str">
        <f>IFERROR(__xludf.DUMMYFUNCTION("""COMPUTED_VALUE"""),"Tingui Confeccoes Ltda")</f>
        <v>Tingui Confeccoes Ltda</v>
      </c>
      <c r="F329" s="15" t="str">
        <f>IFERROR(__xludf.DUMMYFUNCTION("""COMPUTED_VALUE"""),"TRIFIL")</f>
        <v>TRIFIL</v>
      </c>
      <c r="G329" s="15" t="str">
        <f>IFERROR(__xludf.DUMMYFUNCTION("""COMPUTED_VALUE"""),"266803569")</f>
        <v>266803569</v>
      </c>
      <c r="H329" s="15" t="str">
        <f>IFERROR(__xludf.DUMMYFUNCTION("""COMPUTED_VALUE"""),"1305180")</f>
        <v>1305180</v>
      </c>
      <c r="I329" s="15" t="str">
        <f>IFERROR(__xludf.DUMMYFUNCTION("""COMPUTED_VALUE"""),"8177001")</f>
        <v>8177001</v>
      </c>
      <c r="J329" s="15" t="str">
        <f>IFERROR(__xludf.DUMMYFUNCTION("""COMPUTED_VALUE"""),"CIF")</f>
        <v>CIF</v>
      </c>
      <c r="K329" s="15" t="str">
        <f>IFERROR(__xludf.DUMMYFUNCTION("""COMPUTED_VALUE"""),"FSA-1")</f>
        <v>FSA-1</v>
      </c>
      <c r="L329" s="15" t="str">
        <f>IFERROR(__xludf.DUMMYFUNCTION("""COMPUTED_VALUE"""),"AUTORIZADO")</f>
        <v>AUTORIZADO</v>
      </c>
      <c r="M329" s="15" t="str">
        <f>IFERROR(__xludf.DUMMYFUNCTION("""COMPUTED_VALUE"""),"NA ORIGEM")</f>
        <v>NA ORIGEM</v>
      </c>
      <c r="N329" s="15" t="str">
        <f>IFERROR(__xludf.DUMMYFUNCTION("""COMPUTED_VALUE"""),"Antes Prazo")</f>
        <v>Antes Prazo</v>
      </c>
      <c r="O329" s="15" t="str">
        <f>IFERROR(__xludf.DUMMYFUNCTION("""COMPUTED_VALUE"""),"B2B")</f>
        <v>B2B</v>
      </c>
      <c r="P329" s="16">
        <f>IFERROR(__xludf.DUMMYFUNCTION("""COMPUTED_VALUE"""),47.89)</f>
        <v>47.89</v>
      </c>
      <c r="Q329" s="15">
        <f>IFERROR(__xludf.DUMMYFUNCTION("""COMPUTED_VALUE"""),1.0)</f>
        <v>1</v>
      </c>
      <c r="R329" s="15" t="str">
        <f>IFERROR(__xludf.DUMMYFUNCTION("""COMPUTED_VALUE"""),"RODO")</f>
        <v>RODO</v>
      </c>
      <c r="S329" s="15" t="str">
        <f>IFERROR(__xludf.DUMMYFUNCTION("""COMPUTED_VALUE"""),"ITN")</f>
        <v>ITN</v>
      </c>
      <c r="T329" s="15" t="str">
        <f>IFERROR(__xludf.DUMMYFUNCTION("""COMPUTED_VALUE"""),"108")</f>
        <v>108</v>
      </c>
      <c r="U329" s="15" t="str">
        <f>IFERROR(__xludf.DUMMYFUNCTION("""COMPUTED_VALUE"""),"266803569 1305180 8177001 tingui confeccoes ltda trifil cwb 108")</f>
        <v>266803569 1305180 8177001 tingui confeccoes ltda trifil cwb 108</v>
      </c>
      <c r="V329" s="15" t="b">
        <f>IFERROR(__xludf.DUMMYFUNCTION("""COMPUTED_VALUE"""),FALSE)</f>
        <v>0</v>
      </c>
    </row>
    <row r="330">
      <c r="A330" s="19">
        <f>IFERROR(__xludf.DUMMYFUNCTION("""COMPUTED_VALUE"""),46304.0)</f>
        <v>46304</v>
      </c>
      <c r="B330" s="19">
        <f>IFERROR(__xludf.DUMMYFUNCTION("""COMPUTED_VALUE"""),46317.0)</f>
        <v>46317</v>
      </c>
      <c r="C330" s="15">
        <f>IFERROR(__xludf.DUMMYFUNCTION("""COMPUTED_VALUE"""),8.0)</f>
        <v>8</v>
      </c>
      <c r="D330" s="15" t="str">
        <f>IFERROR(__xludf.DUMMYFUNCTION("""COMPUTED_VALUE"""),"CWB")</f>
        <v>CWB</v>
      </c>
      <c r="E330" s="15" t="str">
        <f>IFERROR(__xludf.DUMMYFUNCTION("""COMPUTED_VALUE"""),"BUBULUGUI MODAS")</f>
        <v>BUBULUGUI MODAS</v>
      </c>
      <c r="F330" s="15" t="str">
        <f>IFERROR(__xludf.DUMMYFUNCTION("""COMPUTED_VALUE"""),"TRIFIL")</f>
        <v>TRIFIL</v>
      </c>
      <c r="G330" s="15" t="str">
        <f>IFERROR(__xludf.DUMMYFUNCTION("""COMPUTED_VALUE"""),"266803571")</f>
        <v>266803571</v>
      </c>
      <c r="H330" s="15" t="str">
        <f>IFERROR(__xludf.DUMMYFUNCTION("""COMPUTED_VALUE"""),"1305567, 1305943")</f>
        <v>1305567, 1305943</v>
      </c>
      <c r="I330" s="15" t="str">
        <f>IFERROR(__xludf.DUMMYFUNCTION("""COMPUTED_VALUE"""),"8176953")</f>
        <v>8176953</v>
      </c>
      <c r="J330" s="15" t="str">
        <f>IFERROR(__xludf.DUMMYFUNCTION("""COMPUTED_VALUE"""),"CIF")</f>
        <v>CIF</v>
      </c>
      <c r="K330" s="15" t="str">
        <f>IFERROR(__xludf.DUMMYFUNCTION("""COMPUTED_VALUE"""),"FSA-1")</f>
        <v>FSA-1</v>
      </c>
      <c r="L330" s="15" t="str">
        <f>IFERROR(__xludf.DUMMYFUNCTION("""COMPUTED_VALUE"""),"AUTORIZADO")</f>
        <v>AUTORIZADO</v>
      </c>
      <c r="M330" s="15" t="str">
        <f>IFERROR(__xludf.DUMMYFUNCTION("""COMPUTED_VALUE"""),"NA ORIGEM")</f>
        <v>NA ORIGEM</v>
      </c>
      <c r="N330" s="15" t="str">
        <f>IFERROR(__xludf.DUMMYFUNCTION("""COMPUTED_VALUE"""),"Antes Prazo")</f>
        <v>Antes Prazo</v>
      </c>
      <c r="O330" s="15" t="str">
        <f>IFERROR(__xludf.DUMMYFUNCTION("""COMPUTED_VALUE"""),"B2B")</f>
        <v>B2B</v>
      </c>
      <c r="P330" s="16">
        <f>IFERROR(__xludf.DUMMYFUNCTION("""COMPUTED_VALUE"""),47.89)</f>
        <v>47.89</v>
      </c>
      <c r="Q330" s="15">
        <f>IFERROR(__xludf.DUMMYFUNCTION("""COMPUTED_VALUE"""),4.0)</f>
        <v>4</v>
      </c>
      <c r="R330" s="15" t="str">
        <f>IFERROR(__xludf.DUMMYFUNCTION("""COMPUTED_VALUE"""),"RODO")</f>
        <v>RODO</v>
      </c>
      <c r="S330" s="15" t="str">
        <f>IFERROR(__xludf.DUMMYFUNCTION("""COMPUTED_VALUE"""),"ITN")</f>
        <v>ITN</v>
      </c>
      <c r="T330" s="15" t="str">
        <f>IFERROR(__xludf.DUMMYFUNCTION("""COMPUTED_VALUE"""),"107")</f>
        <v>107</v>
      </c>
      <c r="U330" s="15" t="str">
        <f>IFERROR(__xludf.DUMMYFUNCTION("""COMPUTED_VALUE"""),"266803571 1305567, 1305943 8176953 bubulugui modas trifil cwb 107")</f>
        <v>266803571 1305567, 1305943 8176953 bubulugui modas trifil cwb 107</v>
      </c>
      <c r="V330" s="15" t="b">
        <f>IFERROR(__xludf.DUMMYFUNCTION("""COMPUTED_VALUE"""),FALSE)</f>
        <v>0</v>
      </c>
    </row>
    <row r="331">
      <c r="A331" s="19">
        <f>IFERROR(__xludf.DUMMYFUNCTION("""COMPUTED_VALUE"""),46304.0)</f>
        <v>46304</v>
      </c>
      <c r="B331" s="19">
        <f>IFERROR(__xludf.DUMMYFUNCTION("""COMPUTED_VALUE"""),46318.0)</f>
        <v>46318</v>
      </c>
      <c r="C331" s="15">
        <f>IFERROR(__xludf.DUMMYFUNCTION("""COMPUTED_VALUE"""),9.0)</f>
        <v>9</v>
      </c>
      <c r="D331" s="15" t="str">
        <f>IFERROR(__xludf.DUMMYFUNCTION("""COMPUTED_VALUE"""),"CWB")</f>
        <v>CWB</v>
      </c>
      <c r="E331" s="15" t="str">
        <f>IFERROR(__xludf.DUMMYFUNCTION("""COMPUTED_VALUE"""),"PONTO MIX OUTLET LTDA")</f>
        <v>PONTO MIX OUTLET LTDA</v>
      </c>
      <c r="F331" s="15" t="str">
        <f>IFERROR(__xludf.DUMMYFUNCTION("""COMPUTED_VALUE"""),"TRIFIL")</f>
        <v>TRIFIL</v>
      </c>
      <c r="G331" s="15" t="str">
        <f>IFERROR(__xludf.DUMMYFUNCTION("""COMPUTED_VALUE"""),"266803573")</f>
        <v>266803573</v>
      </c>
      <c r="H331" s="15" t="str">
        <f>IFERROR(__xludf.DUMMYFUNCTION("""COMPUTED_VALUE"""),"1304649")</f>
        <v>1304649</v>
      </c>
      <c r="I331" s="15" t="str">
        <f>IFERROR(__xludf.DUMMYFUNCTION("""COMPUTED_VALUE"""),"8176745")</f>
        <v>8176745</v>
      </c>
      <c r="J331" s="15" t="str">
        <f>IFERROR(__xludf.DUMMYFUNCTION("""COMPUTED_VALUE"""),"CIF")</f>
        <v>CIF</v>
      </c>
      <c r="K331" s="15" t="str">
        <f>IFERROR(__xludf.DUMMYFUNCTION("""COMPUTED_VALUE"""),"FSA-1")</f>
        <v>FSA-1</v>
      </c>
      <c r="L331" s="15" t="str">
        <f>IFERROR(__xludf.DUMMYFUNCTION("""COMPUTED_VALUE"""),"AUTORIZADO")</f>
        <v>AUTORIZADO</v>
      </c>
      <c r="M331" s="15" t="str">
        <f>IFERROR(__xludf.DUMMYFUNCTION("""COMPUTED_VALUE"""),"NA ORIGEM")</f>
        <v>NA ORIGEM</v>
      </c>
      <c r="N331" s="15" t="str">
        <f>IFERROR(__xludf.DUMMYFUNCTION("""COMPUTED_VALUE"""),"Antes Prazo")</f>
        <v>Antes Prazo</v>
      </c>
      <c r="O331" s="15" t="str">
        <f>IFERROR(__xludf.DUMMYFUNCTION("""COMPUTED_VALUE"""),"B2B")</f>
        <v>B2B</v>
      </c>
      <c r="P331" s="16">
        <f>IFERROR(__xludf.DUMMYFUNCTION("""COMPUTED_VALUE"""),55.69)</f>
        <v>55.69</v>
      </c>
      <c r="Q331" s="15">
        <f>IFERROR(__xludf.DUMMYFUNCTION("""COMPUTED_VALUE"""),4.0)</f>
        <v>4</v>
      </c>
      <c r="R331" s="15" t="str">
        <f>IFERROR(__xludf.DUMMYFUNCTION("""COMPUTED_VALUE"""),"RODO")</f>
        <v>RODO</v>
      </c>
      <c r="S331" s="15" t="str">
        <f>IFERROR(__xludf.DUMMYFUNCTION("""COMPUTED_VALUE"""),"ITN")</f>
        <v>ITN</v>
      </c>
      <c r="T331" s="15" t="str">
        <f>IFERROR(__xludf.DUMMYFUNCTION("""COMPUTED_VALUE"""),"104")</f>
        <v>104</v>
      </c>
      <c r="U331" s="15" t="str">
        <f>IFERROR(__xludf.DUMMYFUNCTION("""COMPUTED_VALUE"""),"266803573 1304649 8176745 ponto mix outlet ltda trifil cwb 104")</f>
        <v>266803573 1304649 8176745 ponto mix outlet ltda trifil cwb 104</v>
      </c>
      <c r="V331" s="15" t="b">
        <f>IFERROR(__xludf.DUMMYFUNCTION("""COMPUTED_VALUE"""),FALSE)</f>
        <v>0</v>
      </c>
    </row>
    <row r="332">
      <c r="A332" s="19">
        <f>IFERROR(__xludf.DUMMYFUNCTION("""COMPUTED_VALUE"""),46304.0)</f>
        <v>46304</v>
      </c>
      <c r="B332" s="19">
        <f>IFERROR(__xludf.DUMMYFUNCTION("""COMPUTED_VALUE"""),46322.0)</f>
        <v>46322</v>
      </c>
      <c r="C332" s="15">
        <f>IFERROR(__xludf.DUMMYFUNCTION("""COMPUTED_VALUE"""),11.0)</f>
        <v>11</v>
      </c>
      <c r="D332" s="15" t="str">
        <f>IFERROR(__xludf.DUMMYFUNCTION("""COMPUTED_VALUE"""),"CWB")</f>
        <v>CWB</v>
      </c>
      <c r="E332" s="15" t="str">
        <f>IFERROR(__xludf.DUMMYFUNCTION("""COMPUTED_VALUE"""),"VALDETE BARBARA WOSCH DA SILVA -ME")</f>
        <v>VALDETE BARBARA WOSCH DA SILVA -ME</v>
      </c>
      <c r="F332" s="15" t="str">
        <f>IFERROR(__xludf.DUMMYFUNCTION("""COMPUTED_VALUE"""),"TRIFIL")</f>
        <v>TRIFIL</v>
      </c>
      <c r="G332" s="15" t="str">
        <f>IFERROR(__xludf.DUMMYFUNCTION("""COMPUTED_VALUE"""),"266803574")</f>
        <v>266803574</v>
      </c>
      <c r="H332" s="15" t="str">
        <f>IFERROR(__xludf.DUMMYFUNCTION("""COMPUTED_VALUE"""),"1304857")</f>
        <v>1304857</v>
      </c>
      <c r="I332" s="15" t="str">
        <f>IFERROR(__xludf.DUMMYFUNCTION("""COMPUTED_VALUE"""),"8177049")</f>
        <v>8177049</v>
      </c>
      <c r="J332" s="15" t="str">
        <f>IFERROR(__xludf.DUMMYFUNCTION("""COMPUTED_VALUE"""),"CIF")</f>
        <v>CIF</v>
      </c>
      <c r="K332" s="15" t="str">
        <f>IFERROR(__xludf.DUMMYFUNCTION("""COMPUTED_VALUE"""),"FSA-1")</f>
        <v>FSA-1</v>
      </c>
      <c r="L332" s="15" t="str">
        <f>IFERROR(__xludf.DUMMYFUNCTION("""COMPUTED_VALUE"""),"AUTORIZADO")</f>
        <v>AUTORIZADO</v>
      </c>
      <c r="M332" s="15" t="str">
        <f>IFERROR(__xludf.DUMMYFUNCTION("""COMPUTED_VALUE"""),"NA ORIGEM")</f>
        <v>NA ORIGEM</v>
      </c>
      <c r="N332" s="15" t="str">
        <f>IFERROR(__xludf.DUMMYFUNCTION("""COMPUTED_VALUE"""),"Antes Prazo")</f>
        <v>Antes Prazo</v>
      </c>
      <c r="O332" s="15" t="str">
        <f>IFERROR(__xludf.DUMMYFUNCTION("""COMPUTED_VALUE"""),"B2B")</f>
        <v>B2B</v>
      </c>
      <c r="P332" s="16">
        <f>IFERROR(__xludf.DUMMYFUNCTION("""COMPUTED_VALUE"""),53.7)</f>
        <v>53.7</v>
      </c>
      <c r="Q332" s="15">
        <f>IFERROR(__xludf.DUMMYFUNCTION("""COMPUTED_VALUE"""),1.0)</f>
        <v>1</v>
      </c>
      <c r="R332" s="15" t="str">
        <f>IFERROR(__xludf.DUMMYFUNCTION("""COMPUTED_VALUE"""),"RODO")</f>
        <v>RODO</v>
      </c>
      <c r="S332" s="15" t="str">
        <f>IFERROR(__xludf.DUMMYFUNCTION("""COMPUTED_VALUE"""),"ITN")</f>
        <v>ITN</v>
      </c>
      <c r="T332" s="15" t="str">
        <f>IFERROR(__xludf.DUMMYFUNCTION("""COMPUTED_VALUE"""),"104")</f>
        <v>104</v>
      </c>
      <c r="U332" s="15" t="str">
        <f>IFERROR(__xludf.DUMMYFUNCTION("""COMPUTED_VALUE"""),"266803574 1304857 8177049 valdete barbara wosch da silva -me trifil cwb 104")</f>
        <v>266803574 1304857 8177049 valdete barbara wosch da silva -me trifil cwb 104</v>
      </c>
      <c r="V332" s="15" t="b">
        <f>IFERROR(__xludf.DUMMYFUNCTION("""COMPUTED_VALUE"""),FALSE)</f>
        <v>0</v>
      </c>
    </row>
    <row r="333">
      <c r="A333" s="19">
        <f>IFERROR(__xludf.DUMMYFUNCTION("""COMPUTED_VALUE"""),46304.0)</f>
        <v>46304</v>
      </c>
      <c r="B333" s="19">
        <f>IFERROR(__xludf.DUMMYFUNCTION("""COMPUTED_VALUE"""),46317.0)</f>
        <v>46317</v>
      </c>
      <c r="C333" s="15">
        <f>IFERROR(__xludf.DUMMYFUNCTION("""COMPUTED_VALUE"""),8.0)</f>
        <v>8</v>
      </c>
      <c r="D333" s="15" t="str">
        <f>IFERROR(__xludf.DUMMYFUNCTION("""COMPUTED_VALUE"""),"PGZ")</f>
        <v>PGZ</v>
      </c>
      <c r="E333" s="15" t="str">
        <f>IFERROR(__xludf.DUMMYFUNCTION("""COMPUTED_VALUE"""),"LOJA ROSANA")</f>
        <v>LOJA ROSANA</v>
      </c>
      <c r="F333" s="15" t="str">
        <f>IFERROR(__xludf.DUMMYFUNCTION("""COMPUTED_VALUE"""),"TRIFIL")</f>
        <v>TRIFIL</v>
      </c>
      <c r="G333" s="15" t="str">
        <f>IFERROR(__xludf.DUMMYFUNCTION("""COMPUTED_VALUE"""),"266803576")</f>
        <v>266803576</v>
      </c>
      <c r="H333" s="15" t="str">
        <f>IFERROR(__xludf.DUMMYFUNCTION("""COMPUTED_VALUE"""),"1305412")</f>
        <v>1305412</v>
      </c>
      <c r="I333" s="15" t="str">
        <f>IFERROR(__xludf.DUMMYFUNCTION("""COMPUTED_VALUE"""),"8176893")</f>
        <v>8176893</v>
      </c>
      <c r="J333" s="15" t="str">
        <f>IFERROR(__xludf.DUMMYFUNCTION("""COMPUTED_VALUE"""),"CIF")</f>
        <v>CIF</v>
      </c>
      <c r="K333" s="15" t="str">
        <f>IFERROR(__xludf.DUMMYFUNCTION("""COMPUTED_VALUE"""),"FSA-1")</f>
        <v>FSA-1</v>
      </c>
      <c r="L333" s="15" t="str">
        <f>IFERROR(__xludf.DUMMYFUNCTION("""COMPUTED_VALUE"""),"AUTORIZADO")</f>
        <v>AUTORIZADO</v>
      </c>
      <c r="M333" s="15" t="str">
        <f>IFERROR(__xludf.DUMMYFUNCTION("""COMPUTED_VALUE"""),"NA ORIGEM")</f>
        <v>NA ORIGEM</v>
      </c>
      <c r="N333" s="15" t="str">
        <f>IFERROR(__xludf.DUMMYFUNCTION("""COMPUTED_VALUE"""),"Antes Prazo")</f>
        <v>Antes Prazo</v>
      </c>
      <c r="O333" s="15" t="str">
        <f>IFERROR(__xludf.DUMMYFUNCTION("""COMPUTED_VALUE"""),"B2B")</f>
        <v>B2B</v>
      </c>
      <c r="P333" s="16">
        <f>IFERROR(__xludf.DUMMYFUNCTION("""COMPUTED_VALUE"""),47.89)</f>
        <v>47.89</v>
      </c>
      <c r="Q333" s="15">
        <f>IFERROR(__xludf.DUMMYFUNCTION("""COMPUTED_VALUE"""),1.0)</f>
        <v>1</v>
      </c>
      <c r="R333" s="15" t="str">
        <f>IFERROR(__xludf.DUMMYFUNCTION("""COMPUTED_VALUE"""),"RODO")</f>
        <v>RODO</v>
      </c>
      <c r="S333" s="15" t="str">
        <f>IFERROR(__xludf.DUMMYFUNCTION("""COMPUTED_VALUE"""),"ITN")</f>
        <v>ITN</v>
      </c>
      <c r="T333" s="15" t="str">
        <f>IFERROR(__xludf.DUMMYFUNCTION("""COMPUTED_VALUE"""),"1")</f>
        <v>1</v>
      </c>
      <c r="U333" s="15" t="str">
        <f>IFERROR(__xludf.DUMMYFUNCTION("""COMPUTED_VALUE"""),"266803576 1305412 8176893 loja rosana trifil pgz 1")</f>
        <v>266803576 1305412 8176893 loja rosana trifil pgz 1</v>
      </c>
      <c r="V333" s="15" t="b">
        <f>IFERROR(__xludf.DUMMYFUNCTION("""COMPUTED_VALUE"""),FALSE)</f>
        <v>0</v>
      </c>
    </row>
    <row r="334">
      <c r="A334" s="19">
        <f>IFERROR(__xludf.DUMMYFUNCTION("""COMPUTED_VALUE"""),46304.0)</f>
        <v>46304</v>
      </c>
      <c r="B334" s="19">
        <f>IFERROR(__xludf.DUMMYFUNCTION("""COMPUTED_VALUE"""),46321.0)</f>
        <v>46321</v>
      </c>
      <c r="C334" s="15">
        <f>IFERROR(__xludf.DUMMYFUNCTION("""COMPUTED_VALUE"""),10.0)</f>
        <v>10</v>
      </c>
      <c r="D334" s="15" t="str">
        <f>IFERROR(__xludf.DUMMYFUNCTION("""COMPUTED_VALUE"""),"PGZ")</f>
        <v>PGZ</v>
      </c>
      <c r="E334" s="15" t="str">
        <f>IFERROR(__xludf.DUMMYFUNCTION("""COMPUTED_VALUE"""),"KARIME &amp; CIA")</f>
        <v>KARIME &amp; CIA</v>
      </c>
      <c r="F334" s="15" t="str">
        <f>IFERROR(__xludf.DUMMYFUNCTION("""COMPUTED_VALUE"""),"TRIFIL")</f>
        <v>TRIFIL</v>
      </c>
      <c r="G334" s="15" t="str">
        <f>IFERROR(__xludf.DUMMYFUNCTION("""COMPUTED_VALUE"""),"266803578")</f>
        <v>266803578</v>
      </c>
      <c r="H334" s="15" t="str">
        <f>IFERROR(__xludf.DUMMYFUNCTION("""COMPUTED_VALUE"""),"1305519")</f>
        <v>1305519</v>
      </c>
      <c r="I334" s="15" t="str">
        <f>IFERROR(__xludf.DUMMYFUNCTION("""COMPUTED_VALUE"""),"8176859")</f>
        <v>8176859</v>
      </c>
      <c r="J334" s="15" t="str">
        <f>IFERROR(__xludf.DUMMYFUNCTION("""COMPUTED_VALUE"""),"CIF")</f>
        <v>CIF</v>
      </c>
      <c r="K334" s="15" t="str">
        <f>IFERROR(__xludf.DUMMYFUNCTION("""COMPUTED_VALUE"""),"FSA-1")</f>
        <v>FSA-1</v>
      </c>
      <c r="L334" s="15" t="str">
        <f>IFERROR(__xludf.DUMMYFUNCTION("""COMPUTED_VALUE"""),"AUTORIZADO")</f>
        <v>AUTORIZADO</v>
      </c>
      <c r="M334" s="15" t="str">
        <f>IFERROR(__xludf.DUMMYFUNCTION("""COMPUTED_VALUE"""),"NA ORIGEM")</f>
        <v>NA ORIGEM</v>
      </c>
      <c r="N334" s="15" t="str">
        <f>IFERROR(__xludf.DUMMYFUNCTION("""COMPUTED_VALUE"""),"Antes Prazo")</f>
        <v>Antes Prazo</v>
      </c>
      <c r="O334" s="15" t="str">
        <f>IFERROR(__xludf.DUMMYFUNCTION("""COMPUTED_VALUE"""),"B2B")</f>
        <v>B2B</v>
      </c>
      <c r="P334" s="16">
        <f>IFERROR(__xludf.DUMMYFUNCTION("""COMPUTED_VALUE"""),53.7)</f>
        <v>53.7</v>
      </c>
      <c r="Q334" s="15">
        <f>IFERROR(__xludf.DUMMYFUNCTION("""COMPUTED_VALUE"""),1.0)</f>
        <v>1</v>
      </c>
      <c r="R334" s="15" t="str">
        <f>IFERROR(__xludf.DUMMYFUNCTION("""COMPUTED_VALUE"""),"RODO")</f>
        <v>RODO</v>
      </c>
      <c r="S334" s="15" t="str">
        <f>IFERROR(__xludf.DUMMYFUNCTION("""COMPUTED_VALUE"""),"ITN")</f>
        <v>ITN</v>
      </c>
      <c r="T334" s="15" t="str">
        <f>IFERROR(__xludf.DUMMYFUNCTION("""COMPUTED_VALUE"""),"107")</f>
        <v>107</v>
      </c>
      <c r="U334" s="15" t="str">
        <f>IFERROR(__xludf.DUMMYFUNCTION("""COMPUTED_VALUE"""),"266803578 1305519 8176859 karime &amp; cia trifil pgz 107")</f>
        <v>266803578 1305519 8176859 karime &amp; cia trifil pgz 107</v>
      </c>
      <c r="V334" s="15" t="b">
        <f>IFERROR(__xludf.DUMMYFUNCTION("""COMPUTED_VALUE"""),FALSE)</f>
        <v>0</v>
      </c>
    </row>
    <row r="335">
      <c r="A335" s="19">
        <f>IFERROR(__xludf.DUMMYFUNCTION("""COMPUTED_VALUE"""),46304.0)</f>
        <v>46304</v>
      </c>
      <c r="B335" s="19">
        <f>IFERROR(__xludf.DUMMYFUNCTION("""COMPUTED_VALUE"""),46321.0)</f>
        <v>46321</v>
      </c>
      <c r="C335" s="15">
        <f>IFERROR(__xludf.DUMMYFUNCTION("""COMPUTED_VALUE"""),10.0)</f>
        <v>10</v>
      </c>
      <c r="D335" s="15" t="str">
        <f>IFERROR(__xludf.DUMMYFUNCTION("""COMPUTED_VALUE"""),"PGZ")</f>
        <v>PGZ</v>
      </c>
      <c r="E335" s="15" t="str">
        <f>IFERROR(__xludf.DUMMYFUNCTION("""COMPUTED_VALUE"""),"Rebeca De Moura E Costa")</f>
        <v>Rebeca De Moura E Costa</v>
      </c>
      <c r="F335" s="15" t="str">
        <f>IFERROR(__xludf.DUMMYFUNCTION("""COMPUTED_VALUE"""),"TRIFIL")</f>
        <v>TRIFIL</v>
      </c>
      <c r="G335" s="15" t="str">
        <f>IFERROR(__xludf.DUMMYFUNCTION("""COMPUTED_VALUE"""),"266803579")</f>
        <v>266803579</v>
      </c>
      <c r="H335" s="15" t="str">
        <f>IFERROR(__xludf.DUMMYFUNCTION("""COMPUTED_VALUE"""),"1305532")</f>
        <v>1305532</v>
      </c>
      <c r="I335" s="15" t="str">
        <f>IFERROR(__xludf.DUMMYFUNCTION("""COMPUTED_VALUE"""),"8177002")</f>
        <v>8177002</v>
      </c>
      <c r="J335" s="15" t="str">
        <f>IFERROR(__xludf.DUMMYFUNCTION("""COMPUTED_VALUE"""),"CIF")</f>
        <v>CIF</v>
      </c>
      <c r="K335" s="15" t="str">
        <f>IFERROR(__xludf.DUMMYFUNCTION("""COMPUTED_VALUE"""),"FSA-1")</f>
        <v>FSA-1</v>
      </c>
      <c r="L335" s="15" t="str">
        <f>IFERROR(__xludf.DUMMYFUNCTION("""COMPUTED_VALUE"""),"AUTORIZADO")</f>
        <v>AUTORIZADO</v>
      </c>
      <c r="M335" s="15" t="str">
        <f>IFERROR(__xludf.DUMMYFUNCTION("""COMPUTED_VALUE"""),"NA ORIGEM")</f>
        <v>NA ORIGEM</v>
      </c>
      <c r="N335" s="15" t="str">
        <f>IFERROR(__xludf.DUMMYFUNCTION("""COMPUTED_VALUE"""),"Antes Prazo")</f>
        <v>Antes Prazo</v>
      </c>
      <c r="O335" s="15" t="str">
        <f>IFERROR(__xludf.DUMMYFUNCTION("""COMPUTED_VALUE"""),"B2B")</f>
        <v>B2B</v>
      </c>
      <c r="P335" s="16">
        <f>IFERROR(__xludf.DUMMYFUNCTION("""COMPUTED_VALUE"""),53.7)</f>
        <v>53.7</v>
      </c>
      <c r="Q335" s="15">
        <f>IFERROR(__xludf.DUMMYFUNCTION("""COMPUTED_VALUE"""),1.0)</f>
        <v>1</v>
      </c>
      <c r="R335" s="15" t="str">
        <f>IFERROR(__xludf.DUMMYFUNCTION("""COMPUTED_VALUE"""),"RODO")</f>
        <v>RODO</v>
      </c>
      <c r="S335" s="15" t="str">
        <f>IFERROR(__xludf.DUMMYFUNCTION("""COMPUTED_VALUE"""),"ITN")</f>
        <v>ITN</v>
      </c>
      <c r="T335" s="15" t="str">
        <f>IFERROR(__xludf.DUMMYFUNCTION("""COMPUTED_VALUE"""),"105")</f>
        <v>105</v>
      </c>
      <c r="U335" s="15" t="str">
        <f>IFERROR(__xludf.DUMMYFUNCTION("""COMPUTED_VALUE"""),"266803579 1305532 8177002 rebeca de moura e costa trifil pgz 105")</f>
        <v>266803579 1305532 8177002 rebeca de moura e costa trifil pgz 105</v>
      </c>
      <c r="V335" s="15" t="b">
        <f>IFERROR(__xludf.DUMMYFUNCTION("""COMPUTED_VALUE"""),FALSE)</f>
        <v>0</v>
      </c>
    </row>
    <row r="336">
      <c r="A336" s="19">
        <f>IFERROR(__xludf.DUMMYFUNCTION("""COMPUTED_VALUE"""),46304.0)</f>
        <v>46304</v>
      </c>
      <c r="B336" s="19">
        <f>IFERROR(__xludf.DUMMYFUNCTION("""COMPUTED_VALUE"""),46322.0)</f>
        <v>46322</v>
      </c>
      <c r="C336" s="15">
        <f>IFERROR(__xludf.DUMMYFUNCTION("""COMPUTED_VALUE"""),11.0)</f>
        <v>11</v>
      </c>
      <c r="D336" s="15" t="str">
        <f>IFERROR(__xludf.DUMMYFUNCTION("""COMPUTED_VALUE"""),"GPB")</f>
        <v>GPB</v>
      </c>
      <c r="E336" s="15" t="str">
        <f>IFERROR(__xludf.DUMMYFUNCTION("""COMPUTED_VALUE"""),"IRRI TRENTO &amp; CIA LTDA")</f>
        <v>IRRI TRENTO &amp; CIA LTDA</v>
      </c>
      <c r="F336" s="15" t="str">
        <f>IFERROR(__xludf.DUMMYFUNCTION("""COMPUTED_VALUE"""),"TRIFIL")</f>
        <v>TRIFIL</v>
      </c>
      <c r="G336" s="15" t="str">
        <f>IFERROR(__xludf.DUMMYFUNCTION("""COMPUTED_VALUE"""),"266803581")</f>
        <v>266803581</v>
      </c>
      <c r="H336" s="15" t="str">
        <f>IFERROR(__xludf.DUMMYFUNCTION("""COMPUTED_VALUE"""),"1305822")</f>
        <v>1305822</v>
      </c>
      <c r="I336" s="15" t="str">
        <f>IFERROR(__xludf.DUMMYFUNCTION("""COMPUTED_VALUE"""),"8176761")</f>
        <v>8176761</v>
      </c>
      <c r="J336" s="15" t="str">
        <f>IFERROR(__xludf.DUMMYFUNCTION("""COMPUTED_VALUE"""),"CIF")</f>
        <v>CIF</v>
      </c>
      <c r="K336" s="15" t="str">
        <f>IFERROR(__xludf.DUMMYFUNCTION("""COMPUTED_VALUE"""),"FSA-1")</f>
        <v>FSA-1</v>
      </c>
      <c r="L336" s="15" t="str">
        <f>IFERROR(__xludf.DUMMYFUNCTION("""COMPUTED_VALUE"""),"AUTORIZADO")</f>
        <v>AUTORIZADO</v>
      </c>
      <c r="M336" s="15" t="str">
        <f>IFERROR(__xludf.DUMMYFUNCTION("""COMPUTED_VALUE"""),"NA ORIGEM")</f>
        <v>NA ORIGEM</v>
      </c>
      <c r="N336" s="15" t="str">
        <f>IFERROR(__xludf.DUMMYFUNCTION("""COMPUTED_VALUE"""),"Antes Prazo")</f>
        <v>Antes Prazo</v>
      </c>
      <c r="O336" s="15" t="str">
        <f>IFERROR(__xludf.DUMMYFUNCTION("""COMPUTED_VALUE"""),"B2B")</f>
        <v>B2B</v>
      </c>
      <c r="P336" s="16">
        <f>IFERROR(__xludf.DUMMYFUNCTION("""COMPUTED_VALUE"""),62.65)</f>
        <v>62.65</v>
      </c>
      <c r="Q336" s="15">
        <f>IFERROR(__xludf.DUMMYFUNCTION("""COMPUTED_VALUE"""),3.0)</f>
        <v>3</v>
      </c>
      <c r="R336" s="15" t="str">
        <f>IFERROR(__xludf.DUMMYFUNCTION("""COMPUTED_VALUE"""),"RODO")</f>
        <v>RODO</v>
      </c>
      <c r="S336" s="15" t="str">
        <f>IFERROR(__xludf.DUMMYFUNCTION("""COMPUTED_VALUE"""),"ITN")</f>
        <v>ITN</v>
      </c>
      <c r="T336" s="15" t="str">
        <f>IFERROR(__xludf.DUMMYFUNCTION("""COMPUTED_VALUE"""),"101")</f>
        <v>101</v>
      </c>
      <c r="U336" s="15" t="str">
        <f>IFERROR(__xludf.DUMMYFUNCTION("""COMPUTED_VALUE"""),"266803581 1305822 8176761 irri trento &amp; cia ltda trifil gpb 101")</f>
        <v>266803581 1305822 8176761 irri trento &amp; cia ltda trifil gpb 101</v>
      </c>
      <c r="V336" s="15" t="b">
        <f>IFERROR(__xludf.DUMMYFUNCTION("""COMPUTED_VALUE"""),FALSE)</f>
        <v>0</v>
      </c>
    </row>
    <row r="337">
      <c r="A337" s="19">
        <f>IFERROR(__xludf.DUMMYFUNCTION("""COMPUTED_VALUE"""),46304.0)</f>
        <v>46304</v>
      </c>
      <c r="B337" s="19">
        <f>IFERROR(__xludf.DUMMYFUNCTION("""COMPUTED_VALUE"""),46318.0)</f>
        <v>46318</v>
      </c>
      <c r="C337" s="15">
        <f>IFERROR(__xludf.DUMMYFUNCTION("""COMPUTED_VALUE"""),9.0)</f>
        <v>9</v>
      </c>
      <c r="D337" s="15" t="str">
        <f>IFERROR(__xludf.DUMMYFUNCTION("""COMPUTED_VALUE"""),"PTO")</f>
        <v>PTO</v>
      </c>
      <c r="E337" s="15" t="str">
        <f>IFERROR(__xludf.DUMMYFUNCTION("""COMPUTED_VALUE"""),"ZARDO FILHOS &amp; CIA LTDA")</f>
        <v>ZARDO FILHOS &amp; CIA LTDA</v>
      </c>
      <c r="F337" s="15" t="str">
        <f>IFERROR(__xludf.DUMMYFUNCTION("""COMPUTED_VALUE"""),"TRIFIL")</f>
        <v>TRIFIL</v>
      </c>
      <c r="G337" s="15" t="str">
        <f>IFERROR(__xludf.DUMMYFUNCTION("""COMPUTED_VALUE"""),"266803583")</f>
        <v>266803583</v>
      </c>
      <c r="H337" s="15" t="str">
        <f>IFERROR(__xludf.DUMMYFUNCTION("""COMPUTED_VALUE"""),"1305746")</f>
        <v>1305746</v>
      </c>
      <c r="I337" s="15" t="str">
        <f>IFERROR(__xludf.DUMMYFUNCTION("""COMPUTED_VALUE"""),"8177003")</f>
        <v>8177003</v>
      </c>
      <c r="J337" s="15" t="str">
        <f>IFERROR(__xludf.DUMMYFUNCTION("""COMPUTED_VALUE"""),"CIF")</f>
        <v>CIF</v>
      </c>
      <c r="K337" s="15" t="str">
        <f>IFERROR(__xludf.DUMMYFUNCTION("""COMPUTED_VALUE"""),"FSA-1")</f>
        <v>FSA-1</v>
      </c>
      <c r="L337" s="15" t="str">
        <f>IFERROR(__xludf.DUMMYFUNCTION("""COMPUTED_VALUE"""),"AUTORIZADO")</f>
        <v>AUTORIZADO</v>
      </c>
      <c r="M337" s="15" t="str">
        <f>IFERROR(__xludf.DUMMYFUNCTION("""COMPUTED_VALUE"""),"NA ORIGEM")</f>
        <v>NA ORIGEM</v>
      </c>
      <c r="N337" s="15" t="str">
        <f>IFERROR(__xludf.DUMMYFUNCTION("""COMPUTED_VALUE"""),"Antes Prazo")</f>
        <v>Antes Prazo</v>
      </c>
      <c r="O337" s="15" t="str">
        <f>IFERROR(__xludf.DUMMYFUNCTION("""COMPUTED_VALUE"""),"B2B")</f>
        <v>B2B</v>
      </c>
      <c r="P337" s="16">
        <f>IFERROR(__xludf.DUMMYFUNCTION("""COMPUTED_VALUE"""),53.7)</f>
        <v>53.7</v>
      </c>
      <c r="Q337" s="15">
        <f>IFERROR(__xludf.DUMMYFUNCTION("""COMPUTED_VALUE"""),1.0)</f>
        <v>1</v>
      </c>
      <c r="R337" s="15" t="str">
        <f>IFERROR(__xludf.DUMMYFUNCTION("""COMPUTED_VALUE"""),"RODO")</f>
        <v>RODO</v>
      </c>
      <c r="S337" s="15" t="str">
        <f>IFERROR(__xludf.DUMMYFUNCTION("""COMPUTED_VALUE"""),"ITN")</f>
        <v>ITN</v>
      </c>
      <c r="T337" s="15" t="str">
        <f>IFERROR(__xludf.DUMMYFUNCTION("""COMPUTED_VALUE"""),"102")</f>
        <v>102</v>
      </c>
      <c r="U337" s="15" t="str">
        <f>IFERROR(__xludf.DUMMYFUNCTION("""COMPUTED_VALUE"""),"266803583 1305746 8177003 zardo filhos &amp; cia ltda trifil pto 102")</f>
        <v>266803583 1305746 8177003 zardo filhos &amp; cia ltda trifil pto 102</v>
      </c>
      <c r="V337" s="15" t="b">
        <f>IFERROR(__xludf.DUMMYFUNCTION("""COMPUTED_VALUE"""),FALSE)</f>
        <v>0</v>
      </c>
    </row>
    <row r="338">
      <c r="A338" s="19">
        <f>IFERROR(__xludf.DUMMYFUNCTION("""COMPUTED_VALUE"""),46304.0)</f>
        <v>46304</v>
      </c>
      <c r="B338" s="19">
        <f>IFERROR(__xludf.DUMMYFUNCTION("""COMPUTED_VALUE"""),46322.0)</f>
        <v>46322</v>
      </c>
      <c r="C338" s="15">
        <f>IFERROR(__xludf.DUMMYFUNCTION("""COMPUTED_VALUE"""),11.0)</f>
        <v>11</v>
      </c>
      <c r="D338" s="15" t="str">
        <f>IFERROR(__xludf.DUMMYFUNCTION("""COMPUTED_VALUE"""),"CAC")</f>
        <v>CAC</v>
      </c>
      <c r="E338" s="15" t="str">
        <f>IFERROR(__xludf.DUMMYFUNCTION("""COMPUTED_VALUE"""),"ROSANGELA REWAY LEAL - ME")</f>
        <v>ROSANGELA REWAY LEAL - ME</v>
      </c>
      <c r="F338" s="15" t="str">
        <f>IFERROR(__xludf.DUMMYFUNCTION("""COMPUTED_VALUE"""),"TRIFIL")</f>
        <v>TRIFIL</v>
      </c>
      <c r="G338" s="15" t="str">
        <f>IFERROR(__xludf.DUMMYFUNCTION("""COMPUTED_VALUE"""),"266803585")</f>
        <v>266803585</v>
      </c>
      <c r="H338" s="15" t="str">
        <f>IFERROR(__xludf.DUMMYFUNCTION("""COMPUTED_VALUE"""),"1305074")</f>
        <v>1305074</v>
      </c>
      <c r="I338" s="15" t="str">
        <f>IFERROR(__xludf.DUMMYFUNCTION("""COMPUTED_VALUE"""),"8176828")</f>
        <v>8176828</v>
      </c>
      <c r="J338" s="15" t="str">
        <f>IFERROR(__xludf.DUMMYFUNCTION("""COMPUTED_VALUE"""),"CIF")</f>
        <v>CIF</v>
      </c>
      <c r="K338" s="15" t="str">
        <f>IFERROR(__xludf.DUMMYFUNCTION("""COMPUTED_VALUE"""),"FSA-1")</f>
        <v>FSA-1</v>
      </c>
      <c r="L338" s="15" t="str">
        <f>IFERROR(__xludf.DUMMYFUNCTION("""COMPUTED_VALUE"""),"AUTORIZADO")</f>
        <v>AUTORIZADO</v>
      </c>
      <c r="M338" s="15" t="str">
        <f>IFERROR(__xludf.DUMMYFUNCTION("""COMPUTED_VALUE"""),"NA ORIGEM")</f>
        <v>NA ORIGEM</v>
      </c>
      <c r="N338" s="15" t="str">
        <f>IFERROR(__xludf.DUMMYFUNCTION("""COMPUTED_VALUE"""),"Antes Prazo")</f>
        <v>Antes Prazo</v>
      </c>
      <c r="O338" s="15" t="str">
        <f>IFERROR(__xludf.DUMMYFUNCTION("""COMPUTED_VALUE"""),"B2B")</f>
        <v>B2B</v>
      </c>
      <c r="P338" s="16">
        <f>IFERROR(__xludf.DUMMYFUNCTION("""COMPUTED_VALUE"""),47.89)</f>
        <v>47.89</v>
      </c>
      <c r="Q338" s="15">
        <f>IFERROR(__xludf.DUMMYFUNCTION("""COMPUTED_VALUE"""),1.0)</f>
        <v>1</v>
      </c>
      <c r="R338" s="15" t="str">
        <f>IFERROR(__xludf.DUMMYFUNCTION("""COMPUTED_VALUE"""),"RODO")</f>
        <v>RODO</v>
      </c>
      <c r="S338" s="15" t="str">
        <f>IFERROR(__xludf.DUMMYFUNCTION("""COMPUTED_VALUE"""),"ITN")</f>
        <v>ITN</v>
      </c>
      <c r="T338" s="15" t="str">
        <f>IFERROR(__xludf.DUMMYFUNCTION("""COMPUTED_VALUE"""),"109")</f>
        <v>109</v>
      </c>
      <c r="U338" s="15" t="str">
        <f>IFERROR(__xludf.DUMMYFUNCTION("""COMPUTED_VALUE"""),"266803585 1305074 8176828 rosangela reway leal - me trifil cac 109")</f>
        <v>266803585 1305074 8176828 rosangela reway leal - me trifil cac 109</v>
      </c>
      <c r="V338" s="15" t="b">
        <f>IFERROR(__xludf.DUMMYFUNCTION("""COMPUTED_VALUE"""),FALSE)</f>
        <v>0</v>
      </c>
    </row>
    <row r="339">
      <c r="A339" s="19">
        <f>IFERROR(__xludf.DUMMYFUNCTION("""COMPUTED_VALUE"""),46304.0)</f>
        <v>46304</v>
      </c>
      <c r="B339" s="19">
        <f>IFERROR(__xludf.DUMMYFUNCTION("""COMPUTED_VALUE"""),46323.0)</f>
        <v>46323</v>
      </c>
      <c r="C339" s="15">
        <f>IFERROR(__xludf.DUMMYFUNCTION("""COMPUTED_VALUE"""),12.0)</f>
        <v>12</v>
      </c>
      <c r="D339" s="15" t="str">
        <f>IFERROR(__xludf.DUMMYFUNCTION("""COMPUTED_VALUE"""),"CAC")</f>
        <v>CAC</v>
      </c>
      <c r="E339" s="15" t="str">
        <f>IFERROR(__xludf.DUMMYFUNCTION("""COMPUTED_VALUE"""),"M L PALUDO &amp; CIA LTDA")</f>
        <v>M L PALUDO &amp; CIA LTDA</v>
      </c>
      <c r="F339" s="15" t="str">
        <f>IFERROR(__xludf.DUMMYFUNCTION("""COMPUTED_VALUE"""),"TRIFIL")</f>
        <v>TRIFIL</v>
      </c>
      <c r="G339" s="15" t="str">
        <f>IFERROR(__xludf.DUMMYFUNCTION("""COMPUTED_VALUE"""),"266803587")</f>
        <v>266803587</v>
      </c>
      <c r="H339" s="15" t="str">
        <f>IFERROR(__xludf.DUMMYFUNCTION("""COMPUTED_VALUE"""),"1305127")</f>
        <v>1305127</v>
      </c>
      <c r="I339" s="15" t="str">
        <f>IFERROR(__xludf.DUMMYFUNCTION("""COMPUTED_VALUE"""),"8177050")</f>
        <v>8177050</v>
      </c>
      <c r="J339" s="15" t="str">
        <f>IFERROR(__xludf.DUMMYFUNCTION("""COMPUTED_VALUE"""),"CIF")</f>
        <v>CIF</v>
      </c>
      <c r="K339" s="15" t="str">
        <f>IFERROR(__xludf.DUMMYFUNCTION("""COMPUTED_VALUE"""),"FSA-1")</f>
        <v>FSA-1</v>
      </c>
      <c r="L339" s="15" t="str">
        <f>IFERROR(__xludf.DUMMYFUNCTION("""COMPUTED_VALUE"""),"AUTORIZADO")</f>
        <v>AUTORIZADO</v>
      </c>
      <c r="M339" s="15" t="str">
        <f>IFERROR(__xludf.DUMMYFUNCTION("""COMPUTED_VALUE"""),"NA ORIGEM")</f>
        <v>NA ORIGEM</v>
      </c>
      <c r="N339" s="15" t="str">
        <f>IFERROR(__xludf.DUMMYFUNCTION("""COMPUTED_VALUE"""),"Antes Prazo")</f>
        <v>Antes Prazo</v>
      </c>
      <c r="O339" s="15" t="str">
        <f>IFERROR(__xludf.DUMMYFUNCTION("""COMPUTED_VALUE"""),"B2B")</f>
        <v>B2B</v>
      </c>
      <c r="P339" s="16">
        <f>IFERROR(__xludf.DUMMYFUNCTION("""COMPUTED_VALUE"""),53.7)</f>
        <v>53.7</v>
      </c>
      <c r="Q339" s="15">
        <f>IFERROR(__xludf.DUMMYFUNCTION("""COMPUTED_VALUE"""),1.0)</f>
        <v>1</v>
      </c>
      <c r="R339" s="15" t="str">
        <f>IFERROR(__xludf.DUMMYFUNCTION("""COMPUTED_VALUE"""),"RODO")</f>
        <v>RODO</v>
      </c>
      <c r="S339" s="15" t="str">
        <f>IFERROR(__xludf.DUMMYFUNCTION("""COMPUTED_VALUE"""),"ITN")</f>
        <v>ITN</v>
      </c>
      <c r="T339" s="15" t="str">
        <f>IFERROR(__xludf.DUMMYFUNCTION("""COMPUTED_VALUE"""),"110")</f>
        <v>110</v>
      </c>
      <c r="U339" s="15" t="str">
        <f>IFERROR(__xludf.DUMMYFUNCTION("""COMPUTED_VALUE"""),"266803587 1305127 8177050 m l paludo &amp; cia ltda trifil cac 110")</f>
        <v>266803587 1305127 8177050 m l paludo &amp; cia ltda trifil cac 110</v>
      </c>
      <c r="V339" s="15" t="b">
        <f>IFERROR(__xludf.DUMMYFUNCTION("""COMPUTED_VALUE"""),FALSE)</f>
        <v>0</v>
      </c>
    </row>
    <row r="340">
      <c r="A340" s="19">
        <f>IFERROR(__xludf.DUMMYFUNCTION("""COMPUTED_VALUE"""),46304.0)</f>
        <v>46304</v>
      </c>
      <c r="B340" s="19">
        <f>IFERROR(__xludf.DUMMYFUNCTION("""COMPUTED_VALUE"""),46322.0)</f>
        <v>46322</v>
      </c>
      <c r="C340" s="15">
        <f>IFERROR(__xludf.DUMMYFUNCTION("""COMPUTED_VALUE"""),11.0)</f>
        <v>11</v>
      </c>
      <c r="D340" s="15" t="str">
        <f>IFERROR(__xludf.DUMMYFUNCTION("""COMPUTED_VALUE"""),"CAC")</f>
        <v>CAC</v>
      </c>
      <c r="E340" s="15" t="str">
        <f>IFERROR(__xludf.DUMMYFUNCTION("""COMPUTED_VALUE"""),"TECIDOS E REPRESENTACOES SANTA HELENA LT")</f>
        <v>TECIDOS E REPRESENTACOES SANTA HELENA LT</v>
      </c>
      <c r="F340" s="15" t="str">
        <f>IFERROR(__xludf.DUMMYFUNCTION("""COMPUTED_VALUE"""),"TRIFIL")</f>
        <v>TRIFIL</v>
      </c>
      <c r="G340" s="15" t="str">
        <f>IFERROR(__xludf.DUMMYFUNCTION("""COMPUTED_VALUE"""),"266803588")</f>
        <v>266803588</v>
      </c>
      <c r="H340" s="15" t="str">
        <f>IFERROR(__xludf.DUMMYFUNCTION("""COMPUTED_VALUE"""),"1305039")</f>
        <v>1305039</v>
      </c>
      <c r="I340" s="15" t="str">
        <f>IFERROR(__xludf.DUMMYFUNCTION("""COMPUTED_VALUE"""),"8176793")</f>
        <v>8176793</v>
      </c>
      <c r="J340" s="15" t="str">
        <f>IFERROR(__xludf.DUMMYFUNCTION("""COMPUTED_VALUE"""),"CIF")</f>
        <v>CIF</v>
      </c>
      <c r="K340" s="15" t="str">
        <f>IFERROR(__xludf.DUMMYFUNCTION("""COMPUTED_VALUE"""),"FSA-1")</f>
        <v>FSA-1</v>
      </c>
      <c r="L340" s="15" t="str">
        <f>IFERROR(__xludf.DUMMYFUNCTION("""COMPUTED_VALUE"""),"AUTORIZADO")</f>
        <v>AUTORIZADO</v>
      </c>
      <c r="M340" s="15" t="str">
        <f>IFERROR(__xludf.DUMMYFUNCTION("""COMPUTED_VALUE"""),"NA ORIGEM")</f>
        <v>NA ORIGEM</v>
      </c>
      <c r="N340" s="15" t="str">
        <f>IFERROR(__xludf.DUMMYFUNCTION("""COMPUTED_VALUE"""),"Antes Prazo")</f>
        <v>Antes Prazo</v>
      </c>
      <c r="O340" s="15" t="str">
        <f>IFERROR(__xludf.DUMMYFUNCTION("""COMPUTED_VALUE"""),"B2B")</f>
        <v>B2B</v>
      </c>
      <c r="P340" s="16">
        <f>IFERROR(__xludf.DUMMYFUNCTION("""COMPUTED_VALUE"""),53.7)</f>
        <v>53.7</v>
      </c>
      <c r="Q340" s="15">
        <f>IFERROR(__xludf.DUMMYFUNCTION("""COMPUTED_VALUE"""),1.0)</f>
        <v>1</v>
      </c>
      <c r="R340" s="15" t="str">
        <f>IFERROR(__xludf.DUMMYFUNCTION("""COMPUTED_VALUE"""),"RODO")</f>
        <v>RODO</v>
      </c>
      <c r="S340" s="15" t="str">
        <f>IFERROR(__xludf.DUMMYFUNCTION("""COMPUTED_VALUE"""),"ITN")</f>
        <v>ITN</v>
      </c>
      <c r="T340" s="15" t="str">
        <f>IFERROR(__xludf.DUMMYFUNCTION("""COMPUTED_VALUE"""),"110")</f>
        <v>110</v>
      </c>
      <c r="U340" s="15" t="str">
        <f>IFERROR(__xludf.DUMMYFUNCTION("""COMPUTED_VALUE"""),"266803588 1305039 8176793 tecidos e representacoes santa helena lt trifil cac 110")</f>
        <v>266803588 1305039 8176793 tecidos e representacoes santa helena lt trifil cac 110</v>
      </c>
      <c r="V340" s="15" t="b">
        <f>IFERROR(__xludf.DUMMYFUNCTION("""COMPUTED_VALUE"""),FALSE)</f>
        <v>0</v>
      </c>
    </row>
    <row r="341">
      <c r="A341" s="19">
        <f>IFERROR(__xludf.DUMMYFUNCTION("""COMPUTED_VALUE"""),46304.0)</f>
        <v>46304</v>
      </c>
      <c r="B341" s="19">
        <f>IFERROR(__xludf.DUMMYFUNCTION("""COMPUTED_VALUE"""),46318.0)</f>
        <v>46318</v>
      </c>
      <c r="C341" s="15">
        <f>IFERROR(__xludf.DUMMYFUNCTION("""COMPUTED_VALUE"""),9.0)</f>
        <v>9</v>
      </c>
      <c r="D341" s="15" t="str">
        <f>IFERROR(__xludf.DUMMYFUNCTION("""COMPUTED_VALUE"""),"CAC")</f>
        <v>CAC</v>
      </c>
      <c r="E341" s="15" t="str">
        <f>IFERROR(__xludf.DUMMYFUNCTION("""COMPUTED_VALUE"""),"LASTE E JESUS LTDA")</f>
        <v>LASTE E JESUS LTDA</v>
      </c>
      <c r="F341" s="15" t="str">
        <f>IFERROR(__xludf.DUMMYFUNCTION("""COMPUTED_VALUE"""),"TRIFIL")</f>
        <v>TRIFIL</v>
      </c>
      <c r="G341" s="15" t="str">
        <f>IFERROR(__xludf.DUMMYFUNCTION("""COMPUTED_VALUE"""),"266803590")</f>
        <v>266803590</v>
      </c>
      <c r="H341" s="15" t="str">
        <f>IFERROR(__xludf.DUMMYFUNCTION("""COMPUTED_VALUE"""),"1305562")</f>
        <v>1305562</v>
      </c>
      <c r="I341" s="15" t="str">
        <f>IFERROR(__xludf.DUMMYFUNCTION("""COMPUTED_VALUE"""),"8177004")</f>
        <v>8177004</v>
      </c>
      <c r="J341" s="15" t="str">
        <f>IFERROR(__xludf.DUMMYFUNCTION("""COMPUTED_VALUE"""),"CIF")</f>
        <v>CIF</v>
      </c>
      <c r="K341" s="15" t="str">
        <f>IFERROR(__xludf.DUMMYFUNCTION("""COMPUTED_VALUE"""),"FSA-1")</f>
        <v>FSA-1</v>
      </c>
      <c r="L341" s="15" t="str">
        <f>IFERROR(__xludf.DUMMYFUNCTION("""COMPUTED_VALUE"""),"AUTORIZADO")</f>
        <v>AUTORIZADO</v>
      </c>
      <c r="M341" s="15" t="str">
        <f>IFERROR(__xludf.DUMMYFUNCTION("""COMPUTED_VALUE"""),"NA ORIGEM")</f>
        <v>NA ORIGEM</v>
      </c>
      <c r="N341" s="15" t="str">
        <f>IFERROR(__xludf.DUMMYFUNCTION("""COMPUTED_VALUE"""),"Antes Prazo")</f>
        <v>Antes Prazo</v>
      </c>
      <c r="O341" s="15" t="str">
        <f>IFERROR(__xludf.DUMMYFUNCTION("""COMPUTED_VALUE"""),"B2B")</f>
        <v>B2B</v>
      </c>
      <c r="P341" s="16">
        <f>IFERROR(__xludf.DUMMYFUNCTION("""COMPUTED_VALUE"""),53.7)</f>
        <v>53.7</v>
      </c>
      <c r="Q341" s="15">
        <f>IFERROR(__xludf.DUMMYFUNCTION("""COMPUTED_VALUE"""),1.0)</f>
        <v>1</v>
      </c>
      <c r="R341" s="15" t="str">
        <f>IFERROR(__xludf.DUMMYFUNCTION("""COMPUTED_VALUE"""),"RODO")</f>
        <v>RODO</v>
      </c>
      <c r="S341" s="15" t="str">
        <f>IFERROR(__xludf.DUMMYFUNCTION("""COMPUTED_VALUE"""),"ITN")</f>
        <v>ITN</v>
      </c>
      <c r="T341" s="15" t="str">
        <f>IFERROR(__xludf.DUMMYFUNCTION("""COMPUTED_VALUE"""),"114")</f>
        <v>114</v>
      </c>
      <c r="U341" s="15" t="str">
        <f>IFERROR(__xludf.DUMMYFUNCTION("""COMPUTED_VALUE"""),"266803590 1305562 8177004 laste e jesus ltda trifil cac 114")</f>
        <v>266803590 1305562 8177004 laste e jesus ltda trifil cac 114</v>
      </c>
      <c r="V341" s="15" t="b">
        <f>IFERROR(__xludf.DUMMYFUNCTION("""COMPUTED_VALUE"""),FALSE)</f>
        <v>0</v>
      </c>
    </row>
    <row r="342">
      <c r="A342" s="19">
        <f>IFERROR(__xludf.DUMMYFUNCTION("""COMPUTED_VALUE"""),46304.0)</f>
        <v>46304</v>
      </c>
      <c r="B342" s="19">
        <f>IFERROR(__xludf.DUMMYFUNCTION("""COMPUTED_VALUE"""),46316.0)</f>
        <v>46316</v>
      </c>
      <c r="C342" s="15">
        <f>IFERROR(__xludf.DUMMYFUNCTION("""COMPUTED_VALUE"""),7.0)</f>
        <v>7</v>
      </c>
      <c r="D342" s="15" t="str">
        <f>IFERROR(__xludf.DUMMYFUNCTION("""COMPUTED_VALUE"""),"GRU")</f>
        <v>GRU</v>
      </c>
      <c r="E342" s="15" t="str">
        <f>IFERROR(__xludf.DUMMYFUNCTION("""COMPUTED_VALUE"""),"ITAQUA MEIAS ARTIGOS DE VESTUARIO LTDA -")</f>
        <v>ITAQUA MEIAS ARTIGOS DE VESTUARIO LTDA -</v>
      </c>
      <c r="F342" s="15" t="str">
        <f>IFERROR(__xludf.DUMMYFUNCTION("""COMPUTED_VALUE"""),"TRIFIL")</f>
        <v>TRIFIL</v>
      </c>
      <c r="G342" s="15" t="str">
        <f>IFERROR(__xludf.DUMMYFUNCTION("""COMPUTED_VALUE"""),"266803592")</f>
        <v>266803592</v>
      </c>
      <c r="H342" s="15" t="str">
        <f>IFERROR(__xludf.DUMMYFUNCTION("""COMPUTED_VALUE"""),"1304819")</f>
        <v>1304819</v>
      </c>
      <c r="I342" s="15" t="str">
        <f>IFERROR(__xludf.DUMMYFUNCTION("""COMPUTED_VALUE"""),"8177051")</f>
        <v>8177051</v>
      </c>
      <c r="J342" s="15" t="str">
        <f>IFERROR(__xludf.DUMMYFUNCTION("""COMPUTED_VALUE"""),"CIF")</f>
        <v>CIF</v>
      </c>
      <c r="K342" s="15" t="str">
        <f>IFERROR(__xludf.DUMMYFUNCTION("""COMPUTED_VALUE"""),"SAO-1")</f>
        <v>SAO-1</v>
      </c>
      <c r="L342" s="15" t="str">
        <f>IFERROR(__xludf.DUMMYFUNCTION("""COMPUTED_VALUE"""),"AUTORIZADO")</f>
        <v>AUTORIZADO</v>
      </c>
      <c r="M342" s="15" t="str">
        <f>IFERROR(__xludf.DUMMYFUNCTION("""COMPUTED_VALUE"""),"NA ORIGEM")</f>
        <v>NA ORIGEM</v>
      </c>
      <c r="N342" s="15" t="str">
        <f>IFERROR(__xludf.DUMMYFUNCTION("""COMPUTED_VALUE"""),"Antes Prazo")</f>
        <v>Antes Prazo</v>
      </c>
      <c r="O342" s="15" t="str">
        <f>IFERROR(__xludf.DUMMYFUNCTION("""COMPUTED_VALUE"""),"B2B")</f>
        <v>B2B</v>
      </c>
      <c r="P342" s="16">
        <f>IFERROR(__xludf.DUMMYFUNCTION("""COMPUTED_VALUE"""),45.49)</f>
        <v>45.49</v>
      </c>
      <c r="Q342" s="15">
        <f>IFERROR(__xludf.DUMMYFUNCTION("""COMPUTED_VALUE"""),1.0)</f>
        <v>1</v>
      </c>
      <c r="R342" s="15" t="str">
        <f>IFERROR(__xludf.DUMMYFUNCTION("""COMPUTED_VALUE"""),"RODO")</f>
        <v>RODO</v>
      </c>
      <c r="S342" s="15" t="str">
        <f>IFERROR(__xludf.DUMMYFUNCTION("""COMPUTED_VALUE"""),"ITN")</f>
        <v>ITN</v>
      </c>
      <c r="T342" s="15" t="str">
        <f>IFERROR(__xludf.DUMMYFUNCTION("""COMPUTED_VALUE"""),"2740")</f>
        <v>2740</v>
      </c>
      <c r="U342" s="15" t="str">
        <f>IFERROR(__xludf.DUMMYFUNCTION("""COMPUTED_VALUE"""),"266803592 1304819 8177051 itaqua meias artigos de vestuario ltda - trifil gru 2740")</f>
        <v>266803592 1304819 8177051 itaqua meias artigos de vestuario ltda - trifil gru 2740</v>
      </c>
      <c r="V342" s="15" t="b">
        <f>IFERROR(__xludf.DUMMYFUNCTION("""COMPUTED_VALUE"""),FALSE)</f>
        <v>0</v>
      </c>
    </row>
    <row r="343">
      <c r="A343" s="19">
        <f>IFERROR(__xludf.DUMMYFUNCTION("""COMPUTED_VALUE"""),46304.0)</f>
        <v>46304</v>
      </c>
      <c r="B343" s="19">
        <f>IFERROR(__xludf.DUMMYFUNCTION("""COMPUTED_VALUE"""),46322.0)</f>
        <v>46322</v>
      </c>
      <c r="C343" s="15">
        <f>IFERROR(__xludf.DUMMYFUNCTION("""COMPUTED_VALUE"""),11.0)</f>
        <v>11</v>
      </c>
      <c r="D343" s="15" t="str">
        <f>IFERROR(__xludf.DUMMYFUNCTION("""COMPUTED_VALUE"""),"CAC")</f>
        <v>CAC</v>
      </c>
      <c r="E343" s="15" t="str">
        <f>IFERROR(__xludf.DUMMYFUNCTION("""COMPUTED_VALUE"""),"CASA BRASIL")</f>
        <v>CASA BRASIL</v>
      </c>
      <c r="F343" s="15" t="str">
        <f>IFERROR(__xludf.DUMMYFUNCTION("""COMPUTED_VALUE"""),"TRIFIL")</f>
        <v>TRIFIL</v>
      </c>
      <c r="G343" s="15" t="str">
        <f>IFERROR(__xludf.DUMMYFUNCTION("""COMPUTED_VALUE"""),"266803593")</f>
        <v>266803593</v>
      </c>
      <c r="H343" s="15" t="str">
        <f>IFERROR(__xludf.DUMMYFUNCTION("""COMPUTED_VALUE"""),"1305573")</f>
        <v>1305573</v>
      </c>
      <c r="I343" s="15" t="str">
        <f>IFERROR(__xludf.DUMMYFUNCTION("""COMPUTED_VALUE"""),"8176860")</f>
        <v>8176860</v>
      </c>
      <c r="J343" s="15" t="str">
        <f>IFERROR(__xludf.DUMMYFUNCTION("""COMPUTED_VALUE"""),"CIF")</f>
        <v>CIF</v>
      </c>
      <c r="K343" s="15" t="str">
        <f>IFERROR(__xludf.DUMMYFUNCTION("""COMPUTED_VALUE"""),"FSA-1")</f>
        <v>FSA-1</v>
      </c>
      <c r="L343" s="15" t="str">
        <f>IFERROR(__xludf.DUMMYFUNCTION("""COMPUTED_VALUE"""),"AUTORIZADO")</f>
        <v>AUTORIZADO</v>
      </c>
      <c r="M343" s="15" t="str">
        <f>IFERROR(__xludf.DUMMYFUNCTION("""COMPUTED_VALUE"""),"NA ORIGEM")</f>
        <v>NA ORIGEM</v>
      </c>
      <c r="N343" s="15" t="str">
        <f>IFERROR(__xludf.DUMMYFUNCTION("""COMPUTED_VALUE"""),"Antes Prazo")</f>
        <v>Antes Prazo</v>
      </c>
      <c r="O343" s="15" t="str">
        <f>IFERROR(__xludf.DUMMYFUNCTION("""COMPUTED_VALUE"""),"B2B")</f>
        <v>B2B</v>
      </c>
      <c r="P343" s="16">
        <f>IFERROR(__xludf.DUMMYFUNCTION("""COMPUTED_VALUE"""),53.7)</f>
        <v>53.7</v>
      </c>
      <c r="Q343" s="15">
        <f>IFERROR(__xludf.DUMMYFUNCTION("""COMPUTED_VALUE"""),1.0)</f>
        <v>1</v>
      </c>
      <c r="R343" s="15" t="str">
        <f>IFERROR(__xludf.DUMMYFUNCTION("""COMPUTED_VALUE"""),"RODO")</f>
        <v>RODO</v>
      </c>
      <c r="S343" s="15" t="str">
        <f>IFERROR(__xludf.DUMMYFUNCTION("""COMPUTED_VALUE"""),"ITN")</f>
        <v>ITN</v>
      </c>
      <c r="T343" s="15" t="str">
        <f>IFERROR(__xludf.DUMMYFUNCTION("""COMPUTED_VALUE"""),"103")</f>
        <v>103</v>
      </c>
      <c r="U343" s="15" t="str">
        <f>IFERROR(__xludf.DUMMYFUNCTION("""COMPUTED_VALUE"""),"266803593 1305573 8176860 casa brasil trifil cac 103")</f>
        <v>266803593 1305573 8176860 casa brasil trifil cac 103</v>
      </c>
      <c r="V343" s="15" t="b">
        <f>IFERROR(__xludf.DUMMYFUNCTION("""COMPUTED_VALUE"""),FALSE)</f>
        <v>0</v>
      </c>
    </row>
    <row r="344">
      <c r="A344" s="19">
        <f>IFERROR(__xludf.DUMMYFUNCTION("""COMPUTED_VALUE"""),46304.0)</f>
        <v>46304</v>
      </c>
      <c r="B344" s="19">
        <f>IFERROR(__xludf.DUMMYFUNCTION("""COMPUTED_VALUE"""),46317.0)</f>
        <v>46317</v>
      </c>
      <c r="C344" s="15">
        <f>IFERROR(__xludf.DUMMYFUNCTION("""COMPUTED_VALUE"""),8.0)</f>
        <v>8</v>
      </c>
      <c r="D344" s="15" t="str">
        <f>IFERROR(__xludf.DUMMYFUNCTION("""COMPUTED_VALUE"""),"LDB")</f>
        <v>LDB</v>
      </c>
      <c r="E344" s="15" t="str">
        <f>IFERROR(__xludf.DUMMYFUNCTION("""COMPUTED_VALUE"""),"Londrina Underwear Com. de Confec. Ltda")</f>
        <v>Londrina Underwear Com. de Confec. Ltda</v>
      </c>
      <c r="F344" s="15" t="str">
        <f>IFERROR(__xludf.DUMMYFUNCTION("""COMPUTED_VALUE"""),"TRIFIL")</f>
        <v>TRIFIL</v>
      </c>
      <c r="G344" s="15" t="str">
        <f>IFERROR(__xludf.DUMMYFUNCTION("""COMPUTED_VALUE"""),"266803595")</f>
        <v>266803595</v>
      </c>
      <c r="H344" s="15" t="str">
        <f>IFERROR(__xludf.DUMMYFUNCTION("""COMPUTED_VALUE"""),"1305625")</f>
        <v>1305625</v>
      </c>
      <c r="I344" s="15" t="str">
        <f>IFERROR(__xludf.DUMMYFUNCTION("""COMPUTED_VALUE"""),"8177005")</f>
        <v>8177005</v>
      </c>
      <c r="J344" s="15" t="str">
        <f>IFERROR(__xludf.DUMMYFUNCTION("""COMPUTED_VALUE"""),"CIF")</f>
        <v>CIF</v>
      </c>
      <c r="K344" s="15" t="str">
        <f>IFERROR(__xludf.DUMMYFUNCTION("""COMPUTED_VALUE"""),"SAO-1")</f>
        <v>SAO-1</v>
      </c>
      <c r="L344" s="15" t="str">
        <f>IFERROR(__xludf.DUMMYFUNCTION("""COMPUTED_VALUE"""),"AUTORIZADO")</f>
        <v>AUTORIZADO</v>
      </c>
      <c r="M344" s="15" t="str">
        <f>IFERROR(__xludf.DUMMYFUNCTION("""COMPUTED_VALUE"""),"NA ORIGEM")</f>
        <v>NA ORIGEM</v>
      </c>
      <c r="N344" s="15" t="str">
        <f>IFERROR(__xludf.DUMMYFUNCTION("""COMPUTED_VALUE"""),"Antes Prazo")</f>
        <v>Antes Prazo</v>
      </c>
      <c r="O344" s="15" t="str">
        <f>IFERROR(__xludf.DUMMYFUNCTION("""COMPUTED_VALUE"""),"B2B")</f>
        <v>B2B</v>
      </c>
      <c r="P344" s="16">
        <f>IFERROR(__xludf.DUMMYFUNCTION("""COMPUTED_VALUE"""),47.89)</f>
        <v>47.89</v>
      </c>
      <c r="Q344" s="15">
        <f>IFERROR(__xludf.DUMMYFUNCTION("""COMPUTED_VALUE"""),1.0)</f>
        <v>1</v>
      </c>
      <c r="R344" s="15" t="str">
        <f>IFERROR(__xludf.DUMMYFUNCTION("""COMPUTED_VALUE"""),"RODO")</f>
        <v>RODO</v>
      </c>
      <c r="S344" s="15" t="str">
        <f>IFERROR(__xludf.DUMMYFUNCTION("""COMPUTED_VALUE"""),"ITN")</f>
        <v>ITN</v>
      </c>
      <c r="T344" s="15" t="str">
        <f>IFERROR(__xludf.DUMMYFUNCTION("""COMPUTED_VALUE"""),"8")</f>
        <v>8</v>
      </c>
      <c r="U344" s="15" t="str">
        <f>IFERROR(__xludf.DUMMYFUNCTION("""COMPUTED_VALUE"""),"266803595 1305625 8177005 londrina underwear com. de confec. ltda trifil ldb 8")</f>
        <v>266803595 1305625 8177005 londrina underwear com. de confec. ltda trifil ldb 8</v>
      </c>
      <c r="V344" s="15" t="b">
        <f>IFERROR(__xludf.DUMMYFUNCTION("""COMPUTED_VALUE"""),FALSE)</f>
        <v>0</v>
      </c>
    </row>
    <row r="345">
      <c r="A345" s="19">
        <f>IFERROR(__xludf.DUMMYFUNCTION("""COMPUTED_VALUE"""),46304.0)</f>
        <v>46304</v>
      </c>
      <c r="B345" s="19">
        <f>IFERROR(__xludf.DUMMYFUNCTION("""COMPUTED_VALUE"""),46317.0)</f>
        <v>46317</v>
      </c>
      <c r="C345" s="15">
        <f>IFERROR(__xludf.DUMMYFUNCTION("""COMPUTED_VALUE"""),8.0)</f>
        <v>8</v>
      </c>
      <c r="D345" s="15" t="str">
        <f>IFERROR(__xludf.DUMMYFUNCTION("""COMPUTED_VALUE"""),"LDB")</f>
        <v>LDB</v>
      </c>
      <c r="E345" s="15" t="str">
        <f>IFERROR(__xludf.DUMMYFUNCTION("""COMPUTED_VALUE"""),"JA JE GI CONFECCOES LTDA ME")</f>
        <v>JA JE GI CONFECCOES LTDA ME</v>
      </c>
      <c r="F345" s="15" t="str">
        <f>IFERROR(__xludf.DUMMYFUNCTION("""COMPUTED_VALUE"""),"TRIFIL")</f>
        <v>TRIFIL</v>
      </c>
      <c r="G345" s="15" t="str">
        <f>IFERROR(__xludf.DUMMYFUNCTION("""COMPUTED_VALUE"""),"266803597")</f>
        <v>266803597</v>
      </c>
      <c r="H345" s="15" t="str">
        <f>IFERROR(__xludf.DUMMYFUNCTION("""COMPUTED_VALUE"""),"1305250")</f>
        <v>1305250</v>
      </c>
      <c r="I345" s="15" t="str">
        <f>IFERROR(__xludf.DUMMYFUNCTION("""COMPUTED_VALUE"""),"8176829")</f>
        <v>8176829</v>
      </c>
      <c r="J345" s="15" t="str">
        <f>IFERROR(__xludf.DUMMYFUNCTION("""COMPUTED_VALUE"""),"CIF")</f>
        <v>CIF</v>
      </c>
      <c r="K345" s="15" t="str">
        <f>IFERROR(__xludf.DUMMYFUNCTION("""COMPUTED_VALUE"""),"(sem célula)")</f>
        <v>(sem célula)</v>
      </c>
      <c r="L345" s="15" t="str">
        <f>IFERROR(__xludf.DUMMYFUNCTION("""COMPUTED_VALUE"""),"AUTORIZADO")</f>
        <v>AUTORIZADO</v>
      </c>
      <c r="M345" s="15" t="str">
        <f>IFERROR(__xludf.DUMMYFUNCTION("""COMPUTED_VALUE"""),"NA ORIGEM")</f>
        <v>NA ORIGEM</v>
      </c>
      <c r="N345" s="15" t="str">
        <f>IFERROR(__xludf.DUMMYFUNCTION("""COMPUTED_VALUE"""),"Antes Prazo")</f>
        <v>Antes Prazo</v>
      </c>
      <c r="O345" s="15" t="str">
        <f>IFERROR(__xludf.DUMMYFUNCTION("""COMPUTED_VALUE"""),"B2B")</f>
        <v>B2B</v>
      </c>
      <c r="P345" s="16">
        <f>IFERROR(__xludf.DUMMYFUNCTION("""COMPUTED_VALUE"""),47.89)</f>
        <v>47.89</v>
      </c>
      <c r="Q345" s="15">
        <f>IFERROR(__xludf.DUMMYFUNCTION("""COMPUTED_VALUE"""),1.0)</f>
        <v>1</v>
      </c>
      <c r="R345" s="15" t="str">
        <f>IFERROR(__xludf.DUMMYFUNCTION("""COMPUTED_VALUE"""),"RODO")</f>
        <v>RODO</v>
      </c>
      <c r="S345" s="15" t="str">
        <f>IFERROR(__xludf.DUMMYFUNCTION("""COMPUTED_VALUE"""),"ITN")</f>
        <v>ITN</v>
      </c>
      <c r="T345" s="15" t="str">
        <f>IFERROR(__xludf.DUMMYFUNCTION("""COMPUTED_VALUE"""),"5")</f>
        <v>5</v>
      </c>
      <c r="U345" s="15" t="str">
        <f>IFERROR(__xludf.DUMMYFUNCTION("""COMPUTED_VALUE"""),"266803597 1305250 8176829 ja je gi confeccoes ltda me trifil ldb 5")</f>
        <v>266803597 1305250 8176829 ja je gi confeccoes ltda me trifil ldb 5</v>
      </c>
      <c r="V345" s="15" t="b">
        <f>IFERROR(__xludf.DUMMYFUNCTION("""COMPUTED_VALUE"""),FALSE)</f>
        <v>0</v>
      </c>
    </row>
    <row r="346">
      <c r="A346" s="19">
        <f>IFERROR(__xludf.DUMMYFUNCTION("""COMPUTED_VALUE"""),46304.0)</f>
        <v>46304</v>
      </c>
      <c r="B346" s="19">
        <f>IFERROR(__xludf.DUMMYFUNCTION("""COMPUTED_VALUE"""),46317.0)</f>
        <v>46317</v>
      </c>
      <c r="C346" s="15">
        <f>IFERROR(__xludf.DUMMYFUNCTION("""COMPUTED_VALUE"""),8.0)</f>
        <v>8</v>
      </c>
      <c r="D346" s="15" t="str">
        <f>IFERROR(__xludf.DUMMYFUNCTION("""COMPUTED_VALUE"""),"LDB")</f>
        <v>LDB</v>
      </c>
      <c r="E346" s="15" t="str">
        <f>IFERROR(__xludf.DUMMYFUNCTION("""COMPUTED_VALUE"""),"SONIA A DOS SANTOS DELCI ME")</f>
        <v>SONIA A DOS SANTOS DELCI ME</v>
      </c>
      <c r="F346" s="15" t="str">
        <f>IFERROR(__xludf.DUMMYFUNCTION("""COMPUTED_VALUE"""),"TRIFIL")</f>
        <v>TRIFIL</v>
      </c>
      <c r="G346" s="15" t="str">
        <f>IFERROR(__xludf.DUMMYFUNCTION("""COMPUTED_VALUE"""),"266803598")</f>
        <v>266803598</v>
      </c>
      <c r="H346" s="15" t="str">
        <f>IFERROR(__xludf.DUMMYFUNCTION("""COMPUTED_VALUE"""),"1305124")</f>
        <v>1305124</v>
      </c>
      <c r="I346" s="15" t="str">
        <f>IFERROR(__xludf.DUMMYFUNCTION("""COMPUTED_VALUE"""),"8176830")</f>
        <v>8176830</v>
      </c>
      <c r="J346" s="15" t="str">
        <f>IFERROR(__xludf.DUMMYFUNCTION("""COMPUTED_VALUE"""),"CIF")</f>
        <v>CIF</v>
      </c>
      <c r="K346" s="15" t="str">
        <f>IFERROR(__xludf.DUMMYFUNCTION("""COMPUTED_VALUE"""),"SAO-1")</f>
        <v>SAO-1</v>
      </c>
      <c r="L346" s="15" t="str">
        <f>IFERROR(__xludf.DUMMYFUNCTION("""COMPUTED_VALUE"""),"AUTORIZADO")</f>
        <v>AUTORIZADO</v>
      </c>
      <c r="M346" s="15" t="str">
        <f>IFERROR(__xludf.DUMMYFUNCTION("""COMPUTED_VALUE"""),"NA ORIGEM")</f>
        <v>NA ORIGEM</v>
      </c>
      <c r="N346" s="15" t="str">
        <f>IFERROR(__xludf.DUMMYFUNCTION("""COMPUTED_VALUE"""),"Antes Prazo")</f>
        <v>Antes Prazo</v>
      </c>
      <c r="O346" s="15" t="str">
        <f>IFERROR(__xludf.DUMMYFUNCTION("""COMPUTED_VALUE"""),"B2B")</f>
        <v>B2B</v>
      </c>
      <c r="P346" s="16">
        <f>IFERROR(__xludf.DUMMYFUNCTION("""COMPUTED_VALUE"""),47.89)</f>
        <v>47.89</v>
      </c>
      <c r="Q346" s="15">
        <f>IFERROR(__xludf.DUMMYFUNCTION("""COMPUTED_VALUE"""),1.0)</f>
        <v>1</v>
      </c>
      <c r="R346" s="15" t="str">
        <f>IFERROR(__xludf.DUMMYFUNCTION("""COMPUTED_VALUE"""),"RODO")</f>
        <v>RODO</v>
      </c>
      <c r="S346" s="15" t="str">
        <f>IFERROR(__xludf.DUMMYFUNCTION("""COMPUTED_VALUE"""),"ITN")</f>
        <v>ITN</v>
      </c>
      <c r="T346" s="15" t="str">
        <f>IFERROR(__xludf.DUMMYFUNCTION("""COMPUTED_VALUE"""),"4")</f>
        <v>4</v>
      </c>
      <c r="U346" s="15" t="str">
        <f>IFERROR(__xludf.DUMMYFUNCTION("""COMPUTED_VALUE"""),"266803598 1305124 8176830 sonia a dos santos delci me trifil ldb 4")</f>
        <v>266803598 1305124 8176830 sonia a dos santos delci me trifil ldb 4</v>
      </c>
      <c r="V346" s="15" t="b">
        <f>IFERROR(__xludf.DUMMYFUNCTION("""COMPUTED_VALUE"""),FALSE)</f>
        <v>0</v>
      </c>
    </row>
    <row r="347">
      <c r="A347" s="19">
        <f>IFERROR(__xludf.DUMMYFUNCTION("""COMPUTED_VALUE"""),46304.0)</f>
        <v>46304</v>
      </c>
      <c r="B347" s="19">
        <f>IFERROR(__xludf.DUMMYFUNCTION("""COMPUTED_VALUE"""),46317.0)</f>
        <v>46317</v>
      </c>
      <c r="C347" s="15">
        <f>IFERROR(__xludf.DUMMYFUNCTION("""COMPUTED_VALUE"""),8.0)</f>
        <v>8</v>
      </c>
      <c r="D347" s="15" t="str">
        <f>IFERROR(__xludf.DUMMYFUNCTION("""COMPUTED_VALUE"""),"LDB")</f>
        <v>LDB</v>
      </c>
      <c r="E347" s="15" t="str">
        <f>IFERROR(__xludf.DUMMYFUNCTION("""COMPUTED_VALUE"""),"CINQ CONFECCOES LTDA")</f>
        <v>CINQ CONFECCOES LTDA</v>
      </c>
      <c r="F347" s="15" t="str">
        <f>IFERROR(__xludf.DUMMYFUNCTION("""COMPUTED_VALUE"""),"TRIFIL")</f>
        <v>TRIFIL</v>
      </c>
      <c r="G347" s="15" t="str">
        <f>IFERROR(__xludf.DUMMYFUNCTION("""COMPUTED_VALUE"""),"266803599")</f>
        <v>266803599</v>
      </c>
      <c r="H347" s="15" t="str">
        <f>IFERROR(__xludf.DUMMYFUNCTION("""COMPUTED_VALUE"""),"1305200")</f>
        <v>1305200</v>
      </c>
      <c r="I347" s="15" t="str">
        <f>IFERROR(__xludf.DUMMYFUNCTION("""COMPUTED_VALUE"""),"8176831")</f>
        <v>8176831</v>
      </c>
      <c r="J347" s="15" t="str">
        <f>IFERROR(__xludf.DUMMYFUNCTION("""COMPUTED_VALUE"""),"CIF")</f>
        <v>CIF</v>
      </c>
      <c r="K347" s="15" t="str">
        <f>IFERROR(__xludf.DUMMYFUNCTION("""COMPUTED_VALUE"""),"SAO-1")</f>
        <v>SAO-1</v>
      </c>
      <c r="L347" s="15" t="str">
        <f>IFERROR(__xludf.DUMMYFUNCTION("""COMPUTED_VALUE"""),"AUTORIZADO")</f>
        <v>AUTORIZADO</v>
      </c>
      <c r="M347" s="15" t="str">
        <f>IFERROR(__xludf.DUMMYFUNCTION("""COMPUTED_VALUE"""),"NA ORIGEM")</f>
        <v>NA ORIGEM</v>
      </c>
      <c r="N347" s="15" t="str">
        <f>IFERROR(__xludf.DUMMYFUNCTION("""COMPUTED_VALUE"""),"Antes Prazo")</f>
        <v>Antes Prazo</v>
      </c>
      <c r="O347" s="15" t="str">
        <f>IFERROR(__xludf.DUMMYFUNCTION("""COMPUTED_VALUE"""),"B2B")</f>
        <v>B2B</v>
      </c>
      <c r="P347" s="16">
        <f>IFERROR(__xludf.DUMMYFUNCTION("""COMPUTED_VALUE"""),47.89)</f>
        <v>47.89</v>
      </c>
      <c r="Q347" s="15">
        <f>IFERROR(__xludf.DUMMYFUNCTION("""COMPUTED_VALUE"""),1.0)</f>
        <v>1</v>
      </c>
      <c r="R347" s="15" t="str">
        <f>IFERROR(__xludf.DUMMYFUNCTION("""COMPUTED_VALUE"""),"RODO")</f>
        <v>RODO</v>
      </c>
      <c r="S347" s="15" t="str">
        <f>IFERROR(__xludf.DUMMYFUNCTION("""COMPUTED_VALUE"""),"ITN")</f>
        <v>ITN</v>
      </c>
      <c r="T347" s="15" t="str">
        <f>IFERROR(__xludf.DUMMYFUNCTION("""COMPUTED_VALUE"""),"4")</f>
        <v>4</v>
      </c>
      <c r="U347" s="15" t="str">
        <f>IFERROR(__xludf.DUMMYFUNCTION("""COMPUTED_VALUE"""),"266803599 1305200 8176831 cinq confeccoes ltda trifil ldb 4")</f>
        <v>266803599 1305200 8176831 cinq confeccoes ltda trifil ldb 4</v>
      </c>
      <c r="V347" s="15" t="b">
        <f>IFERROR(__xludf.DUMMYFUNCTION("""COMPUTED_VALUE"""),FALSE)</f>
        <v>0</v>
      </c>
    </row>
    <row r="348">
      <c r="A348" s="19">
        <f>IFERROR(__xludf.DUMMYFUNCTION("""COMPUTED_VALUE"""),46304.0)</f>
        <v>46304</v>
      </c>
      <c r="B348" s="19">
        <f>IFERROR(__xludf.DUMMYFUNCTION("""COMPUTED_VALUE"""),46318.0)</f>
        <v>46318</v>
      </c>
      <c r="C348" s="15">
        <f>IFERROR(__xludf.DUMMYFUNCTION("""COMPUTED_VALUE"""),9.0)</f>
        <v>9</v>
      </c>
      <c r="D348" s="15" t="str">
        <f>IFERROR(__xludf.DUMMYFUNCTION("""COMPUTED_VALUE"""),"LDB")</f>
        <v>LDB</v>
      </c>
      <c r="E348" s="15" t="str">
        <f>IFERROR(__xludf.DUMMYFUNCTION("""COMPUTED_VALUE"""),"CALÇADOS ARACALCE APUCARANA LTDA")</f>
        <v>CALÇADOS ARACALCE APUCARANA LTDA</v>
      </c>
      <c r="F348" s="15" t="str">
        <f>IFERROR(__xludf.DUMMYFUNCTION("""COMPUTED_VALUE"""),"TRIFIL")</f>
        <v>TRIFIL</v>
      </c>
      <c r="G348" s="15" t="str">
        <f>IFERROR(__xludf.DUMMYFUNCTION("""COMPUTED_VALUE"""),"266803600")</f>
        <v>266803600</v>
      </c>
      <c r="H348" s="15" t="str">
        <f>IFERROR(__xludf.DUMMYFUNCTION("""COMPUTED_VALUE"""),"1305689")</f>
        <v>1305689</v>
      </c>
      <c r="I348" s="15" t="str">
        <f>IFERROR(__xludf.DUMMYFUNCTION("""COMPUTED_VALUE"""),"8177006")</f>
        <v>8177006</v>
      </c>
      <c r="J348" s="15" t="str">
        <f>IFERROR(__xludf.DUMMYFUNCTION("""COMPUTED_VALUE"""),"CIF")</f>
        <v>CIF</v>
      </c>
      <c r="K348" s="15" t="str">
        <f>IFERROR(__xludf.DUMMYFUNCTION("""COMPUTED_VALUE"""),"(sem célula)")</f>
        <v>(sem célula)</v>
      </c>
      <c r="L348" s="15" t="str">
        <f>IFERROR(__xludf.DUMMYFUNCTION("""COMPUTED_VALUE"""),"AUTORIZADO")</f>
        <v>AUTORIZADO</v>
      </c>
      <c r="M348" s="15" t="str">
        <f>IFERROR(__xludf.DUMMYFUNCTION("""COMPUTED_VALUE"""),"NA ORIGEM")</f>
        <v>NA ORIGEM</v>
      </c>
      <c r="N348" s="15" t="str">
        <f>IFERROR(__xludf.DUMMYFUNCTION("""COMPUTED_VALUE"""),"Antes Prazo")</f>
        <v>Antes Prazo</v>
      </c>
      <c r="O348" s="15" t="str">
        <f>IFERROR(__xludf.DUMMYFUNCTION("""COMPUTED_VALUE"""),"B2B")</f>
        <v>B2B</v>
      </c>
      <c r="P348" s="16">
        <f>IFERROR(__xludf.DUMMYFUNCTION("""COMPUTED_VALUE"""),53.7)</f>
        <v>53.7</v>
      </c>
      <c r="Q348" s="15">
        <f>IFERROR(__xludf.DUMMYFUNCTION("""COMPUTED_VALUE"""),1.0)</f>
        <v>1</v>
      </c>
      <c r="R348" s="15" t="str">
        <f>IFERROR(__xludf.DUMMYFUNCTION("""COMPUTED_VALUE"""),"RODO")</f>
        <v>RODO</v>
      </c>
      <c r="S348" s="15" t="str">
        <f>IFERROR(__xludf.DUMMYFUNCTION("""COMPUTED_VALUE"""),"ITN")</f>
        <v>ITN</v>
      </c>
      <c r="T348" s="15" t="str">
        <f>IFERROR(__xludf.DUMMYFUNCTION("""COMPUTED_VALUE"""),"102")</f>
        <v>102</v>
      </c>
      <c r="U348" s="15" t="str">
        <f>IFERROR(__xludf.DUMMYFUNCTION("""COMPUTED_VALUE"""),"266803600 1305689 8177006 calçados aracalce apucarana ltda trifil ldb 102")</f>
        <v>266803600 1305689 8177006 calçados aracalce apucarana ltda trifil ldb 102</v>
      </c>
      <c r="V348" s="15" t="b">
        <f>IFERROR(__xludf.DUMMYFUNCTION("""COMPUTED_VALUE"""),FALSE)</f>
        <v>0</v>
      </c>
    </row>
    <row r="349">
      <c r="A349" s="19">
        <f>IFERROR(__xludf.DUMMYFUNCTION("""COMPUTED_VALUE"""),46304.0)</f>
        <v>46304</v>
      </c>
      <c r="B349" s="19">
        <f>IFERROR(__xludf.DUMMYFUNCTION("""COMPUTED_VALUE"""),46318.0)</f>
        <v>46318</v>
      </c>
      <c r="C349" s="15">
        <f>IFERROR(__xludf.DUMMYFUNCTION("""COMPUTED_VALUE"""),9.0)</f>
        <v>9</v>
      </c>
      <c r="D349" s="15" t="str">
        <f>IFERROR(__xludf.DUMMYFUNCTION("""COMPUTED_VALUE"""),"MGF")</f>
        <v>MGF</v>
      </c>
      <c r="E349" s="15" t="str">
        <f>IFERROR(__xludf.DUMMYFUNCTION("""COMPUTED_VALUE"""),"EDNA F FRIZON E CIA LTDA ME")</f>
        <v>EDNA F FRIZON E CIA LTDA ME</v>
      </c>
      <c r="F349" s="15" t="str">
        <f>IFERROR(__xludf.DUMMYFUNCTION("""COMPUTED_VALUE"""),"TRIFIL")</f>
        <v>TRIFIL</v>
      </c>
      <c r="G349" s="15" t="str">
        <f>IFERROR(__xludf.DUMMYFUNCTION("""COMPUTED_VALUE"""),"266803601")</f>
        <v>266803601</v>
      </c>
      <c r="H349" s="15" t="str">
        <f>IFERROR(__xludf.DUMMYFUNCTION("""COMPUTED_VALUE"""),"1305344")</f>
        <v>1305344</v>
      </c>
      <c r="I349" s="15" t="str">
        <f>IFERROR(__xludf.DUMMYFUNCTION("""COMPUTED_VALUE"""),"8176922")</f>
        <v>8176922</v>
      </c>
      <c r="J349" s="15" t="str">
        <f>IFERROR(__xludf.DUMMYFUNCTION("""COMPUTED_VALUE"""),"CIF")</f>
        <v>CIF</v>
      </c>
      <c r="K349" s="15" t="str">
        <f>IFERROR(__xludf.DUMMYFUNCTION("""COMPUTED_VALUE"""),"SAO-1")</f>
        <v>SAO-1</v>
      </c>
      <c r="L349" s="15" t="str">
        <f>IFERROR(__xludf.DUMMYFUNCTION("""COMPUTED_VALUE"""),"AUTORIZADO")</f>
        <v>AUTORIZADO</v>
      </c>
      <c r="M349" s="15" t="str">
        <f>IFERROR(__xludf.DUMMYFUNCTION("""COMPUTED_VALUE"""),"NA ORIGEM")</f>
        <v>NA ORIGEM</v>
      </c>
      <c r="N349" s="15" t="str">
        <f>IFERROR(__xludf.DUMMYFUNCTION("""COMPUTED_VALUE"""),"Antes Prazo")</f>
        <v>Antes Prazo</v>
      </c>
      <c r="O349" s="15" t="str">
        <f>IFERROR(__xludf.DUMMYFUNCTION("""COMPUTED_VALUE"""),"B2B")</f>
        <v>B2B</v>
      </c>
      <c r="P349" s="16">
        <f>IFERROR(__xludf.DUMMYFUNCTION("""COMPUTED_VALUE"""),53.7)</f>
        <v>53.7</v>
      </c>
      <c r="Q349" s="15">
        <f>IFERROR(__xludf.DUMMYFUNCTION("""COMPUTED_VALUE"""),1.0)</f>
        <v>1</v>
      </c>
      <c r="R349" s="15" t="str">
        <f>IFERROR(__xludf.DUMMYFUNCTION("""COMPUTED_VALUE"""),"RODO")</f>
        <v>RODO</v>
      </c>
      <c r="S349" s="15" t="str">
        <f>IFERROR(__xludf.DUMMYFUNCTION("""COMPUTED_VALUE"""),"ITN")</f>
        <v>ITN</v>
      </c>
      <c r="T349" s="15" t="str">
        <f>IFERROR(__xludf.DUMMYFUNCTION("""COMPUTED_VALUE"""),"106")</f>
        <v>106</v>
      </c>
      <c r="U349" s="15" t="str">
        <f>IFERROR(__xludf.DUMMYFUNCTION("""COMPUTED_VALUE"""),"266803601 1305344 8176922 edna f frizon e cia ltda me trifil mgf 106")</f>
        <v>266803601 1305344 8176922 edna f frizon e cia ltda me trifil mgf 106</v>
      </c>
      <c r="V349" s="15" t="b">
        <f>IFERROR(__xludf.DUMMYFUNCTION("""COMPUTED_VALUE"""),FALSE)</f>
        <v>0</v>
      </c>
    </row>
    <row r="350">
      <c r="A350" s="19">
        <f>IFERROR(__xludf.DUMMYFUNCTION("""COMPUTED_VALUE"""),46304.0)</f>
        <v>46304</v>
      </c>
      <c r="B350" s="19">
        <f>IFERROR(__xludf.DUMMYFUNCTION("""COMPUTED_VALUE"""),46322.0)</f>
        <v>46322</v>
      </c>
      <c r="C350" s="15">
        <f>IFERROR(__xludf.DUMMYFUNCTION("""COMPUTED_VALUE"""),11.0)</f>
        <v>11</v>
      </c>
      <c r="D350" s="15" t="str">
        <f>IFERROR(__xludf.DUMMYFUNCTION("""COMPUTED_VALUE"""),"MGF")</f>
        <v>MGF</v>
      </c>
      <c r="E350" s="15" t="str">
        <f>IFERROR(__xludf.DUMMYFUNCTION("""COMPUTED_VALUE"""),"LOJAS KIBARATO")</f>
        <v>LOJAS KIBARATO</v>
      </c>
      <c r="F350" s="15" t="str">
        <f>IFERROR(__xludf.DUMMYFUNCTION("""COMPUTED_VALUE"""),"TRIFIL")</f>
        <v>TRIFIL</v>
      </c>
      <c r="G350" s="15" t="str">
        <f>IFERROR(__xludf.DUMMYFUNCTION("""COMPUTED_VALUE"""),"266803602")</f>
        <v>266803602</v>
      </c>
      <c r="H350" s="15" t="str">
        <f>IFERROR(__xludf.DUMMYFUNCTION("""COMPUTED_VALUE"""),"1305535")</f>
        <v>1305535</v>
      </c>
      <c r="I350" s="15" t="str">
        <f>IFERROR(__xludf.DUMMYFUNCTION("""COMPUTED_VALUE"""),"8177007")</f>
        <v>8177007</v>
      </c>
      <c r="J350" s="15" t="str">
        <f>IFERROR(__xludf.DUMMYFUNCTION("""COMPUTED_VALUE"""),"CIF")</f>
        <v>CIF</v>
      </c>
      <c r="K350" s="15" t="str">
        <f>IFERROR(__xludf.DUMMYFUNCTION("""COMPUTED_VALUE"""),"SAO-1")</f>
        <v>SAO-1</v>
      </c>
      <c r="L350" s="15" t="str">
        <f>IFERROR(__xludf.DUMMYFUNCTION("""COMPUTED_VALUE"""),"AUTORIZADO")</f>
        <v>AUTORIZADO</v>
      </c>
      <c r="M350" s="15" t="str">
        <f>IFERROR(__xludf.DUMMYFUNCTION("""COMPUTED_VALUE"""),"NA ORIGEM")</f>
        <v>NA ORIGEM</v>
      </c>
      <c r="N350" s="15" t="str">
        <f>IFERROR(__xludf.DUMMYFUNCTION("""COMPUTED_VALUE"""),"Antes Prazo")</f>
        <v>Antes Prazo</v>
      </c>
      <c r="O350" s="15" t="str">
        <f>IFERROR(__xludf.DUMMYFUNCTION("""COMPUTED_VALUE"""),"B2B")</f>
        <v>B2B</v>
      </c>
      <c r="P350" s="16">
        <f>IFERROR(__xludf.DUMMYFUNCTION("""COMPUTED_VALUE"""),62.65)</f>
        <v>62.65</v>
      </c>
      <c r="Q350" s="15">
        <f>IFERROR(__xludf.DUMMYFUNCTION("""COMPUTED_VALUE"""),6.0)</f>
        <v>6</v>
      </c>
      <c r="R350" s="15" t="str">
        <f>IFERROR(__xludf.DUMMYFUNCTION("""COMPUTED_VALUE"""),"RODO")</f>
        <v>RODO</v>
      </c>
      <c r="S350" s="15" t="str">
        <f>IFERROR(__xludf.DUMMYFUNCTION("""COMPUTED_VALUE"""),"ITN")</f>
        <v>ITN</v>
      </c>
      <c r="T350" s="15" t="str">
        <f>IFERROR(__xludf.DUMMYFUNCTION("""COMPUTED_VALUE"""),"110")</f>
        <v>110</v>
      </c>
      <c r="U350" s="15" t="str">
        <f>IFERROR(__xludf.DUMMYFUNCTION("""COMPUTED_VALUE"""),"266803602 1305535 8177007 lojas kibarato trifil mgf 110")</f>
        <v>266803602 1305535 8177007 lojas kibarato trifil mgf 110</v>
      </c>
      <c r="V350" s="15" t="b">
        <f>IFERROR(__xludf.DUMMYFUNCTION("""COMPUTED_VALUE"""),FALSE)</f>
        <v>0</v>
      </c>
    </row>
    <row r="351">
      <c r="A351" s="19">
        <f>IFERROR(__xludf.DUMMYFUNCTION("""COMPUTED_VALUE"""),46304.0)</f>
        <v>46304</v>
      </c>
      <c r="B351" s="19">
        <f>IFERROR(__xludf.DUMMYFUNCTION("""COMPUTED_VALUE"""),46317.0)</f>
        <v>46317</v>
      </c>
      <c r="C351" s="15">
        <f>IFERROR(__xludf.DUMMYFUNCTION("""COMPUTED_VALUE"""),8.0)</f>
        <v>8</v>
      </c>
      <c r="D351" s="15" t="str">
        <f>IFERROR(__xludf.DUMMYFUNCTION("""COMPUTED_VALUE"""),"MGF")</f>
        <v>MGF</v>
      </c>
      <c r="E351" s="15" t="str">
        <f>IFERROR(__xludf.DUMMYFUNCTION("""COMPUTED_VALUE"""),"LUPO AVENIDA CENTER")</f>
        <v>LUPO AVENIDA CENTER</v>
      </c>
      <c r="F351" s="15" t="str">
        <f>IFERROR(__xludf.DUMMYFUNCTION("""COMPUTED_VALUE"""),"TRIFIL")</f>
        <v>TRIFIL</v>
      </c>
      <c r="G351" s="15" t="str">
        <f>IFERROR(__xludf.DUMMYFUNCTION("""COMPUTED_VALUE"""),"266803603")</f>
        <v>266803603</v>
      </c>
      <c r="H351" s="15" t="str">
        <f>IFERROR(__xludf.DUMMYFUNCTION("""COMPUTED_VALUE"""),"1305633")</f>
        <v>1305633</v>
      </c>
      <c r="I351" s="15" t="str">
        <f>IFERROR(__xludf.DUMMYFUNCTION("""COMPUTED_VALUE"""),"8176894")</f>
        <v>8176894</v>
      </c>
      <c r="J351" s="15" t="str">
        <f>IFERROR(__xludf.DUMMYFUNCTION("""COMPUTED_VALUE"""),"CIF")</f>
        <v>CIF</v>
      </c>
      <c r="K351" s="15" t="str">
        <f>IFERROR(__xludf.DUMMYFUNCTION("""COMPUTED_VALUE"""),"(sem célula)")</f>
        <v>(sem célula)</v>
      </c>
      <c r="L351" s="15" t="str">
        <f>IFERROR(__xludf.DUMMYFUNCTION("""COMPUTED_VALUE"""),"AUTORIZADO")</f>
        <v>AUTORIZADO</v>
      </c>
      <c r="M351" s="15" t="str">
        <f>IFERROR(__xludf.DUMMYFUNCTION("""COMPUTED_VALUE"""),"NA ORIGEM")</f>
        <v>NA ORIGEM</v>
      </c>
      <c r="N351" s="15" t="str">
        <f>IFERROR(__xludf.DUMMYFUNCTION("""COMPUTED_VALUE"""),"Antes Prazo")</f>
        <v>Antes Prazo</v>
      </c>
      <c r="O351" s="15" t="str">
        <f>IFERROR(__xludf.DUMMYFUNCTION("""COMPUTED_VALUE"""),"B2B")</f>
        <v>B2B</v>
      </c>
      <c r="P351" s="16">
        <f>IFERROR(__xludf.DUMMYFUNCTION("""COMPUTED_VALUE"""),47.89)</f>
        <v>47.89</v>
      </c>
      <c r="Q351" s="15">
        <f>IFERROR(__xludf.DUMMYFUNCTION("""COMPUTED_VALUE"""),1.0)</f>
        <v>1</v>
      </c>
      <c r="R351" s="15" t="str">
        <f>IFERROR(__xludf.DUMMYFUNCTION("""COMPUTED_VALUE"""),"RODO")</f>
        <v>RODO</v>
      </c>
      <c r="S351" s="15" t="str">
        <f>IFERROR(__xludf.DUMMYFUNCTION("""COMPUTED_VALUE"""),"ITN")</f>
        <v>ITN</v>
      </c>
      <c r="T351" s="15" t="str">
        <f>IFERROR(__xludf.DUMMYFUNCTION("""COMPUTED_VALUE"""),"2")</f>
        <v>2</v>
      </c>
      <c r="U351" s="15" t="str">
        <f>IFERROR(__xludf.DUMMYFUNCTION("""COMPUTED_VALUE"""),"266803603 1305633 8176894 lupo avenida center trifil mgf 2")</f>
        <v>266803603 1305633 8176894 lupo avenida center trifil mgf 2</v>
      </c>
      <c r="V351" s="15" t="b">
        <f>IFERROR(__xludf.DUMMYFUNCTION("""COMPUTED_VALUE"""),FALSE)</f>
        <v>0</v>
      </c>
    </row>
    <row r="352">
      <c r="A352" s="19">
        <f>IFERROR(__xludf.DUMMYFUNCTION("""COMPUTED_VALUE"""),46304.0)</f>
        <v>46304</v>
      </c>
      <c r="B352" s="19">
        <f>IFERROR(__xludf.DUMMYFUNCTION("""COMPUTED_VALUE"""),46317.0)</f>
        <v>46317</v>
      </c>
      <c r="C352" s="15">
        <f>IFERROR(__xludf.DUMMYFUNCTION("""COMPUTED_VALUE"""),8.0)</f>
        <v>8</v>
      </c>
      <c r="D352" s="15" t="str">
        <f>IFERROR(__xludf.DUMMYFUNCTION("""COMPUTED_VALUE"""),"MGF")</f>
        <v>MGF</v>
      </c>
      <c r="E352" s="15" t="str">
        <f>IFERROR(__xludf.DUMMYFUNCTION("""COMPUTED_VALUE"""),"LUPO")</f>
        <v>LUPO</v>
      </c>
      <c r="F352" s="15" t="str">
        <f>IFERROR(__xludf.DUMMYFUNCTION("""COMPUTED_VALUE"""),"TRIFIL")</f>
        <v>TRIFIL</v>
      </c>
      <c r="G352" s="15" t="str">
        <f>IFERROR(__xludf.DUMMYFUNCTION("""COMPUTED_VALUE"""),"266803604")</f>
        <v>266803604</v>
      </c>
      <c r="H352" s="15" t="str">
        <f>IFERROR(__xludf.DUMMYFUNCTION("""COMPUTED_VALUE"""),"1305613")</f>
        <v>1305613</v>
      </c>
      <c r="I352" s="15" t="str">
        <f>IFERROR(__xludf.DUMMYFUNCTION("""COMPUTED_VALUE"""),"8176895")</f>
        <v>8176895</v>
      </c>
      <c r="J352" s="15" t="str">
        <f>IFERROR(__xludf.DUMMYFUNCTION("""COMPUTED_VALUE"""),"CIF")</f>
        <v>CIF</v>
      </c>
      <c r="K352" s="15" t="str">
        <f>IFERROR(__xludf.DUMMYFUNCTION("""COMPUTED_VALUE"""),"(sem célula)")</f>
        <v>(sem célula)</v>
      </c>
      <c r="L352" s="15" t="str">
        <f>IFERROR(__xludf.DUMMYFUNCTION("""COMPUTED_VALUE"""),"AUTORIZADO")</f>
        <v>AUTORIZADO</v>
      </c>
      <c r="M352" s="15" t="str">
        <f>IFERROR(__xludf.DUMMYFUNCTION("""COMPUTED_VALUE"""),"NA ORIGEM")</f>
        <v>NA ORIGEM</v>
      </c>
      <c r="N352" s="15" t="str">
        <f>IFERROR(__xludf.DUMMYFUNCTION("""COMPUTED_VALUE"""),"Antes Prazo")</f>
        <v>Antes Prazo</v>
      </c>
      <c r="O352" s="15" t="str">
        <f>IFERROR(__xludf.DUMMYFUNCTION("""COMPUTED_VALUE"""),"B2B")</f>
        <v>B2B</v>
      </c>
      <c r="P352" s="16">
        <f>IFERROR(__xludf.DUMMYFUNCTION("""COMPUTED_VALUE"""),47.89)</f>
        <v>47.89</v>
      </c>
      <c r="Q352" s="15">
        <f>IFERROR(__xludf.DUMMYFUNCTION("""COMPUTED_VALUE"""),1.0)</f>
        <v>1</v>
      </c>
      <c r="R352" s="15" t="str">
        <f>IFERROR(__xludf.DUMMYFUNCTION("""COMPUTED_VALUE"""),"RODO")</f>
        <v>RODO</v>
      </c>
      <c r="S352" s="15" t="str">
        <f>IFERROR(__xludf.DUMMYFUNCTION("""COMPUTED_VALUE"""),"ITN")</f>
        <v>ITN</v>
      </c>
      <c r="T352" s="15" t="str">
        <f>IFERROR(__xludf.DUMMYFUNCTION("""COMPUTED_VALUE"""),"4")</f>
        <v>4</v>
      </c>
      <c r="U352" s="15" t="str">
        <f>IFERROR(__xludf.DUMMYFUNCTION("""COMPUTED_VALUE"""),"266803604 1305613 8176895 lupo trifil mgf 4")</f>
        <v>266803604 1305613 8176895 lupo trifil mgf 4</v>
      </c>
      <c r="V352" s="15" t="b">
        <f>IFERROR(__xludf.DUMMYFUNCTION("""COMPUTED_VALUE"""),FALSE)</f>
        <v>0</v>
      </c>
    </row>
    <row r="353">
      <c r="A353" s="19">
        <f>IFERROR(__xludf.DUMMYFUNCTION("""COMPUTED_VALUE"""),46304.0)</f>
        <v>46304</v>
      </c>
      <c r="B353" s="19">
        <f>IFERROR(__xludf.DUMMYFUNCTION("""COMPUTED_VALUE"""),46317.0)</f>
        <v>46317</v>
      </c>
      <c r="C353" s="15">
        <f>IFERROR(__xludf.DUMMYFUNCTION("""COMPUTED_VALUE"""),8.0)</f>
        <v>8</v>
      </c>
      <c r="D353" s="15" t="str">
        <f>IFERROR(__xludf.DUMMYFUNCTION("""COMPUTED_VALUE"""),"UMU")</f>
        <v>UMU</v>
      </c>
      <c r="E353" s="15" t="str">
        <f>IFERROR(__xludf.DUMMYFUNCTION("""COMPUTED_VALUE"""),"59.383.049 Ana Clara Souza Moreira")</f>
        <v>59.383.049 Ana Clara Souza Moreira</v>
      </c>
      <c r="F353" s="15" t="str">
        <f>IFERROR(__xludf.DUMMYFUNCTION("""COMPUTED_VALUE"""),"TRIFIL")</f>
        <v>TRIFIL</v>
      </c>
      <c r="G353" s="15" t="str">
        <f>IFERROR(__xludf.DUMMYFUNCTION("""COMPUTED_VALUE"""),"266803605")</f>
        <v>266803605</v>
      </c>
      <c r="H353" s="15" t="str">
        <f>IFERROR(__xludf.DUMMYFUNCTION("""COMPUTED_VALUE"""),"1305104")</f>
        <v>1305104</v>
      </c>
      <c r="I353" s="15" t="str">
        <f>IFERROR(__xludf.DUMMYFUNCTION("""COMPUTED_VALUE"""),"8177008")</f>
        <v>8177008</v>
      </c>
      <c r="J353" s="15" t="str">
        <f>IFERROR(__xludf.DUMMYFUNCTION("""COMPUTED_VALUE"""),"CIF")</f>
        <v>CIF</v>
      </c>
      <c r="K353" s="15" t="str">
        <f>IFERROR(__xludf.DUMMYFUNCTION("""COMPUTED_VALUE"""),"FSA-1")</f>
        <v>FSA-1</v>
      </c>
      <c r="L353" s="15" t="str">
        <f>IFERROR(__xludf.DUMMYFUNCTION("""COMPUTED_VALUE"""),"AUTORIZADO")</f>
        <v>AUTORIZADO</v>
      </c>
      <c r="M353" s="15" t="str">
        <f>IFERROR(__xludf.DUMMYFUNCTION("""COMPUTED_VALUE"""),"NA ORIGEM")</f>
        <v>NA ORIGEM</v>
      </c>
      <c r="N353" s="15" t="str">
        <f>IFERROR(__xludf.DUMMYFUNCTION("""COMPUTED_VALUE"""),"Antes Prazo")</f>
        <v>Antes Prazo</v>
      </c>
      <c r="O353" s="15" t="str">
        <f>IFERROR(__xludf.DUMMYFUNCTION("""COMPUTED_VALUE"""),"B2B")</f>
        <v>B2B</v>
      </c>
      <c r="P353" s="16">
        <f>IFERROR(__xludf.DUMMYFUNCTION("""COMPUTED_VALUE"""),47.89)</f>
        <v>47.89</v>
      </c>
      <c r="Q353" s="15">
        <f>IFERROR(__xludf.DUMMYFUNCTION("""COMPUTED_VALUE"""),1.0)</f>
        <v>1</v>
      </c>
      <c r="R353" s="15" t="str">
        <f>IFERROR(__xludf.DUMMYFUNCTION("""COMPUTED_VALUE"""),"RODO")</f>
        <v>RODO</v>
      </c>
      <c r="S353" s="15" t="str">
        <f>IFERROR(__xludf.DUMMYFUNCTION("""COMPUTED_VALUE"""),"ITN")</f>
        <v>ITN</v>
      </c>
      <c r="T353" s="15" t="str">
        <f>IFERROR(__xludf.DUMMYFUNCTION("""COMPUTED_VALUE"""),"1")</f>
        <v>1</v>
      </c>
      <c r="U353" s="15" t="str">
        <f>IFERROR(__xludf.DUMMYFUNCTION("""COMPUTED_VALUE"""),"266803605 1305104 8177008 59.383.049 ana clara souza moreira trifil umu 1")</f>
        <v>266803605 1305104 8177008 59.383.049 ana clara souza moreira trifil umu 1</v>
      </c>
      <c r="V353" s="15" t="b">
        <f>IFERROR(__xludf.DUMMYFUNCTION("""COMPUTED_VALUE"""),FALSE)</f>
        <v>0</v>
      </c>
    </row>
    <row r="354">
      <c r="A354" s="19">
        <f>IFERROR(__xludf.DUMMYFUNCTION("""COMPUTED_VALUE"""),46304.0)</f>
        <v>46304</v>
      </c>
      <c r="B354" s="19">
        <f>IFERROR(__xludf.DUMMYFUNCTION("""COMPUTED_VALUE"""),46317.0)</f>
        <v>46317</v>
      </c>
      <c r="C354" s="15">
        <f>IFERROR(__xludf.DUMMYFUNCTION("""COMPUTED_VALUE"""),8.0)</f>
        <v>8</v>
      </c>
      <c r="D354" s="15" t="str">
        <f>IFERROR(__xludf.DUMMYFUNCTION("""COMPUTED_VALUE"""),"UMU")</f>
        <v>UMU</v>
      </c>
      <c r="E354" s="15" t="str">
        <f>IFERROR(__xludf.DUMMYFUNCTION("""COMPUTED_VALUE"""),"PRV COMERCIO DE ROUPAS")</f>
        <v>PRV COMERCIO DE ROUPAS</v>
      </c>
      <c r="F354" s="15" t="str">
        <f>IFERROR(__xludf.DUMMYFUNCTION("""COMPUTED_VALUE"""),"TRIFIL")</f>
        <v>TRIFIL</v>
      </c>
      <c r="G354" s="15" t="str">
        <f>IFERROR(__xludf.DUMMYFUNCTION("""COMPUTED_VALUE"""),"266803606")</f>
        <v>266803606</v>
      </c>
      <c r="H354" s="15" t="str">
        <f>IFERROR(__xludf.DUMMYFUNCTION("""COMPUTED_VALUE"""),"1305331, 1305411")</f>
        <v>1305331, 1305411</v>
      </c>
      <c r="I354" s="15" t="str">
        <f>IFERROR(__xludf.DUMMYFUNCTION("""COMPUTED_VALUE"""),"8177009")</f>
        <v>8177009</v>
      </c>
      <c r="J354" s="15" t="str">
        <f>IFERROR(__xludf.DUMMYFUNCTION("""COMPUTED_VALUE"""),"CIF")</f>
        <v>CIF</v>
      </c>
      <c r="K354" s="15" t="str">
        <f>IFERROR(__xludf.DUMMYFUNCTION("""COMPUTED_VALUE"""),"FSA-1")</f>
        <v>FSA-1</v>
      </c>
      <c r="L354" s="15" t="str">
        <f>IFERROR(__xludf.DUMMYFUNCTION("""COMPUTED_VALUE"""),"AUTORIZADO")</f>
        <v>AUTORIZADO</v>
      </c>
      <c r="M354" s="15" t="str">
        <f>IFERROR(__xludf.DUMMYFUNCTION("""COMPUTED_VALUE"""),"NA ORIGEM")</f>
        <v>NA ORIGEM</v>
      </c>
      <c r="N354" s="15" t="str">
        <f>IFERROR(__xludf.DUMMYFUNCTION("""COMPUTED_VALUE"""),"Antes Prazo")</f>
        <v>Antes Prazo</v>
      </c>
      <c r="O354" s="15" t="str">
        <f>IFERROR(__xludf.DUMMYFUNCTION("""COMPUTED_VALUE"""),"B2B")</f>
        <v>B2B</v>
      </c>
      <c r="P354" s="16">
        <f>IFERROR(__xludf.DUMMYFUNCTION("""COMPUTED_VALUE"""),47.89)</f>
        <v>47.89</v>
      </c>
      <c r="Q354" s="15">
        <f>IFERROR(__xludf.DUMMYFUNCTION("""COMPUTED_VALUE"""),2.0)</f>
        <v>2</v>
      </c>
      <c r="R354" s="15" t="str">
        <f>IFERROR(__xludf.DUMMYFUNCTION("""COMPUTED_VALUE"""),"RODO")</f>
        <v>RODO</v>
      </c>
      <c r="S354" s="15" t="str">
        <f>IFERROR(__xludf.DUMMYFUNCTION("""COMPUTED_VALUE"""),"ITN")</f>
        <v>ITN</v>
      </c>
      <c r="T354" s="15" t="str">
        <f>IFERROR(__xludf.DUMMYFUNCTION("""COMPUTED_VALUE"""),"3")</f>
        <v>3</v>
      </c>
      <c r="U354" s="15" t="str">
        <f>IFERROR(__xludf.DUMMYFUNCTION("""COMPUTED_VALUE"""),"266803606 1305331, 1305411 8177009 prv comercio de roupas trifil umu 3")</f>
        <v>266803606 1305331, 1305411 8177009 prv comercio de roupas trifil umu 3</v>
      </c>
      <c r="V354" s="15" t="b">
        <f>IFERROR(__xludf.DUMMYFUNCTION("""COMPUTED_VALUE"""),FALSE)</f>
        <v>0</v>
      </c>
    </row>
    <row r="355">
      <c r="A355" s="19">
        <f>IFERROR(__xludf.DUMMYFUNCTION("""COMPUTED_VALUE"""),46304.0)</f>
        <v>46304</v>
      </c>
      <c r="B355" s="19">
        <f>IFERROR(__xludf.DUMMYFUNCTION("""COMPUTED_VALUE"""),46317.0)</f>
        <v>46317</v>
      </c>
      <c r="C355" s="15">
        <f>IFERROR(__xludf.DUMMYFUNCTION("""COMPUTED_VALUE"""),8.0)</f>
        <v>8</v>
      </c>
      <c r="D355" s="15" t="str">
        <f>IFERROR(__xludf.DUMMYFUNCTION("""COMPUTED_VALUE"""),"FLN")</f>
        <v>FLN</v>
      </c>
      <c r="E355" s="15" t="str">
        <f>IFERROR(__xludf.DUMMYFUNCTION("""COMPUTED_VALUE"""),"CHINA BRASIL EIRELI")</f>
        <v>CHINA BRASIL EIRELI</v>
      </c>
      <c r="F355" s="15" t="str">
        <f>IFERROR(__xludf.DUMMYFUNCTION("""COMPUTED_VALUE"""),"TRIFIL")</f>
        <v>TRIFIL</v>
      </c>
      <c r="G355" s="15" t="str">
        <f>IFERROR(__xludf.DUMMYFUNCTION("""COMPUTED_VALUE"""),"266803607")</f>
        <v>266803607</v>
      </c>
      <c r="H355" s="15" t="str">
        <f>IFERROR(__xludf.DUMMYFUNCTION("""COMPUTED_VALUE"""),"1305126")</f>
        <v>1305126</v>
      </c>
      <c r="I355" s="15" t="str">
        <f>IFERROR(__xludf.DUMMYFUNCTION("""COMPUTED_VALUE"""),"8176832")</f>
        <v>8176832</v>
      </c>
      <c r="J355" s="15" t="str">
        <f>IFERROR(__xludf.DUMMYFUNCTION("""COMPUTED_VALUE"""),"CIF")</f>
        <v>CIF</v>
      </c>
      <c r="K355" s="15" t="str">
        <f>IFERROR(__xludf.DUMMYFUNCTION("""COMPUTED_VALUE"""),"FSA-1")</f>
        <v>FSA-1</v>
      </c>
      <c r="L355" s="15" t="str">
        <f>IFERROR(__xludf.DUMMYFUNCTION("""COMPUTED_VALUE"""),"AUTORIZADO")</f>
        <v>AUTORIZADO</v>
      </c>
      <c r="M355" s="15" t="str">
        <f>IFERROR(__xludf.DUMMYFUNCTION("""COMPUTED_VALUE"""),"NA ORIGEM")</f>
        <v>NA ORIGEM</v>
      </c>
      <c r="N355" s="15" t="str">
        <f>IFERROR(__xludf.DUMMYFUNCTION("""COMPUTED_VALUE"""),"Antes Prazo")</f>
        <v>Antes Prazo</v>
      </c>
      <c r="O355" s="15" t="str">
        <f>IFERROR(__xludf.DUMMYFUNCTION("""COMPUTED_VALUE"""),"B2B")</f>
        <v>B2B</v>
      </c>
      <c r="P355" s="16">
        <f>IFERROR(__xludf.DUMMYFUNCTION("""COMPUTED_VALUE"""),54.19)</f>
        <v>54.19</v>
      </c>
      <c r="Q355" s="15">
        <f>IFERROR(__xludf.DUMMYFUNCTION("""COMPUTED_VALUE"""),1.0)</f>
        <v>1</v>
      </c>
      <c r="R355" s="15" t="str">
        <f>IFERROR(__xludf.DUMMYFUNCTION("""COMPUTED_VALUE"""),"RODO")</f>
        <v>RODO</v>
      </c>
      <c r="S355" s="15" t="str">
        <f>IFERROR(__xludf.DUMMYFUNCTION("""COMPUTED_VALUE"""),"ITN")</f>
        <v>ITN</v>
      </c>
      <c r="T355" s="15" t="str">
        <f>IFERROR(__xludf.DUMMYFUNCTION("""COMPUTED_VALUE"""),"19")</f>
        <v>19</v>
      </c>
      <c r="U355" s="15" t="str">
        <f>IFERROR(__xludf.DUMMYFUNCTION("""COMPUTED_VALUE"""),"266803607 1305126 8176832 china brasil eireli trifil fln 19")</f>
        <v>266803607 1305126 8176832 china brasil eireli trifil fln 19</v>
      </c>
      <c r="V355" s="15" t="b">
        <f>IFERROR(__xludf.DUMMYFUNCTION("""COMPUTED_VALUE"""),FALSE)</f>
        <v>0</v>
      </c>
    </row>
    <row r="356">
      <c r="A356" s="19">
        <f>IFERROR(__xludf.DUMMYFUNCTION("""COMPUTED_VALUE"""),46304.0)</f>
        <v>46304</v>
      </c>
      <c r="B356" s="19">
        <f>IFERROR(__xludf.DUMMYFUNCTION("""COMPUTED_VALUE"""),46318.0)</f>
        <v>46318</v>
      </c>
      <c r="C356" s="15">
        <f>IFERROR(__xludf.DUMMYFUNCTION("""COMPUTED_VALUE"""),9.0)</f>
        <v>9</v>
      </c>
      <c r="D356" s="15" t="str">
        <f>IFERROR(__xludf.DUMMYFUNCTION("""COMPUTED_VALUE"""),"RDS")</f>
        <v>RDS</v>
      </c>
      <c r="E356" s="15" t="str">
        <f>IFERROR(__xludf.DUMMYFUNCTION("""COMPUTED_VALUE"""),"KOECH VANDERLINDE COM E CONF LTDA")</f>
        <v>KOECH VANDERLINDE COM E CONF LTDA</v>
      </c>
      <c r="F356" s="15" t="str">
        <f>IFERROR(__xludf.DUMMYFUNCTION("""COMPUTED_VALUE"""),"TRIFIL")</f>
        <v>TRIFIL</v>
      </c>
      <c r="G356" s="15" t="str">
        <f>IFERROR(__xludf.DUMMYFUNCTION("""COMPUTED_VALUE"""),"266803608")</f>
        <v>266803608</v>
      </c>
      <c r="H356" s="15" t="str">
        <f>IFERROR(__xludf.DUMMYFUNCTION("""COMPUTED_VALUE"""),"1305129")</f>
        <v>1305129</v>
      </c>
      <c r="I356" s="15" t="str">
        <f>IFERROR(__xludf.DUMMYFUNCTION("""COMPUTED_VALUE"""),"8177010")</f>
        <v>8177010</v>
      </c>
      <c r="J356" s="15" t="str">
        <f>IFERROR(__xludf.DUMMYFUNCTION("""COMPUTED_VALUE"""),"CIF")</f>
        <v>CIF</v>
      </c>
      <c r="K356" s="15" t="str">
        <f>IFERROR(__xludf.DUMMYFUNCTION("""COMPUTED_VALUE"""),"FSA-1")</f>
        <v>FSA-1</v>
      </c>
      <c r="L356" s="15" t="str">
        <f>IFERROR(__xludf.DUMMYFUNCTION("""COMPUTED_VALUE"""),"AUTORIZADO")</f>
        <v>AUTORIZADO</v>
      </c>
      <c r="M356" s="15" t="str">
        <f>IFERROR(__xludf.DUMMYFUNCTION("""COMPUTED_VALUE"""),"NA ORIGEM")</f>
        <v>NA ORIGEM</v>
      </c>
      <c r="N356" s="15" t="str">
        <f>IFERROR(__xludf.DUMMYFUNCTION("""COMPUTED_VALUE"""),"Antes Prazo")</f>
        <v>Antes Prazo</v>
      </c>
      <c r="O356" s="15" t="str">
        <f>IFERROR(__xludf.DUMMYFUNCTION("""COMPUTED_VALUE"""),"B2B")</f>
        <v>B2B</v>
      </c>
      <c r="P356" s="16">
        <f>IFERROR(__xludf.DUMMYFUNCTION("""COMPUTED_VALUE"""),60.93)</f>
        <v>60.93</v>
      </c>
      <c r="Q356" s="15">
        <f>IFERROR(__xludf.DUMMYFUNCTION("""COMPUTED_VALUE"""),1.0)</f>
        <v>1</v>
      </c>
      <c r="R356" s="15" t="str">
        <f>IFERROR(__xludf.DUMMYFUNCTION("""COMPUTED_VALUE"""),"RODO")</f>
        <v>RODO</v>
      </c>
      <c r="S356" s="15" t="str">
        <f>IFERROR(__xludf.DUMMYFUNCTION("""COMPUTED_VALUE"""),"ITN")</f>
        <v>ITN</v>
      </c>
      <c r="T356" s="15" t="str">
        <f>IFERROR(__xludf.DUMMYFUNCTION("""COMPUTED_VALUE"""),"106")</f>
        <v>106</v>
      </c>
      <c r="U356" s="15" t="str">
        <f>IFERROR(__xludf.DUMMYFUNCTION("""COMPUTED_VALUE"""),"266803608 1305129 8177010 koech vanderlinde com e conf ltda trifil rds 106")</f>
        <v>266803608 1305129 8177010 koech vanderlinde com e conf ltda trifil rds 106</v>
      </c>
      <c r="V356" s="15" t="b">
        <f>IFERROR(__xludf.DUMMYFUNCTION("""COMPUTED_VALUE"""),FALSE)</f>
        <v>0</v>
      </c>
    </row>
    <row r="357">
      <c r="A357" s="19">
        <f>IFERROR(__xludf.DUMMYFUNCTION("""COMPUTED_VALUE"""),46304.0)</f>
        <v>46304</v>
      </c>
      <c r="B357" s="19">
        <f>IFERROR(__xludf.DUMMYFUNCTION("""COMPUTED_VALUE"""),46318.0)</f>
        <v>46318</v>
      </c>
      <c r="C357" s="15">
        <f>IFERROR(__xludf.DUMMYFUNCTION("""COMPUTED_VALUE"""),9.0)</f>
        <v>9</v>
      </c>
      <c r="D357" s="15" t="str">
        <f>IFERROR(__xludf.DUMMYFUNCTION("""COMPUTED_VALUE"""),"CCM")</f>
        <v>CCM</v>
      </c>
      <c r="E357" s="15" t="str">
        <f>IFERROR(__xludf.DUMMYFUNCTION("""COMPUTED_VALUE"""),"LUPO")</f>
        <v>LUPO</v>
      </c>
      <c r="F357" s="15" t="str">
        <f>IFERROR(__xludf.DUMMYFUNCTION("""COMPUTED_VALUE"""),"TRIFIL")</f>
        <v>TRIFIL</v>
      </c>
      <c r="G357" s="15" t="str">
        <f>IFERROR(__xludf.DUMMYFUNCTION("""COMPUTED_VALUE"""),"266803609")</f>
        <v>266803609</v>
      </c>
      <c r="H357" s="15" t="str">
        <f>IFERROR(__xludf.DUMMYFUNCTION("""COMPUTED_VALUE"""),"1305194")</f>
        <v>1305194</v>
      </c>
      <c r="I357" s="15" t="str">
        <f>IFERROR(__xludf.DUMMYFUNCTION("""COMPUTED_VALUE"""),"8177011")</f>
        <v>8177011</v>
      </c>
      <c r="J357" s="15" t="str">
        <f>IFERROR(__xludf.DUMMYFUNCTION("""COMPUTED_VALUE"""),"CIF")</f>
        <v>CIF</v>
      </c>
      <c r="K357" s="15" t="str">
        <f>IFERROR(__xludf.DUMMYFUNCTION("""COMPUTED_VALUE"""),"FSA-1")</f>
        <v>FSA-1</v>
      </c>
      <c r="L357" s="15" t="str">
        <f>IFERROR(__xludf.DUMMYFUNCTION("""COMPUTED_VALUE"""),"AUTORIZADO")</f>
        <v>AUTORIZADO</v>
      </c>
      <c r="M357" s="15" t="str">
        <f>IFERROR(__xludf.DUMMYFUNCTION("""COMPUTED_VALUE"""),"NA ORIGEM")</f>
        <v>NA ORIGEM</v>
      </c>
      <c r="N357" s="15" t="str">
        <f>IFERROR(__xludf.DUMMYFUNCTION("""COMPUTED_VALUE"""),"Antes Prazo")</f>
        <v>Antes Prazo</v>
      </c>
      <c r="O357" s="15" t="str">
        <f>IFERROR(__xludf.DUMMYFUNCTION("""COMPUTED_VALUE"""),"B2B")</f>
        <v>B2B</v>
      </c>
      <c r="P357" s="16">
        <f>IFERROR(__xludf.DUMMYFUNCTION("""COMPUTED_VALUE"""),54.19)</f>
        <v>54.19</v>
      </c>
      <c r="Q357" s="15">
        <f>IFERROR(__xludf.DUMMYFUNCTION("""COMPUTED_VALUE"""),1.0)</f>
        <v>1</v>
      </c>
      <c r="R357" s="15" t="str">
        <f>IFERROR(__xludf.DUMMYFUNCTION("""COMPUTED_VALUE"""),"RODO")</f>
        <v>RODO</v>
      </c>
      <c r="S357" s="15" t="str">
        <f>IFERROR(__xludf.DUMMYFUNCTION("""COMPUTED_VALUE"""),"ITN")</f>
        <v>ITN</v>
      </c>
      <c r="T357" s="15" t="str">
        <f>IFERROR(__xludf.DUMMYFUNCTION("""COMPUTED_VALUE"""),"2")</f>
        <v>2</v>
      </c>
      <c r="U357" s="15" t="str">
        <f>IFERROR(__xludf.DUMMYFUNCTION("""COMPUTED_VALUE"""),"266803609 1305194 8177011 lupo trifil ccm 2")</f>
        <v>266803609 1305194 8177011 lupo trifil ccm 2</v>
      </c>
      <c r="V357" s="15" t="b">
        <f>IFERROR(__xludf.DUMMYFUNCTION("""COMPUTED_VALUE"""),FALSE)</f>
        <v>0</v>
      </c>
    </row>
    <row r="358">
      <c r="A358" s="19">
        <f>IFERROR(__xludf.DUMMYFUNCTION("""COMPUTED_VALUE"""),46304.0)</f>
        <v>46304</v>
      </c>
      <c r="B358" s="19">
        <f>IFERROR(__xludf.DUMMYFUNCTION("""COMPUTED_VALUE"""),46321.0)</f>
        <v>46321</v>
      </c>
      <c r="C358" s="15">
        <f>IFERROR(__xludf.DUMMYFUNCTION("""COMPUTED_VALUE"""),10.0)</f>
        <v>10</v>
      </c>
      <c r="D358" s="15" t="str">
        <f>IFERROR(__xludf.DUMMYFUNCTION("""COMPUTED_VALUE"""),"CCM")</f>
        <v>CCM</v>
      </c>
      <c r="E358" s="15" t="str">
        <f>IFERROR(__xludf.DUMMYFUNCTION("""COMPUTED_VALUE"""),"CONFECCOES EBENESER LTDA ME")</f>
        <v>CONFECCOES EBENESER LTDA ME</v>
      </c>
      <c r="F358" s="15" t="str">
        <f>IFERROR(__xludf.DUMMYFUNCTION("""COMPUTED_VALUE"""),"TRIFIL")</f>
        <v>TRIFIL</v>
      </c>
      <c r="G358" s="15" t="str">
        <f>IFERROR(__xludf.DUMMYFUNCTION("""COMPUTED_VALUE"""),"266803610")</f>
        <v>266803610</v>
      </c>
      <c r="H358" s="15" t="str">
        <f>IFERROR(__xludf.DUMMYFUNCTION("""COMPUTED_VALUE"""),"1305743")</f>
        <v>1305743</v>
      </c>
      <c r="I358" s="15" t="str">
        <f>IFERROR(__xludf.DUMMYFUNCTION("""COMPUTED_VALUE"""),"8176768")</f>
        <v>8176768</v>
      </c>
      <c r="J358" s="15" t="str">
        <f>IFERROR(__xludf.DUMMYFUNCTION("""COMPUTED_VALUE"""),"CIF")</f>
        <v>CIF</v>
      </c>
      <c r="K358" s="15" t="str">
        <f>IFERROR(__xludf.DUMMYFUNCTION("""COMPUTED_VALUE"""),"FSA-1")</f>
        <v>FSA-1</v>
      </c>
      <c r="L358" s="15" t="str">
        <f>IFERROR(__xludf.DUMMYFUNCTION("""COMPUTED_VALUE"""),"AUTORIZADO")</f>
        <v>AUTORIZADO</v>
      </c>
      <c r="M358" s="15" t="str">
        <f>IFERROR(__xludf.DUMMYFUNCTION("""COMPUTED_VALUE"""),"NA ORIGEM")</f>
        <v>NA ORIGEM</v>
      </c>
      <c r="N358" s="15" t="str">
        <f>IFERROR(__xludf.DUMMYFUNCTION("""COMPUTED_VALUE"""),"Antes Prazo")</f>
        <v>Antes Prazo</v>
      </c>
      <c r="O358" s="15" t="str">
        <f>IFERROR(__xludf.DUMMYFUNCTION("""COMPUTED_VALUE"""),"B2B")</f>
        <v>B2B</v>
      </c>
      <c r="P358" s="16">
        <f>IFERROR(__xludf.DUMMYFUNCTION("""COMPUTED_VALUE"""),71.37)</f>
        <v>71.37</v>
      </c>
      <c r="Q358" s="15">
        <f>IFERROR(__xludf.DUMMYFUNCTION("""COMPUTED_VALUE"""),5.0)</f>
        <v>5</v>
      </c>
      <c r="R358" s="15" t="str">
        <f>IFERROR(__xludf.DUMMYFUNCTION("""COMPUTED_VALUE"""),"RODO")</f>
        <v>RODO</v>
      </c>
      <c r="S358" s="15" t="str">
        <f>IFERROR(__xludf.DUMMYFUNCTION("""COMPUTED_VALUE"""),"ITN")</f>
        <v>ITN</v>
      </c>
      <c r="T358" s="15" t="str">
        <f>IFERROR(__xludf.DUMMYFUNCTION("""COMPUTED_VALUE"""),"107")</f>
        <v>107</v>
      </c>
      <c r="U358" s="15" t="str">
        <f>IFERROR(__xludf.DUMMYFUNCTION("""COMPUTED_VALUE"""),"266803610 1305743 8176768 confeccoes ebeneser ltda me trifil ccm 107")</f>
        <v>266803610 1305743 8176768 confeccoes ebeneser ltda me trifil ccm 107</v>
      </c>
      <c r="V358" s="15" t="b">
        <f>IFERROR(__xludf.DUMMYFUNCTION("""COMPUTED_VALUE"""),FALSE)</f>
        <v>0</v>
      </c>
    </row>
    <row r="359">
      <c r="A359" s="19">
        <f>IFERROR(__xludf.DUMMYFUNCTION("""COMPUTED_VALUE"""),46304.0)</f>
        <v>46304</v>
      </c>
      <c r="B359" s="19">
        <f>IFERROR(__xludf.DUMMYFUNCTION("""COMPUTED_VALUE"""),46317.0)</f>
        <v>46317</v>
      </c>
      <c r="C359" s="15">
        <f>IFERROR(__xludf.DUMMYFUNCTION("""COMPUTED_VALUE"""),8.0)</f>
        <v>8</v>
      </c>
      <c r="D359" s="15" t="str">
        <f>IFERROR(__xludf.DUMMYFUNCTION("""COMPUTED_VALUE"""),"BNU")</f>
        <v>BNU</v>
      </c>
      <c r="E359" s="15" t="str">
        <f>IFERROR(__xludf.DUMMYFUNCTION("""COMPUTED_VALUE"""),"LOJA ISAMAR")</f>
        <v>LOJA ISAMAR</v>
      </c>
      <c r="F359" s="15" t="str">
        <f>IFERROR(__xludf.DUMMYFUNCTION("""COMPUTED_VALUE"""),"TRIFIL")</f>
        <v>TRIFIL</v>
      </c>
      <c r="G359" s="15" t="str">
        <f>IFERROR(__xludf.DUMMYFUNCTION("""COMPUTED_VALUE"""),"266803611")</f>
        <v>266803611</v>
      </c>
      <c r="H359" s="15" t="str">
        <f>IFERROR(__xludf.DUMMYFUNCTION("""COMPUTED_VALUE"""),"1305660")</f>
        <v>1305660</v>
      </c>
      <c r="I359" s="15" t="str">
        <f>IFERROR(__xludf.DUMMYFUNCTION("""COMPUTED_VALUE"""),"8177012")</f>
        <v>8177012</v>
      </c>
      <c r="J359" s="15" t="str">
        <f>IFERROR(__xludf.DUMMYFUNCTION("""COMPUTED_VALUE"""),"CIF")</f>
        <v>CIF</v>
      </c>
      <c r="K359" s="15" t="str">
        <f>IFERROR(__xludf.DUMMYFUNCTION("""COMPUTED_VALUE"""),"FSA-1")</f>
        <v>FSA-1</v>
      </c>
      <c r="L359" s="15" t="str">
        <f>IFERROR(__xludf.DUMMYFUNCTION("""COMPUTED_VALUE"""),"AUTORIZADO")</f>
        <v>AUTORIZADO</v>
      </c>
      <c r="M359" s="15" t="str">
        <f>IFERROR(__xludf.DUMMYFUNCTION("""COMPUTED_VALUE"""),"NA ORIGEM")</f>
        <v>NA ORIGEM</v>
      </c>
      <c r="N359" s="15" t="str">
        <f>IFERROR(__xludf.DUMMYFUNCTION("""COMPUTED_VALUE"""),"Antes Prazo")</f>
        <v>Antes Prazo</v>
      </c>
      <c r="O359" s="15" t="str">
        <f>IFERROR(__xludf.DUMMYFUNCTION("""COMPUTED_VALUE"""),"B2B")</f>
        <v>B2B</v>
      </c>
      <c r="P359" s="16">
        <f>IFERROR(__xludf.DUMMYFUNCTION("""COMPUTED_VALUE"""),60.93)</f>
        <v>60.93</v>
      </c>
      <c r="Q359" s="15">
        <f>IFERROR(__xludf.DUMMYFUNCTION("""COMPUTED_VALUE"""),1.0)</f>
        <v>1</v>
      </c>
      <c r="R359" s="15" t="str">
        <f>IFERROR(__xludf.DUMMYFUNCTION("""COMPUTED_VALUE"""),"RODO")</f>
        <v>RODO</v>
      </c>
      <c r="S359" s="15" t="str">
        <f>IFERROR(__xludf.DUMMYFUNCTION("""COMPUTED_VALUE"""),"ITN")</f>
        <v>ITN</v>
      </c>
      <c r="T359" s="15" t="str">
        <f>IFERROR(__xludf.DUMMYFUNCTION("""COMPUTED_VALUE"""),"7")</f>
        <v>7</v>
      </c>
      <c r="U359" s="15" t="str">
        <f>IFERROR(__xludf.DUMMYFUNCTION("""COMPUTED_VALUE"""),"266803611 1305660 8177012 loja isamar trifil bnu 7")</f>
        <v>266803611 1305660 8177012 loja isamar trifil bnu 7</v>
      </c>
      <c r="V359" s="15" t="b">
        <f>IFERROR(__xludf.DUMMYFUNCTION("""COMPUTED_VALUE"""),FALSE)</f>
        <v>0</v>
      </c>
    </row>
    <row r="360">
      <c r="A360" s="19">
        <f>IFERROR(__xludf.DUMMYFUNCTION("""COMPUTED_VALUE"""),46304.0)</f>
        <v>46304</v>
      </c>
      <c r="B360" s="19">
        <f>IFERROR(__xludf.DUMMYFUNCTION("""COMPUTED_VALUE"""),46317.0)</f>
        <v>46317</v>
      </c>
      <c r="C360" s="15">
        <f>IFERROR(__xludf.DUMMYFUNCTION("""COMPUTED_VALUE"""),8.0)</f>
        <v>8</v>
      </c>
      <c r="D360" s="15" t="str">
        <f>IFERROR(__xludf.DUMMYFUNCTION("""COMPUTED_VALUE"""),"BNU")</f>
        <v>BNU</v>
      </c>
      <c r="E360" s="15" t="str">
        <f>IFERROR(__xludf.DUMMYFUNCTION("""COMPUTED_VALUE"""),"ATACADO NILO GOEDERT LTDA")</f>
        <v>ATACADO NILO GOEDERT LTDA</v>
      </c>
      <c r="F360" s="15" t="str">
        <f>IFERROR(__xludf.DUMMYFUNCTION("""COMPUTED_VALUE"""),"TRIFIL")</f>
        <v>TRIFIL</v>
      </c>
      <c r="G360" s="15" t="str">
        <f>IFERROR(__xludf.DUMMYFUNCTION("""COMPUTED_VALUE"""),"266803612")</f>
        <v>266803612</v>
      </c>
      <c r="H360" s="15" t="str">
        <f>IFERROR(__xludf.DUMMYFUNCTION("""COMPUTED_VALUE"""),"1305040")</f>
        <v>1305040</v>
      </c>
      <c r="I360" s="15" t="str">
        <f>IFERROR(__xludf.DUMMYFUNCTION("""COMPUTED_VALUE"""),"8176833")</f>
        <v>8176833</v>
      </c>
      <c r="J360" s="15" t="str">
        <f>IFERROR(__xludf.DUMMYFUNCTION("""COMPUTED_VALUE"""),"CIF")</f>
        <v>CIF</v>
      </c>
      <c r="K360" s="15" t="str">
        <f>IFERROR(__xludf.DUMMYFUNCTION("""COMPUTED_VALUE"""),"FSA-1")</f>
        <v>FSA-1</v>
      </c>
      <c r="L360" s="15" t="str">
        <f>IFERROR(__xludf.DUMMYFUNCTION("""COMPUTED_VALUE"""),"AUTORIZADO")</f>
        <v>AUTORIZADO</v>
      </c>
      <c r="M360" s="15" t="str">
        <f>IFERROR(__xludf.DUMMYFUNCTION("""COMPUTED_VALUE"""),"NA ORIGEM")</f>
        <v>NA ORIGEM</v>
      </c>
      <c r="N360" s="15" t="str">
        <f>IFERROR(__xludf.DUMMYFUNCTION("""COMPUTED_VALUE"""),"Antes Prazo")</f>
        <v>Antes Prazo</v>
      </c>
      <c r="O360" s="15" t="str">
        <f>IFERROR(__xludf.DUMMYFUNCTION("""COMPUTED_VALUE"""),"B2B")</f>
        <v>B2B</v>
      </c>
      <c r="P360" s="16">
        <f>IFERROR(__xludf.DUMMYFUNCTION("""COMPUTED_VALUE"""),60.93)</f>
        <v>60.93</v>
      </c>
      <c r="Q360" s="15">
        <f>IFERROR(__xludf.DUMMYFUNCTION("""COMPUTED_VALUE"""),1.0)</f>
        <v>1</v>
      </c>
      <c r="R360" s="15" t="str">
        <f>IFERROR(__xludf.DUMMYFUNCTION("""COMPUTED_VALUE"""),"RODO")</f>
        <v>RODO</v>
      </c>
      <c r="S360" s="15" t="str">
        <f>IFERROR(__xludf.DUMMYFUNCTION("""COMPUTED_VALUE"""),"ITN")</f>
        <v>ITN</v>
      </c>
      <c r="T360" s="15" t="str">
        <f>IFERROR(__xludf.DUMMYFUNCTION("""COMPUTED_VALUE"""),"32")</f>
        <v>32</v>
      </c>
      <c r="U360" s="15" t="str">
        <f>IFERROR(__xludf.DUMMYFUNCTION("""COMPUTED_VALUE"""),"266803612 1305040 8176833 atacado nilo goedert ltda trifil bnu 32")</f>
        <v>266803612 1305040 8176833 atacado nilo goedert ltda trifil bnu 32</v>
      </c>
      <c r="V360" s="15" t="b">
        <f>IFERROR(__xludf.DUMMYFUNCTION("""COMPUTED_VALUE"""),FALSE)</f>
        <v>0</v>
      </c>
    </row>
    <row r="361">
      <c r="A361" s="19">
        <f>IFERROR(__xludf.DUMMYFUNCTION("""COMPUTED_VALUE"""),46304.0)</f>
        <v>46304</v>
      </c>
      <c r="B361" s="19">
        <f>IFERROR(__xludf.DUMMYFUNCTION("""COMPUTED_VALUE"""),46317.0)</f>
        <v>46317</v>
      </c>
      <c r="C361" s="15">
        <f>IFERROR(__xludf.DUMMYFUNCTION("""COMPUTED_VALUE"""),8.0)</f>
        <v>8</v>
      </c>
      <c r="D361" s="15" t="str">
        <f>IFERROR(__xludf.DUMMYFUNCTION("""COMPUTED_VALUE"""),"RDS")</f>
        <v>RDS</v>
      </c>
      <c r="E361" s="15" t="str">
        <f>IFERROR(__xludf.DUMMYFUNCTION("""COMPUTED_VALUE"""),"MAJARE COM DE COSMETICOS E PERFUMARIA")</f>
        <v>MAJARE COM DE COSMETICOS E PERFUMARIA</v>
      </c>
      <c r="F361" s="15" t="str">
        <f>IFERROR(__xludf.DUMMYFUNCTION("""COMPUTED_VALUE"""),"TRIFIL")</f>
        <v>TRIFIL</v>
      </c>
      <c r="G361" s="15" t="str">
        <f>IFERROR(__xludf.DUMMYFUNCTION("""COMPUTED_VALUE"""),"266803613")</f>
        <v>266803613</v>
      </c>
      <c r="H361" s="15" t="str">
        <f>IFERROR(__xludf.DUMMYFUNCTION("""COMPUTED_VALUE"""),"1304823")</f>
        <v>1304823</v>
      </c>
      <c r="I361" s="15" t="str">
        <f>IFERROR(__xludf.DUMMYFUNCTION("""COMPUTED_VALUE"""),"8177052")</f>
        <v>8177052</v>
      </c>
      <c r="J361" s="15" t="str">
        <f>IFERROR(__xludf.DUMMYFUNCTION("""COMPUTED_VALUE"""),"CIF")</f>
        <v>CIF</v>
      </c>
      <c r="K361" s="15" t="str">
        <f>IFERROR(__xludf.DUMMYFUNCTION("""COMPUTED_VALUE"""),"FSA-1")</f>
        <v>FSA-1</v>
      </c>
      <c r="L361" s="15" t="str">
        <f>IFERROR(__xludf.DUMMYFUNCTION("""COMPUTED_VALUE"""),"AUTORIZADO")</f>
        <v>AUTORIZADO</v>
      </c>
      <c r="M361" s="15" t="str">
        <f>IFERROR(__xludf.DUMMYFUNCTION("""COMPUTED_VALUE"""),"NA ORIGEM")</f>
        <v>NA ORIGEM</v>
      </c>
      <c r="N361" s="15" t="str">
        <f>IFERROR(__xludf.DUMMYFUNCTION("""COMPUTED_VALUE"""),"Antes Prazo")</f>
        <v>Antes Prazo</v>
      </c>
      <c r="O361" s="15" t="str">
        <f>IFERROR(__xludf.DUMMYFUNCTION("""COMPUTED_VALUE"""),"B2B")</f>
        <v>B2B</v>
      </c>
      <c r="P361" s="16">
        <f>IFERROR(__xludf.DUMMYFUNCTION("""COMPUTED_VALUE"""),54.19)</f>
        <v>54.19</v>
      </c>
      <c r="Q361" s="15">
        <f>IFERROR(__xludf.DUMMYFUNCTION("""COMPUTED_VALUE"""),1.0)</f>
        <v>1</v>
      </c>
      <c r="R361" s="15" t="str">
        <f>IFERROR(__xludf.DUMMYFUNCTION("""COMPUTED_VALUE"""),"RODO")</f>
        <v>RODO</v>
      </c>
      <c r="S361" s="15" t="str">
        <f>IFERROR(__xludf.DUMMYFUNCTION("""COMPUTED_VALUE"""),"ITN")</f>
        <v>ITN</v>
      </c>
      <c r="T361" s="15" t="str">
        <f>IFERROR(__xludf.DUMMYFUNCTION("""COMPUTED_VALUE"""),"1")</f>
        <v>1</v>
      </c>
      <c r="U361" s="15" t="str">
        <f>IFERROR(__xludf.DUMMYFUNCTION("""COMPUTED_VALUE"""),"266803613 1304823 8177052 majare com de cosmeticos e perfumaria trifil rds 1")</f>
        <v>266803613 1304823 8177052 majare com de cosmeticos e perfumaria trifil rds 1</v>
      </c>
      <c r="V361" s="15" t="b">
        <f>IFERROR(__xludf.DUMMYFUNCTION("""COMPUTED_VALUE"""),FALSE)</f>
        <v>0</v>
      </c>
    </row>
    <row r="362">
      <c r="A362" s="19">
        <f>IFERROR(__xludf.DUMMYFUNCTION("""COMPUTED_VALUE"""),46304.0)</f>
        <v>46304</v>
      </c>
      <c r="B362" s="19">
        <f>IFERROR(__xludf.DUMMYFUNCTION("""COMPUTED_VALUE"""),46318.0)</f>
        <v>46318</v>
      </c>
      <c r="C362" s="15">
        <f>IFERROR(__xludf.DUMMYFUNCTION("""COMPUTED_VALUE"""),9.0)</f>
        <v>9</v>
      </c>
      <c r="D362" s="15" t="str">
        <f>IFERROR(__xludf.DUMMYFUNCTION("""COMPUTED_VALUE"""),"JOI")</f>
        <v>JOI</v>
      </c>
      <c r="E362" s="15" t="str">
        <f>IFERROR(__xludf.DUMMYFUNCTION("""COMPUTED_VALUE"""),"SOUZA MAGAZINE LTDA EPP")</f>
        <v>SOUZA MAGAZINE LTDA EPP</v>
      </c>
      <c r="F362" s="15" t="str">
        <f>IFERROR(__xludf.DUMMYFUNCTION("""COMPUTED_VALUE"""),"TRIFIL")</f>
        <v>TRIFIL</v>
      </c>
      <c r="G362" s="15" t="str">
        <f>IFERROR(__xludf.DUMMYFUNCTION("""COMPUTED_VALUE"""),"266803614")</f>
        <v>266803614</v>
      </c>
      <c r="H362" s="15" t="str">
        <f>IFERROR(__xludf.DUMMYFUNCTION("""COMPUTED_VALUE"""),"1305928")</f>
        <v>1305928</v>
      </c>
      <c r="I362" s="15" t="str">
        <f>IFERROR(__xludf.DUMMYFUNCTION("""COMPUTED_VALUE"""),"8176726")</f>
        <v>8176726</v>
      </c>
      <c r="J362" s="15" t="str">
        <f>IFERROR(__xludf.DUMMYFUNCTION("""COMPUTED_VALUE"""),"CIF")</f>
        <v>CIF</v>
      </c>
      <c r="K362" s="15" t="str">
        <f>IFERROR(__xludf.DUMMYFUNCTION("""COMPUTED_VALUE"""),"FSA-1")</f>
        <v>FSA-1</v>
      </c>
      <c r="L362" s="15" t="str">
        <f>IFERROR(__xludf.DUMMYFUNCTION("""COMPUTED_VALUE"""),"AUTORIZADO")</f>
        <v>AUTORIZADO</v>
      </c>
      <c r="M362" s="15" t="str">
        <f>IFERROR(__xludf.DUMMYFUNCTION("""COMPUTED_VALUE"""),"NA ORIGEM")</f>
        <v>NA ORIGEM</v>
      </c>
      <c r="N362" s="15" t="str">
        <f>IFERROR(__xludf.DUMMYFUNCTION("""COMPUTED_VALUE"""),"Antes Prazo")</f>
        <v>Antes Prazo</v>
      </c>
      <c r="O362" s="15" t="str">
        <f>IFERROR(__xludf.DUMMYFUNCTION("""COMPUTED_VALUE"""),"B2B")</f>
        <v>B2B</v>
      </c>
      <c r="P362" s="16">
        <f>IFERROR(__xludf.DUMMYFUNCTION("""COMPUTED_VALUE"""),54.19)</f>
        <v>54.19</v>
      </c>
      <c r="Q362" s="15">
        <f>IFERROR(__xludf.DUMMYFUNCTION("""COMPUTED_VALUE"""),2.0)</f>
        <v>2</v>
      </c>
      <c r="R362" s="15" t="str">
        <f>IFERROR(__xludf.DUMMYFUNCTION("""COMPUTED_VALUE"""),"RODO")</f>
        <v>RODO</v>
      </c>
      <c r="S362" s="15" t="str">
        <f>IFERROR(__xludf.DUMMYFUNCTION("""COMPUTED_VALUE"""),"ITN")</f>
        <v>ITN</v>
      </c>
      <c r="T362" s="15" t="str">
        <f>IFERROR(__xludf.DUMMYFUNCTION("""COMPUTED_VALUE"""),"4")</f>
        <v>4</v>
      </c>
      <c r="U362" s="15" t="str">
        <f>IFERROR(__xludf.DUMMYFUNCTION("""COMPUTED_VALUE"""),"266803614 1305928 8176726 souza magazine ltda epp trifil joi 4")</f>
        <v>266803614 1305928 8176726 souza magazine ltda epp trifil joi 4</v>
      </c>
      <c r="V362" s="15" t="b">
        <f>IFERROR(__xludf.DUMMYFUNCTION("""COMPUTED_VALUE"""),FALSE)</f>
        <v>0</v>
      </c>
    </row>
    <row r="363">
      <c r="A363" s="19">
        <f>IFERROR(__xludf.DUMMYFUNCTION("""COMPUTED_VALUE"""),46304.0)</f>
        <v>46304</v>
      </c>
      <c r="B363" s="19">
        <f>IFERROR(__xludf.DUMMYFUNCTION("""COMPUTED_VALUE"""),46317.0)</f>
        <v>46317</v>
      </c>
      <c r="C363" s="15">
        <f>IFERROR(__xludf.DUMMYFUNCTION("""COMPUTED_VALUE"""),8.0)</f>
        <v>8</v>
      </c>
      <c r="D363" s="15" t="str">
        <f>IFERROR(__xludf.DUMMYFUNCTION("""COMPUTED_VALUE"""),"QJA")</f>
        <v>QJA</v>
      </c>
      <c r="E363" s="15" t="str">
        <f>IFERROR(__xludf.DUMMYFUNCTION("""COMPUTED_VALUE"""),"BARATOTAL")</f>
        <v>BARATOTAL</v>
      </c>
      <c r="F363" s="15" t="str">
        <f>IFERROR(__xludf.DUMMYFUNCTION("""COMPUTED_VALUE"""),"TRIFIL")</f>
        <v>TRIFIL</v>
      </c>
      <c r="G363" s="15" t="str">
        <f>IFERROR(__xludf.DUMMYFUNCTION("""COMPUTED_VALUE"""),"266803615")</f>
        <v>266803615</v>
      </c>
      <c r="H363" s="15" t="str">
        <f>IFERROR(__xludf.DUMMYFUNCTION("""COMPUTED_VALUE"""),"1305911")</f>
        <v>1305911</v>
      </c>
      <c r="I363" s="15" t="str">
        <f>IFERROR(__xludf.DUMMYFUNCTION("""COMPUTED_VALUE"""),"8176762")</f>
        <v>8176762</v>
      </c>
      <c r="J363" s="15" t="str">
        <f>IFERROR(__xludf.DUMMYFUNCTION("""COMPUTED_VALUE"""),"CIF")</f>
        <v>CIF</v>
      </c>
      <c r="K363" s="15" t="str">
        <f>IFERROR(__xludf.DUMMYFUNCTION("""COMPUTED_VALUE"""),"FSA-1")</f>
        <v>FSA-1</v>
      </c>
      <c r="L363" s="15" t="str">
        <f>IFERROR(__xludf.DUMMYFUNCTION("""COMPUTED_VALUE"""),"AUTORIZADO")</f>
        <v>AUTORIZADO</v>
      </c>
      <c r="M363" s="15" t="str">
        <f>IFERROR(__xludf.DUMMYFUNCTION("""COMPUTED_VALUE"""),"NA ORIGEM")</f>
        <v>NA ORIGEM</v>
      </c>
      <c r="N363" s="15" t="str">
        <f>IFERROR(__xludf.DUMMYFUNCTION("""COMPUTED_VALUE"""),"Antes Prazo")</f>
        <v>Antes Prazo</v>
      </c>
      <c r="O363" s="15" t="str">
        <f>IFERROR(__xludf.DUMMYFUNCTION("""COMPUTED_VALUE"""),"B2B")</f>
        <v>B2B</v>
      </c>
      <c r="P363" s="16">
        <f>IFERROR(__xludf.DUMMYFUNCTION("""COMPUTED_VALUE"""),54.19)</f>
        <v>54.19</v>
      </c>
      <c r="Q363" s="15">
        <f>IFERROR(__xludf.DUMMYFUNCTION("""COMPUTED_VALUE"""),1.0)</f>
        <v>1</v>
      </c>
      <c r="R363" s="15" t="str">
        <f>IFERROR(__xludf.DUMMYFUNCTION("""COMPUTED_VALUE"""),"RODO")</f>
        <v>RODO</v>
      </c>
      <c r="S363" s="15" t="str">
        <f>IFERROR(__xludf.DUMMYFUNCTION("""COMPUTED_VALUE"""),"ITN")</f>
        <v>ITN</v>
      </c>
      <c r="T363" s="15" t="str">
        <f>IFERROR(__xludf.DUMMYFUNCTION("""COMPUTED_VALUE"""),"4")</f>
        <v>4</v>
      </c>
      <c r="U363" s="15" t="str">
        <f>IFERROR(__xludf.DUMMYFUNCTION("""COMPUTED_VALUE"""),"266803615 1305911 8176762 baratotal trifil qja 4")</f>
        <v>266803615 1305911 8176762 baratotal trifil qja 4</v>
      </c>
      <c r="V363" s="15" t="b">
        <f>IFERROR(__xludf.DUMMYFUNCTION("""COMPUTED_VALUE"""),FALSE)</f>
        <v>0</v>
      </c>
    </row>
    <row r="364">
      <c r="A364" s="19">
        <f>IFERROR(__xludf.DUMMYFUNCTION("""COMPUTED_VALUE"""),46304.0)</f>
        <v>46304</v>
      </c>
      <c r="B364" s="19">
        <f>IFERROR(__xludf.DUMMYFUNCTION("""COMPUTED_VALUE"""),46323.0)</f>
        <v>46323</v>
      </c>
      <c r="C364" s="15">
        <f>IFERROR(__xludf.DUMMYFUNCTION("""COMPUTED_VALUE"""),12.0)</f>
        <v>12</v>
      </c>
      <c r="D364" s="15" t="str">
        <f>IFERROR(__xludf.DUMMYFUNCTION("""COMPUTED_VALUE"""),"JOI")</f>
        <v>JOI</v>
      </c>
      <c r="E364" s="15" t="str">
        <f>IFERROR(__xludf.DUMMYFUNCTION("""COMPUTED_VALUE"""),"MAFRA CENTER COMERCIO DE ROUPAS EIRELI M")</f>
        <v>MAFRA CENTER COMERCIO DE ROUPAS EIRELI M</v>
      </c>
      <c r="F364" s="15" t="str">
        <f>IFERROR(__xludf.DUMMYFUNCTION("""COMPUTED_VALUE"""),"TRIFIL")</f>
        <v>TRIFIL</v>
      </c>
      <c r="G364" s="15" t="str">
        <f>IFERROR(__xludf.DUMMYFUNCTION("""COMPUTED_VALUE"""),"266803616")</f>
        <v>266803616</v>
      </c>
      <c r="H364" s="15" t="str">
        <f>IFERROR(__xludf.DUMMYFUNCTION("""COMPUTED_VALUE"""),"1305018")</f>
        <v>1305018</v>
      </c>
      <c r="I364" s="15" t="str">
        <f>IFERROR(__xludf.DUMMYFUNCTION("""COMPUTED_VALUE"""),"8176834")</f>
        <v>8176834</v>
      </c>
      <c r="J364" s="15" t="str">
        <f>IFERROR(__xludf.DUMMYFUNCTION("""COMPUTED_VALUE"""),"CIF")</f>
        <v>CIF</v>
      </c>
      <c r="K364" s="15" t="str">
        <f>IFERROR(__xludf.DUMMYFUNCTION("""COMPUTED_VALUE"""),"FSA-1")</f>
        <v>FSA-1</v>
      </c>
      <c r="L364" s="15" t="str">
        <f>IFERROR(__xludf.DUMMYFUNCTION("""COMPUTED_VALUE"""),"AUTORIZADO")</f>
        <v>AUTORIZADO</v>
      </c>
      <c r="M364" s="15" t="str">
        <f>IFERROR(__xludf.DUMMYFUNCTION("""COMPUTED_VALUE"""),"NA ORIGEM")</f>
        <v>NA ORIGEM</v>
      </c>
      <c r="N364" s="15" t="str">
        <f>IFERROR(__xludf.DUMMYFUNCTION("""COMPUTED_VALUE"""),"Antes Prazo")</f>
        <v>Antes Prazo</v>
      </c>
      <c r="O364" s="15" t="str">
        <f>IFERROR(__xludf.DUMMYFUNCTION("""COMPUTED_VALUE"""),"B2B")</f>
        <v>B2B</v>
      </c>
      <c r="P364" s="16">
        <f>IFERROR(__xludf.DUMMYFUNCTION("""COMPUTED_VALUE"""),60.93)</f>
        <v>60.93</v>
      </c>
      <c r="Q364" s="15">
        <f>IFERROR(__xludf.DUMMYFUNCTION("""COMPUTED_VALUE"""),1.0)</f>
        <v>1</v>
      </c>
      <c r="R364" s="15" t="str">
        <f>IFERROR(__xludf.DUMMYFUNCTION("""COMPUTED_VALUE"""),"RODO")</f>
        <v>RODO</v>
      </c>
      <c r="S364" s="15" t="str">
        <f>IFERROR(__xludf.DUMMYFUNCTION("""COMPUTED_VALUE"""),"ITN")</f>
        <v>ITN</v>
      </c>
      <c r="T364" s="15" t="str">
        <f>IFERROR(__xludf.DUMMYFUNCTION("""COMPUTED_VALUE"""),"104")</f>
        <v>104</v>
      </c>
      <c r="U364" s="15" t="str">
        <f>IFERROR(__xludf.DUMMYFUNCTION("""COMPUTED_VALUE"""),"266803616 1305018 8176834 mafra center comercio de roupas eireli m trifil joi 104")</f>
        <v>266803616 1305018 8176834 mafra center comercio de roupas eireli m trifil joi 104</v>
      </c>
      <c r="V364" s="15" t="b">
        <f>IFERROR(__xludf.DUMMYFUNCTION("""COMPUTED_VALUE"""),FALSE)</f>
        <v>0</v>
      </c>
    </row>
    <row r="365">
      <c r="A365" s="19">
        <f>IFERROR(__xludf.DUMMYFUNCTION("""COMPUTED_VALUE"""),46304.0)</f>
        <v>46304</v>
      </c>
      <c r="B365" s="19">
        <f>IFERROR(__xludf.DUMMYFUNCTION("""COMPUTED_VALUE"""),46323.0)</f>
        <v>46323</v>
      </c>
      <c r="C365" s="15">
        <f>IFERROR(__xludf.DUMMYFUNCTION("""COMPUTED_VALUE"""),12.0)</f>
        <v>12</v>
      </c>
      <c r="D365" s="15" t="str">
        <f>IFERROR(__xludf.DUMMYFUNCTION("""COMPUTED_VALUE"""),"JOI")</f>
        <v>JOI</v>
      </c>
      <c r="E365" s="15" t="str">
        <f>IFERROR(__xludf.DUMMYFUNCTION("""COMPUTED_VALUE"""),"51.866.164 ALINE ESTEFANINA IGNASZE")</f>
        <v>51.866.164 ALINE ESTEFANINA IGNASZE</v>
      </c>
      <c r="F365" s="15" t="str">
        <f>IFERROR(__xludf.DUMMYFUNCTION("""COMPUTED_VALUE"""),"TRIFIL")</f>
        <v>TRIFIL</v>
      </c>
      <c r="G365" s="15" t="str">
        <f>IFERROR(__xludf.DUMMYFUNCTION("""COMPUTED_VALUE"""),"266803617")</f>
        <v>266803617</v>
      </c>
      <c r="H365" s="15" t="str">
        <f>IFERROR(__xludf.DUMMYFUNCTION("""COMPUTED_VALUE"""),"1305835")</f>
        <v>1305835</v>
      </c>
      <c r="I365" s="15" t="str">
        <f>IFERROR(__xludf.DUMMYFUNCTION("""COMPUTED_VALUE"""),"8176954")</f>
        <v>8176954</v>
      </c>
      <c r="J365" s="15" t="str">
        <f>IFERROR(__xludf.DUMMYFUNCTION("""COMPUTED_VALUE"""),"CIF")</f>
        <v>CIF</v>
      </c>
      <c r="K365" s="15" t="str">
        <f>IFERROR(__xludf.DUMMYFUNCTION("""COMPUTED_VALUE"""),"FSA-1")</f>
        <v>FSA-1</v>
      </c>
      <c r="L365" s="15" t="str">
        <f>IFERROR(__xludf.DUMMYFUNCTION("""COMPUTED_VALUE"""),"AUTORIZADO")</f>
        <v>AUTORIZADO</v>
      </c>
      <c r="M365" s="15" t="str">
        <f>IFERROR(__xludf.DUMMYFUNCTION("""COMPUTED_VALUE"""),"NA ORIGEM")</f>
        <v>NA ORIGEM</v>
      </c>
      <c r="N365" s="15" t="str">
        <f>IFERROR(__xludf.DUMMYFUNCTION("""COMPUTED_VALUE"""),"Antes Prazo")</f>
        <v>Antes Prazo</v>
      </c>
      <c r="O365" s="15" t="str">
        <f>IFERROR(__xludf.DUMMYFUNCTION("""COMPUTED_VALUE"""),"B2B")</f>
        <v>B2B</v>
      </c>
      <c r="P365" s="16">
        <f>IFERROR(__xludf.DUMMYFUNCTION("""COMPUTED_VALUE"""),60.93)</f>
        <v>60.93</v>
      </c>
      <c r="Q365" s="15">
        <f>IFERROR(__xludf.DUMMYFUNCTION("""COMPUTED_VALUE"""),3.0)</f>
        <v>3</v>
      </c>
      <c r="R365" s="15" t="str">
        <f>IFERROR(__xludf.DUMMYFUNCTION("""COMPUTED_VALUE"""),"RODO")</f>
        <v>RODO</v>
      </c>
      <c r="S365" s="15" t="str">
        <f>IFERROR(__xludf.DUMMYFUNCTION("""COMPUTED_VALUE"""),"ITN")</f>
        <v>ITN</v>
      </c>
      <c r="T365" s="15" t="str">
        <f>IFERROR(__xludf.DUMMYFUNCTION("""COMPUTED_VALUE"""),"105")</f>
        <v>105</v>
      </c>
      <c r="U365" s="15" t="str">
        <f>IFERROR(__xludf.DUMMYFUNCTION("""COMPUTED_VALUE"""),"266803617 1305835 8176954 51.866.164 aline estefanina ignasze trifil joi 105")</f>
        <v>266803617 1305835 8176954 51.866.164 aline estefanina ignasze trifil joi 105</v>
      </c>
      <c r="V365" s="15" t="b">
        <f>IFERROR(__xludf.DUMMYFUNCTION("""COMPUTED_VALUE"""),FALSE)</f>
        <v>0</v>
      </c>
    </row>
    <row r="366">
      <c r="A366" s="19">
        <f>IFERROR(__xludf.DUMMYFUNCTION("""COMPUTED_VALUE"""),46304.0)</f>
        <v>46304</v>
      </c>
      <c r="B366" s="19">
        <f>IFERROR(__xludf.DUMMYFUNCTION("""COMPUTED_VALUE"""),46318.0)</f>
        <v>46318</v>
      </c>
      <c r="C366" s="15">
        <f>IFERROR(__xludf.DUMMYFUNCTION("""COMPUTED_VALUE"""),9.0)</f>
        <v>9</v>
      </c>
      <c r="D366" s="15" t="str">
        <f>IFERROR(__xludf.DUMMYFUNCTION("""COMPUTED_VALUE"""),"SJA")</f>
        <v>SJA</v>
      </c>
      <c r="E366" s="15" t="str">
        <f>IFERROR(__xludf.DUMMYFUNCTION("""COMPUTED_VALUE"""),"GUILHERME DA ROSA KEMER")</f>
        <v>GUILHERME DA ROSA KEMER</v>
      </c>
      <c r="F366" s="15" t="str">
        <f>IFERROR(__xludf.DUMMYFUNCTION("""COMPUTED_VALUE"""),"TRIFIL")</f>
        <v>TRIFIL</v>
      </c>
      <c r="G366" s="15" t="str">
        <f>IFERROR(__xludf.DUMMYFUNCTION("""COMPUTED_VALUE"""),"266803618")</f>
        <v>266803618</v>
      </c>
      <c r="H366" s="15" t="str">
        <f>IFERROR(__xludf.DUMMYFUNCTION("""COMPUTED_VALUE"""),"1305963")</f>
        <v>1305963</v>
      </c>
      <c r="I366" s="15" t="str">
        <f>IFERROR(__xludf.DUMMYFUNCTION("""COMPUTED_VALUE"""),"8176763")</f>
        <v>8176763</v>
      </c>
      <c r="J366" s="15" t="str">
        <f>IFERROR(__xludf.DUMMYFUNCTION("""COMPUTED_VALUE"""),"CIF")</f>
        <v>CIF</v>
      </c>
      <c r="K366" s="15" t="str">
        <f>IFERROR(__xludf.DUMMYFUNCTION("""COMPUTED_VALUE"""),"FSA-1")</f>
        <v>FSA-1</v>
      </c>
      <c r="L366" s="15" t="str">
        <f>IFERROR(__xludf.DUMMYFUNCTION("""COMPUTED_VALUE"""),"AUTORIZADO")</f>
        <v>AUTORIZADO</v>
      </c>
      <c r="M366" s="15" t="str">
        <f>IFERROR(__xludf.DUMMYFUNCTION("""COMPUTED_VALUE"""),"NA ORIGEM")</f>
        <v>NA ORIGEM</v>
      </c>
      <c r="N366" s="15" t="str">
        <f>IFERROR(__xludf.DUMMYFUNCTION("""COMPUTED_VALUE"""),"Antes Prazo")</f>
        <v>Antes Prazo</v>
      </c>
      <c r="O366" s="15" t="str">
        <f>IFERROR(__xludf.DUMMYFUNCTION("""COMPUTED_VALUE"""),"B2B")</f>
        <v>B2B</v>
      </c>
      <c r="P366" s="16">
        <f>IFERROR(__xludf.DUMMYFUNCTION("""COMPUTED_VALUE"""),60.93)</f>
        <v>60.93</v>
      </c>
      <c r="Q366" s="15">
        <f>IFERROR(__xludf.DUMMYFUNCTION("""COMPUTED_VALUE"""),2.0)</f>
        <v>2</v>
      </c>
      <c r="R366" s="15" t="str">
        <f>IFERROR(__xludf.DUMMYFUNCTION("""COMPUTED_VALUE"""),"RODO")</f>
        <v>RODO</v>
      </c>
      <c r="S366" s="15" t="str">
        <f>IFERROR(__xludf.DUMMYFUNCTION("""COMPUTED_VALUE"""),"ITN")</f>
        <v>ITN</v>
      </c>
      <c r="T366" s="15" t="str">
        <f>IFERROR(__xludf.DUMMYFUNCTION("""COMPUTED_VALUE"""),"5")</f>
        <v>5</v>
      </c>
      <c r="U366" s="15" t="str">
        <f>IFERROR(__xludf.DUMMYFUNCTION("""COMPUTED_VALUE"""),"266803618 1305963 8176763 guilherme da rosa kemer trifil sja 5")</f>
        <v>266803618 1305963 8176763 guilherme da rosa kemer trifil sja 5</v>
      </c>
      <c r="V366" s="15" t="b">
        <f>IFERROR(__xludf.DUMMYFUNCTION("""COMPUTED_VALUE"""),FALSE)</f>
        <v>0</v>
      </c>
    </row>
    <row r="367">
      <c r="A367" s="19">
        <f>IFERROR(__xludf.DUMMYFUNCTION("""COMPUTED_VALUE"""),46304.0)</f>
        <v>46304</v>
      </c>
      <c r="B367" s="19">
        <f>IFERROR(__xludf.DUMMYFUNCTION("""COMPUTED_VALUE"""),46318.0)</f>
        <v>46318</v>
      </c>
      <c r="C367" s="15">
        <f>IFERROR(__xludf.DUMMYFUNCTION("""COMPUTED_VALUE"""),9.0)</f>
        <v>9</v>
      </c>
      <c r="D367" s="15" t="str">
        <f>IFERROR(__xludf.DUMMYFUNCTION("""COMPUTED_VALUE"""),"XAP")</f>
        <v>XAP</v>
      </c>
      <c r="E367" s="15" t="str">
        <f>IFERROR(__xludf.DUMMYFUNCTION("""COMPUTED_VALUE"""),"FLS COMERCIO DE ARTIGOS DO VESTUARIO LTD")</f>
        <v>FLS COMERCIO DE ARTIGOS DO VESTUARIO LTD</v>
      </c>
      <c r="F367" s="15" t="str">
        <f>IFERROR(__xludf.DUMMYFUNCTION("""COMPUTED_VALUE"""),"TRIFIL")</f>
        <v>TRIFIL</v>
      </c>
      <c r="G367" s="15" t="str">
        <f>IFERROR(__xludf.DUMMYFUNCTION("""COMPUTED_VALUE"""),"266803619")</f>
        <v>266803619</v>
      </c>
      <c r="H367" s="15" t="str">
        <f>IFERROR(__xludf.DUMMYFUNCTION("""COMPUTED_VALUE"""),"1305763")</f>
        <v>1305763</v>
      </c>
      <c r="I367" s="15" t="str">
        <f>IFERROR(__xludf.DUMMYFUNCTION("""COMPUTED_VALUE"""),"8176727")</f>
        <v>8176727</v>
      </c>
      <c r="J367" s="15" t="str">
        <f>IFERROR(__xludf.DUMMYFUNCTION("""COMPUTED_VALUE"""),"CIF")</f>
        <v>CIF</v>
      </c>
      <c r="K367" s="15" t="str">
        <f>IFERROR(__xludf.DUMMYFUNCTION("""COMPUTED_VALUE"""),"FSA-1")</f>
        <v>FSA-1</v>
      </c>
      <c r="L367" s="15" t="str">
        <f>IFERROR(__xludf.DUMMYFUNCTION("""COMPUTED_VALUE"""),"AUTORIZADO")</f>
        <v>AUTORIZADO</v>
      </c>
      <c r="M367" s="15" t="str">
        <f>IFERROR(__xludf.DUMMYFUNCTION("""COMPUTED_VALUE"""),"NA ORIGEM")</f>
        <v>NA ORIGEM</v>
      </c>
      <c r="N367" s="15" t="str">
        <f>IFERROR(__xludf.DUMMYFUNCTION("""COMPUTED_VALUE"""),"Antes Prazo")</f>
        <v>Antes Prazo</v>
      </c>
      <c r="O367" s="15" t="str">
        <f>IFERROR(__xludf.DUMMYFUNCTION("""COMPUTED_VALUE"""),"B2B")</f>
        <v>B2B</v>
      </c>
      <c r="P367" s="16">
        <f>IFERROR(__xludf.DUMMYFUNCTION("""COMPUTED_VALUE"""),54.19)</f>
        <v>54.19</v>
      </c>
      <c r="Q367" s="15">
        <f>IFERROR(__xludf.DUMMYFUNCTION("""COMPUTED_VALUE"""),4.0)</f>
        <v>4</v>
      </c>
      <c r="R367" s="15" t="str">
        <f>IFERROR(__xludf.DUMMYFUNCTION("""COMPUTED_VALUE"""),"RODO")</f>
        <v>RODO</v>
      </c>
      <c r="S367" s="15" t="str">
        <f>IFERROR(__xludf.DUMMYFUNCTION("""COMPUTED_VALUE"""),"ITN")</f>
        <v>ITN</v>
      </c>
      <c r="T367" s="15" t="str">
        <f>IFERROR(__xludf.DUMMYFUNCTION("""COMPUTED_VALUE"""),"2")</f>
        <v>2</v>
      </c>
      <c r="U367" s="15" t="str">
        <f>IFERROR(__xludf.DUMMYFUNCTION("""COMPUTED_VALUE"""),"266803619 1305763 8176727 fls comercio de artigos do vestuario ltd trifil xap 2")</f>
        <v>266803619 1305763 8176727 fls comercio de artigos do vestuario ltd trifil xap 2</v>
      </c>
      <c r="V367" s="15" t="b">
        <f>IFERROR(__xludf.DUMMYFUNCTION("""COMPUTED_VALUE"""),FALSE)</f>
        <v>0</v>
      </c>
    </row>
    <row r="368">
      <c r="A368" s="19">
        <f>IFERROR(__xludf.DUMMYFUNCTION("""COMPUTED_VALUE"""),46304.0)</f>
        <v>46304</v>
      </c>
      <c r="B368" s="19">
        <f>IFERROR(__xludf.DUMMYFUNCTION("""COMPUTED_VALUE"""),46317.0)</f>
        <v>46317</v>
      </c>
      <c r="C368" s="15">
        <f>IFERROR(__xludf.DUMMYFUNCTION("""COMPUTED_VALUE"""),8.0)</f>
        <v>8</v>
      </c>
      <c r="D368" s="15" t="str">
        <f>IFERROR(__xludf.DUMMYFUNCTION("""COMPUTED_VALUE"""),"POA")</f>
        <v>POA</v>
      </c>
      <c r="E368" s="15" t="str">
        <f>IFERROR(__xludf.DUMMYFUNCTION("""COMPUTED_VALUE"""),"LUPO PRAIA DE BELAS")</f>
        <v>LUPO PRAIA DE BELAS</v>
      </c>
      <c r="F368" s="15" t="str">
        <f>IFERROR(__xludf.DUMMYFUNCTION("""COMPUTED_VALUE"""),"TRIFIL")</f>
        <v>TRIFIL</v>
      </c>
      <c r="G368" s="15" t="str">
        <f>IFERROR(__xludf.DUMMYFUNCTION("""COMPUTED_VALUE"""),"266803620")</f>
        <v>266803620</v>
      </c>
      <c r="H368" s="15" t="str">
        <f>IFERROR(__xludf.DUMMYFUNCTION("""COMPUTED_VALUE"""),"1305820")</f>
        <v>1305820</v>
      </c>
      <c r="I368" s="15" t="str">
        <f>IFERROR(__xludf.DUMMYFUNCTION("""COMPUTED_VALUE"""),"8176728")</f>
        <v>8176728</v>
      </c>
      <c r="J368" s="15" t="str">
        <f>IFERROR(__xludf.DUMMYFUNCTION("""COMPUTED_VALUE"""),"CIF")</f>
        <v>CIF</v>
      </c>
      <c r="K368" s="15" t="str">
        <f>IFERROR(__xludf.DUMMYFUNCTION("""COMPUTED_VALUE"""),"FSA-1")</f>
        <v>FSA-1</v>
      </c>
      <c r="L368" s="15" t="str">
        <f>IFERROR(__xludf.DUMMYFUNCTION("""COMPUTED_VALUE"""),"AUTORIZADO")</f>
        <v>AUTORIZADO</v>
      </c>
      <c r="M368" s="15" t="str">
        <f>IFERROR(__xludf.DUMMYFUNCTION("""COMPUTED_VALUE"""),"NA ORIGEM")</f>
        <v>NA ORIGEM</v>
      </c>
      <c r="N368" s="15" t="str">
        <f>IFERROR(__xludf.DUMMYFUNCTION("""COMPUTED_VALUE"""),"Antes Prazo")</f>
        <v>Antes Prazo</v>
      </c>
      <c r="O368" s="15" t="str">
        <f>IFERROR(__xludf.DUMMYFUNCTION("""COMPUTED_VALUE"""),"B2B")</f>
        <v>B2B</v>
      </c>
      <c r="P368" s="16">
        <f>IFERROR(__xludf.DUMMYFUNCTION("""COMPUTED_VALUE"""),60.04)</f>
        <v>60.04</v>
      </c>
      <c r="Q368" s="15">
        <f>IFERROR(__xludf.DUMMYFUNCTION("""COMPUTED_VALUE"""),2.0)</f>
        <v>2</v>
      </c>
      <c r="R368" s="15" t="str">
        <f>IFERROR(__xludf.DUMMYFUNCTION("""COMPUTED_VALUE"""),"RODO")</f>
        <v>RODO</v>
      </c>
      <c r="S368" s="15" t="str">
        <f>IFERROR(__xludf.DUMMYFUNCTION("""COMPUTED_VALUE"""),"ITN")</f>
        <v>ITN</v>
      </c>
      <c r="T368" s="15" t="str">
        <f>IFERROR(__xludf.DUMMYFUNCTION("""COMPUTED_VALUE"""),"22")</f>
        <v>22</v>
      </c>
      <c r="U368" s="15" t="str">
        <f>IFERROR(__xludf.DUMMYFUNCTION("""COMPUTED_VALUE"""),"266803620 1305820 8176728 lupo praia de belas trifil poa 22")</f>
        <v>266803620 1305820 8176728 lupo praia de belas trifil poa 22</v>
      </c>
      <c r="V368" s="15" t="b">
        <f>IFERROR(__xludf.DUMMYFUNCTION("""COMPUTED_VALUE"""),FALSE)</f>
        <v>0</v>
      </c>
    </row>
    <row r="369">
      <c r="A369" s="19">
        <f>IFERROR(__xludf.DUMMYFUNCTION("""COMPUTED_VALUE"""),46304.0)</f>
        <v>46304</v>
      </c>
      <c r="B369" s="19">
        <f>IFERROR(__xludf.DUMMYFUNCTION("""COMPUTED_VALUE"""),46317.0)</f>
        <v>46317</v>
      </c>
      <c r="C369" s="15">
        <f>IFERROR(__xludf.DUMMYFUNCTION("""COMPUTED_VALUE"""),8.0)</f>
        <v>8</v>
      </c>
      <c r="D369" s="15" t="str">
        <f>IFERROR(__xludf.DUMMYFUNCTION("""COMPUTED_VALUE"""),"POA")</f>
        <v>POA</v>
      </c>
      <c r="E369" s="15" t="str">
        <f>IFERROR(__xludf.DUMMYFUNCTION("""COMPUTED_VALUE"""),"LUPO BARRA SHOPPING")</f>
        <v>LUPO BARRA SHOPPING</v>
      </c>
      <c r="F369" s="15" t="str">
        <f>IFERROR(__xludf.DUMMYFUNCTION("""COMPUTED_VALUE"""),"TRIFIL")</f>
        <v>TRIFIL</v>
      </c>
      <c r="G369" s="15" t="str">
        <f>IFERROR(__xludf.DUMMYFUNCTION("""COMPUTED_VALUE"""),"266803622")</f>
        <v>266803622</v>
      </c>
      <c r="H369" s="15" t="str">
        <f>IFERROR(__xludf.DUMMYFUNCTION("""COMPUTED_VALUE"""),"1304920")</f>
        <v>1304920</v>
      </c>
      <c r="I369" s="15" t="str">
        <f>IFERROR(__xludf.DUMMYFUNCTION("""COMPUTED_VALUE"""),"8177064")</f>
        <v>8177064</v>
      </c>
      <c r="J369" s="15" t="str">
        <f>IFERROR(__xludf.DUMMYFUNCTION("""COMPUTED_VALUE"""),"CIF")</f>
        <v>CIF</v>
      </c>
      <c r="K369" s="15" t="str">
        <f>IFERROR(__xludf.DUMMYFUNCTION("""COMPUTED_VALUE"""),"FSA-1")</f>
        <v>FSA-1</v>
      </c>
      <c r="L369" s="15" t="str">
        <f>IFERROR(__xludf.DUMMYFUNCTION("""COMPUTED_VALUE"""),"AUTORIZADO")</f>
        <v>AUTORIZADO</v>
      </c>
      <c r="M369" s="15" t="str">
        <f>IFERROR(__xludf.DUMMYFUNCTION("""COMPUTED_VALUE"""),"NA ORIGEM")</f>
        <v>NA ORIGEM</v>
      </c>
      <c r="N369" s="15" t="str">
        <f>IFERROR(__xludf.DUMMYFUNCTION("""COMPUTED_VALUE"""),"Antes Prazo")</f>
        <v>Antes Prazo</v>
      </c>
      <c r="O369" s="15" t="str">
        <f>IFERROR(__xludf.DUMMYFUNCTION("""COMPUTED_VALUE"""),"B2B")</f>
        <v>B2B</v>
      </c>
      <c r="P369" s="16">
        <f>IFERROR(__xludf.DUMMYFUNCTION("""COMPUTED_VALUE"""),60.04)</f>
        <v>60.04</v>
      </c>
      <c r="Q369" s="15">
        <f>IFERROR(__xludf.DUMMYFUNCTION("""COMPUTED_VALUE"""),1.0)</f>
        <v>1</v>
      </c>
      <c r="R369" s="15" t="str">
        <f>IFERROR(__xludf.DUMMYFUNCTION("""COMPUTED_VALUE"""),"RODO")</f>
        <v>RODO</v>
      </c>
      <c r="S369" s="15" t="str">
        <f>IFERROR(__xludf.DUMMYFUNCTION("""COMPUTED_VALUE"""),"ITN")</f>
        <v>ITN</v>
      </c>
      <c r="T369" s="15" t="str">
        <f>IFERROR(__xludf.DUMMYFUNCTION("""COMPUTED_VALUE"""),"81")</f>
        <v>81</v>
      </c>
      <c r="U369" s="15" t="str">
        <f>IFERROR(__xludf.DUMMYFUNCTION("""COMPUTED_VALUE"""),"266803622 1304920 8177064 lupo barra shopping trifil poa 81")</f>
        <v>266803622 1304920 8177064 lupo barra shopping trifil poa 81</v>
      </c>
      <c r="V369" s="15" t="b">
        <f>IFERROR(__xludf.DUMMYFUNCTION("""COMPUTED_VALUE"""),FALSE)</f>
        <v>0</v>
      </c>
    </row>
    <row r="370">
      <c r="A370" s="19">
        <f>IFERROR(__xludf.DUMMYFUNCTION("""COMPUTED_VALUE"""),46304.0)</f>
        <v>46304</v>
      </c>
      <c r="B370" s="19">
        <f>IFERROR(__xludf.DUMMYFUNCTION("""COMPUTED_VALUE"""),46317.0)</f>
        <v>46317</v>
      </c>
      <c r="C370" s="15">
        <f>IFERROR(__xludf.DUMMYFUNCTION("""COMPUTED_VALUE"""),8.0)</f>
        <v>8</v>
      </c>
      <c r="D370" s="15" t="str">
        <f>IFERROR(__xludf.DUMMYFUNCTION("""COMPUTED_VALUE"""),"POA")</f>
        <v>POA</v>
      </c>
      <c r="E370" s="15" t="str">
        <f>IFERROR(__xludf.DUMMYFUNCTION("""COMPUTED_VALUE"""),"VELLYKKET COMERCIO DE VESTUARIO")</f>
        <v>VELLYKKET COMERCIO DE VESTUARIO</v>
      </c>
      <c r="F370" s="15" t="str">
        <f>IFERROR(__xludf.DUMMYFUNCTION("""COMPUTED_VALUE"""),"TRIFIL")</f>
        <v>TRIFIL</v>
      </c>
      <c r="G370" s="15" t="str">
        <f>IFERROR(__xludf.DUMMYFUNCTION("""COMPUTED_VALUE"""),"266803623")</f>
        <v>266803623</v>
      </c>
      <c r="H370" s="15" t="str">
        <f>IFERROR(__xludf.DUMMYFUNCTION("""COMPUTED_VALUE"""),"1305918")</f>
        <v>1305918</v>
      </c>
      <c r="I370" s="15" t="str">
        <f>IFERROR(__xludf.DUMMYFUNCTION("""COMPUTED_VALUE"""),"8176955")</f>
        <v>8176955</v>
      </c>
      <c r="J370" s="15" t="str">
        <f>IFERROR(__xludf.DUMMYFUNCTION("""COMPUTED_VALUE"""),"CIF")</f>
        <v>CIF</v>
      </c>
      <c r="K370" s="15" t="str">
        <f>IFERROR(__xludf.DUMMYFUNCTION("""COMPUTED_VALUE"""),"FSA-1")</f>
        <v>FSA-1</v>
      </c>
      <c r="L370" s="15" t="str">
        <f>IFERROR(__xludf.DUMMYFUNCTION("""COMPUTED_VALUE"""),"AUTORIZADO")</f>
        <v>AUTORIZADO</v>
      </c>
      <c r="M370" s="15" t="str">
        <f>IFERROR(__xludf.DUMMYFUNCTION("""COMPUTED_VALUE"""),"NA ORIGEM")</f>
        <v>NA ORIGEM</v>
      </c>
      <c r="N370" s="15" t="str">
        <f>IFERROR(__xludf.DUMMYFUNCTION("""COMPUTED_VALUE"""),"Antes Prazo")</f>
        <v>Antes Prazo</v>
      </c>
      <c r="O370" s="15" t="str">
        <f>IFERROR(__xludf.DUMMYFUNCTION("""COMPUTED_VALUE"""),"B2B")</f>
        <v>B2B</v>
      </c>
      <c r="P370" s="16">
        <f>IFERROR(__xludf.DUMMYFUNCTION("""COMPUTED_VALUE"""),115.68)</f>
        <v>115.68</v>
      </c>
      <c r="Q370" s="15">
        <f>IFERROR(__xludf.DUMMYFUNCTION("""COMPUTED_VALUE"""),13.0)</f>
        <v>13</v>
      </c>
      <c r="R370" s="15" t="str">
        <f>IFERROR(__xludf.DUMMYFUNCTION("""COMPUTED_VALUE"""),"RODO")</f>
        <v>RODO</v>
      </c>
      <c r="S370" s="15" t="str">
        <f>IFERROR(__xludf.DUMMYFUNCTION("""COMPUTED_VALUE"""),"ITN")</f>
        <v>ITN</v>
      </c>
      <c r="T370" s="15" t="str">
        <f>IFERROR(__xludf.DUMMYFUNCTION("""COMPUTED_VALUE"""),"81")</f>
        <v>81</v>
      </c>
      <c r="U370" s="15" t="str">
        <f>IFERROR(__xludf.DUMMYFUNCTION("""COMPUTED_VALUE"""),"266803623 1305918 8176955 vellykket comercio de vestuario trifil poa 81")</f>
        <v>266803623 1305918 8176955 vellykket comercio de vestuario trifil poa 81</v>
      </c>
      <c r="V370" s="15" t="b">
        <f>IFERROR(__xludf.DUMMYFUNCTION("""COMPUTED_VALUE"""),FALSE)</f>
        <v>0</v>
      </c>
    </row>
    <row r="371">
      <c r="A371" s="19">
        <f>IFERROR(__xludf.DUMMYFUNCTION("""COMPUTED_VALUE"""),46304.0)</f>
        <v>46304</v>
      </c>
      <c r="B371" s="19">
        <f>IFERROR(__xludf.DUMMYFUNCTION("""COMPUTED_VALUE"""),46316.0)</f>
        <v>46316</v>
      </c>
      <c r="C371" s="15">
        <f>IFERROR(__xludf.DUMMYFUNCTION("""COMPUTED_VALUE"""),7.0)</f>
        <v>7</v>
      </c>
      <c r="D371" s="15" t="str">
        <f>IFERROR(__xludf.DUMMYFUNCTION("""COMPUTED_VALUE"""),"ABS")</f>
        <v>ABS</v>
      </c>
      <c r="E371" s="15" t="str">
        <f>IFERROR(__xludf.DUMMYFUNCTION("""COMPUTED_VALUE"""),"CASA DE MEIA LTDA-EPP")</f>
        <v>CASA DE MEIA LTDA-EPP</v>
      </c>
      <c r="F371" s="15" t="str">
        <f>IFERROR(__xludf.DUMMYFUNCTION("""COMPUTED_VALUE"""),"TRIFIL")</f>
        <v>TRIFIL</v>
      </c>
      <c r="G371" s="15" t="str">
        <f>IFERROR(__xludf.DUMMYFUNCTION("""COMPUTED_VALUE"""),"266803624")</f>
        <v>266803624</v>
      </c>
      <c r="H371" s="15" t="str">
        <f>IFERROR(__xludf.DUMMYFUNCTION("""COMPUTED_VALUE"""),"1305718, 1305942")</f>
        <v>1305718, 1305942</v>
      </c>
      <c r="I371" s="15" t="str">
        <f>IFERROR(__xludf.DUMMYFUNCTION("""COMPUTED_VALUE"""),"8176794")</f>
        <v>8176794</v>
      </c>
      <c r="J371" s="15" t="str">
        <f>IFERROR(__xludf.DUMMYFUNCTION("""COMPUTED_VALUE"""),"CIF")</f>
        <v>CIF</v>
      </c>
      <c r="K371" s="15" t="str">
        <f>IFERROR(__xludf.DUMMYFUNCTION("""COMPUTED_VALUE"""),"SAO-1")</f>
        <v>SAO-1</v>
      </c>
      <c r="L371" s="15" t="str">
        <f>IFERROR(__xludf.DUMMYFUNCTION("""COMPUTED_VALUE"""),"AUTORIZADO")</f>
        <v>AUTORIZADO</v>
      </c>
      <c r="M371" s="15" t="str">
        <f>IFERROR(__xludf.DUMMYFUNCTION("""COMPUTED_VALUE"""),"NA ORIGEM")</f>
        <v>NA ORIGEM</v>
      </c>
      <c r="N371" s="15" t="str">
        <f>IFERROR(__xludf.DUMMYFUNCTION("""COMPUTED_VALUE"""),"Antes Prazo")</f>
        <v>Antes Prazo</v>
      </c>
      <c r="O371" s="15" t="str">
        <f>IFERROR(__xludf.DUMMYFUNCTION("""COMPUTED_VALUE"""),"B2B")</f>
        <v>B2B</v>
      </c>
      <c r="P371" s="16">
        <f>IFERROR(__xludf.DUMMYFUNCTION("""COMPUTED_VALUE"""),45.49)</f>
        <v>45.49</v>
      </c>
      <c r="Q371" s="15">
        <f>IFERROR(__xludf.DUMMYFUNCTION("""COMPUTED_VALUE"""),2.0)</f>
        <v>2</v>
      </c>
      <c r="R371" s="15" t="str">
        <f>IFERROR(__xludf.DUMMYFUNCTION("""COMPUTED_VALUE"""),"RODO")</f>
        <v>RODO</v>
      </c>
      <c r="S371" s="15" t="str">
        <f>IFERROR(__xludf.DUMMYFUNCTION("""COMPUTED_VALUE"""),"ITN")</f>
        <v>ITN</v>
      </c>
      <c r="T371" s="15" t="str">
        <f>IFERROR(__xludf.DUMMYFUNCTION("""COMPUTED_VALUE"""),"912")</f>
        <v>912</v>
      </c>
      <c r="U371" s="15" t="str">
        <f>IFERROR(__xludf.DUMMYFUNCTION("""COMPUTED_VALUE"""),"266803624 1305718, 1305942 8176794 casa de meia ltda-epp trifil abs 912")</f>
        <v>266803624 1305718, 1305942 8176794 casa de meia ltda-epp trifil abs 912</v>
      </c>
      <c r="V371" s="15" t="b">
        <f>IFERROR(__xludf.DUMMYFUNCTION("""COMPUTED_VALUE"""),FALSE)</f>
        <v>0</v>
      </c>
    </row>
    <row r="372">
      <c r="A372" s="19">
        <f>IFERROR(__xludf.DUMMYFUNCTION("""COMPUTED_VALUE"""),46304.0)</f>
        <v>46304</v>
      </c>
      <c r="B372" s="19">
        <f>IFERROR(__xludf.DUMMYFUNCTION("""COMPUTED_VALUE"""),46317.0)</f>
        <v>46317</v>
      </c>
      <c r="C372" s="15">
        <f>IFERROR(__xludf.DUMMYFUNCTION("""COMPUTED_VALUE"""),8.0)</f>
        <v>8</v>
      </c>
      <c r="D372" s="15" t="str">
        <f>IFERROR(__xludf.DUMMYFUNCTION("""COMPUTED_VALUE"""),"POA")</f>
        <v>POA</v>
      </c>
      <c r="E372" s="15" t="str">
        <f>IFERROR(__xludf.DUMMYFUNCTION("""COMPUTED_VALUE"""),"L Sport Poa Comercio Do Vestuario LTDA E")</f>
        <v>L Sport Poa Comercio Do Vestuario LTDA E</v>
      </c>
      <c r="F372" s="15" t="str">
        <f>IFERROR(__xludf.DUMMYFUNCTION("""COMPUTED_VALUE"""),"TRIFIL")</f>
        <v>TRIFIL</v>
      </c>
      <c r="G372" s="15" t="str">
        <f>IFERROR(__xludf.DUMMYFUNCTION("""COMPUTED_VALUE"""),"266803625")</f>
        <v>266803625</v>
      </c>
      <c r="H372" s="15" t="str">
        <f>IFERROR(__xludf.DUMMYFUNCTION("""COMPUTED_VALUE"""),"1305410")</f>
        <v>1305410</v>
      </c>
      <c r="I372" s="15" t="str">
        <f>IFERROR(__xludf.DUMMYFUNCTION("""COMPUTED_VALUE"""),"8176923")</f>
        <v>8176923</v>
      </c>
      <c r="J372" s="15" t="str">
        <f>IFERROR(__xludf.DUMMYFUNCTION("""COMPUTED_VALUE"""),"CIF")</f>
        <v>CIF</v>
      </c>
      <c r="K372" s="15" t="str">
        <f>IFERROR(__xludf.DUMMYFUNCTION("""COMPUTED_VALUE"""),"FSA-1")</f>
        <v>FSA-1</v>
      </c>
      <c r="L372" s="15" t="str">
        <f>IFERROR(__xludf.DUMMYFUNCTION("""COMPUTED_VALUE"""),"AUTORIZADO")</f>
        <v>AUTORIZADO</v>
      </c>
      <c r="M372" s="15" t="str">
        <f>IFERROR(__xludf.DUMMYFUNCTION("""COMPUTED_VALUE"""),"NA ORIGEM")</f>
        <v>NA ORIGEM</v>
      </c>
      <c r="N372" s="15" t="str">
        <f>IFERROR(__xludf.DUMMYFUNCTION("""COMPUTED_VALUE"""),"Antes Prazo")</f>
        <v>Antes Prazo</v>
      </c>
      <c r="O372" s="15" t="str">
        <f>IFERROR(__xludf.DUMMYFUNCTION("""COMPUTED_VALUE"""),"B2B")</f>
        <v>B2B</v>
      </c>
      <c r="P372" s="16">
        <f>IFERROR(__xludf.DUMMYFUNCTION("""COMPUTED_VALUE"""),60.04)</f>
        <v>60.04</v>
      </c>
      <c r="Q372" s="15">
        <f>IFERROR(__xludf.DUMMYFUNCTION("""COMPUTED_VALUE"""),1.0)</f>
        <v>1</v>
      </c>
      <c r="R372" s="15" t="str">
        <f>IFERROR(__xludf.DUMMYFUNCTION("""COMPUTED_VALUE"""),"RODO")</f>
        <v>RODO</v>
      </c>
      <c r="S372" s="15" t="str">
        <f>IFERROR(__xludf.DUMMYFUNCTION("""COMPUTED_VALUE"""),"ITN")</f>
        <v>ITN</v>
      </c>
      <c r="T372" s="15" t="str">
        <f>IFERROR(__xludf.DUMMYFUNCTION("""COMPUTED_VALUE"""),"17")</f>
        <v>17</v>
      </c>
      <c r="U372" s="15" t="str">
        <f>IFERROR(__xludf.DUMMYFUNCTION("""COMPUTED_VALUE"""),"266803625 1305410 8176923 l sport poa comercio do vestuario ltda e trifil poa 17")</f>
        <v>266803625 1305410 8176923 l sport poa comercio do vestuario ltda e trifil poa 17</v>
      </c>
      <c r="V372" s="15" t="b">
        <f>IFERROR(__xludf.DUMMYFUNCTION("""COMPUTED_VALUE"""),FALSE)</f>
        <v>0</v>
      </c>
    </row>
    <row r="373">
      <c r="A373" s="19">
        <f>IFERROR(__xludf.DUMMYFUNCTION("""COMPUTED_VALUE"""),46304.0)</f>
        <v>46304</v>
      </c>
      <c r="B373" s="19">
        <f>IFERROR(__xludf.DUMMYFUNCTION("""COMPUTED_VALUE"""),46317.0)</f>
        <v>46317</v>
      </c>
      <c r="C373" s="15">
        <f>IFERROR(__xludf.DUMMYFUNCTION("""COMPUTED_VALUE"""),8.0)</f>
        <v>8</v>
      </c>
      <c r="D373" s="15" t="str">
        <f>IFERROR(__xludf.DUMMYFUNCTION("""COMPUTED_VALUE"""),"QHV")</f>
        <v>QHV</v>
      </c>
      <c r="E373" s="15" t="str">
        <f>IFERROR(__xludf.DUMMYFUNCTION("""COMPUTED_VALUE"""),"RIO FASHION")</f>
        <v>RIO FASHION</v>
      </c>
      <c r="F373" s="15" t="str">
        <f>IFERROR(__xludf.DUMMYFUNCTION("""COMPUTED_VALUE"""),"TRIFIL")</f>
        <v>TRIFIL</v>
      </c>
      <c r="G373" s="15" t="str">
        <f>IFERROR(__xludf.DUMMYFUNCTION("""COMPUTED_VALUE"""),"266803626")</f>
        <v>266803626</v>
      </c>
      <c r="H373" s="15" t="str">
        <f>IFERROR(__xludf.DUMMYFUNCTION("""COMPUTED_VALUE"""),"1305817")</f>
        <v>1305817</v>
      </c>
      <c r="I373" s="15" t="str">
        <f>IFERROR(__xludf.DUMMYFUNCTION("""COMPUTED_VALUE"""),"8176956")</f>
        <v>8176956</v>
      </c>
      <c r="J373" s="15" t="str">
        <f>IFERROR(__xludf.DUMMYFUNCTION("""COMPUTED_VALUE"""),"CIF")</f>
        <v>CIF</v>
      </c>
      <c r="K373" s="15" t="str">
        <f>IFERROR(__xludf.DUMMYFUNCTION("""COMPUTED_VALUE"""),"FSA-1")</f>
        <v>FSA-1</v>
      </c>
      <c r="L373" s="15" t="str">
        <f>IFERROR(__xludf.DUMMYFUNCTION("""COMPUTED_VALUE"""),"AUTORIZADO")</f>
        <v>AUTORIZADO</v>
      </c>
      <c r="M373" s="15" t="str">
        <f>IFERROR(__xludf.DUMMYFUNCTION("""COMPUTED_VALUE"""),"NA ORIGEM")</f>
        <v>NA ORIGEM</v>
      </c>
      <c r="N373" s="15" t="str">
        <f>IFERROR(__xludf.DUMMYFUNCTION("""COMPUTED_VALUE"""),"Antes Prazo")</f>
        <v>Antes Prazo</v>
      </c>
      <c r="O373" s="15" t="str">
        <f>IFERROR(__xludf.DUMMYFUNCTION("""COMPUTED_VALUE"""),"B2B")</f>
        <v>B2B</v>
      </c>
      <c r="P373" s="16">
        <f>IFERROR(__xludf.DUMMYFUNCTION("""COMPUTED_VALUE"""),60.04)</f>
        <v>60.04</v>
      </c>
      <c r="Q373" s="15">
        <f>IFERROR(__xludf.DUMMYFUNCTION("""COMPUTED_VALUE"""),2.0)</f>
        <v>2</v>
      </c>
      <c r="R373" s="15" t="str">
        <f>IFERROR(__xludf.DUMMYFUNCTION("""COMPUTED_VALUE"""),"RODO")</f>
        <v>RODO</v>
      </c>
      <c r="S373" s="15" t="str">
        <f>IFERROR(__xludf.DUMMYFUNCTION("""COMPUTED_VALUE"""),"ITN")</f>
        <v>ITN</v>
      </c>
      <c r="T373" s="15" t="str">
        <f>IFERROR(__xludf.DUMMYFUNCTION("""COMPUTED_VALUE"""),"114")</f>
        <v>114</v>
      </c>
      <c r="U373" s="15" t="str">
        <f>IFERROR(__xludf.DUMMYFUNCTION("""COMPUTED_VALUE"""),"266803626 1305817 8176956 rio fashion trifil qhv 114")</f>
        <v>266803626 1305817 8176956 rio fashion trifil qhv 114</v>
      </c>
      <c r="V373" s="15" t="b">
        <f>IFERROR(__xludf.DUMMYFUNCTION("""COMPUTED_VALUE"""),FALSE)</f>
        <v>0</v>
      </c>
    </row>
    <row r="374">
      <c r="A374" s="19">
        <f>IFERROR(__xludf.DUMMYFUNCTION("""COMPUTED_VALUE"""),46304.0)</f>
        <v>46304</v>
      </c>
      <c r="B374" s="19">
        <f>IFERROR(__xludf.DUMMYFUNCTION("""COMPUTED_VALUE"""),46323.0)</f>
        <v>46323</v>
      </c>
      <c r="C374" s="15">
        <f>IFERROR(__xludf.DUMMYFUNCTION("""COMPUTED_VALUE"""),12.0)</f>
        <v>12</v>
      </c>
      <c r="D374" s="15" t="str">
        <f>IFERROR(__xludf.DUMMYFUNCTION("""COMPUTED_VALUE"""),"QHV")</f>
        <v>QHV</v>
      </c>
      <c r="E374" s="15" t="str">
        <f>IFERROR(__xludf.DUMMYFUNCTION("""COMPUTED_VALUE"""),"HF CALCADOS E ACESSORIOS LTDA")</f>
        <v>HF CALCADOS E ACESSORIOS LTDA</v>
      </c>
      <c r="F374" s="15" t="str">
        <f>IFERROR(__xludf.DUMMYFUNCTION("""COMPUTED_VALUE"""),"TRIFIL")</f>
        <v>TRIFIL</v>
      </c>
      <c r="G374" s="15" t="str">
        <f>IFERROR(__xludf.DUMMYFUNCTION("""COMPUTED_VALUE"""),"266803627")</f>
        <v>266803627</v>
      </c>
      <c r="H374" s="15" t="str">
        <f>IFERROR(__xludf.DUMMYFUNCTION("""COMPUTED_VALUE"""),"1305449")</f>
        <v>1305449</v>
      </c>
      <c r="I374" s="15" t="str">
        <f>IFERROR(__xludf.DUMMYFUNCTION("""COMPUTED_VALUE"""),"8176924")</f>
        <v>8176924</v>
      </c>
      <c r="J374" s="15" t="str">
        <f>IFERROR(__xludf.DUMMYFUNCTION("""COMPUTED_VALUE"""),"CIF")</f>
        <v>CIF</v>
      </c>
      <c r="K374" s="15" t="str">
        <f>IFERROR(__xludf.DUMMYFUNCTION("""COMPUTED_VALUE"""),"SAO-1")</f>
        <v>SAO-1</v>
      </c>
      <c r="L374" s="15" t="str">
        <f>IFERROR(__xludf.DUMMYFUNCTION("""COMPUTED_VALUE"""),"AUTORIZADO")</f>
        <v>AUTORIZADO</v>
      </c>
      <c r="M374" s="15" t="str">
        <f>IFERROR(__xludf.DUMMYFUNCTION("""COMPUTED_VALUE"""),"NA ORIGEM")</f>
        <v>NA ORIGEM</v>
      </c>
      <c r="N374" s="15" t="str">
        <f>IFERROR(__xludf.DUMMYFUNCTION("""COMPUTED_VALUE"""),"Antes Prazo")</f>
        <v>Antes Prazo</v>
      </c>
      <c r="O374" s="15" t="str">
        <f>IFERROR(__xludf.DUMMYFUNCTION("""COMPUTED_VALUE"""),"B2B")</f>
        <v>B2B</v>
      </c>
      <c r="P374" s="16">
        <f>IFERROR(__xludf.DUMMYFUNCTION("""COMPUTED_VALUE"""),67.68)</f>
        <v>67.68</v>
      </c>
      <c r="Q374" s="15">
        <f>IFERROR(__xludf.DUMMYFUNCTION("""COMPUTED_VALUE"""),1.0)</f>
        <v>1</v>
      </c>
      <c r="R374" s="15" t="str">
        <f>IFERROR(__xludf.DUMMYFUNCTION("""COMPUTED_VALUE"""),"RODO")</f>
        <v>RODO</v>
      </c>
      <c r="S374" s="15" t="str">
        <f>IFERROR(__xludf.DUMMYFUNCTION("""COMPUTED_VALUE"""),"ITN")</f>
        <v>ITN</v>
      </c>
      <c r="T374" s="15" t="str">
        <f>IFERROR(__xludf.DUMMYFUNCTION("""COMPUTED_VALUE"""),"105")</f>
        <v>105</v>
      </c>
      <c r="U374" s="15" t="str">
        <f>IFERROR(__xludf.DUMMYFUNCTION("""COMPUTED_VALUE"""),"266803627 1305449 8176924 hf calcados e acessorios ltda trifil qhv 105")</f>
        <v>266803627 1305449 8176924 hf calcados e acessorios ltda trifil qhv 105</v>
      </c>
      <c r="V374" s="15" t="b">
        <f>IFERROR(__xludf.DUMMYFUNCTION("""COMPUTED_VALUE"""),FALSE)</f>
        <v>0</v>
      </c>
    </row>
    <row r="375">
      <c r="A375" s="19">
        <f>IFERROR(__xludf.DUMMYFUNCTION("""COMPUTED_VALUE"""),46304.0)</f>
        <v>46304</v>
      </c>
      <c r="B375" s="19">
        <f>IFERROR(__xludf.DUMMYFUNCTION("""COMPUTED_VALUE"""),46317.0)</f>
        <v>46317</v>
      </c>
      <c r="C375" s="15">
        <f>IFERROR(__xludf.DUMMYFUNCTION("""COMPUTED_VALUE"""),8.0)</f>
        <v>8</v>
      </c>
      <c r="D375" s="15" t="str">
        <f>IFERROR(__xludf.DUMMYFUNCTION("""COMPUTED_VALUE"""),"POA")</f>
        <v>POA</v>
      </c>
      <c r="E375" s="15" t="str">
        <f>IFERROR(__xludf.DUMMYFUNCTION("""COMPUTED_VALUE"""),"SELAVY")</f>
        <v>SELAVY</v>
      </c>
      <c r="F375" s="15" t="str">
        <f>IFERROR(__xludf.DUMMYFUNCTION("""COMPUTED_VALUE"""),"TRIFIL")</f>
        <v>TRIFIL</v>
      </c>
      <c r="G375" s="15" t="str">
        <f>IFERROR(__xludf.DUMMYFUNCTION("""COMPUTED_VALUE"""),"266803628")</f>
        <v>266803628</v>
      </c>
      <c r="H375" s="15" t="str">
        <f>IFERROR(__xludf.DUMMYFUNCTION("""COMPUTED_VALUE"""),"1305744")</f>
        <v>1305744</v>
      </c>
      <c r="I375" s="15" t="str">
        <f>IFERROR(__xludf.DUMMYFUNCTION("""COMPUTED_VALUE"""),"8177013")</f>
        <v>8177013</v>
      </c>
      <c r="J375" s="15" t="str">
        <f>IFERROR(__xludf.DUMMYFUNCTION("""COMPUTED_VALUE"""),"CIF")</f>
        <v>CIF</v>
      </c>
      <c r="K375" s="15" t="str">
        <f>IFERROR(__xludf.DUMMYFUNCTION("""COMPUTED_VALUE"""),"FSA-1")</f>
        <v>FSA-1</v>
      </c>
      <c r="L375" s="15" t="str">
        <f>IFERROR(__xludf.DUMMYFUNCTION("""COMPUTED_VALUE"""),"AUTORIZADO")</f>
        <v>AUTORIZADO</v>
      </c>
      <c r="M375" s="15" t="str">
        <f>IFERROR(__xludf.DUMMYFUNCTION("""COMPUTED_VALUE"""),"NA ORIGEM")</f>
        <v>NA ORIGEM</v>
      </c>
      <c r="N375" s="15" t="str">
        <f>IFERROR(__xludf.DUMMYFUNCTION("""COMPUTED_VALUE"""),"Antes Prazo")</f>
        <v>Antes Prazo</v>
      </c>
      <c r="O375" s="15" t="str">
        <f>IFERROR(__xludf.DUMMYFUNCTION("""COMPUTED_VALUE"""),"B2B")</f>
        <v>B2B</v>
      </c>
      <c r="P375" s="16">
        <f>IFERROR(__xludf.DUMMYFUNCTION("""COMPUTED_VALUE"""),60.04)</f>
        <v>60.04</v>
      </c>
      <c r="Q375" s="15">
        <f>IFERROR(__xludf.DUMMYFUNCTION("""COMPUTED_VALUE"""),1.0)</f>
        <v>1</v>
      </c>
      <c r="R375" s="15" t="str">
        <f>IFERROR(__xludf.DUMMYFUNCTION("""COMPUTED_VALUE"""),"RODO")</f>
        <v>RODO</v>
      </c>
      <c r="S375" s="15" t="str">
        <f>IFERROR(__xludf.DUMMYFUNCTION("""COMPUTED_VALUE"""),"ITN")</f>
        <v>ITN</v>
      </c>
      <c r="T375" s="15" t="str">
        <f>IFERROR(__xludf.DUMMYFUNCTION("""COMPUTED_VALUE"""),"15")</f>
        <v>15</v>
      </c>
      <c r="U375" s="15" t="str">
        <f>IFERROR(__xludf.DUMMYFUNCTION("""COMPUTED_VALUE"""),"266803628 1305744 8177013 selavy trifil poa 15")</f>
        <v>266803628 1305744 8177013 selavy trifil poa 15</v>
      </c>
      <c r="V375" s="15" t="b">
        <f>IFERROR(__xludf.DUMMYFUNCTION("""COMPUTED_VALUE"""),FALSE)</f>
        <v>0</v>
      </c>
    </row>
    <row r="376">
      <c r="A376" s="19">
        <f>IFERROR(__xludf.DUMMYFUNCTION("""COMPUTED_VALUE"""),46304.0)</f>
        <v>46304</v>
      </c>
      <c r="B376" s="19">
        <f>IFERROR(__xludf.DUMMYFUNCTION("""COMPUTED_VALUE"""),46316.0)</f>
        <v>46316</v>
      </c>
      <c r="C376" s="15">
        <f>IFERROR(__xludf.DUMMYFUNCTION("""COMPUTED_VALUE"""),7.0)</f>
        <v>7</v>
      </c>
      <c r="D376" s="15" t="str">
        <f>IFERROR(__xludf.DUMMYFUNCTION("""COMPUTED_VALUE"""),"ABS")</f>
        <v>ABS</v>
      </c>
      <c r="E376" s="15" t="str">
        <f>IFERROR(__xludf.DUMMYFUNCTION("""COMPUTED_VALUE"""),"67.958.948 ELIANA MORGADO")</f>
        <v>67.958.948 ELIANA MORGADO</v>
      </c>
      <c r="F376" s="15" t="str">
        <f>IFERROR(__xludf.DUMMYFUNCTION("""COMPUTED_VALUE"""),"TRIFIL")</f>
        <v>TRIFIL</v>
      </c>
      <c r="G376" s="15" t="str">
        <f>IFERROR(__xludf.DUMMYFUNCTION("""COMPUTED_VALUE"""),"266803629")</f>
        <v>266803629</v>
      </c>
      <c r="H376" s="15" t="str">
        <f>IFERROR(__xludf.DUMMYFUNCTION("""COMPUTED_VALUE"""),"1305205")</f>
        <v>1305205</v>
      </c>
      <c r="I376" s="15" t="str">
        <f>IFERROR(__xludf.DUMMYFUNCTION("""COMPUTED_VALUE"""),"8177053")</f>
        <v>8177053</v>
      </c>
      <c r="J376" s="15" t="str">
        <f>IFERROR(__xludf.DUMMYFUNCTION("""COMPUTED_VALUE"""),"CIF")</f>
        <v>CIF</v>
      </c>
      <c r="K376" s="15" t="str">
        <f>IFERROR(__xludf.DUMMYFUNCTION("""COMPUTED_VALUE"""),"(sem célula)")</f>
        <v>(sem célula)</v>
      </c>
      <c r="L376" s="15" t="str">
        <f>IFERROR(__xludf.DUMMYFUNCTION("""COMPUTED_VALUE"""),"AUTORIZADO")</f>
        <v>AUTORIZADO</v>
      </c>
      <c r="M376" s="15" t="str">
        <f>IFERROR(__xludf.DUMMYFUNCTION("""COMPUTED_VALUE"""),"NA ORIGEM")</f>
        <v>NA ORIGEM</v>
      </c>
      <c r="N376" s="15" t="str">
        <f>IFERROR(__xludf.DUMMYFUNCTION("""COMPUTED_VALUE"""),"Antes Prazo")</f>
        <v>Antes Prazo</v>
      </c>
      <c r="O376" s="15" t="str">
        <f>IFERROR(__xludf.DUMMYFUNCTION("""COMPUTED_VALUE"""),"B2B")</f>
        <v>B2B</v>
      </c>
      <c r="P376" s="16">
        <f>IFERROR(__xludf.DUMMYFUNCTION("""COMPUTED_VALUE"""),45.49)</f>
        <v>45.49</v>
      </c>
      <c r="Q376" s="15">
        <f>IFERROR(__xludf.DUMMYFUNCTION("""COMPUTED_VALUE"""),1.0)</f>
        <v>1</v>
      </c>
      <c r="R376" s="15" t="str">
        <f>IFERROR(__xludf.DUMMYFUNCTION("""COMPUTED_VALUE"""),"RODO")</f>
        <v>RODO</v>
      </c>
      <c r="S376" s="15" t="str">
        <f>IFERROR(__xludf.DUMMYFUNCTION("""COMPUTED_VALUE"""),"ITN")</f>
        <v>ITN</v>
      </c>
      <c r="T376" s="15" t="str">
        <f>IFERROR(__xludf.DUMMYFUNCTION("""COMPUTED_VALUE"""),"941")</f>
        <v>941</v>
      </c>
      <c r="U376" s="15" t="str">
        <f>IFERROR(__xludf.DUMMYFUNCTION("""COMPUTED_VALUE"""),"266803629 1305205 8177053 67.958.948 eliana morgado trifil abs 941")</f>
        <v>266803629 1305205 8177053 67.958.948 eliana morgado trifil abs 941</v>
      </c>
      <c r="V376" s="15" t="b">
        <f>IFERROR(__xludf.DUMMYFUNCTION("""COMPUTED_VALUE"""),FALSE)</f>
        <v>0</v>
      </c>
    </row>
    <row r="377">
      <c r="A377" s="19">
        <f>IFERROR(__xludf.DUMMYFUNCTION("""COMPUTED_VALUE"""),46304.0)</f>
        <v>46304</v>
      </c>
      <c r="B377" s="19">
        <f>IFERROR(__xludf.DUMMYFUNCTION("""COMPUTED_VALUE"""),46318.0)</f>
        <v>46318</v>
      </c>
      <c r="C377" s="15">
        <f>IFERROR(__xludf.DUMMYFUNCTION("""COMPUTED_VALUE"""),9.0)</f>
        <v>9</v>
      </c>
      <c r="D377" s="15" t="str">
        <f>IFERROR(__xludf.DUMMYFUNCTION("""COMPUTED_VALUE"""),"POA")</f>
        <v>POA</v>
      </c>
      <c r="E377" s="15" t="str">
        <f>IFERROR(__xludf.DUMMYFUNCTION("""COMPUTED_VALUE"""),"LUPO CACHOEIRINHA")</f>
        <v>LUPO CACHOEIRINHA</v>
      </c>
      <c r="F377" s="15" t="str">
        <f>IFERROR(__xludf.DUMMYFUNCTION("""COMPUTED_VALUE"""),"TRIFIL")</f>
        <v>TRIFIL</v>
      </c>
      <c r="G377" s="15" t="str">
        <f>IFERROR(__xludf.DUMMYFUNCTION("""COMPUTED_VALUE"""),"266803630")</f>
        <v>266803630</v>
      </c>
      <c r="H377" s="15" t="str">
        <f>IFERROR(__xludf.DUMMYFUNCTION("""COMPUTED_VALUE"""),"1305586")</f>
        <v>1305586</v>
      </c>
      <c r="I377" s="15" t="str">
        <f>IFERROR(__xludf.DUMMYFUNCTION("""COMPUTED_VALUE"""),"8176861")</f>
        <v>8176861</v>
      </c>
      <c r="J377" s="15" t="str">
        <f>IFERROR(__xludf.DUMMYFUNCTION("""COMPUTED_VALUE"""),"CIF")</f>
        <v>CIF</v>
      </c>
      <c r="K377" s="15" t="str">
        <f>IFERROR(__xludf.DUMMYFUNCTION("""COMPUTED_VALUE"""),"FSA-1")</f>
        <v>FSA-1</v>
      </c>
      <c r="L377" s="15" t="str">
        <f>IFERROR(__xludf.DUMMYFUNCTION("""COMPUTED_VALUE"""),"AUTORIZADO")</f>
        <v>AUTORIZADO</v>
      </c>
      <c r="M377" s="15" t="str">
        <f>IFERROR(__xludf.DUMMYFUNCTION("""COMPUTED_VALUE"""),"NA ORIGEM")</f>
        <v>NA ORIGEM</v>
      </c>
      <c r="N377" s="15" t="str">
        <f>IFERROR(__xludf.DUMMYFUNCTION("""COMPUTED_VALUE"""),"Antes Prazo")</f>
        <v>Antes Prazo</v>
      </c>
      <c r="O377" s="15" t="str">
        <f>IFERROR(__xludf.DUMMYFUNCTION("""COMPUTED_VALUE"""),"B2B")</f>
        <v>B2B</v>
      </c>
      <c r="P377" s="16">
        <f>IFERROR(__xludf.DUMMYFUNCTION("""COMPUTED_VALUE"""),60.04)</f>
        <v>60.04</v>
      </c>
      <c r="Q377" s="15">
        <f>IFERROR(__xludf.DUMMYFUNCTION("""COMPUTED_VALUE"""),1.0)</f>
        <v>1</v>
      </c>
      <c r="R377" s="15" t="str">
        <f>IFERROR(__xludf.DUMMYFUNCTION("""COMPUTED_VALUE"""),"RODO")</f>
        <v>RODO</v>
      </c>
      <c r="S377" s="15" t="str">
        <f>IFERROR(__xludf.DUMMYFUNCTION("""COMPUTED_VALUE"""),"ITN")</f>
        <v>ITN</v>
      </c>
      <c r="T377" s="15" t="str">
        <f>IFERROR(__xludf.DUMMYFUNCTION("""COMPUTED_VALUE"""),"8")</f>
        <v>8</v>
      </c>
      <c r="U377" s="15" t="str">
        <f>IFERROR(__xludf.DUMMYFUNCTION("""COMPUTED_VALUE"""),"266803630 1305586 8176861 lupo cachoeirinha trifil poa 8")</f>
        <v>266803630 1305586 8176861 lupo cachoeirinha trifil poa 8</v>
      </c>
      <c r="V377" s="15" t="b">
        <f>IFERROR(__xludf.DUMMYFUNCTION("""COMPUTED_VALUE"""),FALSE)</f>
        <v>0</v>
      </c>
    </row>
    <row r="378">
      <c r="A378" s="19">
        <f>IFERROR(__xludf.DUMMYFUNCTION("""COMPUTED_VALUE"""),46304.0)</f>
        <v>46304</v>
      </c>
      <c r="B378" s="19">
        <f>IFERROR(__xludf.DUMMYFUNCTION("""COMPUTED_VALUE"""),46317.0)</f>
        <v>46317</v>
      </c>
      <c r="C378" s="15">
        <f>IFERROR(__xludf.DUMMYFUNCTION("""COMPUTED_VALUE"""),8.0)</f>
        <v>8</v>
      </c>
      <c r="D378" s="15" t="str">
        <f>IFERROR(__xludf.DUMMYFUNCTION("""COMPUTED_VALUE"""),"CXJ")</f>
        <v>CXJ</v>
      </c>
      <c r="E378" s="15" t="str">
        <f>IFERROR(__xludf.DUMMYFUNCTION("""COMPUTED_VALUE"""),"Eduardo Keller De Oliveira Colchoes")</f>
        <v>Eduardo Keller De Oliveira Colchoes</v>
      </c>
      <c r="F378" s="15" t="str">
        <f>IFERROR(__xludf.DUMMYFUNCTION("""COMPUTED_VALUE"""),"TRIFIL")</f>
        <v>TRIFIL</v>
      </c>
      <c r="G378" s="15" t="str">
        <f>IFERROR(__xludf.DUMMYFUNCTION("""COMPUTED_VALUE"""),"266803631")</f>
        <v>266803631</v>
      </c>
      <c r="H378" s="15" t="str">
        <f>IFERROR(__xludf.DUMMYFUNCTION("""COMPUTED_VALUE"""),"1304752")</f>
        <v>1304752</v>
      </c>
      <c r="I378" s="15" t="str">
        <f>IFERROR(__xludf.DUMMYFUNCTION("""COMPUTED_VALUE"""),"8177054")</f>
        <v>8177054</v>
      </c>
      <c r="J378" s="15" t="str">
        <f>IFERROR(__xludf.DUMMYFUNCTION("""COMPUTED_VALUE"""),"CIF")</f>
        <v>CIF</v>
      </c>
      <c r="K378" s="15" t="str">
        <f>IFERROR(__xludf.DUMMYFUNCTION("""COMPUTED_VALUE"""),"(sem célula)")</f>
        <v>(sem célula)</v>
      </c>
      <c r="L378" s="15" t="str">
        <f>IFERROR(__xludf.DUMMYFUNCTION("""COMPUTED_VALUE"""),"AUTORIZADO")</f>
        <v>AUTORIZADO</v>
      </c>
      <c r="M378" s="15" t="str">
        <f>IFERROR(__xludf.DUMMYFUNCTION("""COMPUTED_VALUE"""),"NA ORIGEM")</f>
        <v>NA ORIGEM</v>
      </c>
      <c r="N378" s="15" t="str">
        <f>IFERROR(__xludf.DUMMYFUNCTION("""COMPUTED_VALUE"""),"Antes Prazo")</f>
        <v>Antes Prazo</v>
      </c>
      <c r="O378" s="15" t="str">
        <f>IFERROR(__xludf.DUMMYFUNCTION("""COMPUTED_VALUE"""),"B2B")</f>
        <v>B2B</v>
      </c>
      <c r="P378" s="16">
        <f>IFERROR(__xludf.DUMMYFUNCTION("""COMPUTED_VALUE"""),60.04)</f>
        <v>60.04</v>
      </c>
      <c r="Q378" s="15">
        <f>IFERROR(__xludf.DUMMYFUNCTION("""COMPUTED_VALUE"""),1.0)</f>
        <v>1</v>
      </c>
      <c r="R378" s="15" t="str">
        <f>IFERROR(__xludf.DUMMYFUNCTION("""COMPUTED_VALUE"""),"RODO")</f>
        <v>RODO</v>
      </c>
      <c r="S378" s="15" t="str">
        <f>IFERROR(__xludf.DUMMYFUNCTION("""COMPUTED_VALUE"""),"ITN")</f>
        <v>ITN</v>
      </c>
      <c r="T378" s="15" t="str">
        <f>IFERROR(__xludf.DUMMYFUNCTION("""COMPUTED_VALUE"""),"1")</f>
        <v>1</v>
      </c>
      <c r="U378" s="15" t="str">
        <f>IFERROR(__xludf.DUMMYFUNCTION("""COMPUTED_VALUE"""),"266803631 1304752 8177054 eduardo keller de oliveira colchoes trifil cxj 1")</f>
        <v>266803631 1304752 8177054 eduardo keller de oliveira colchoes trifil cxj 1</v>
      </c>
      <c r="V378" s="15" t="b">
        <f>IFERROR(__xludf.DUMMYFUNCTION("""COMPUTED_VALUE"""),FALSE)</f>
        <v>0</v>
      </c>
    </row>
    <row r="379">
      <c r="A379" s="19">
        <f>IFERROR(__xludf.DUMMYFUNCTION("""COMPUTED_VALUE"""),46304.0)</f>
        <v>46304</v>
      </c>
      <c r="B379" s="19">
        <f>IFERROR(__xludf.DUMMYFUNCTION("""COMPUTED_VALUE"""),46317.0)</f>
        <v>46317</v>
      </c>
      <c r="C379" s="15">
        <f>IFERROR(__xludf.DUMMYFUNCTION("""COMPUTED_VALUE"""),8.0)</f>
        <v>8</v>
      </c>
      <c r="D379" s="15" t="str">
        <f>IFERROR(__xludf.DUMMYFUNCTION("""COMPUTED_VALUE"""),"CXJ")</f>
        <v>CXJ</v>
      </c>
      <c r="E379" s="15" t="str">
        <f>IFERROR(__xludf.DUMMYFUNCTION("""COMPUTED_VALUE"""),"JUSTINA INES MORO SCHMITZ")</f>
        <v>JUSTINA INES MORO SCHMITZ</v>
      </c>
      <c r="F379" s="15" t="str">
        <f>IFERROR(__xludf.DUMMYFUNCTION("""COMPUTED_VALUE"""),"TRIFIL")</f>
        <v>TRIFIL</v>
      </c>
      <c r="G379" s="15" t="str">
        <f>IFERROR(__xludf.DUMMYFUNCTION("""COMPUTED_VALUE"""),"266803632")</f>
        <v>266803632</v>
      </c>
      <c r="H379" s="15" t="str">
        <f>IFERROR(__xludf.DUMMYFUNCTION("""COMPUTED_VALUE"""),"1305356")</f>
        <v>1305356</v>
      </c>
      <c r="I379" s="15" t="str">
        <f>IFERROR(__xludf.DUMMYFUNCTION("""COMPUTED_VALUE"""),"8176957")</f>
        <v>8176957</v>
      </c>
      <c r="J379" s="15" t="str">
        <f>IFERROR(__xludf.DUMMYFUNCTION("""COMPUTED_VALUE"""),"CIF")</f>
        <v>CIF</v>
      </c>
      <c r="K379" s="15" t="str">
        <f>IFERROR(__xludf.DUMMYFUNCTION("""COMPUTED_VALUE"""),"FSA-1")</f>
        <v>FSA-1</v>
      </c>
      <c r="L379" s="15" t="str">
        <f>IFERROR(__xludf.DUMMYFUNCTION("""COMPUTED_VALUE"""),"AUTORIZADO")</f>
        <v>AUTORIZADO</v>
      </c>
      <c r="M379" s="15" t="str">
        <f>IFERROR(__xludf.DUMMYFUNCTION("""COMPUTED_VALUE"""),"NA ORIGEM")</f>
        <v>NA ORIGEM</v>
      </c>
      <c r="N379" s="15" t="str">
        <f>IFERROR(__xludf.DUMMYFUNCTION("""COMPUTED_VALUE"""),"Antes Prazo")</f>
        <v>Antes Prazo</v>
      </c>
      <c r="O379" s="15" t="str">
        <f>IFERROR(__xludf.DUMMYFUNCTION("""COMPUTED_VALUE"""),"B2B")</f>
        <v>B2B</v>
      </c>
      <c r="P379" s="16">
        <f>IFERROR(__xludf.DUMMYFUNCTION("""COMPUTED_VALUE"""),60.04)</f>
        <v>60.04</v>
      </c>
      <c r="Q379" s="15">
        <f>IFERROR(__xludf.DUMMYFUNCTION("""COMPUTED_VALUE"""),1.0)</f>
        <v>1</v>
      </c>
      <c r="R379" s="15" t="str">
        <f>IFERROR(__xludf.DUMMYFUNCTION("""COMPUTED_VALUE"""),"RODO")</f>
        <v>RODO</v>
      </c>
      <c r="S379" s="15" t="str">
        <f>IFERROR(__xludf.DUMMYFUNCTION("""COMPUTED_VALUE"""),"ITN")</f>
        <v>ITN</v>
      </c>
      <c r="T379" s="15" t="str">
        <f>IFERROR(__xludf.DUMMYFUNCTION("""COMPUTED_VALUE"""),"3")</f>
        <v>3</v>
      </c>
      <c r="U379" s="15" t="str">
        <f>IFERROR(__xludf.DUMMYFUNCTION("""COMPUTED_VALUE"""),"266803632 1305356 8176957 justina ines moro schmitz trifil cxj 3")</f>
        <v>266803632 1305356 8176957 justina ines moro schmitz trifil cxj 3</v>
      </c>
      <c r="V379" s="15" t="b">
        <f>IFERROR(__xludf.DUMMYFUNCTION("""COMPUTED_VALUE"""),FALSE)</f>
        <v>0</v>
      </c>
    </row>
    <row r="380">
      <c r="A380" s="19">
        <f>IFERROR(__xludf.DUMMYFUNCTION("""COMPUTED_VALUE"""),46304.0)</f>
        <v>46304</v>
      </c>
      <c r="B380" s="19">
        <f>IFERROR(__xludf.DUMMYFUNCTION("""COMPUTED_VALUE"""),46321.0)</f>
        <v>46321</v>
      </c>
      <c r="C380" s="15">
        <f>IFERROR(__xludf.DUMMYFUNCTION("""COMPUTED_VALUE"""),10.0)</f>
        <v>10</v>
      </c>
      <c r="D380" s="15" t="str">
        <f>IFERROR(__xludf.DUMMYFUNCTION("""COMPUTED_VALUE"""),"SOS")</f>
        <v>SOS</v>
      </c>
      <c r="E380" s="15" t="str">
        <f>IFERROR(__xludf.DUMMYFUNCTION("""COMPUTED_VALUE"""),"JANETE TEREZINHA DA SILVA")</f>
        <v>JANETE TEREZINHA DA SILVA</v>
      </c>
      <c r="F380" s="15" t="str">
        <f>IFERROR(__xludf.DUMMYFUNCTION("""COMPUTED_VALUE"""),"TRIFIL")</f>
        <v>TRIFIL</v>
      </c>
      <c r="G380" s="15" t="str">
        <f>IFERROR(__xludf.DUMMYFUNCTION("""COMPUTED_VALUE"""),"266803633")</f>
        <v>266803633</v>
      </c>
      <c r="H380" s="15" t="str">
        <f>IFERROR(__xludf.DUMMYFUNCTION("""COMPUTED_VALUE"""),"1304033")</f>
        <v>1304033</v>
      </c>
      <c r="I380" s="15" t="str">
        <f>IFERROR(__xludf.DUMMYFUNCTION("""COMPUTED_VALUE"""),"8177014")</f>
        <v>8177014</v>
      </c>
      <c r="J380" s="15" t="str">
        <f>IFERROR(__xludf.DUMMYFUNCTION("""COMPUTED_VALUE"""),"CIF")</f>
        <v>CIF</v>
      </c>
      <c r="K380" s="15" t="str">
        <f>IFERROR(__xludf.DUMMYFUNCTION("""COMPUTED_VALUE"""),"FSA-1")</f>
        <v>FSA-1</v>
      </c>
      <c r="L380" s="15" t="str">
        <f>IFERROR(__xludf.DUMMYFUNCTION("""COMPUTED_VALUE"""),"AUTORIZADO")</f>
        <v>AUTORIZADO</v>
      </c>
      <c r="M380" s="15" t="str">
        <f>IFERROR(__xludf.DUMMYFUNCTION("""COMPUTED_VALUE"""),"NA ORIGEM")</f>
        <v>NA ORIGEM</v>
      </c>
      <c r="N380" s="15" t="str">
        <f>IFERROR(__xludf.DUMMYFUNCTION("""COMPUTED_VALUE"""),"Antes Prazo")</f>
        <v>Antes Prazo</v>
      </c>
      <c r="O380" s="15" t="str">
        <f>IFERROR(__xludf.DUMMYFUNCTION("""COMPUTED_VALUE"""),"B2B")</f>
        <v>B2B</v>
      </c>
      <c r="P380" s="16">
        <f>IFERROR(__xludf.DUMMYFUNCTION("""COMPUTED_VALUE"""),67.68)</f>
        <v>67.68</v>
      </c>
      <c r="Q380" s="15">
        <f>IFERROR(__xludf.DUMMYFUNCTION("""COMPUTED_VALUE"""),1.0)</f>
        <v>1</v>
      </c>
      <c r="R380" s="15" t="str">
        <f>IFERROR(__xludf.DUMMYFUNCTION("""COMPUTED_VALUE"""),"RODO")</f>
        <v>RODO</v>
      </c>
      <c r="S380" s="15" t="str">
        <f>IFERROR(__xludf.DUMMYFUNCTION("""COMPUTED_VALUE"""),"ITN")</f>
        <v>ITN</v>
      </c>
      <c r="T380" s="15" t="str">
        <f>IFERROR(__xludf.DUMMYFUNCTION("""COMPUTED_VALUE"""),"116")</f>
        <v>116</v>
      </c>
      <c r="U380" s="15" t="str">
        <f>IFERROR(__xludf.DUMMYFUNCTION("""COMPUTED_VALUE"""),"266803633 1304033 8177014 janete terezinha da silva trifil sos 116")</f>
        <v>266803633 1304033 8177014 janete terezinha da silva trifil sos 116</v>
      </c>
      <c r="V380" s="15" t="b">
        <f>IFERROR(__xludf.DUMMYFUNCTION("""COMPUTED_VALUE"""),FALSE)</f>
        <v>0</v>
      </c>
    </row>
    <row r="381">
      <c r="A381" s="19">
        <f>IFERROR(__xludf.DUMMYFUNCTION("""COMPUTED_VALUE"""),46304.0)</f>
        <v>46304</v>
      </c>
      <c r="B381" s="19">
        <f>IFERROR(__xludf.DUMMYFUNCTION("""COMPUTED_VALUE"""),46318.0)</f>
        <v>46318</v>
      </c>
      <c r="C381" s="15">
        <f>IFERROR(__xludf.DUMMYFUNCTION("""COMPUTED_VALUE"""),9.0)</f>
        <v>9</v>
      </c>
      <c r="D381" s="15" t="str">
        <f>IFERROR(__xludf.DUMMYFUNCTION("""COMPUTED_VALUE"""),"PET")</f>
        <v>PET</v>
      </c>
      <c r="E381" s="15" t="str">
        <f>IFERROR(__xludf.DUMMYFUNCTION("""COMPUTED_VALUE"""),"DLUA STORE")</f>
        <v>DLUA STORE</v>
      </c>
      <c r="F381" s="15" t="str">
        <f>IFERROR(__xludf.DUMMYFUNCTION("""COMPUTED_VALUE"""),"TRIFIL")</f>
        <v>TRIFIL</v>
      </c>
      <c r="G381" s="15" t="str">
        <f>IFERROR(__xludf.DUMMYFUNCTION("""COMPUTED_VALUE"""),"266803634")</f>
        <v>266803634</v>
      </c>
      <c r="H381" s="15" t="str">
        <f>IFERROR(__xludf.DUMMYFUNCTION("""COMPUTED_VALUE"""),"1305686")</f>
        <v>1305686</v>
      </c>
      <c r="I381" s="15" t="str">
        <f>IFERROR(__xludf.DUMMYFUNCTION("""COMPUTED_VALUE"""),"8176862")</f>
        <v>8176862</v>
      </c>
      <c r="J381" s="15" t="str">
        <f>IFERROR(__xludf.DUMMYFUNCTION("""COMPUTED_VALUE"""),"CIF")</f>
        <v>CIF</v>
      </c>
      <c r="K381" s="15" t="str">
        <f>IFERROR(__xludf.DUMMYFUNCTION("""COMPUTED_VALUE"""),"FSA-1")</f>
        <v>FSA-1</v>
      </c>
      <c r="L381" s="15" t="str">
        <f>IFERROR(__xludf.DUMMYFUNCTION("""COMPUTED_VALUE"""),"AUTORIZADO")</f>
        <v>AUTORIZADO</v>
      </c>
      <c r="M381" s="15" t="str">
        <f>IFERROR(__xludf.DUMMYFUNCTION("""COMPUTED_VALUE"""),"NA ORIGEM")</f>
        <v>NA ORIGEM</v>
      </c>
      <c r="N381" s="15" t="str">
        <f>IFERROR(__xludf.DUMMYFUNCTION("""COMPUTED_VALUE"""),"Antes Prazo")</f>
        <v>Antes Prazo</v>
      </c>
      <c r="O381" s="15" t="str">
        <f>IFERROR(__xludf.DUMMYFUNCTION("""COMPUTED_VALUE"""),"B2B")</f>
        <v>B2B</v>
      </c>
      <c r="P381" s="16">
        <f>IFERROR(__xludf.DUMMYFUNCTION("""COMPUTED_VALUE"""),60.04)</f>
        <v>60.04</v>
      </c>
      <c r="Q381" s="15">
        <f>IFERROR(__xludf.DUMMYFUNCTION("""COMPUTED_VALUE"""),1.0)</f>
        <v>1</v>
      </c>
      <c r="R381" s="15" t="str">
        <f>IFERROR(__xludf.DUMMYFUNCTION("""COMPUTED_VALUE"""),"RODO")</f>
        <v>RODO</v>
      </c>
      <c r="S381" s="15" t="str">
        <f>IFERROR(__xludf.DUMMYFUNCTION("""COMPUTED_VALUE"""),"ITN")</f>
        <v>ITN</v>
      </c>
      <c r="T381" s="15" t="str">
        <f>IFERROR(__xludf.DUMMYFUNCTION("""COMPUTED_VALUE"""),"1")</f>
        <v>1</v>
      </c>
      <c r="U381" s="15" t="str">
        <f>IFERROR(__xludf.DUMMYFUNCTION("""COMPUTED_VALUE"""),"266803634 1305686 8176862 dlua store trifil pet 1")</f>
        <v>266803634 1305686 8176862 dlua store trifil pet 1</v>
      </c>
      <c r="V381" s="15" t="b">
        <f>IFERROR(__xludf.DUMMYFUNCTION("""COMPUTED_VALUE"""),FALSE)</f>
        <v>0</v>
      </c>
    </row>
    <row r="382">
      <c r="A382" s="19">
        <f>IFERROR(__xludf.DUMMYFUNCTION("""COMPUTED_VALUE"""),46304.0)</f>
        <v>46304</v>
      </c>
      <c r="B382" s="19">
        <f>IFERROR(__xludf.DUMMYFUNCTION("""COMPUTED_VALUE"""),46322.0)</f>
        <v>46322</v>
      </c>
      <c r="C382" s="15">
        <f>IFERROR(__xludf.DUMMYFUNCTION("""COMPUTED_VALUE"""),11.0)</f>
        <v>11</v>
      </c>
      <c r="D382" s="15" t="str">
        <f>IFERROR(__xludf.DUMMYFUNCTION("""COMPUTED_VALUE"""),"RIA")</f>
        <v>RIA</v>
      </c>
      <c r="E382" s="15" t="str">
        <f>IFERROR(__xludf.DUMMYFUNCTION("""COMPUTED_VALUE"""),"PARCERIA")</f>
        <v>PARCERIA</v>
      </c>
      <c r="F382" s="15" t="str">
        <f>IFERROR(__xludf.DUMMYFUNCTION("""COMPUTED_VALUE"""),"TRIFIL")</f>
        <v>TRIFIL</v>
      </c>
      <c r="G382" s="15" t="str">
        <f>IFERROR(__xludf.DUMMYFUNCTION("""COMPUTED_VALUE"""),"266803635")</f>
        <v>266803635</v>
      </c>
      <c r="H382" s="15" t="str">
        <f>IFERROR(__xludf.DUMMYFUNCTION("""COMPUTED_VALUE"""),"1305110")</f>
        <v>1305110</v>
      </c>
      <c r="I382" s="15" t="str">
        <f>IFERROR(__xludf.DUMMYFUNCTION("""COMPUTED_VALUE"""),"8176835")</f>
        <v>8176835</v>
      </c>
      <c r="J382" s="15" t="str">
        <f>IFERROR(__xludf.DUMMYFUNCTION("""COMPUTED_VALUE"""),"CIF")</f>
        <v>CIF</v>
      </c>
      <c r="K382" s="15" t="str">
        <f>IFERROR(__xludf.DUMMYFUNCTION("""COMPUTED_VALUE"""),"SAO-1")</f>
        <v>SAO-1</v>
      </c>
      <c r="L382" s="15" t="str">
        <f>IFERROR(__xludf.DUMMYFUNCTION("""COMPUTED_VALUE"""),"AUTORIZADO")</f>
        <v>AUTORIZADO</v>
      </c>
      <c r="M382" s="15" t="str">
        <f>IFERROR(__xludf.DUMMYFUNCTION("""COMPUTED_VALUE"""),"NA ORIGEM")</f>
        <v>NA ORIGEM</v>
      </c>
      <c r="N382" s="15" t="str">
        <f>IFERROR(__xludf.DUMMYFUNCTION("""COMPUTED_VALUE"""),"Antes Prazo")</f>
        <v>Antes Prazo</v>
      </c>
      <c r="O382" s="15" t="str">
        <f>IFERROR(__xludf.DUMMYFUNCTION("""COMPUTED_VALUE"""),"B2B")</f>
        <v>B2B</v>
      </c>
      <c r="P382" s="16">
        <f>IFERROR(__xludf.DUMMYFUNCTION("""COMPUTED_VALUE"""),67.68)</f>
        <v>67.68</v>
      </c>
      <c r="Q382" s="15">
        <f>IFERROR(__xludf.DUMMYFUNCTION("""COMPUTED_VALUE"""),1.0)</f>
        <v>1</v>
      </c>
      <c r="R382" s="15" t="str">
        <f>IFERROR(__xludf.DUMMYFUNCTION("""COMPUTED_VALUE"""),"RODO")</f>
        <v>RODO</v>
      </c>
      <c r="S382" s="15" t="str">
        <f>IFERROR(__xludf.DUMMYFUNCTION("""COMPUTED_VALUE"""),"ITN")</f>
        <v>ITN</v>
      </c>
      <c r="T382" s="15" t="str">
        <f>IFERROR(__xludf.DUMMYFUNCTION("""COMPUTED_VALUE"""),"108")</f>
        <v>108</v>
      </c>
      <c r="U382" s="15" t="str">
        <f>IFERROR(__xludf.DUMMYFUNCTION("""COMPUTED_VALUE"""),"266803635 1305110 8176835 parceria trifil ria 108")</f>
        <v>266803635 1305110 8176835 parceria trifil ria 108</v>
      </c>
      <c r="V382" s="15" t="b">
        <f>IFERROR(__xludf.DUMMYFUNCTION("""COMPUTED_VALUE"""),FALSE)</f>
        <v>0</v>
      </c>
    </row>
    <row r="383">
      <c r="A383" s="19">
        <f>IFERROR(__xludf.DUMMYFUNCTION("""COMPUTED_VALUE"""),46304.0)</f>
        <v>46304</v>
      </c>
      <c r="B383" s="19">
        <f>IFERROR(__xludf.DUMMYFUNCTION("""COMPUTED_VALUE"""),46323.0)</f>
        <v>46323</v>
      </c>
      <c r="C383" s="15">
        <f>IFERROR(__xludf.DUMMYFUNCTION("""COMPUTED_VALUE"""),12.0)</f>
        <v>12</v>
      </c>
      <c r="D383" s="15" t="str">
        <f>IFERROR(__xludf.DUMMYFUNCTION("""COMPUTED_VALUE"""),"RIA")</f>
        <v>RIA</v>
      </c>
      <c r="E383" s="15" t="str">
        <f>IFERROR(__xludf.DUMMYFUNCTION("""COMPUTED_VALUE"""),"CASA CRUZEIRO")</f>
        <v>CASA CRUZEIRO</v>
      </c>
      <c r="F383" s="15" t="str">
        <f>IFERROR(__xludf.DUMMYFUNCTION("""COMPUTED_VALUE"""),"TRIFIL")</f>
        <v>TRIFIL</v>
      </c>
      <c r="G383" s="15" t="str">
        <f>IFERROR(__xludf.DUMMYFUNCTION("""COMPUTED_VALUE"""),"266803636")</f>
        <v>266803636</v>
      </c>
      <c r="H383" s="15" t="str">
        <f>IFERROR(__xludf.DUMMYFUNCTION("""COMPUTED_VALUE"""),"1305861")</f>
        <v>1305861</v>
      </c>
      <c r="I383" s="15" t="str">
        <f>IFERROR(__xludf.DUMMYFUNCTION("""COMPUTED_VALUE"""),"8176764")</f>
        <v>8176764</v>
      </c>
      <c r="J383" s="15" t="str">
        <f>IFERROR(__xludf.DUMMYFUNCTION("""COMPUTED_VALUE"""),"CIF")</f>
        <v>CIF</v>
      </c>
      <c r="K383" s="15" t="str">
        <f>IFERROR(__xludf.DUMMYFUNCTION("""COMPUTED_VALUE"""),"SAO-1")</f>
        <v>SAO-1</v>
      </c>
      <c r="L383" s="15" t="str">
        <f>IFERROR(__xludf.DUMMYFUNCTION("""COMPUTED_VALUE"""),"AUTORIZADO")</f>
        <v>AUTORIZADO</v>
      </c>
      <c r="M383" s="15" t="str">
        <f>IFERROR(__xludf.DUMMYFUNCTION("""COMPUTED_VALUE"""),"NA ORIGEM")</f>
        <v>NA ORIGEM</v>
      </c>
      <c r="N383" s="15" t="str">
        <f>IFERROR(__xludf.DUMMYFUNCTION("""COMPUTED_VALUE"""),"Antes Prazo")</f>
        <v>Antes Prazo</v>
      </c>
      <c r="O383" s="15" t="str">
        <f>IFERROR(__xludf.DUMMYFUNCTION("""COMPUTED_VALUE"""),"B2B")</f>
        <v>B2B</v>
      </c>
      <c r="P383" s="16">
        <f>IFERROR(__xludf.DUMMYFUNCTION("""COMPUTED_VALUE"""),67.68)</f>
        <v>67.68</v>
      </c>
      <c r="Q383" s="15">
        <f>IFERROR(__xludf.DUMMYFUNCTION("""COMPUTED_VALUE"""),3.0)</f>
        <v>3</v>
      </c>
      <c r="R383" s="15" t="str">
        <f>IFERROR(__xludf.DUMMYFUNCTION("""COMPUTED_VALUE"""),"RODO")</f>
        <v>RODO</v>
      </c>
      <c r="S383" s="15" t="str">
        <f>IFERROR(__xludf.DUMMYFUNCTION("""COMPUTED_VALUE"""),"ITN")</f>
        <v>ITN</v>
      </c>
      <c r="T383" s="15" t="str">
        <f>IFERROR(__xludf.DUMMYFUNCTION("""COMPUTED_VALUE"""),"104")</f>
        <v>104</v>
      </c>
      <c r="U383" s="15" t="str">
        <f>IFERROR(__xludf.DUMMYFUNCTION("""COMPUTED_VALUE"""),"266803636 1305861 8176764 casa cruzeiro trifil ria 104")</f>
        <v>266803636 1305861 8176764 casa cruzeiro trifil ria 104</v>
      </c>
      <c r="V383" s="15" t="b">
        <f>IFERROR(__xludf.DUMMYFUNCTION("""COMPUTED_VALUE"""),FALSE)</f>
        <v>0</v>
      </c>
    </row>
    <row r="384">
      <c r="A384" s="19">
        <f>IFERROR(__xludf.DUMMYFUNCTION("""COMPUTED_VALUE"""),46304.0)</f>
        <v>46304</v>
      </c>
      <c r="B384" s="19">
        <f>IFERROR(__xludf.DUMMYFUNCTION("""COMPUTED_VALUE"""),46322.0)</f>
        <v>46322</v>
      </c>
      <c r="C384" s="15">
        <f>IFERROR(__xludf.DUMMYFUNCTION("""COMPUTED_VALUE"""),11.0)</f>
        <v>11</v>
      </c>
      <c r="D384" s="15" t="str">
        <f>IFERROR(__xludf.DUMMYFUNCTION("""COMPUTED_VALUE"""),"CSU")</f>
        <v>CSU</v>
      </c>
      <c r="E384" s="15" t="str">
        <f>IFERROR(__xludf.DUMMYFUNCTION("""COMPUTED_VALUE"""),"ODIMAC COM. DE ART. DO LAR LTDA")</f>
        <v>ODIMAC COM. DE ART. DO LAR LTDA</v>
      </c>
      <c r="F384" s="15" t="str">
        <f>IFERROR(__xludf.DUMMYFUNCTION("""COMPUTED_VALUE"""),"TRIFIL")</f>
        <v>TRIFIL</v>
      </c>
      <c r="G384" s="15" t="str">
        <f>IFERROR(__xludf.DUMMYFUNCTION("""COMPUTED_VALUE"""),"266803637")</f>
        <v>266803637</v>
      </c>
      <c r="H384" s="15" t="str">
        <f>IFERROR(__xludf.DUMMYFUNCTION("""COMPUTED_VALUE"""),"1306012")</f>
        <v>1306012</v>
      </c>
      <c r="I384" s="15" t="str">
        <f>IFERROR(__xludf.DUMMYFUNCTION("""COMPUTED_VALUE"""),"8177015")</f>
        <v>8177015</v>
      </c>
      <c r="J384" s="15" t="str">
        <f>IFERROR(__xludf.DUMMYFUNCTION("""COMPUTED_VALUE"""),"CIF")</f>
        <v>CIF</v>
      </c>
      <c r="K384" s="15" t="str">
        <f>IFERROR(__xludf.DUMMYFUNCTION("""COMPUTED_VALUE"""),"FSA-1")</f>
        <v>FSA-1</v>
      </c>
      <c r="L384" s="15" t="str">
        <f>IFERROR(__xludf.DUMMYFUNCTION("""COMPUTED_VALUE"""),"AUTORIZADO")</f>
        <v>AUTORIZADO</v>
      </c>
      <c r="M384" s="15" t="str">
        <f>IFERROR(__xludf.DUMMYFUNCTION("""COMPUTED_VALUE"""),"NA ORIGEM")</f>
        <v>NA ORIGEM</v>
      </c>
      <c r="N384" s="15" t="str">
        <f>IFERROR(__xludf.DUMMYFUNCTION("""COMPUTED_VALUE"""),"Antes Prazo")</f>
        <v>Antes Prazo</v>
      </c>
      <c r="O384" s="15" t="str">
        <f>IFERROR(__xludf.DUMMYFUNCTION("""COMPUTED_VALUE"""),"B2B")</f>
        <v>B2B</v>
      </c>
      <c r="P384" s="16">
        <f>IFERROR(__xludf.DUMMYFUNCTION("""COMPUTED_VALUE"""),67.68)</f>
        <v>67.68</v>
      </c>
      <c r="Q384" s="15">
        <f>IFERROR(__xludf.DUMMYFUNCTION("""COMPUTED_VALUE"""),2.0)</f>
        <v>2</v>
      </c>
      <c r="R384" s="15" t="str">
        <f>IFERROR(__xludf.DUMMYFUNCTION("""COMPUTED_VALUE"""),"RODO")</f>
        <v>RODO</v>
      </c>
      <c r="S384" s="15" t="str">
        <f>IFERROR(__xludf.DUMMYFUNCTION("""COMPUTED_VALUE"""),"ITN")</f>
        <v>ITN</v>
      </c>
      <c r="T384" s="15" t="str">
        <f>IFERROR(__xludf.DUMMYFUNCTION("""COMPUTED_VALUE"""),"103")</f>
        <v>103</v>
      </c>
      <c r="U384" s="15" t="str">
        <f>IFERROR(__xludf.DUMMYFUNCTION("""COMPUTED_VALUE"""),"266803637 1306012 8177015 odimac com. de art. do lar ltda trifil csu 103")</f>
        <v>266803637 1306012 8177015 odimac com. de art. do lar ltda trifil csu 103</v>
      </c>
      <c r="V384" s="15" t="b">
        <f>IFERROR(__xludf.DUMMYFUNCTION("""COMPUTED_VALUE"""),FALSE)</f>
        <v>0</v>
      </c>
    </row>
    <row r="385">
      <c r="A385" s="19">
        <f>IFERROR(__xludf.DUMMYFUNCTION("""COMPUTED_VALUE"""),46304.0)</f>
        <v>46304</v>
      </c>
      <c r="B385" s="19">
        <f>IFERROR(__xludf.DUMMYFUNCTION("""COMPUTED_VALUE"""),46322.0)</f>
        <v>46322</v>
      </c>
      <c r="C385" s="15">
        <f>IFERROR(__xludf.DUMMYFUNCTION("""COMPUTED_VALUE"""),11.0)</f>
        <v>11</v>
      </c>
      <c r="D385" s="15" t="str">
        <f>IFERROR(__xludf.DUMMYFUNCTION("""COMPUTED_VALUE"""),"RIA")</f>
        <v>RIA</v>
      </c>
      <c r="E385" s="15" t="str">
        <f>IFERROR(__xludf.DUMMYFUNCTION("""COMPUTED_VALUE"""),"LOJA FLOR DE LIS LTDA")</f>
        <v>LOJA FLOR DE LIS LTDA</v>
      </c>
      <c r="F385" s="15" t="str">
        <f>IFERROR(__xludf.DUMMYFUNCTION("""COMPUTED_VALUE"""),"TRIFIL")</f>
        <v>TRIFIL</v>
      </c>
      <c r="G385" s="15" t="str">
        <f>IFERROR(__xludf.DUMMYFUNCTION("""COMPUTED_VALUE"""),"266803638")</f>
        <v>266803638</v>
      </c>
      <c r="H385" s="15" t="str">
        <f>IFERROR(__xludf.DUMMYFUNCTION("""COMPUTED_VALUE"""),"1305121")</f>
        <v>1305121</v>
      </c>
      <c r="I385" s="15" t="str">
        <f>IFERROR(__xludf.DUMMYFUNCTION("""COMPUTED_VALUE"""),"8176795")</f>
        <v>8176795</v>
      </c>
      <c r="J385" s="15" t="str">
        <f>IFERROR(__xludf.DUMMYFUNCTION("""COMPUTED_VALUE"""),"CIF")</f>
        <v>CIF</v>
      </c>
      <c r="K385" s="15" t="str">
        <f>IFERROR(__xludf.DUMMYFUNCTION("""COMPUTED_VALUE"""),"SAO-1")</f>
        <v>SAO-1</v>
      </c>
      <c r="L385" s="15" t="str">
        <f>IFERROR(__xludf.DUMMYFUNCTION("""COMPUTED_VALUE"""),"AUTORIZADO")</f>
        <v>AUTORIZADO</v>
      </c>
      <c r="M385" s="15" t="str">
        <f>IFERROR(__xludf.DUMMYFUNCTION("""COMPUTED_VALUE"""),"NA ORIGEM")</f>
        <v>NA ORIGEM</v>
      </c>
      <c r="N385" s="15" t="str">
        <f>IFERROR(__xludf.DUMMYFUNCTION("""COMPUTED_VALUE"""),"Antes Prazo")</f>
        <v>Antes Prazo</v>
      </c>
      <c r="O385" s="15" t="str">
        <f>IFERROR(__xludf.DUMMYFUNCTION("""COMPUTED_VALUE"""),"B2B")</f>
        <v>B2B</v>
      </c>
      <c r="P385" s="16">
        <f>IFERROR(__xludf.DUMMYFUNCTION("""COMPUTED_VALUE"""),67.68)</f>
        <v>67.68</v>
      </c>
      <c r="Q385" s="15">
        <f>IFERROR(__xludf.DUMMYFUNCTION("""COMPUTED_VALUE"""),1.0)</f>
        <v>1</v>
      </c>
      <c r="R385" s="15" t="str">
        <f>IFERROR(__xludf.DUMMYFUNCTION("""COMPUTED_VALUE"""),"RODO")</f>
        <v>RODO</v>
      </c>
      <c r="S385" s="15" t="str">
        <f>IFERROR(__xludf.DUMMYFUNCTION("""COMPUTED_VALUE"""),"ITN")</f>
        <v>ITN</v>
      </c>
      <c r="T385" s="15" t="str">
        <f>IFERROR(__xludf.DUMMYFUNCTION("""COMPUTED_VALUE"""),"106")</f>
        <v>106</v>
      </c>
      <c r="U385" s="15" t="str">
        <f>IFERROR(__xludf.DUMMYFUNCTION("""COMPUTED_VALUE"""),"266803638 1305121 8176795 loja flor de lis ltda trifil ria 106")</f>
        <v>266803638 1305121 8176795 loja flor de lis ltda trifil ria 106</v>
      </c>
      <c r="V385" s="15" t="b">
        <f>IFERROR(__xludf.DUMMYFUNCTION("""COMPUTED_VALUE"""),FALSE)</f>
        <v>0</v>
      </c>
    </row>
    <row r="386">
      <c r="A386" s="19">
        <f>IFERROR(__xludf.DUMMYFUNCTION("""COMPUTED_VALUE"""),46304.0)</f>
        <v>46304</v>
      </c>
      <c r="B386" s="19">
        <f>IFERROR(__xludf.DUMMYFUNCTION("""COMPUTED_VALUE"""),46317.0)</f>
        <v>46317</v>
      </c>
      <c r="C386" s="15">
        <f>IFERROR(__xludf.DUMMYFUNCTION("""COMPUTED_VALUE"""),8.0)</f>
        <v>8</v>
      </c>
      <c r="D386" s="15" t="str">
        <f>IFERROR(__xludf.DUMMYFUNCTION("""COMPUTED_VALUE"""),"RIA")</f>
        <v>RIA</v>
      </c>
      <c r="E386" s="15" t="str">
        <f>IFERROR(__xludf.DUMMYFUNCTION("""COMPUTED_VALUE"""),"CASA DO MILITAR")</f>
        <v>CASA DO MILITAR</v>
      </c>
      <c r="F386" s="15" t="str">
        <f>IFERROR(__xludf.DUMMYFUNCTION("""COMPUTED_VALUE"""),"TRIFIL")</f>
        <v>TRIFIL</v>
      </c>
      <c r="G386" s="15" t="str">
        <f>IFERROR(__xludf.DUMMYFUNCTION("""COMPUTED_VALUE"""),"266803639")</f>
        <v>266803639</v>
      </c>
      <c r="H386" s="15" t="str">
        <f>IFERROR(__xludf.DUMMYFUNCTION("""COMPUTED_VALUE"""),"1305223")</f>
        <v>1305223</v>
      </c>
      <c r="I386" s="15" t="str">
        <f>IFERROR(__xludf.DUMMYFUNCTION("""COMPUTED_VALUE"""),"8176796")</f>
        <v>8176796</v>
      </c>
      <c r="J386" s="15" t="str">
        <f>IFERROR(__xludf.DUMMYFUNCTION("""COMPUTED_VALUE"""),"CIF")</f>
        <v>CIF</v>
      </c>
      <c r="K386" s="15" t="str">
        <f>IFERROR(__xludf.DUMMYFUNCTION("""COMPUTED_VALUE"""),"SAO-1")</f>
        <v>SAO-1</v>
      </c>
      <c r="L386" s="15" t="str">
        <f>IFERROR(__xludf.DUMMYFUNCTION("""COMPUTED_VALUE"""),"AUTORIZADO")</f>
        <v>AUTORIZADO</v>
      </c>
      <c r="M386" s="15" t="str">
        <f>IFERROR(__xludf.DUMMYFUNCTION("""COMPUTED_VALUE"""),"NA ORIGEM")</f>
        <v>NA ORIGEM</v>
      </c>
      <c r="N386" s="15" t="str">
        <f>IFERROR(__xludf.DUMMYFUNCTION("""COMPUTED_VALUE"""),"Antes Prazo")</f>
        <v>Antes Prazo</v>
      </c>
      <c r="O386" s="15" t="str">
        <f>IFERROR(__xludf.DUMMYFUNCTION("""COMPUTED_VALUE"""),"B2B")</f>
        <v>B2B</v>
      </c>
      <c r="P386" s="16">
        <f>IFERROR(__xludf.DUMMYFUNCTION("""COMPUTED_VALUE"""),60.04)</f>
        <v>60.04</v>
      </c>
      <c r="Q386" s="15">
        <f>IFERROR(__xludf.DUMMYFUNCTION("""COMPUTED_VALUE"""),1.0)</f>
        <v>1</v>
      </c>
      <c r="R386" s="15" t="str">
        <f>IFERROR(__xludf.DUMMYFUNCTION("""COMPUTED_VALUE"""),"RODO")</f>
        <v>RODO</v>
      </c>
      <c r="S386" s="15" t="str">
        <f>IFERROR(__xludf.DUMMYFUNCTION("""COMPUTED_VALUE"""),"ITN")</f>
        <v>ITN</v>
      </c>
      <c r="T386" s="15" t="str">
        <f>IFERROR(__xludf.DUMMYFUNCTION("""COMPUTED_VALUE"""),"1")</f>
        <v>1</v>
      </c>
      <c r="U386" s="15" t="str">
        <f>IFERROR(__xludf.DUMMYFUNCTION("""COMPUTED_VALUE"""),"266803639 1305223 8176796 casa do militar trifil ria 1")</f>
        <v>266803639 1305223 8176796 casa do militar trifil ria 1</v>
      </c>
      <c r="V386" s="15" t="b">
        <f>IFERROR(__xludf.DUMMYFUNCTION("""COMPUTED_VALUE"""),FALSE)</f>
        <v>0</v>
      </c>
    </row>
    <row r="387">
      <c r="A387" s="19">
        <f>IFERROR(__xludf.DUMMYFUNCTION("""COMPUTED_VALUE"""),46304.0)</f>
        <v>46304</v>
      </c>
      <c r="B387" s="19">
        <f>IFERROR(__xludf.DUMMYFUNCTION("""COMPUTED_VALUE"""),46316.0)</f>
        <v>46316</v>
      </c>
      <c r="C387" s="15">
        <f>IFERROR(__xludf.DUMMYFUNCTION("""COMPUTED_VALUE"""),7.0)</f>
        <v>7</v>
      </c>
      <c r="D387" s="15" t="str">
        <f>IFERROR(__xludf.DUMMYFUNCTION("""COMPUTED_VALUE"""),"ABS")</f>
        <v>ABS</v>
      </c>
      <c r="E387" s="15" t="str">
        <f>IFERROR(__xludf.DUMMYFUNCTION("""COMPUTED_VALUE"""),"CAMPO DAS MEIAS LTDA EPP")</f>
        <v>CAMPO DAS MEIAS LTDA EPP</v>
      </c>
      <c r="F387" s="15" t="str">
        <f>IFERROR(__xludf.DUMMYFUNCTION("""COMPUTED_VALUE"""),"TRIFIL")</f>
        <v>TRIFIL</v>
      </c>
      <c r="G387" s="15" t="str">
        <f>IFERROR(__xludf.DUMMYFUNCTION("""COMPUTED_VALUE"""),"266803640")</f>
        <v>266803640</v>
      </c>
      <c r="H387" s="15" t="str">
        <f>IFERROR(__xludf.DUMMYFUNCTION("""COMPUTED_VALUE"""),"1304903")</f>
        <v>1304903</v>
      </c>
      <c r="I387" s="15" t="str">
        <f>IFERROR(__xludf.DUMMYFUNCTION("""COMPUTED_VALUE"""),"8177065")</f>
        <v>8177065</v>
      </c>
      <c r="J387" s="15" t="str">
        <f>IFERROR(__xludf.DUMMYFUNCTION("""COMPUTED_VALUE"""),"CIF")</f>
        <v>CIF</v>
      </c>
      <c r="K387" s="15" t="str">
        <f>IFERROR(__xludf.DUMMYFUNCTION("""COMPUTED_VALUE"""),"(sem célula)")</f>
        <v>(sem célula)</v>
      </c>
      <c r="L387" s="15" t="str">
        <f>IFERROR(__xludf.DUMMYFUNCTION("""COMPUTED_VALUE"""),"AUTORIZADO")</f>
        <v>AUTORIZADO</v>
      </c>
      <c r="M387" s="15" t="str">
        <f>IFERROR(__xludf.DUMMYFUNCTION("""COMPUTED_VALUE"""),"NA ORIGEM")</f>
        <v>NA ORIGEM</v>
      </c>
      <c r="N387" s="15" t="str">
        <f>IFERROR(__xludf.DUMMYFUNCTION("""COMPUTED_VALUE"""),"Antes Prazo")</f>
        <v>Antes Prazo</v>
      </c>
      <c r="O387" s="15" t="str">
        <f>IFERROR(__xludf.DUMMYFUNCTION("""COMPUTED_VALUE"""),"B2B")</f>
        <v>B2B</v>
      </c>
      <c r="P387" s="16">
        <f>IFERROR(__xludf.DUMMYFUNCTION("""COMPUTED_VALUE"""),45.49)</f>
        <v>45.49</v>
      </c>
      <c r="Q387" s="15">
        <f>IFERROR(__xludf.DUMMYFUNCTION("""COMPUTED_VALUE"""),1.0)</f>
        <v>1</v>
      </c>
      <c r="R387" s="15" t="str">
        <f>IFERROR(__xludf.DUMMYFUNCTION("""COMPUTED_VALUE"""),"RODO")</f>
        <v>RODO</v>
      </c>
      <c r="S387" s="15" t="str">
        <f>IFERROR(__xludf.DUMMYFUNCTION("""COMPUTED_VALUE"""),"ITN")</f>
        <v>ITN</v>
      </c>
      <c r="T387" s="15" t="str">
        <f>IFERROR(__xludf.DUMMYFUNCTION("""COMPUTED_VALUE"""),"970")</f>
        <v>970</v>
      </c>
      <c r="U387" s="15" t="str">
        <f>IFERROR(__xludf.DUMMYFUNCTION("""COMPUTED_VALUE"""),"266803640 1304903 8177065 campo das meias ltda epp trifil abs 970")</f>
        <v>266803640 1304903 8177065 campo das meias ltda epp trifil abs 970</v>
      </c>
      <c r="V387" s="15" t="b">
        <f>IFERROR(__xludf.DUMMYFUNCTION("""COMPUTED_VALUE"""),FALSE)</f>
        <v>0</v>
      </c>
    </row>
    <row r="388">
      <c r="A388" s="19">
        <f>IFERROR(__xludf.DUMMYFUNCTION("""COMPUTED_VALUE"""),46304.0)</f>
        <v>46304</v>
      </c>
      <c r="B388" s="19">
        <f>IFERROR(__xludf.DUMMYFUNCTION("""COMPUTED_VALUE"""),46316.0)</f>
        <v>46316</v>
      </c>
      <c r="C388" s="15">
        <f>IFERROR(__xludf.DUMMYFUNCTION("""COMPUTED_VALUE"""),7.0)</f>
        <v>7</v>
      </c>
      <c r="D388" s="15" t="str">
        <f>IFERROR(__xludf.DUMMYFUNCTION("""COMPUTED_VALUE"""),"ABS")</f>
        <v>ABS</v>
      </c>
      <c r="E388" s="15" t="str">
        <f>IFERROR(__xludf.DUMMYFUNCTION("""COMPUTED_VALUE"""),"GOLDEN MEIAS LTDA")</f>
        <v>GOLDEN MEIAS LTDA</v>
      </c>
      <c r="F388" s="15" t="str">
        <f>IFERROR(__xludf.DUMMYFUNCTION("""COMPUTED_VALUE"""),"TRIFIL")</f>
        <v>TRIFIL</v>
      </c>
      <c r="G388" s="15" t="str">
        <f>IFERROR(__xludf.DUMMYFUNCTION("""COMPUTED_VALUE"""),"266803641")</f>
        <v>266803641</v>
      </c>
      <c r="H388" s="15" t="str">
        <f>IFERROR(__xludf.DUMMYFUNCTION("""COMPUTED_VALUE"""),"1305067")</f>
        <v>1305067</v>
      </c>
      <c r="I388" s="15" t="str">
        <f>IFERROR(__xludf.DUMMYFUNCTION("""COMPUTED_VALUE"""),"8177055")</f>
        <v>8177055</v>
      </c>
      <c r="J388" s="15" t="str">
        <f>IFERROR(__xludf.DUMMYFUNCTION("""COMPUTED_VALUE"""),"CIF")</f>
        <v>CIF</v>
      </c>
      <c r="K388" s="15" t="str">
        <f>IFERROR(__xludf.DUMMYFUNCTION("""COMPUTED_VALUE"""),"SAO-1")</f>
        <v>SAO-1</v>
      </c>
      <c r="L388" s="15" t="str">
        <f>IFERROR(__xludf.DUMMYFUNCTION("""COMPUTED_VALUE"""),"AUTORIZADO")</f>
        <v>AUTORIZADO</v>
      </c>
      <c r="M388" s="15" t="str">
        <f>IFERROR(__xludf.DUMMYFUNCTION("""COMPUTED_VALUE"""),"NA ORIGEM")</f>
        <v>NA ORIGEM</v>
      </c>
      <c r="N388" s="15" t="str">
        <f>IFERROR(__xludf.DUMMYFUNCTION("""COMPUTED_VALUE"""),"Antes Prazo")</f>
        <v>Antes Prazo</v>
      </c>
      <c r="O388" s="15" t="str">
        <f>IFERROR(__xludf.DUMMYFUNCTION("""COMPUTED_VALUE"""),"B2B")</f>
        <v>B2B</v>
      </c>
      <c r="P388" s="16">
        <f>IFERROR(__xludf.DUMMYFUNCTION("""COMPUTED_VALUE"""),45.49)</f>
        <v>45.49</v>
      </c>
      <c r="Q388" s="15">
        <f>IFERROR(__xludf.DUMMYFUNCTION("""COMPUTED_VALUE"""),1.0)</f>
        <v>1</v>
      </c>
      <c r="R388" s="15" t="str">
        <f>IFERROR(__xludf.DUMMYFUNCTION("""COMPUTED_VALUE"""),"RODO")</f>
        <v>RODO</v>
      </c>
      <c r="S388" s="15" t="str">
        <f>IFERROR(__xludf.DUMMYFUNCTION("""COMPUTED_VALUE"""),"ITN")</f>
        <v>ITN</v>
      </c>
      <c r="T388" s="15" t="str">
        <f>IFERROR(__xludf.DUMMYFUNCTION("""COMPUTED_VALUE"""),"970")</f>
        <v>970</v>
      </c>
      <c r="U388" s="15" t="str">
        <f>IFERROR(__xludf.DUMMYFUNCTION("""COMPUTED_VALUE"""),"266803641 1305067 8177055 golden meias ltda trifil abs 970")</f>
        <v>266803641 1305067 8177055 golden meias ltda trifil abs 970</v>
      </c>
      <c r="V388" s="15" t="b">
        <f>IFERROR(__xludf.DUMMYFUNCTION("""COMPUTED_VALUE"""),FALSE)</f>
        <v>0</v>
      </c>
    </row>
    <row r="389">
      <c r="A389" s="19">
        <f>IFERROR(__xludf.DUMMYFUNCTION("""COMPUTED_VALUE"""),46304.0)</f>
        <v>46304</v>
      </c>
      <c r="B389" s="19">
        <f>IFERROR(__xludf.DUMMYFUNCTION("""COMPUTED_VALUE"""),46323.0)</f>
        <v>46323</v>
      </c>
      <c r="C389" s="15">
        <f>IFERROR(__xludf.DUMMYFUNCTION("""COMPUTED_VALUE"""),12.0)</f>
        <v>12</v>
      </c>
      <c r="D389" s="15" t="str">
        <f>IFERROR(__xludf.DUMMYFUNCTION("""COMPUTED_VALUE"""),"RIA")</f>
        <v>RIA</v>
      </c>
      <c r="E389" s="15" t="str">
        <f>IFERROR(__xludf.DUMMYFUNCTION("""COMPUTED_VALUE"""),"MARISOL LACERDA FAGUNDES")</f>
        <v>MARISOL LACERDA FAGUNDES</v>
      </c>
      <c r="F389" s="15" t="str">
        <f>IFERROR(__xludf.DUMMYFUNCTION("""COMPUTED_VALUE"""),"TRIFIL")</f>
        <v>TRIFIL</v>
      </c>
      <c r="G389" s="15" t="str">
        <f>IFERROR(__xludf.DUMMYFUNCTION("""COMPUTED_VALUE"""),"266803642")</f>
        <v>266803642</v>
      </c>
      <c r="H389" s="15" t="str">
        <f>IFERROR(__xludf.DUMMYFUNCTION("""COMPUTED_VALUE"""),"1305582")</f>
        <v>1305582</v>
      </c>
      <c r="I389" s="15" t="str">
        <f>IFERROR(__xludf.DUMMYFUNCTION("""COMPUTED_VALUE"""),"8176797")</f>
        <v>8176797</v>
      </c>
      <c r="J389" s="15" t="str">
        <f>IFERROR(__xludf.DUMMYFUNCTION("""COMPUTED_VALUE"""),"CIF")</f>
        <v>CIF</v>
      </c>
      <c r="K389" s="15" t="str">
        <f>IFERROR(__xludf.DUMMYFUNCTION("""COMPUTED_VALUE"""),"SAO-1")</f>
        <v>SAO-1</v>
      </c>
      <c r="L389" s="15" t="str">
        <f>IFERROR(__xludf.DUMMYFUNCTION("""COMPUTED_VALUE"""),"AUTORIZADO")</f>
        <v>AUTORIZADO</v>
      </c>
      <c r="M389" s="15" t="str">
        <f>IFERROR(__xludf.DUMMYFUNCTION("""COMPUTED_VALUE"""),"NA ORIGEM")</f>
        <v>NA ORIGEM</v>
      </c>
      <c r="N389" s="15" t="str">
        <f>IFERROR(__xludf.DUMMYFUNCTION("""COMPUTED_VALUE"""),"Antes Prazo")</f>
        <v>Antes Prazo</v>
      </c>
      <c r="O389" s="15" t="str">
        <f>IFERROR(__xludf.DUMMYFUNCTION("""COMPUTED_VALUE"""),"B2B")</f>
        <v>B2B</v>
      </c>
      <c r="P389" s="16">
        <f>IFERROR(__xludf.DUMMYFUNCTION("""COMPUTED_VALUE"""),67.68)</f>
        <v>67.68</v>
      </c>
      <c r="Q389" s="15">
        <f>IFERROR(__xludf.DUMMYFUNCTION("""COMPUTED_VALUE"""),1.0)</f>
        <v>1</v>
      </c>
      <c r="R389" s="15" t="str">
        <f>IFERROR(__xludf.DUMMYFUNCTION("""COMPUTED_VALUE"""),"RODO")</f>
        <v>RODO</v>
      </c>
      <c r="S389" s="15" t="str">
        <f>IFERROR(__xludf.DUMMYFUNCTION("""COMPUTED_VALUE"""),"ITN")</f>
        <v>ITN</v>
      </c>
      <c r="T389" s="15" t="str">
        <f>IFERROR(__xludf.DUMMYFUNCTION("""COMPUTED_VALUE"""),"104")</f>
        <v>104</v>
      </c>
      <c r="U389" s="15" t="str">
        <f>IFERROR(__xludf.DUMMYFUNCTION("""COMPUTED_VALUE"""),"266803642 1305582 8176797 marisol lacerda fagundes trifil ria 104")</f>
        <v>266803642 1305582 8176797 marisol lacerda fagundes trifil ria 104</v>
      </c>
      <c r="V389" s="15" t="b">
        <f>IFERROR(__xludf.DUMMYFUNCTION("""COMPUTED_VALUE"""),FALSE)</f>
        <v>0</v>
      </c>
    </row>
    <row r="390">
      <c r="A390" s="19">
        <f>IFERROR(__xludf.DUMMYFUNCTION("""COMPUTED_VALUE"""),46304.0)</f>
        <v>46304</v>
      </c>
      <c r="B390" s="19">
        <f>IFERROR(__xludf.DUMMYFUNCTION("""COMPUTED_VALUE"""),46321.0)</f>
        <v>46321</v>
      </c>
      <c r="C390" s="15">
        <f>IFERROR(__xludf.DUMMYFUNCTION("""COMPUTED_VALUE"""),10.0)</f>
        <v>10</v>
      </c>
      <c r="D390" s="15" t="str">
        <f>IFERROR(__xludf.DUMMYFUNCTION("""COMPUTED_VALUE"""),"RIA")</f>
        <v>RIA</v>
      </c>
      <c r="E390" s="15" t="str">
        <f>IFERROR(__xludf.DUMMYFUNCTION("""COMPUTED_VALUE"""),"ANDREIA GABRIEL DA CRUZ")</f>
        <v>ANDREIA GABRIEL DA CRUZ</v>
      </c>
      <c r="F390" s="15" t="str">
        <f>IFERROR(__xludf.DUMMYFUNCTION("""COMPUTED_VALUE"""),"TRIFIL")</f>
        <v>TRIFIL</v>
      </c>
      <c r="G390" s="15" t="str">
        <f>IFERROR(__xludf.DUMMYFUNCTION("""COMPUTED_VALUE"""),"266803643")</f>
        <v>266803643</v>
      </c>
      <c r="H390" s="15" t="str">
        <f>IFERROR(__xludf.DUMMYFUNCTION("""COMPUTED_VALUE"""),"1305053")</f>
        <v>1305053</v>
      </c>
      <c r="I390" s="15" t="str">
        <f>IFERROR(__xludf.DUMMYFUNCTION("""COMPUTED_VALUE"""),"8176836")</f>
        <v>8176836</v>
      </c>
      <c r="J390" s="15" t="str">
        <f>IFERROR(__xludf.DUMMYFUNCTION("""COMPUTED_VALUE"""),"CIF")</f>
        <v>CIF</v>
      </c>
      <c r="K390" s="15" t="str">
        <f>IFERROR(__xludf.DUMMYFUNCTION("""COMPUTED_VALUE"""),"SAO-1")</f>
        <v>SAO-1</v>
      </c>
      <c r="L390" s="15" t="str">
        <f>IFERROR(__xludf.DUMMYFUNCTION("""COMPUTED_VALUE"""),"AUTORIZADO")</f>
        <v>AUTORIZADO</v>
      </c>
      <c r="M390" s="15" t="str">
        <f>IFERROR(__xludf.DUMMYFUNCTION("""COMPUTED_VALUE"""),"NA ORIGEM")</f>
        <v>NA ORIGEM</v>
      </c>
      <c r="N390" s="15" t="str">
        <f>IFERROR(__xludf.DUMMYFUNCTION("""COMPUTED_VALUE"""),"Antes Prazo")</f>
        <v>Antes Prazo</v>
      </c>
      <c r="O390" s="15" t="str">
        <f>IFERROR(__xludf.DUMMYFUNCTION("""COMPUTED_VALUE"""),"B2B")</f>
        <v>B2B</v>
      </c>
      <c r="P390" s="16">
        <f>IFERROR(__xludf.DUMMYFUNCTION("""COMPUTED_VALUE"""),67.68)</f>
        <v>67.68</v>
      </c>
      <c r="Q390" s="15">
        <f>IFERROR(__xludf.DUMMYFUNCTION("""COMPUTED_VALUE"""),1.0)</f>
        <v>1</v>
      </c>
      <c r="R390" s="15" t="str">
        <f>IFERROR(__xludf.DUMMYFUNCTION("""COMPUTED_VALUE"""),"RODO")</f>
        <v>RODO</v>
      </c>
      <c r="S390" s="15" t="str">
        <f>IFERROR(__xludf.DUMMYFUNCTION("""COMPUTED_VALUE"""),"ITN")</f>
        <v>ITN</v>
      </c>
      <c r="T390" s="15" t="str">
        <f>IFERROR(__xludf.DUMMYFUNCTION("""COMPUTED_VALUE"""),"101")</f>
        <v>101</v>
      </c>
      <c r="U390" s="15" t="str">
        <f>IFERROR(__xludf.DUMMYFUNCTION("""COMPUTED_VALUE"""),"266803643 1305053 8176836 andreia gabriel da cruz trifil ria 101")</f>
        <v>266803643 1305053 8176836 andreia gabriel da cruz trifil ria 101</v>
      </c>
      <c r="V390" s="15" t="b">
        <f>IFERROR(__xludf.DUMMYFUNCTION("""COMPUTED_VALUE"""),FALSE)</f>
        <v>0</v>
      </c>
    </row>
    <row r="391">
      <c r="A391" s="19">
        <f>IFERROR(__xludf.DUMMYFUNCTION("""COMPUTED_VALUE"""),46304.0)</f>
        <v>46304</v>
      </c>
      <c r="B391" s="19">
        <f>IFERROR(__xludf.DUMMYFUNCTION("""COMPUTED_VALUE"""),46316.0)</f>
        <v>46316</v>
      </c>
      <c r="C391" s="15">
        <f>IFERROR(__xludf.DUMMYFUNCTION("""COMPUTED_VALUE"""),7.0)</f>
        <v>7</v>
      </c>
      <c r="D391" s="15" t="str">
        <f>IFERROR(__xludf.DUMMYFUNCTION("""COMPUTED_VALUE"""),"ABS")</f>
        <v>ABS</v>
      </c>
      <c r="E391" s="15" t="str">
        <f>IFERROR(__xludf.DUMMYFUNCTION("""COMPUTED_VALUE"""),"MAIS MEIAS EIRELI - EPP")</f>
        <v>MAIS MEIAS EIRELI - EPP</v>
      </c>
      <c r="F391" s="15" t="str">
        <f>IFERROR(__xludf.DUMMYFUNCTION("""COMPUTED_VALUE"""),"TRIFIL")</f>
        <v>TRIFIL</v>
      </c>
      <c r="G391" s="15" t="str">
        <f>IFERROR(__xludf.DUMMYFUNCTION("""COMPUTED_VALUE"""),"266803644")</f>
        <v>266803644</v>
      </c>
      <c r="H391" s="15" t="str">
        <f>IFERROR(__xludf.DUMMYFUNCTION("""COMPUTED_VALUE"""),"1304804")</f>
        <v>1304804</v>
      </c>
      <c r="I391" s="15" t="str">
        <f>IFERROR(__xludf.DUMMYFUNCTION("""COMPUTED_VALUE"""),"8177056")</f>
        <v>8177056</v>
      </c>
      <c r="J391" s="15" t="str">
        <f>IFERROR(__xludf.DUMMYFUNCTION("""COMPUTED_VALUE"""),"CIF")</f>
        <v>CIF</v>
      </c>
      <c r="K391" s="15" t="str">
        <f>IFERROR(__xludf.DUMMYFUNCTION("""COMPUTED_VALUE"""),"(sem célula)")</f>
        <v>(sem célula)</v>
      </c>
      <c r="L391" s="15" t="str">
        <f>IFERROR(__xludf.DUMMYFUNCTION("""COMPUTED_VALUE"""),"AUTORIZADO")</f>
        <v>AUTORIZADO</v>
      </c>
      <c r="M391" s="15" t="str">
        <f>IFERROR(__xludf.DUMMYFUNCTION("""COMPUTED_VALUE"""),"NA ORIGEM")</f>
        <v>NA ORIGEM</v>
      </c>
      <c r="N391" s="15" t="str">
        <f>IFERROR(__xludf.DUMMYFUNCTION("""COMPUTED_VALUE"""),"Antes Prazo")</f>
        <v>Antes Prazo</v>
      </c>
      <c r="O391" s="15" t="str">
        <f>IFERROR(__xludf.DUMMYFUNCTION("""COMPUTED_VALUE"""),"B2B")</f>
        <v>B2B</v>
      </c>
      <c r="P391" s="16">
        <f>IFERROR(__xludf.DUMMYFUNCTION("""COMPUTED_VALUE"""),45.49)</f>
        <v>45.49</v>
      </c>
      <c r="Q391" s="15">
        <f>IFERROR(__xludf.DUMMYFUNCTION("""COMPUTED_VALUE"""),1.0)</f>
        <v>1</v>
      </c>
      <c r="R391" s="15" t="str">
        <f>IFERROR(__xludf.DUMMYFUNCTION("""COMPUTED_VALUE"""),"RODO")</f>
        <v>RODO</v>
      </c>
      <c r="S391" s="15" t="str">
        <f>IFERROR(__xludf.DUMMYFUNCTION("""COMPUTED_VALUE"""),"ITN")</f>
        <v>ITN</v>
      </c>
      <c r="T391" s="15" t="str">
        <f>IFERROR(__xludf.DUMMYFUNCTION("""COMPUTED_VALUE"""),"971")</f>
        <v>971</v>
      </c>
      <c r="U391" s="15" t="str">
        <f>IFERROR(__xludf.DUMMYFUNCTION("""COMPUTED_VALUE"""),"266803644 1304804 8177056 mais meias eireli - epp trifil abs 971")</f>
        <v>266803644 1304804 8177056 mais meias eireli - epp trifil abs 971</v>
      </c>
      <c r="V391" s="15" t="b">
        <f>IFERROR(__xludf.DUMMYFUNCTION("""COMPUTED_VALUE"""),FALSE)</f>
        <v>0</v>
      </c>
    </row>
    <row r="392">
      <c r="A392" s="19">
        <f>IFERROR(__xludf.DUMMYFUNCTION("""COMPUTED_VALUE"""),46304.0)</f>
        <v>46304</v>
      </c>
      <c r="B392" s="19">
        <f>IFERROR(__xludf.DUMMYFUNCTION("""COMPUTED_VALUE"""),46323.0)</f>
        <v>46323</v>
      </c>
      <c r="C392" s="15">
        <f>IFERROR(__xludf.DUMMYFUNCTION("""COMPUTED_VALUE"""),12.0)</f>
        <v>12</v>
      </c>
      <c r="D392" s="15" t="str">
        <f>IFERROR(__xludf.DUMMYFUNCTION("""COMPUTED_VALUE"""),"URG")</f>
        <v>URG</v>
      </c>
      <c r="E392" s="15" t="str">
        <f>IFERROR(__xludf.DUMMYFUNCTION("""COMPUTED_VALUE"""),"VANIA MARIA F. SOARES")</f>
        <v>VANIA MARIA F. SOARES</v>
      </c>
      <c r="F392" s="15" t="str">
        <f>IFERROR(__xludf.DUMMYFUNCTION("""COMPUTED_VALUE"""),"TRIFIL")</f>
        <v>TRIFIL</v>
      </c>
      <c r="G392" s="15" t="str">
        <f>IFERROR(__xludf.DUMMYFUNCTION("""COMPUTED_VALUE"""),"266803645")</f>
        <v>266803645</v>
      </c>
      <c r="H392" s="15" t="str">
        <f>IFERROR(__xludf.DUMMYFUNCTION("""COMPUTED_VALUE"""),"1305457")</f>
        <v>1305457</v>
      </c>
      <c r="I392" s="15" t="str">
        <f>IFERROR(__xludf.DUMMYFUNCTION("""COMPUTED_VALUE"""),"8176837")</f>
        <v>8176837</v>
      </c>
      <c r="J392" s="15" t="str">
        <f>IFERROR(__xludf.DUMMYFUNCTION("""COMPUTED_VALUE"""),"CIF")</f>
        <v>CIF</v>
      </c>
      <c r="K392" s="15" t="str">
        <f>IFERROR(__xludf.DUMMYFUNCTION("""COMPUTED_VALUE"""),"FSA-1")</f>
        <v>FSA-1</v>
      </c>
      <c r="L392" s="15" t="str">
        <f>IFERROR(__xludf.DUMMYFUNCTION("""COMPUTED_VALUE"""),"AUTORIZADO")</f>
        <v>AUTORIZADO</v>
      </c>
      <c r="M392" s="15" t="str">
        <f>IFERROR(__xludf.DUMMYFUNCTION("""COMPUTED_VALUE"""),"NA ORIGEM")</f>
        <v>NA ORIGEM</v>
      </c>
      <c r="N392" s="15" t="str">
        <f>IFERROR(__xludf.DUMMYFUNCTION("""COMPUTED_VALUE"""),"Antes Prazo")</f>
        <v>Antes Prazo</v>
      </c>
      <c r="O392" s="15" t="str">
        <f>IFERROR(__xludf.DUMMYFUNCTION("""COMPUTED_VALUE"""),"B2B")</f>
        <v>B2B</v>
      </c>
      <c r="P392" s="16">
        <f>IFERROR(__xludf.DUMMYFUNCTION("""COMPUTED_VALUE"""),67.68)</f>
        <v>67.68</v>
      </c>
      <c r="Q392" s="15">
        <f>IFERROR(__xludf.DUMMYFUNCTION("""COMPUTED_VALUE"""),1.0)</f>
        <v>1</v>
      </c>
      <c r="R392" s="15" t="str">
        <f>IFERROR(__xludf.DUMMYFUNCTION("""COMPUTED_VALUE"""),"RODO")</f>
        <v>RODO</v>
      </c>
      <c r="S392" s="15" t="str">
        <f>IFERROR(__xludf.DUMMYFUNCTION("""COMPUTED_VALUE"""),"ITN")</f>
        <v>ITN</v>
      </c>
      <c r="T392" s="15" t="str">
        <f>IFERROR(__xludf.DUMMYFUNCTION("""COMPUTED_VALUE"""),"101")</f>
        <v>101</v>
      </c>
      <c r="U392" s="15" t="str">
        <f>IFERROR(__xludf.DUMMYFUNCTION("""COMPUTED_VALUE"""),"266803645 1305457 8176837 vania maria f. soares trifil urg 101")</f>
        <v>266803645 1305457 8176837 vania maria f. soares trifil urg 101</v>
      </c>
      <c r="V392" s="15" t="b">
        <f>IFERROR(__xludf.DUMMYFUNCTION("""COMPUTED_VALUE"""),FALSE)</f>
        <v>0</v>
      </c>
    </row>
    <row r="393">
      <c r="A393" s="19">
        <f>IFERROR(__xludf.DUMMYFUNCTION("""COMPUTED_VALUE"""),46304.0)</f>
        <v>46304</v>
      </c>
      <c r="B393" s="19">
        <f>IFERROR(__xludf.DUMMYFUNCTION("""COMPUTED_VALUE"""),46325.0)</f>
        <v>46325</v>
      </c>
      <c r="C393" s="15">
        <f>IFERROR(__xludf.DUMMYFUNCTION("""COMPUTED_VALUE"""),14.0)</f>
        <v>14</v>
      </c>
      <c r="D393" s="15" t="str">
        <f>IFERROR(__xludf.DUMMYFUNCTION("""COMPUTED_VALUE"""),"GEL")</f>
        <v>GEL</v>
      </c>
      <c r="E393" s="15" t="str">
        <f>IFERROR(__xludf.DUMMYFUNCTION("""COMPUTED_VALUE"""),"MARCIANE MACIEL DE BRUM 00695657089")</f>
        <v>MARCIANE MACIEL DE BRUM 00695657089</v>
      </c>
      <c r="F393" s="15" t="str">
        <f>IFERROR(__xludf.DUMMYFUNCTION("""COMPUTED_VALUE"""),"TRIFIL")</f>
        <v>TRIFIL</v>
      </c>
      <c r="G393" s="15" t="str">
        <f>IFERROR(__xludf.DUMMYFUNCTION("""COMPUTED_VALUE"""),"266803646")</f>
        <v>266803646</v>
      </c>
      <c r="H393" s="15" t="str">
        <f>IFERROR(__xludf.DUMMYFUNCTION("""COMPUTED_VALUE"""),"1305632")</f>
        <v>1305632</v>
      </c>
      <c r="I393" s="15" t="str">
        <f>IFERROR(__xludf.DUMMYFUNCTION("""COMPUTED_VALUE"""),"8177016")</f>
        <v>8177016</v>
      </c>
      <c r="J393" s="15" t="str">
        <f>IFERROR(__xludf.DUMMYFUNCTION("""COMPUTED_VALUE"""),"CIF")</f>
        <v>CIF</v>
      </c>
      <c r="K393" s="15" t="str">
        <f>IFERROR(__xludf.DUMMYFUNCTION("""COMPUTED_VALUE"""),"FSA-1")</f>
        <v>FSA-1</v>
      </c>
      <c r="L393" s="15" t="str">
        <f>IFERROR(__xludf.DUMMYFUNCTION("""COMPUTED_VALUE"""),"AUTORIZADO")</f>
        <v>AUTORIZADO</v>
      </c>
      <c r="M393" s="15" t="str">
        <f>IFERROR(__xludf.DUMMYFUNCTION("""COMPUTED_VALUE"""),"NA ORIGEM")</f>
        <v>NA ORIGEM</v>
      </c>
      <c r="N393" s="15" t="str">
        <f>IFERROR(__xludf.DUMMYFUNCTION("""COMPUTED_VALUE"""),"Antes Prazo")</f>
        <v>Antes Prazo</v>
      </c>
      <c r="O393" s="15" t="str">
        <f>IFERROR(__xludf.DUMMYFUNCTION("""COMPUTED_VALUE"""),"B2B")</f>
        <v>B2B</v>
      </c>
      <c r="P393" s="16">
        <f>IFERROR(__xludf.DUMMYFUNCTION("""COMPUTED_VALUE"""),67.68)</f>
        <v>67.68</v>
      </c>
      <c r="Q393" s="15">
        <f>IFERROR(__xludf.DUMMYFUNCTION("""COMPUTED_VALUE"""),1.0)</f>
        <v>1</v>
      </c>
      <c r="R393" s="15" t="str">
        <f>IFERROR(__xludf.DUMMYFUNCTION("""COMPUTED_VALUE"""),"RODO")</f>
        <v>RODO</v>
      </c>
      <c r="S393" s="15" t="str">
        <f>IFERROR(__xludf.DUMMYFUNCTION("""COMPUTED_VALUE"""),"ITN")</f>
        <v>ITN</v>
      </c>
      <c r="T393" s="15" t="str">
        <f>IFERROR(__xludf.DUMMYFUNCTION("""COMPUTED_VALUE"""),"103")</f>
        <v>103</v>
      </c>
      <c r="U393" s="15" t="str">
        <f>IFERROR(__xludf.DUMMYFUNCTION("""COMPUTED_VALUE"""),"266803646 1305632 8177016 marciane maciel de brum 00695657089 trifil gel 103")</f>
        <v>266803646 1305632 8177016 marciane maciel de brum 00695657089 trifil gel 103</v>
      </c>
      <c r="V393" s="15" t="b">
        <f>IFERROR(__xludf.DUMMYFUNCTION("""COMPUTED_VALUE"""),FALSE)</f>
        <v>0</v>
      </c>
    </row>
    <row r="394">
      <c r="A394" s="19">
        <f>IFERROR(__xludf.DUMMYFUNCTION("""COMPUTED_VALUE"""),46304.0)</f>
        <v>46304</v>
      </c>
      <c r="B394" s="19">
        <f>IFERROR(__xludf.DUMMYFUNCTION("""COMPUTED_VALUE"""),46330.0)</f>
        <v>46330</v>
      </c>
      <c r="C394" s="15">
        <f>IFERROR(__xludf.DUMMYFUNCTION("""COMPUTED_VALUE"""),16.0)</f>
        <v>16</v>
      </c>
      <c r="D394" s="15" t="str">
        <f>IFERROR(__xludf.DUMMYFUNCTION("""COMPUTED_VALUE"""),"GEL")</f>
        <v>GEL</v>
      </c>
      <c r="E394" s="15" t="str">
        <f>IFERROR(__xludf.DUMMYFUNCTION("""COMPUTED_VALUE"""),"FABIULA APARECIDA PITHAN DE AB")</f>
        <v>FABIULA APARECIDA PITHAN DE AB</v>
      </c>
      <c r="F394" s="15" t="str">
        <f>IFERROR(__xludf.DUMMYFUNCTION("""COMPUTED_VALUE"""),"TRIFIL")</f>
        <v>TRIFIL</v>
      </c>
      <c r="G394" s="15" t="str">
        <f>IFERROR(__xludf.DUMMYFUNCTION("""COMPUTED_VALUE"""),"266803647")</f>
        <v>266803647</v>
      </c>
      <c r="H394" s="15" t="str">
        <f>IFERROR(__xludf.DUMMYFUNCTION("""COMPUTED_VALUE"""),"1305944")</f>
        <v>1305944</v>
      </c>
      <c r="I394" s="15" t="str">
        <f>IFERROR(__xludf.DUMMYFUNCTION("""COMPUTED_VALUE"""),"8176958")</f>
        <v>8176958</v>
      </c>
      <c r="J394" s="15" t="str">
        <f>IFERROR(__xludf.DUMMYFUNCTION("""COMPUTED_VALUE"""),"CIF")</f>
        <v>CIF</v>
      </c>
      <c r="K394" s="15" t="str">
        <f>IFERROR(__xludf.DUMMYFUNCTION("""COMPUTED_VALUE"""),"FSA-1")</f>
        <v>FSA-1</v>
      </c>
      <c r="L394" s="15" t="str">
        <f>IFERROR(__xludf.DUMMYFUNCTION("""COMPUTED_VALUE"""),"AUTORIZADO")</f>
        <v>AUTORIZADO</v>
      </c>
      <c r="M394" s="15" t="str">
        <f>IFERROR(__xludf.DUMMYFUNCTION("""COMPUTED_VALUE"""),"NA ORIGEM")</f>
        <v>NA ORIGEM</v>
      </c>
      <c r="N394" s="15" t="str">
        <f>IFERROR(__xludf.DUMMYFUNCTION("""COMPUTED_VALUE"""),"Antes Prazo")</f>
        <v>Antes Prazo</v>
      </c>
      <c r="O394" s="15" t="str">
        <f>IFERROR(__xludf.DUMMYFUNCTION("""COMPUTED_VALUE"""),"B2B")</f>
        <v>B2B</v>
      </c>
      <c r="P394" s="16">
        <f>IFERROR(__xludf.DUMMYFUNCTION("""COMPUTED_VALUE"""),67.68)</f>
        <v>67.68</v>
      </c>
      <c r="Q394" s="15">
        <f>IFERROR(__xludf.DUMMYFUNCTION("""COMPUTED_VALUE"""),2.0)</f>
        <v>2</v>
      </c>
      <c r="R394" s="15" t="str">
        <f>IFERROR(__xludf.DUMMYFUNCTION("""COMPUTED_VALUE"""),"RODO")</f>
        <v>RODO</v>
      </c>
      <c r="S394" s="15" t="str">
        <f>IFERROR(__xludf.DUMMYFUNCTION("""COMPUTED_VALUE"""),"ITN")</f>
        <v>ITN</v>
      </c>
      <c r="T394" s="15" t="str">
        <f>IFERROR(__xludf.DUMMYFUNCTION("""COMPUTED_VALUE"""),"102")</f>
        <v>102</v>
      </c>
      <c r="U394" s="15" t="str">
        <f>IFERROR(__xludf.DUMMYFUNCTION("""COMPUTED_VALUE"""),"266803647 1305944 8176958 fabiula aparecida pithan de ab trifil gel 102")</f>
        <v>266803647 1305944 8176958 fabiula aparecida pithan de ab trifil gel 102</v>
      </c>
      <c r="V394" s="15" t="b">
        <f>IFERROR(__xludf.DUMMYFUNCTION("""COMPUTED_VALUE"""),FALSE)</f>
        <v>0</v>
      </c>
    </row>
    <row r="395">
      <c r="A395" s="19">
        <f>IFERROR(__xludf.DUMMYFUNCTION("""COMPUTED_VALUE"""),46304.0)</f>
        <v>46304</v>
      </c>
      <c r="B395" s="19">
        <f>IFERROR(__xludf.DUMMYFUNCTION("""COMPUTED_VALUE"""),46322.0)</f>
        <v>46322</v>
      </c>
      <c r="C395" s="15">
        <f>IFERROR(__xludf.DUMMYFUNCTION("""COMPUTED_VALUE"""),11.0)</f>
        <v>11</v>
      </c>
      <c r="D395" s="15" t="str">
        <f>IFERROR(__xludf.DUMMYFUNCTION("""COMPUTED_VALUE"""),"PFB")</f>
        <v>PFB</v>
      </c>
      <c r="E395" s="15" t="str">
        <f>IFERROR(__xludf.DUMMYFUNCTION("""COMPUTED_VALUE"""),"CORPO E ARTE")</f>
        <v>CORPO E ARTE</v>
      </c>
      <c r="F395" s="15" t="str">
        <f>IFERROR(__xludf.DUMMYFUNCTION("""COMPUTED_VALUE"""),"TRIFIL")</f>
        <v>TRIFIL</v>
      </c>
      <c r="G395" s="15" t="str">
        <f>IFERROR(__xludf.DUMMYFUNCTION("""COMPUTED_VALUE"""),"266803648")</f>
        <v>266803648</v>
      </c>
      <c r="H395" s="15" t="str">
        <f>IFERROR(__xludf.DUMMYFUNCTION("""COMPUTED_VALUE"""),"1305416")</f>
        <v>1305416</v>
      </c>
      <c r="I395" s="15" t="str">
        <f>IFERROR(__xludf.DUMMYFUNCTION("""COMPUTED_VALUE"""),"8176838")</f>
        <v>8176838</v>
      </c>
      <c r="J395" s="15" t="str">
        <f>IFERROR(__xludf.DUMMYFUNCTION("""COMPUTED_VALUE"""),"CIF")</f>
        <v>CIF</v>
      </c>
      <c r="K395" s="15" t="str">
        <f>IFERROR(__xludf.DUMMYFUNCTION("""COMPUTED_VALUE"""),"FSA-1")</f>
        <v>FSA-1</v>
      </c>
      <c r="L395" s="15" t="str">
        <f>IFERROR(__xludf.DUMMYFUNCTION("""COMPUTED_VALUE"""),"AUTORIZADO")</f>
        <v>AUTORIZADO</v>
      </c>
      <c r="M395" s="15" t="str">
        <f>IFERROR(__xludf.DUMMYFUNCTION("""COMPUTED_VALUE"""),"NA ORIGEM")</f>
        <v>NA ORIGEM</v>
      </c>
      <c r="N395" s="15" t="str">
        <f>IFERROR(__xludf.DUMMYFUNCTION("""COMPUTED_VALUE"""),"Antes Prazo")</f>
        <v>Antes Prazo</v>
      </c>
      <c r="O395" s="15" t="str">
        <f>IFERROR(__xludf.DUMMYFUNCTION("""COMPUTED_VALUE"""),"B2B")</f>
        <v>B2B</v>
      </c>
      <c r="P395" s="16">
        <f>IFERROR(__xludf.DUMMYFUNCTION("""COMPUTED_VALUE"""),67.68)</f>
        <v>67.68</v>
      </c>
      <c r="Q395" s="15">
        <f>IFERROR(__xludf.DUMMYFUNCTION("""COMPUTED_VALUE"""),1.0)</f>
        <v>1</v>
      </c>
      <c r="R395" s="15" t="str">
        <f>IFERROR(__xludf.DUMMYFUNCTION("""COMPUTED_VALUE"""),"RODO")</f>
        <v>RODO</v>
      </c>
      <c r="S395" s="15" t="str">
        <f>IFERROR(__xludf.DUMMYFUNCTION("""COMPUTED_VALUE"""),"ITN")</f>
        <v>ITN</v>
      </c>
      <c r="T395" s="15" t="str">
        <f>IFERROR(__xludf.DUMMYFUNCTION("""COMPUTED_VALUE"""),"108")</f>
        <v>108</v>
      </c>
      <c r="U395" s="15" t="str">
        <f>IFERROR(__xludf.DUMMYFUNCTION("""COMPUTED_VALUE"""),"266803648 1305416 8176838 corpo e arte trifil pfb 108")</f>
        <v>266803648 1305416 8176838 corpo e arte trifil pfb 108</v>
      </c>
      <c r="V395" s="15" t="b">
        <f>IFERROR(__xludf.DUMMYFUNCTION("""COMPUTED_VALUE"""),FALSE)</f>
        <v>0</v>
      </c>
    </row>
    <row r="396">
      <c r="A396" s="19">
        <f>IFERROR(__xludf.DUMMYFUNCTION("""COMPUTED_VALUE"""),46304.0)</f>
        <v>46304</v>
      </c>
      <c r="B396" s="19">
        <f>IFERROR(__xludf.DUMMYFUNCTION("""COMPUTED_VALUE"""),46318.0)</f>
        <v>46318</v>
      </c>
      <c r="C396" s="15">
        <f>IFERROR(__xludf.DUMMYFUNCTION("""COMPUTED_VALUE"""),9.0)</f>
        <v>9</v>
      </c>
      <c r="D396" s="15" t="str">
        <f>IFERROR(__xludf.DUMMYFUNCTION("""COMPUTED_VALUE"""),"GEL")</f>
        <v>GEL</v>
      </c>
      <c r="E396" s="15" t="str">
        <f>IFERROR(__xludf.DUMMYFUNCTION("""COMPUTED_VALUE"""),"GARDEN LINGERIE")</f>
        <v>GARDEN LINGERIE</v>
      </c>
      <c r="F396" s="15" t="str">
        <f>IFERROR(__xludf.DUMMYFUNCTION("""COMPUTED_VALUE"""),"TRIFIL")</f>
        <v>TRIFIL</v>
      </c>
      <c r="G396" s="15" t="str">
        <f>IFERROR(__xludf.DUMMYFUNCTION("""COMPUTED_VALUE"""),"266803649")</f>
        <v>266803649</v>
      </c>
      <c r="H396" s="15" t="str">
        <f>IFERROR(__xludf.DUMMYFUNCTION("""COMPUTED_VALUE"""),"1305083")</f>
        <v>1305083</v>
      </c>
      <c r="I396" s="15" t="str">
        <f>IFERROR(__xludf.DUMMYFUNCTION("""COMPUTED_VALUE"""),"8177066")</f>
        <v>8177066</v>
      </c>
      <c r="J396" s="15" t="str">
        <f>IFERROR(__xludf.DUMMYFUNCTION("""COMPUTED_VALUE"""),"CIF")</f>
        <v>CIF</v>
      </c>
      <c r="K396" s="15" t="str">
        <f>IFERROR(__xludf.DUMMYFUNCTION("""COMPUTED_VALUE"""),"FSA-1")</f>
        <v>FSA-1</v>
      </c>
      <c r="L396" s="15" t="str">
        <f>IFERROR(__xludf.DUMMYFUNCTION("""COMPUTED_VALUE"""),"AUTORIZADO")</f>
        <v>AUTORIZADO</v>
      </c>
      <c r="M396" s="15" t="str">
        <f>IFERROR(__xludf.DUMMYFUNCTION("""COMPUTED_VALUE"""),"NA ORIGEM")</f>
        <v>NA ORIGEM</v>
      </c>
      <c r="N396" s="15" t="str">
        <f>IFERROR(__xludf.DUMMYFUNCTION("""COMPUTED_VALUE"""),"Antes Prazo")</f>
        <v>Antes Prazo</v>
      </c>
      <c r="O396" s="15" t="str">
        <f>IFERROR(__xludf.DUMMYFUNCTION("""COMPUTED_VALUE"""),"B2B")</f>
        <v>B2B</v>
      </c>
      <c r="P396" s="16">
        <f>IFERROR(__xludf.DUMMYFUNCTION("""COMPUTED_VALUE"""),67.68)</f>
        <v>67.68</v>
      </c>
      <c r="Q396" s="15">
        <f>IFERROR(__xludf.DUMMYFUNCTION("""COMPUTED_VALUE"""),1.0)</f>
        <v>1</v>
      </c>
      <c r="R396" s="15" t="str">
        <f>IFERROR(__xludf.DUMMYFUNCTION("""COMPUTED_VALUE"""),"RODO")</f>
        <v>RODO</v>
      </c>
      <c r="S396" s="15" t="str">
        <f>IFERROR(__xludf.DUMMYFUNCTION("""COMPUTED_VALUE"""),"ITN")</f>
        <v>ITN</v>
      </c>
      <c r="T396" s="15" t="str">
        <f>IFERROR(__xludf.DUMMYFUNCTION("""COMPUTED_VALUE"""),"101")</f>
        <v>101</v>
      </c>
      <c r="U396" s="15" t="str">
        <f>IFERROR(__xludf.DUMMYFUNCTION("""COMPUTED_VALUE"""),"266803649 1305083 8177066 garden lingerie trifil gel 101")</f>
        <v>266803649 1305083 8177066 garden lingerie trifil gel 101</v>
      </c>
      <c r="V396" s="15" t="b">
        <f>IFERROR(__xludf.DUMMYFUNCTION("""COMPUTED_VALUE"""),FALSE)</f>
        <v>0</v>
      </c>
    </row>
    <row r="397">
      <c r="A397" s="19">
        <f>IFERROR(__xludf.DUMMYFUNCTION("""COMPUTED_VALUE"""),46304.0)</f>
        <v>46304</v>
      </c>
      <c r="B397" s="19">
        <f>IFERROR(__xludf.DUMMYFUNCTION("""COMPUTED_VALUE"""),46318.0)</f>
        <v>46318</v>
      </c>
      <c r="C397" s="15">
        <f>IFERROR(__xludf.DUMMYFUNCTION("""COMPUTED_VALUE"""),9.0)</f>
        <v>9</v>
      </c>
      <c r="D397" s="15" t="str">
        <f>IFERROR(__xludf.DUMMYFUNCTION("""COMPUTED_VALUE"""),"GEL")</f>
        <v>GEL</v>
      </c>
      <c r="E397" s="15" t="str">
        <f>IFERROR(__xludf.DUMMYFUNCTION("""COMPUTED_VALUE"""),"BRUNA WESCHENFELDER")</f>
        <v>BRUNA WESCHENFELDER</v>
      </c>
      <c r="F397" s="15" t="str">
        <f>IFERROR(__xludf.DUMMYFUNCTION("""COMPUTED_VALUE"""),"TRIFIL")</f>
        <v>TRIFIL</v>
      </c>
      <c r="G397" s="15" t="str">
        <f>IFERROR(__xludf.DUMMYFUNCTION("""COMPUTED_VALUE"""),"266803650")</f>
        <v>266803650</v>
      </c>
      <c r="H397" s="15" t="str">
        <f>IFERROR(__xludf.DUMMYFUNCTION("""COMPUTED_VALUE"""),"1305653")</f>
        <v>1305653</v>
      </c>
      <c r="I397" s="15" t="str">
        <f>IFERROR(__xludf.DUMMYFUNCTION("""COMPUTED_VALUE"""),"8176839")</f>
        <v>8176839</v>
      </c>
      <c r="J397" s="15" t="str">
        <f>IFERROR(__xludf.DUMMYFUNCTION("""COMPUTED_VALUE"""),"CIF")</f>
        <v>CIF</v>
      </c>
      <c r="K397" s="15" t="str">
        <f>IFERROR(__xludf.DUMMYFUNCTION("""COMPUTED_VALUE"""),"FSA-1")</f>
        <v>FSA-1</v>
      </c>
      <c r="L397" s="15" t="str">
        <f>IFERROR(__xludf.DUMMYFUNCTION("""COMPUTED_VALUE"""),"AUTORIZADO")</f>
        <v>AUTORIZADO</v>
      </c>
      <c r="M397" s="15" t="str">
        <f>IFERROR(__xludf.DUMMYFUNCTION("""COMPUTED_VALUE"""),"NA ORIGEM")</f>
        <v>NA ORIGEM</v>
      </c>
      <c r="N397" s="15" t="str">
        <f>IFERROR(__xludf.DUMMYFUNCTION("""COMPUTED_VALUE"""),"Antes Prazo")</f>
        <v>Antes Prazo</v>
      </c>
      <c r="O397" s="15" t="str">
        <f>IFERROR(__xludf.DUMMYFUNCTION("""COMPUTED_VALUE"""),"B2B")</f>
        <v>B2B</v>
      </c>
      <c r="P397" s="16">
        <f>IFERROR(__xludf.DUMMYFUNCTION("""COMPUTED_VALUE"""),67.68)</f>
        <v>67.68</v>
      </c>
      <c r="Q397" s="15">
        <f>IFERROR(__xludf.DUMMYFUNCTION("""COMPUTED_VALUE"""),1.0)</f>
        <v>1</v>
      </c>
      <c r="R397" s="15" t="str">
        <f>IFERROR(__xludf.DUMMYFUNCTION("""COMPUTED_VALUE"""),"RODO")</f>
        <v>RODO</v>
      </c>
      <c r="S397" s="15" t="str">
        <f>IFERROR(__xludf.DUMMYFUNCTION("""COMPUTED_VALUE"""),"ITN")</f>
        <v>ITN</v>
      </c>
      <c r="T397" s="15" t="str">
        <f>IFERROR(__xludf.DUMMYFUNCTION("""COMPUTED_VALUE"""),"101")</f>
        <v>101</v>
      </c>
      <c r="U397" s="15" t="str">
        <f>IFERROR(__xludf.DUMMYFUNCTION("""COMPUTED_VALUE"""),"266803650 1305653 8176839 bruna weschenfelder trifil gel 101")</f>
        <v>266803650 1305653 8176839 bruna weschenfelder trifil gel 101</v>
      </c>
      <c r="V397" s="15" t="b">
        <f>IFERROR(__xludf.DUMMYFUNCTION("""COMPUTED_VALUE"""),FALSE)</f>
        <v>0</v>
      </c>
    </row>
    <row r="398">
      <c r="A398" s="19">
        <f>IFERROR(__xludf.DUMMYFUNCTION("""COMPUTED_VALUE"""),46304.0)</f>
        <v>46304</v>
      </c>
      <c r="B398" s="19">
        <f>IFERROR(__xludf.DUMMYFUNCTION("""COMPUTED_VALUE"""),46321.0)</f>
        <v>46321</v>
      </c>
      <c r="C398" s="15">
        <f>IFERROR(__xludf.DUMMYFUNCTION("""COMPUTED_VALUE"""),10.0)</f>
        <v>10</v>
      </c>
      <c r="D398" s="15" t="str">
        <f>IFERROR(__xludf.DUMMYFUNCTION("""COMPUTED_VALUE"""),"GEL")</f>
        <v>GEL</v>
      </c>
      <c r="E398" s="15" t="str">
        <f>IFERROR(__xludf.DUMMYFUNCTION("""COMPUTED_VALUE"""),"SAELI CALÇADOS")</f>
        <v>SAELI CALÇADOS</v>
      </c>
      <c r="F398" s="15" t="str">
        <f>IFERROR(__xludf.DUMMYFUNCTION("""COMPUTED_VALUE"""),"TRIFIL")</f>
        <v>TRIFIL</v>
      </c>
      <c r="G398" s="15" t="str">
        <f>IFERROR(__xludf.DUMMYFUNCTION("""COMPUTED_VALUE"""),"266803651")</f>
        <v>266803651</v>
      </c>
      <c r="H398" s="15" t="str">
        <f>IFERROR(__xludf.DUMMYFUNCTION("""COMPUTED_VALUE"""),"1305827")</f>
        <v>1305827</v>
      </c>
      <c r="I398" s="15" t="str">
        <f>IFERROR(__xludf.DUMMYFUNCTION("""COMPUTED_VALUE"""),"8176959")</f>
        <v>8176959</v>
      </c>
      <c r="J398" s="15" t="str">
        <f>IFERROR(__xludf.DUMMYFUNCTION("""COMPUTED_VALUE"""),"CIF")</f>
        <v>CIF</v>
      </c>
      <c r="K398" s="15" t="str">
        <f>IFERROR(__xludf.DUMMYFUNCTION("""COMPUTED_VALUE"""),"FSA-1")</f>
        <v>FSA-1</v>
      </c>
      <c r="L398" s="15" t="str">
        <f>IFERROR(__xludf.DUMMYFUNCTION("""COMPUTED_VALUE"""),"AUTORIZADO")</f>
        <v>AUTORIZADO</v>
      </c>
      <c r="M398" s="15" t="str">
        <f>IFERROR(__xludf.DUMMYFUNCTION("""COMPUTED_VALUE"""),"NA ORIGEM")</f>
        <v>NA ORIGEM</v>
      </c>
      <c r="N398" s="15" t="str">
        <f>IFERROR(__xludf.DUMMYFUNCTION("""COMPUTED_VALUE"""),"Antes Prazo")</f>
        <v>Antes Prazo</v>
      </c>
      <c r="O398" s="15" t="str">
        <f>IFERROR(__xludf.DUMMYFUNCTION("""COMPUTED_VALUE"""),"B2B")</f>
        <v>B2B</v>
      </c>
      <c r="P398" s="16">
        <f>IFERROR(__xludf.DUMMYFUNCTION("""COMPUTED_VALUE"""),67.68)</f>
        <v>67.68</v>
      </c>
      <c r="Q398" s="15">
        <f>IFERROR(__xludf.DUMMYFUNCTION("""COMPUTED_VALUE"""),2.0)</f>
        <v>2</v>
      </c>
      <c r="R398" s="15" t="str">
        <f>IFERROR(__xludf.DUMMYFUNCTION("""COMPUTED_VALUE"""),"RODO")</f>
        <v>RODO</v>
      </c>
      <c r="S398" s="15" t="str">
        <f>IFERROR(__xludf.DUMMYFUNCTION("""COMPUTED_VALUE"""),"ITN")</f>
        <v>ITN</v>
      </c>
      <c r="T398" s="15" t="str">
        <f>IFERROR(__xludf.DUMMYFUNCTION("""COMPUTED_VALUE"""),"104")</f>
        <v>104</v>
      </c>
      <c r="U398" s="15" t="str">
        <f>IFERROR(__xludf.DUMMYFUNCTION("""COMPUTED_VALUE"""),"266803651 1305827 8176959 saeli calçados trifil gel 104")</f>
        <v>266803651 1305827 8176959 saeli calçados trifil gel 104</v>
      </c>
      <c r="V398" s="15" t="b">
        <f>IFERROR(__xludf.DUMMYFUNCTION("""COMPUTED_VALUE"""),FALSE)</f>
        <v>0</v>
      </c>
    </row>
    <row r="399">
      <c r="A399" s="19">
        <f>IFERROR(__xludf.DUMMYFUNCTION("""COMPUTED_VALUE"""),46304.0)</f>
        <v>46304</v>
      </c>
      <c r="B399" s="19">
        <f>IFERROR(__xludf.DUMMYFUNCTION("""COMPUTED_VALUE"""),46321.0)</f>
        <v>46321</v>
      </c>
      <c r="C399" s="15">
        <f>IFERROR(__xludf.DUMMYFUNCTION("""COMPUTED_VALUE"""),10.0)</f>
        <v>10</v>
      </c>
      <c r="D399" s="15" t="str">
        <f>IFERROR(__xludf.DUMMYFUNCTION("""COMPUTED_VALUE"""),"GEL")</f>
        <v>GEL</v>
      </c>
      <c r="E399" s="15" t="str">
        <f>IFERROR(__xludf.DUMMYFUNCTION("""COMPUTED_VALUE"""),"JHJ CALCADOS LDTA")</f>
        <v>JHJ CALCADOS LDTA</v>
      </c>
      <c r="F399" s="15" t="str">
        <f>IFERROR(__xludf.DUMMYFUNCTION("""COMPUTED_VALUE"""),"TRIFIL")</f>
        <v>TRIFIL</v>
      </c>
      <c r="G399" s="15" t="str">
        <f>IFERROR(__xludf.DUMMYFUNCTION("""COMPUTED_VALUE"""),"266803652")</f>
        <v>266803652</v>
      </c>
      <c r="H399" s="15" t="str">
        <f>IFERROR(__xludf.DUMMYFUNCTION("""COMPUTED_VALUE"""),"1305719")</f>
        <v>1305719</v>
      </c>
      <c r="I399" s="15" t="str">
        <f>IFERROR(__xludf.DUMMYFUNCTION("""COMPUTED_VALUE"""),"8176863")</f>
        <v>8176863</v>
      </c>
      <c r="J399" s="15" t="str">
        <f>IFERROR(__xludf.DUMMYFUNCTION("""COMPUTED_VALUE"""),"CIF")</f>
        <v>CIF</v>
      </c>
      <c r="K399" s="15" t="str">
        <f>IFERROR(__xludf.DUMMYFUNCTION("""COMPUTED_VALUE"""),"FSA-1")</f>
        <v>FSA-1</v>
      </c>
      <c r="L399" s="15" t="str">
        <f>IFERROR(__xludf.DUMMYFUNCTION("""COMPUTED_VALUE"""),"AUTORIZADO")</f>
        <v>AUTORIZADO</v>
      </c>
      <c r="M399" s="15" t="str">
        <f>IFERROR(__xludf.DUMMYFUNCTION("""COMPUTED_VALUE"""),"NA ORIGEM")</f>
        <v>NA ORIGEM</v>
      </c>
      <c r="N399" s="15" t="str">
        <f>IFERROR(__xludf.DUMMYFUNCTION("""COMPUTED_VALUE"""),"Antes Prazo")</f>
        <v>Antes Prazo</v>
      </c>
      <c r="O399" s="15" t="str">
        <f>IFERROR(__xludf.DUMMYFUNCTION("""COMPUTED_VALUE"""),"B2B")</f>
        <v>B2B</v>
      </c>
      <c r="P399" s="16">
        <f>IFERROR(__xludf.DUMMYFUNCTION("""COMPUTED_VALUE"""),67.68)</f>
        <v>67.68</v>
      </c>
      <c r="Q399" s="15">
        <f>IFERROR(__xludf.DUMMYFUNCTION("""COMPUTED_VALUE"""),1.0)</f>
        <v>1</v>
      </c>
      <c r="R399" s="15" t="str">
        <f>IFERROR(__xludf.DUMMYFUNCTION("""COMPUTED_VALUE"""),"RODO")</f>
        <v>RODO</v>
      </c>
      <c r="S399" s="15" t="str">
        <f>IFERROR(__xludf.DUMMYFUNCTION("""COMPUTED_VALUE"""),"ITN")</f>
        <v>ITN</v>
      </c>
      <c r="T399" s="15" t="str">
        <f>IFERROR(__xludf.DUMMYFUNCTION("""COMPUTED_VALUE"""),"104")</f>
        <v>104</v>
      </c>
      <c r="U399" s="15" t="str">
        <f>IFERROR(__xludf.DUMMYFUNCTION("""COMPUTED_VALUE"""),"266803652 1305719 8176863 jhj calcados ldta trifil gel 104")</f>
        <v>266803652 1305719 8176863 jhj calcados ldta trifil gel 104</v>
      </c>
      <c r="V399" s="15" t="b">
        <f>IFERROR(__xludf.DUMMYFUNCTION("""COMPUTED_VALUE"""),FALSE)</f>
        <v>0</v>
      </c>
    </row>
    <row r="400">
      <c r="A400" s="19">
        <f>IFERROR(__xludf.DUMMYFUNCTION("""COMPUTED_VALUE"""),46304.0)</f>
        <v>46304</v>
      </c>
      <c r="B400" s="19">
        <f>IFERROR(__xludf.DUMMYFUNCTION("""COMPUTED_VALUE"""),46316.0)</f>
        <v>46316</v>
      </c>
      <c r="C400" s="15">
        <f>IFERROR(__xludf.DUMMYFUNCTION("""COMPUTED_VALUE"""),7.0)</f>
        <v>7</v>
      </c>
      <c r="D400" s="15" t="str">
        <f>IFERROR(__xludf.DUMMYFUNCTION("""COMPUTED_VALUE"""),"ABS")</f>
        <v>ABS</v>
      </c>
      <c r="E400" s="15" t="str">
        <f>IFERROR(__xludf.DUMMYFUNCTION("""COMPUTED_VALUE"""),"PRACA DAS MEIAS LTDA - EPP")</f>
        <v>PRACA DAS MEIAS LTDA - EPP</v>
      </c>
      <c r="F400" s="15" t="str">
        <f>IFERROR(__xludf.DUMMYFUNCTION("""COMPUTED_VALUE"""),"TRIFIL")</f>
        <v>TRIFIL</v>
      </c>
      <c r="G400" s="15" t="str">
        <f>IFERROR(__xludf.DUMMYFUNCTION("""COMPUTED_VALUE"""),"266803653")</f>
        <v>266803653</v>
      </c>
      <c r="H400" s="15" t="str">
        <f>IFERROR(__xludf.DUMMYFUNCTION("""COMPUTED_VALUE"""),"1305193")</f>
        <v>1305193</v>
      </c>
      <c r="I400" s="15" t="str">
        <f>IFERROR(__xludf.DUMMYFUNCTION("""COMPUTED_VALUE"""),"8176864")</f>
        <v>8176864</v>
      </c>
      <c r="J400" s="15" t="str">
        <f>IFERROR(__xludf.DUMMYFUNCTION("""COMPUTED_VALUE"""),"CIF")</f>
        <v>CIF</v>
      </c>
      <c r="K400" s="15" t="str">
        <f>IFERROR(__xludf.DUMMYFUNCTION("""COMPUTED_VALUE"""),"(sem célula)")</f>
        <v>(sem célula)</v>
      </c>
      <c r="L400" s="15" t="str">
        <f>IFERROR(__xludf.DUMMYFUNCTION("""COMPUTED_VALUE"""),"AUTORIZADO")</f>
        <v>AUTORIZADO</v>
      </c>
      <c r="M400" s="15" t="str">
        <f>IFERROR(__xludf.DUMMYFUNCTION("""COMPUTED_VALUE"""),"NA ORIGEM")</f>
        <v>NA ORIGEM</v>
      </c>
      <c r="N400" s="15" t="str">
        <f>IFERROR(__xludf.DUMMYFUNCTION("""COMPUTED_VALUE"""),"Antes Prazo")</f>
        <v>Antes Prazo</v>
      </c>
      <c r="O400" s="15" t="str">
        <f>IFERROR(__xludf.DUMMYFUNCTION("""COMPUTED_VALUE"""),"B2B")</f>
        <v>B2B</v>
      </c>
      <c r="P400" s="16">
        <f>IFERROR(__xludf.DUMMYFUNCTION("""COMPUTED_VALUE"""),45.49)</f>
        <v>45.49</v>
      </c>
      <c r="Q400" s="15">
        <f>IFERROR(__xludf.DUMMYFUNCTION("""COMPUTED_VALUE"""),1.0)</f>
        <v>1</v>
      </c>
      <c r="R400" s="15" t="str">
        <f>IFERROR(__xludf.DUMMYFUNCTION("""COMPUTED_VALUE"""),"RODO")</f>
        <v>RODO</v>
      </c>
      <c r="S400" s="15" t="str">
        <f>IFERROR(__xludf.DUMMYFUNCTION("""COMPUTED_VALUE"""),"ITN")</f>
        <v>ITN</v>
      </c>
      <c r="T400" s="15" t="str">
        <f>IFERROR(__xludf.DUMMYFUNCTION("""COMPUTED_VALUE"""),"993")</f>
        <v>993</v>
      </c>
      <c r="U400" s="15" t="str">
        <f>IFERROR(__xludf.DUMMYFUNCTION("""COMPUTED_VALUE"""),"266803653 1305193 8176864 praca das meias ltda - epp trifil abs 993")</f>
        <v>266803653 1305193 8176864 praca das meias ltda - epp trifil abs 993</v>
      </c>
      <c r="V400" s="15" t="b">
        <f>IFERROR(__xludf.DUMMYFUNCTION("""COMPUTED_VALUE"""),FALSE)</f>
        <v>0</v>
      </c>
    </row>
    <row r="401">
      <c r="A401" s="19">
        <f>IFERROR(__xludf.DUMMYFUNCTION("""COMPUTED_VALUE"""),46304.0)</f>
        <v>46304</v>
      </c>
      <c r="B401" s="19">
        <f>IFERROR(__xludf.DUMMYFUNCTION("""COMPUTED_VALUE"""),46324.0)</f>
        <v>46324</v>
      </c>
      <c r="C401" s="15">
        <f>IFERROR(__xludf.DUMMYFUNCTION("""COMPUTED_VALUE"""),13.0)</f>
        <v>13</v>
      </c>
      <c r="D401" s="15" t="str">
        <f>IFERROR(__xludf.DUMMYFUNCTION("""COMPUTED_VALUE"""),"PFB")</f>
        <v>PFB</v>
      </c>
      <c r="E401" s="15" t="str">
        <f>IFERROR(__xludf.DUMMYFUNCTION("""COMPUTED_VALUE"""),"BENEDUZI &amp; CIA LTDA")</f>
        <v>BENEDUZI &amp; CIA LTDA</v>
      </c>
      <c r="F401" s="15" t="str">
        <f>IFERROR(__xludf.DUMMYFUNCTION("""COMPUTED_VALUE"""),"TRIFIL")</f>
        <v>TRIFIL</v>
      </c>
      <c r="G401" s="15" t="str">
        <f>IFERROR(__xludf.DUMMYFUNCTION("""COMPUTED_VALUE"""),"266803654")</f>
        <v>266803654</v>
      </c>
      <c r="H401" s="15" t="str">
        <f>IFERROR(__xludf.DUMMYFUNCTION("""COMPUTED_VALUE"""),"1305866")</f>
        <v>1305866</v>
      </c>
      <c r="I401" s="15" t="str">
        <f>IFERROR(__xludf.DUMMYFUNCTION("""COMPUTED_VALUE"""),"8176746")</f>
        <v>8176746</v>
      </c>
      <c r="J401" s="15" t="str">
        <f>IFERROR(__xludf.DUMMYFUNCTION("""COMPUTED_VALUE"""),"CIF")</f>
        <v>CIF</v>
      </c>
      <c r="K401" s="15" t="str">
        <f>IFERROR(__xludf.DUMMYFUNCTION("""COMPUTED_VALUE"""),"FSA-1")</f>
        <v>FSA-1</v>
      </c>
      <c r="L401" s="15" t="str">
        <f>IFERROR(__xludf.DUMMYFUNCTION("""COMPUTED_VALUE"""),"AUTORIZADO")</f>
        <v>AUTORIZADO</v>
      </c>
      <c r="M401" s="15" t="str">
        <f>IFERROR(__xludf.DUMMYFUNCTION("""COMPUTED_VALUE"""),"NA ORIGEM")</f>
        <v>NA ORIGEM</v>
      </c>
      <c r="N401" s="15" t="str">
        <f>IFERROR(__xludf.DUMMYFUNCTION("""COMPUTED_VALUE"""),"Antes Prazo")</f>
        <v>Antes Prazo</v>
      </c>
      <c r="O401" s="15" t="str">
        <f>IFERROR(__xludf.DUMMYFUNCTION("""COMPUTED_VALUE"""),"B2B")</f>
        <v>B2B</v>
      </c>
      <c r="P401" s="16">
        <f>IFERROR(__xludf.DUMMYFUNCTION("""COMPUTED_VALUE"""),67.68)</f>
        <v>67.68</v>
      </c>
      <c r="Q401" s="15">
        <f>IFERROR(__xludf.DUMMYFUNCTION("""COMPUTED_VALUE"""),1.0)</f>
        <v>1</v>
      </c>
      <c r="R401" s="15" t="str">
        <f>IFERROR(__xludf.DUMMYFUNCTION("""COMPUTED_VALUE"""),"RODO")</f>
        <v>RODO</v>
      </c>
      <c r="S401" s="15" t="str">
        <f>IFERROR(__xludf.DUMMYFUNCTION("""COMPUTED_VALUE"""),"ITN")</f>
        <v>ITN</v>
      </c>
      <c r="T401" s="15" t="str">
        <f>IFERROR(__xludf.DUMMYFUNCTION("""COMPUTED_VALUE"""),"107")</f>
        <v>107</v>
      </c>
      <c r="U401" s="15" t="str">
        <f>IFERROR(__xludf.DUMMYFUNCTION("""COMPUTED_VALUE"""),"266803654 1305866 8176746 beneduzi &amp; cia ltda trifil pfb 107")</f>
        <v>266803654 1305866 8176746 beneduzi &amp; cia ltda trifil pfb 107</v>
      </c>
      <c r="V401" s="15" t="b">
        <f>IFERROR(__xludf.DUMMYFUNCTION("""COMPUTED_VALUE"""),FALSE)</f>
        <v>0</v>
      </c>
    </row>
    <row r="402">
      <c r="A402" s="19">
        <f>IFERROR(__xludf.DUMMYFUNCTION("""COMPUTED_VALUE"""),46304.0)</f>
        <v>46304</v>
      </c>
      <c r="B402" s="19">
        <f>IFERROR(__xludf.DUMMYFUNCTION("""COMPUTED_VALUE"""),46325.0)</f>
        <v>46325</v>
      </c>
      <c r="C402" s="15">
        <f>IFERROR(__xludf.DUMMYFUNCTION("""COMPUTED_VALUE"""),14.0)</f>
        <v>14</v>
      </c>
      <c r="D402" s="15" t="str">
        <f>IFERROR(__xludf.DUMMYFUNCTION("""COMPUTED_VALUE"""),"PFB")</f>
        <v>PFB</v>
      </c>
      <c r="E402" s="15" t="str">
        <f>IFERROR(__xludf.DUMMYFUNCTION("""COMPUTED_VALUE"""),"64.419.539 MAURICIO DOS SANTOS CASAGRAND")</f>
        <v>64.419.539 MAURICIO DOS SANTOS CASAGRAND</v>
      </c>
      <c r="F402" s="15" t="str">
        <f>IFERROR(__xludf.DUMMYFUNCTION("""COMPUTED_VALUE"""),"TRIFIL")</f>
        <v>TRIFIL</v>
      </c>
      <c r="G402" s="15" t="str">
        <f>IFERROR(__xludf.DUMMYFUNCTION("""COMPUTED_VALUE"""),"266803655")</f>
        <v>266803655</v>
      </c>
      <c r="H402" s="15" t="str">
        <f>IFERROR(__xludf.DUMMYFUNCTION("""COMPUTED_VALUE"""),"1304824")</f>
        <v>1304824</v>
      </c>
      <c r="I402" s="15" t="str">
        <f>IFERROR(__xludf.DUMMYFUNCTION("""COMPUTED_VALUE"""),"8177057")</f>
        <v>8177057</v>
      </c>
      <c r="J402" s="15" t="str">
        <f>IFERROR(__xludf.DUMMYFUNCTION("""COMPUTED_VALUE"""),"CIF")</f>
        <v>CIF</v>
      </c>
      <c r="K402" s="15" t="str">
        <f>IFERROR(__xludf.DUMMYFUNCTION("""COMPUTED_VALUE"""),"FSA-1")</f>
        <v>FSA-1</v>
      </c>
      <c r="L402" s="15" t="str">
        <f>IFERROR(__xludf.DUMMYFUNCTION("""COMPUTED_VALUE"""),"AUTORIZADO")</f>
        <v>AUTORIZADO</v>
      </c>
      <c r="M402" s="15" t="str">
        <f>IFERROR(__xludf.DUMMYFUNCTION("""COMPUTED_VALUE"""),"NA ORIGEM")</f>
        <v>NA ORIGEM</v>
      </c>
      <c r="N402" s="15" t="str">
        <f>IFERROR(__xludf.DUMMYFUNCTION("""COMPUTED_VALUE"""),"Antes Prazo")</f>
        <v>Antes Prazo</v>
      </c>
      <c r="O402" s="15" t="str">
        <f>IFERROR(__xludf.DUMMYFUNCTION("""COMPUTED_VALUE"""),"B2B")</f>
        <v>B2B</v>
      </c>
      <c r="P402" s="16">
        <f>IFERROR(__xludf.DUMMYFUNCTION("""COMPUTED_VALUE"""),67.68)</f>
        <v>67.68</v>
      </c>
      <c r="Q402" s="15">
        <f>IFERROR(__xludf.DUMMYFUNCTION("""COMPUTED_VALUE"""),1.0)</f>
        <v>1</v>
      </c>
      <c r="R402" s="15" t="str">
        <f>IFERROR(__xludf.DUMMYFUNCTION("""COMPUTED_VALUE"""),"RODO")</f>
        <v>RODO</v>
      </c>
      <c r="S402" s="15" t="str">
        <f>IFERROR(__xludf.DUMMYFUNCTION("""COMPUTED_VALUE"""),"ITN")</f>
        <v>ITN</v>
      </c>
      <c r="T402" s="15" t="str">
        <f>IFERROR(__xludf.DUMMYFUNCTION("""COMPUTED_VALUE"""),"107")</f>
        <v>107</v>
      </c>
      <c r="U402" s="15" t="str">
        <f>IFERROR(__xludf.DUMMYFUNCTION("""COMPUTED_VALUE"""),"266803655 1304824 8177057 64.419.539 mauricio dos santos casagrand trifil pfb 107")</f>
        <v>266803655 1304824 8177057 64.419.539 mauricio dos santos casagrand trifil pfb 107</v>
      </c>
      <c r="V402" s="15" t="b">
        <f>IFERROR(__xludf.DUMMYFUNCTION("""COMPUTED_VALUE"""),FALSE)</f>
        <v>0</v>
      </c>
    </row>
    <row r="403">
      <c r="A403" s="19">
        <f>IFERROR(__xludf.DUMMYFUNCTION("""COMPUTED_VALUE"""),46304.0)</f>
        <v>46304</v>
      </c>
      <c r="B403" s="19">
        <f>IFERROR(__xludf.DUMMYFUNCTION("""COMPUTED_VALUE"""),46325.0)</f>
        <v>46325</v>
      </c>
      <c r="C403" s="15">
        <f>IFERROR(__xludf.DUMMYFUNCTION("""COMPUTED_VALUE"""),14.0)</f>
        <v>14</v>
      </c>
      <c r="D403" s="15" t="str">
        <f>IFERROR(__xludf.DUMMYFUNCTION("""COMPUTED_VALUE"""),"PFB")</f>
        <v>PFB</v>
      </c>
      <c r="E403" s="15" t="str">
        <f>IFERROR(__xludf.DUMMYFUNCTION("""COMPUTED_VALUE"""),"SUPERMERCADO BERTUOL")</f>
        <v>SUPERMERCADO BERTUOL</v>
      </c>
      <c r="F403" s="15" t="str">
        <f>IFERROR(__xludf.DUMMYFUNCTION("""COMPUTED_VALUE"""),"TRIFIL")</f>
        <v>TRIFIL</v>
      </c>
      <c r="G403" s="15" t="str">
        <f>IFERROR(__xludf.DUMMYFUNCTION("""COMPUTED_VALUE"""),"266803656")</f>
        <v>266803656</v>
      </c>
      <c r="H403" s="15" t="str">
        <f>IFERROR(__xludf.DUMMYFUNCTION("""COMPUTED_VALUE"""),"1305093")</f>
        <v>1305093</v>
      </c>
      <c r="I403" s="15" t="str">
        <f>IFERROR(__xludf.DUMMYFUNCTION("""COMPUTED_VALUE"""),"8177058")</f>
        <v>8177058</v>
      </c>
      <c r="J403" s="15" t="str">
        <f>IFERROR(__xludf.DUMMYFUNCTION("""COMPUTED_VALUE"""),"CIF")</f>
        <v>CIF</v>
      </c>
      <c r="K403" s="15" t="str">
        <f>IFERROR(__xludf.DUMMYFUNCTION("""COMPUTED_VALUE"""),"FSA-1")</f>
        <v>FSA-1</v>
      </c>
      <c r="L403" s="15" t="str">
        <f>IFERROR(__xludf.DUMMYFUNCTION("""COMPUTED_VALUE"""),"AUTORIZADO")</f>
        <v>AUTORIZADO</v>
      </c>
      <c r="M403" s="15" t="str">
        <f>IFERROR(__xludf.DUMMYFUNCTION("""COMPUTED_VALUE"""),"NA ORIGEM")</f>
        <v>NA ORIGEM</v>
      </c>
      <c r="N403" s="15" t="str">
        <f>IFERROR(__xludf.DUMMYFUNCTION("""COMPUTED_VALUE"""),"Antes Prazo")</f>
        <v>Antes Prazo</v>
      </c>
      <c r="O403" s="15" t="str">
        <f>IFERROR(__xludf.DUMMYFUNCTION("""COMPUTED_VALUE"""),"B2B")</f>
        <v>B2B</v>
      </c>
      <c r="P403" s="16">
        <f>IFERROR(__xludf.DUMMYFUNCTION("""COMPUTED_VALUE"""),67.68)</f>
        <v>67.68</v>
      </c>
      <c r="Q403" s="15">
        <f>IFERROR(__xludf.DUMMYFUNCTION("""COMPUTED_VALUE"""),1.0)</f>
        <v>1</v>
      </c>
      <c r="R403" s="15" t="str">
        <f>IFERROR(__xludf.DUMMYFUNCTION("""COMPUTED_VALUE"""),"RODO")</f>
        <v>RODO</v>
      </c>
      <c r="S403" s="15" t="str">
        <f>IFERROR(__xludf.DUMMYFUNCTION("""COMPUTED_VALUE"""),"ITN")</f>
        <v>ITN</v>
      </c>
      <c r="T403" s="15" t="str">
        <f>IFERROR(__xludf.DUMMYFUNCTION("""COMPUTED_VALUE"""),"108")</f>
        <v>108</v>
      </c>
      <c r="U403" s="15" t="str">
        <f>IFERROR(__xludf.DUMMYFUNCTION("""COMPUTED_VALUE"""),"266803656 1305093 8177058 supermercado bertuol trifil pfb 108")</f>
        <v>266803656 1305093 8177058 supermercado bertuol trifil pfb 108</v>
      </c>
      <c r="V403" s="15" t="b">
        <f>IFERROR(__xludf.DUMMYFUNCTION("""COMPUTED_VALUE"""),FALSE)</f>
        <v>0</v>
      </c>
    </row>
    <row r="404">
      <c r="A404" s="19">
        <f>IFERROR(__xludf.DUMMYFUNCTION("""COMPUTED_VALUE"""),46304.0)</f>
        <v>46304</v>
      </c>
      <c r="B404" s="19">
        <f>IFERROR(__xludf.DUMMYFUNCTION("""COMPUTED_VALUE"""),46321.0)</f>
        <v>46321</v>
      </c>
      <c r="C404" s="15">
        <f>IFERROR(__xludf.DUMMYFUNCTION("""COMPUTED_VALUE"""),10.0)</f>
        <v>10</v>
      </c>
      <c r="D404" s="15" t="str">
        <f>IFERROR(__xludf.DUMMYFUNCTION("""COMPUTED_VALUE"""),"PFB")</f>
        <v>PFB</v>
      </c>
      <c r="E404" s="15" t="str">
        <f>IFERROR(__xludf.DUMMYFUNCTION("""COMPUTED_VALUE"""),"SUPERMERCADO DANIELI LTDA")</f>
        <v>SUPERMERCADO DANIELI LTDA</v>
      </c>
      <c r="F404" s="15" t="str">
        <f>IFERROR(__xludf.DUMMYFUNCTION("""COMPUTED_VALUE"""),"TRIFIL")</f>
        <v>TRIFIL</v>
      </c>
      <c r="G404" s="15" t="str">
        <f>IFERROR(__xludf.DUMMYFUNCTION("""COMPUTED_VALUE"""),"266803657")</f>
        <v>266803657</v>
      </c>
      <c r="H404" s="15" t="str">
        <f>IFERROR(__xludf.DUMMYFUNCTION("""COMPUTED_VALUE"""),"1305076")</f>
        <v>1305076</v>
      </c>
      <c r="I404" s="15" t="str">
        <f>IFERROR(__xludf.DUMMYFUNCTION("""COMPUTED_VALUE"""),"8177059")</f>
        <v>8177059</v>
      </c>
      <c r="J404" s="15" t="str">
        <f>IFERROR(__xludf.DUMMYFUNCTION("""COMPUTED_VALUE"""),"CIF")</f>
        <v>CIF</v>
      </c>
      <c r="K404" s="15" t="str">
        <f>IFERROR(__xludf.DUMMYFUNCTION("""COMPUTED_VALUE"""),"FSA-1")</f>
        <v>FSA-1</v>
      </c>
      <c r="L404" s="15" t="str">
        <f>IFERROR(__xludf.DUMMYFUNCTION("""COMPUTED_VALUE"""),"AUTORIZADO")</f>
        <v>AUTORIZADO</v>
      </c>
      <c r="M404" s="15" t="str">
        <f>IFERROR(__xludf.DUMMYFUNCTION("""COMPUTED_VALUE"""),"NA ORIGEM")</f>
        <v>NA ORIGEM</v>
      </c>
      <c r="N404" s="15" t="str">
        <f>IFERROR(__xludf.DUMMYFUNCTION("""COMPUTED_VALUE"""),"Antes Prazo")</f>
        <v>Antes Prazo</v>
      </c>
      <c r="O404" s="15" t="str">
        <f>IFERROR(__xludf.DUMMYFUNCTION("""COMPUTED_VALUE"""),"B2B")</f>
        <v>B2B</v>
      </c>
      <c r="P404" s="16">
        <f>IFERROR(__xludf.DUMMYFUNCTION("""COMPUTED_VALUE"""),67.68)</f>
        <v>67.68</v>
      </c>
      <c r="Q404" s="15">
        <f>IFERROR(__xludf.DUMMYFUNCTION("""COMPUTED_VALUE"""),1.0)</f>
        <v>1</v>
      </c>
      <c r="R404" s="15" t="str">
        <f>IFERROR(__xludf.DUMMYFUNCTION("""COMPUTED_VALUE"""),"RODO")</f>
        <v>RODO</v>
      </c>
      <c r="S404" s="15" t="str">
        <f>IFERROR(__xludf.DUMMYFUNCTION("""COMPUTED_VALUE"""),"ITN")</f>
        <v>ITN</v>
      </c>
      <c r="T404" s="15" t="str">
        <f>IFERROR(__xludf.DUMMYFUNCTION("""COMPUTED_VALUE"""),"103")</f>
        <v>103</v>
      </c>
      <c r="U404" s="15" t="str">
        <f>IFERROR(__xludf.DUMMYFUNCTION("""COMPUTED_VALUE"""),"266803657 1305076 8177059 supermercado danieli ltda trifil pfb 103")</f>
        <v>266803657 1305076 8177059 supermercado danieli ltda trifil pfb 103</v>
      </c>
      <c r="V404" s="15" t="b">
        <f>IFERROR(__xludf.DUMMYFUNCTION("""COMPUTED_VALUE"""),FALSE)</f>
        <v>0</v>
      </c>
    </row>
    <row r="405">
      <c r="A405" s="19">
        <f>IFERROR(__xludf.DUMMYFUNCTION("""COMPUTED_VALUE"""),46304.0)</f>
        <v>46304</v>
      </c>
      <c r="B405" s="19">
        <f>IFERROR(__xludf.DUMMYFUNCTION("""COMPUTED_VALUE"""),46316.0)</f>
        <v>46316</v>
      </c>
      <c r="C405" s="15">
        <f>IFERROR(__xludf.DUMMYFUNCTION("""COMPUTED_VALUE"""),7.0)</f>
        <v>7</v>
      </c>
      <c r="D405" s="15" t="str">
        <f>IFERROR(__xludf.DUMMYFUNCTION("""COMPUTED_VALUE"""),"SSZ")</f>
        <v>SSZ</v>
      </c>
      <c r="E405" s="15" t="str">
        <f>IFERROR(__xludf.DUMMYFUNCTION("""COMPUTED_VALUE"""),"LUIZ GONZAGA DE ARAUJO VESTUARIO ME")</f>
        <v>LUIZ GONZAGA DE ARAUJO VESTUARIO ME</v>
      </c>
      <c r="F405" s="15" t="str">
        <f>IFERROR(__xludf.DUMMYFUNCTION("""COMPUTED_VALUE"""),"TRIFIL")</f>
        <v>TRIFIL</v>
      </c>
      <c r="G405" s="15" t="str">
        <f>IFERROR(__xludf.DUMMYFUNCTION("""COMPUTED_VALUE"""),"266806683")</f>
        <v>266806683</v>
      </c>
      <c r="H405" s="15" t="str">
        <f>IFERROR(__xludf.DUMMYFUNCTION("""COMPUTED_VALUE"""),"1305547")</f>
        <v>1305547</v>
      </c>
      <c r="I405" s="15" t="str">
        <f>IFERROR(__xludf.DUMMYFUNCTION("""COMPUTED_VALUE"""),"8177283")</f>
        <v>8177283</v>
      </c>
      <c r="J405" s="15" t="str">
        <f>IFERROR(__xludf.DUMMYFUNCTION("""COMPUTED_VALUE"""),"CIF")</f>
        <v>CIF</v>
      </c>
      <c r="K405" s="15" t="str">
        <f>IFERROR(__xludf.DUMMYFUNCTION("""COMPUTED_VALUE"""),"(sem célula)")</f>
        <v>(sem célula)</v>
      </c>
      <c r="L405" s="15" t="str">
        <f>IFERROR(__xludf.DUMMYFUNCTION("""COMPUTED_VALUE"""),"AUTORIZADO")</f>
        <v>AUTORIZADO</v>
      </c>
      <c r="M405" s="15" t="str">
        <f>IFERROR(__xludf.DUMMYFUNCTION("""COMPUTED_VALUE"""),"NA ORIGEM")</f>
        <v>NA ORIGEM</v>
      </c>
      <c r="N405" s="15" t="str">
        <f>IFERROR(__xludf.DUMMYFUNCTION("""COMPUTED_VALUE"""),"Antes Prazo")</f>
        <v>Antes Prazo</v>
      </c>
      <c r="O405" s="15" t="str">
        <f>IFERROR(__xludf.DUMMYFUNCTION("""COMPUTED_VALUE"""),"B2B")</f>
        <v>B2B</v>
      </c>
      <c r="P405" s="16">
        <f>IFERROR(__xludf.DUMMYFUNCTION("""COMPUTED_VALUE"""),38.46)</f>
        <v>38.46</v>
      </c>
      <c r="Q405" s="15">
        <f>IFERROR(__xludf.DUMMYFUNCTION("""COMPUTED_VALUE"""),2.0)</f>
        <v>2</v>
      </c>
      <c r="R405" s="15" t="str">
        <f>IFERROR(__xludf.DUMMYFUNCTION("""COMPUTED_VALUE"""),"RODO")</f>
        <v>RODO</v>
      </c>
      <c r="S405" s="15" t="str">
        <f>IFERROR(__xludf.DUMMYFUNCTION("""COMPUTED_VALUE"""),"ITN")</f>
        <v>ITN</v>
      </c>
      <c r="T405" s="15" t="str">
        <f>IFERROR(__xludf.DUMMYFUNCTION("""COMPUTED_VALUE"""),"107")</f>
        <v>107</v>
      </c>
      <c r="U405" s="15" t="str">
        <f>IFERROR(__xludf.DUMMYFUNCTION("""COMPUTED_VALUE"""),"266806683 1305547 8177283 luiz gonzaga de araujo vestuario me trifil ssz 107")</f>
        <v>266806683 1305547 8177283 luiz gonzaga de araujo vestuario me trifil ssz 107</v>
      </c>
      <c r="V405" s="15" t="b">
        <f>IFERROR(__xludf.DUMMYFUNCTION("""COMPUTED_VALUE"""),FALSE)</f>
        <v>0</v>
      </c>
    </row>
    <row r="406">
      <c r="A406" s="19">
        <f>IFERROR(__xludf.DUMMYFUNCTION("""COMPUTED_VALUE"""),46304.0)</f>
        <v>46304</v>
      </c>
      <c r="B406" s="19">
        <f>IFERROR(__xludf.DUMMYFUNCTION("""COMPUTED_VALUE"""),46321.0)</f>
        <v>46321</v>
      </c>
      <c r="C406" s="15">
        <f>IFERROR(__xludf.DUMMYFUNCTION("""COMPUTED_VALUE"""),10.0)</f>
        <v>10</v>
      </c>
      <c r="D406" s="15" t="str">
        <f>IFERROR(__xludf.DUMMYFUNCTION("""COMPUTED_VALUE"""),"UBT")</f>
        <v>UBT</v>
      </c>
      <c r="E406" s="15" t="str">
        <f>IFERROR(__xludf.DUMMYFUNCTION("""COMPUTED_VALUE"""),"PRUPE CALCADOS LTDA")</f>
        <v>PRUPE CALCADOS LTDA</v>
      </c>
      <c r="F406" s="15" t="str">
        <f>IFERROR(__xludf.DUMMYFUNCTION("""COMPUTED_VALUE"""),"TRIFIL")</f>
        <v>TRIFIL</v>
      </c>
      <c r="G406" s="15" t="str">
        <f>IFERROR(__xludf.DUMMYFUNCTION("""COMPUTED_VALUE"""),"266806686")</f>
        <v>266806686</v>
      </c>
      <c r="H406" s="15" t="str">
        <f>IFERROR(__xludf.DUMMYFUNCTION("""COMPUTED_VALUE"""),"1305828")</f>
        <v>1305828</v>
      </c>
      <c r="I406" s="15" t="str">
        <f>IFERROR(__xludf.DUMMYFUNCTION("""COMPUTED_VALUE"""),"8177238")</f>
        <v>8177238</v>
      </c>
      <c r="J406" s="15" t="str">
        <f>IFERROR(__xludf.DUMMYFUNCTION("""COMPUTED_VALUE"""),"CIF")</f>
        <v>CIF</v>
      </c>
      <c r="K406" s="15" t="str">
        <f>IFERROR(__xludf.DUMMYFUNCTION("""COMPUTED_VALUE"""),"(sem célula)")</f>
        <v>(sem célula)</v>
      </c>
      <c r="L406" s="15" t="str">
        <f>IFERROR(__xludf.DUMMYFUNCTION("""COMPUTED_VALUE"""),"AUTORIZADO")</f>
        <v>AUTORIZADO</v>
      </c>
      <c r="M406" s="15" t="str">
        <f>IFERROR(__xludf.DUMMYFUNCTION("""COMPUTED_VALUE"""),"NA ORIGEM")</f>
        <v>NA ORIGEM</v>
      </c>
      <c r="N406" s="15" t="str">
        <f>IFERROR(__xludf.DUMMYFUNCTION("""COMPUTED_VALUE"""),"Antes Prazo")</f>
        <v>Antes Prazo</v>
      </c>
      <c r="O406" s="15" t="str">
        <f>IFERROR(__xludf.DUMMYFUNCTION("""COMPUTED_VALUE"""),"B2B")</f>
        <v>B2B</v>
      </c>
      <c r="P406" s="16">
        <f>IFERROR(__xludf.DUMMYFUNCTION("""COMPUTED_VALUE"""),38.46)</f>
        <v>38.46</v>
      </c>
      <c r="Q406" s="15">
        <f>IFERROR(__xludf.DUMMYFUNCTION("""COMPUTED_VALUE"""),1.0)</f>
        <v>1</v>
      </c>
      <c r="R406" s="15" t="str">
        <f>IFERROR(__xludf.DUMMYFUNCTION("""COMPUTED_VALUE"""),"RODO")</f>
        <v>RODO</v>
      </c>
      <c r="S406" s="15" t="str">
        <f>IFERROR(__xludf.DUMMYFUNCTION("""COMPUTED_VALUE"""),"ITN")</f>
        <v>ITN</v>
      </c>
      <c r="T406" s="15" t="str">
        <f>IFERROR(__xludf.DUMMYFUNCTION("""COMPUTED_VALUE"""),"122")</f>
        <v>122</v>
      </c>
      <c r="U406" s="15" t="str">
        <f>IFERROR(__xludf.DUMMYFUNCTION("""COMPUTED_VALUE"""),"266806686 1305828 8177238 prupe calcados ltda trifil ubt 122")</f>
        <v>266806686 1305828 8177238 prupe calcados ltda trifil ubt 122</v>
      </c>
      <c r="V406" s="15" t="b">
        <f>IFERROR(__xludf.DUMMYFUNCTION("""COMPUTED_VALUE"""),FALSE)</f>
        <v>0</v>
      </c>
    </row>
    <row r="407">
      <c r="A407" s="19">
        <f>IFERROR(__xludf.DUMMYFUNCTION("""COMPUTED_VALUE"""),46304.0)</f>
        <v>46304</v>
      </c>
      <c r="B407" s="19">
        <f>IFERROR(__xludf.DUMMYFUNCTION("""COMPUTED_VALUE"""),46316.0)</f>
        <v>46316</v>
      </c>
      <c r="C407" s="15">
        <f>IFERROR(__xludf.DUMMYFUNCTION("""COMPUTED_VALUE"""),7.0)</f>
        <v>7</v>
      </c>
      <c r="D407" s="15" t="str">
        <f>IFERROR(__xludf.DUMMYFUNCTION("""COMPUTED_VALUE"""),"SJK")</f>
        <v>SJK</v>
      </c>
      <c r="E407" s="15" t="str">
        <f>IFERROR(__xludf.DUMMYFUNCTION("""COMPUTED_VALUE"""),"MINA LINGEIRIE")</f>
        <v>MINA LINGEIRIE</v>
      </c>
      <c r="F407" s="15" t="str">
        <f>IFERROR(__xludf.DUMMYFUNCTION("""COMPUTED_VALUE"""),"TRIFIL")</f>
        <v>TRIFIL</v>
      </c>
      <c r="G407" s="15" t="str">
        <f>IFERROR(__xludf.DUMMYFUNCTION("""COMPUTED_VALUE"""),"266806689")</f>
        <v>266806689</v>
      </c>
      <c r="H407" s="15" t="str">
        <f>IFERROR(__xludf.DUMMYFUNCTION("""COMPUTED_VALUE"""),"1305917")</f>
        <v>1305917</v>
      </c>
      <c r="I407" s="15" t="str">
        <f>IFERROR(__xludf.DUMMYFUNCTION("""COMPUTED_VALUE"""),"8177284")</f>
        <v>8177284</v>
      </c>
      <c r="J407" s="15" t="str">
        <f>IFERROR(__xludf.DUMMYFUNCTION("""COMPUTED_VALUE"""),"CIF")</f>
        <v>CIF</v>
      </c>
      <c r="K407" s="15" t="str">
        <f>IFERROR(__xludf.DUMMYFUNCTION("""COMPUTED_VALUE"""),"(sem célula)")</f>
        <v>(sem célula)</v>
      </c>
      <c r="L407" s="15" t="str">
        <f>IFERROR(__xludf.DUMMYFUNCTION("""COMPUTED_VALUE"""),"AUTORIZADO")</f>
        <v>AUTORIZADO</v>
      </c>
      <c r="M407" s="15" t="str">
        <f>IFERROR(__xludf.DUMMYFUNCTION("""COMPUTED_VALUE"""),"NA ORIGEM")</f>
        <v>NA ORIGEM</v>
      </c>
      <c r="N407" s="15" t="str">
        <f>IFERROR(__xludf.DUMMYFUNCTION("""COMPUTED_VALUE"""),"Antes Prazo")</f>
        <v>Antes Prazo</v>
      </c>
      <c r="O407" s="15" t="str">
        <f>IFERROR(__xludf.DUMMYFUNCTION("""COMPUTED_VALUE"""),"B2B")</f>
        <v>B2B</v>
      </c>
      <c r="P407" s="16">
        <f>IFERROR(__xludf.DUMMYFUNCTION("""COMPUTED_VALUE"""),38.46)</f>
        <v>38.46</v>
      </c>
      <c r="Q407" s="15">
        <f>IFERROR(__xludf.DUMMYFUNCTION("""COMPUTED_VALUE"""),1.0)</f>
        <v>1</v>
      </c>
      <c r="R407" s="15" t="str">
        <f>IFERROR(__xludf.DUMMYFUNCTION("""COMPUTED_VALUE"""),"RODO")</f>
        <v>RODO</v>
      </c>
      <c r="S407" s="15" t="str">
        <f>IFERROR(__xludf.DUMMYFUNCTION("""COMPUTED_VALUE"""),"ITN")</f>
        <v>ITN</v>
      </c>
      <c r="T407" s="15" t="str">
        <f>IFERROR(__xludf.DUMMYFUNCTION("""COMPUTED_VALUE"""),"1")</f>
        <v>1</v>
      </c>
      <c r="U407" s="15" t="str">
        <f>IFERROR(__xludf.DUMMYFUNCTION("""COMPUTED_VALUE"""),"266806689 1305917 8177284 mina lingeirie trifil sjk 1")</f>
        <v>266806689 1305917 8177284 mina lingeirie trifil sjk 1</v>
      </c>
      <c r="V407" s="15" t="b">
        <f>IFERROR(__xludf.DUMMYFUNCTION("""COMPUTED_VALUE"""),FALSE)</f>
        <v>0</v>
      </c>
    </row>
    <row r="408">
      <c r="A408" s="19">
        <f>IFERROR(__xludf.DUMMYFUNCTION("""COMPUTED_VALUE"""),46304.0)</f>
        <v>46304</v>
      </c>
      <c r="B408" s="19">
        <f>IFERROR(__xludf.DUMMYFUNCTION("""COMPUTED_VALUE"""),46316.0)</f>
        <v>46316</v>
      </c>
      <c r="C408" s="15">
        <f>IFERROR(__xludf.DUMMYFUNCTION("""COMPUTED_VALUE"""),7.0)</f>
        <v>7</v>
      </c>
      <c r="D408" s="15" t="str">
        <f>IFERROR(__xludf.DUMMYFUNCTION("""COMPUTED_VALUE"""),"CPQ")</f>
        <v>CPQ</v>
      </c>
      <c r="E408" s="15" t="str">
        <f>IFERROR(__xludf.DUMMYFUNCTION("""COMPUTED_VALUE"""),"H3A DOM PEDRO COMERCIO DE LINGERIE- ME")</f>
        <v>H3A DOM PEDRO COMERCIO DE LINGERIE- ME</v>
      </c>
      <c r="F408" s="15" t="str">
        <f>IFERROR(__xludf.DUMMYFUNCTION("""COMPUTED_VALUE"""),"TRIFIL")</f>
        <v>TRIFIL</v>
      </c>
      <c r="G408" s="15" t="str">
        <f>IFERROR(__xludf.DUMMYFUNCTION("""COMPUTED_VALUE"""),"266806692")</f>
        <v>266806692</v>
      </c>
      <c r="H408" s="15" t="str">
        <f>IFERROR(__xludf.DUMMYFUNCTION("""COMPUTED_VALUE"""),"1305896, 1306045")</f>
        <v>1305896, 1306045</v>
      </c>
      <c r="I408" s="15" t="str">
        <f>IFERROR(__xludf.DUMMYFUNCTION("""COMPUTED_VALUE"""),"8177211")</f>
        <v>8177211</v>
      </c>
      <c r="J408" s="15" t="str">
        <f>IFERROR(__xludf.DUMMYFUNCTION("""COMPUTED_VALUE"""),"CIF")</f>
        <v>CIF</v>
      </c>
      <c r="K408" s="15" t="str">
        <f>IFERROR(__xludf.DUMMYFUNCTION("""COMPUTED_VALUE"""),"SAO-1")</f>
        <v>SAO-1</v>
      </c>
      <c r="L408" s="15" t="str">
        <f>IFERROR(__xludf.DUMMYFUNCTION("""COMPUTED_VALUE"""),"AUTORIZADO")</f>
        <v>AUTORIZADO</v>
      </c>
      <c r="M408" s="15" t="str">
        <f>IFERROR(__xludf.DUMMYFUNCTION("""COMPUTED_VALUE"""),"NA ORIGEM")</f>
        <v>NA ORIGEM</v>
      </c>
      <c r="N408" s="15" t="str">
        <f>IFERROR(__xludf.DUMMYFUNCTION("""COMPUTED_VALUE"""),"Antes Prazo")</f>
        <v>Antes Prazo</v>
      </c>
      <c r="O408" s="15" t="str">
        <f>IFERROR(__xludf.DUMMYFUNCTION("""COMPUTED_VALUE"""),"B2B")</f>
        <v>B2B</v>
      </c>
      <c r="P408" s="16">
        <f>IFERROR(__xludf.DUMMYFUNCTION("""COMPUTED_VALUE"""),38.46)</f>
        <v>38.46</v>
      </c>
      <c r="Q408" s="15">
        <f>IFERROR(__xludf.DUMMYFUNCTION("""COMPUTED_VALUE"""),2.0)</f>
        <v>2</v>
      </c>
      <c r="R408" s="15" t="str">
        <f>IFERROR(__xludf.DUMMYFUNCTION("""COMPUTED_VALUE"""),"RODO")</f>
        <v>RODO</v>
      </c>
      <c r="S408" s="15" t="str">
        <f>IFERROR(__xludf.DUMMYFUNCTION("""COMPUTED_VALUE"""),"ITN")</f>
        <v>ITN</v>
      </c>
      <c r="T408" s="15" t="str">
        <f>IFERROR(__xludf.DUMMYFUNCTION("""COMPUTED_VALUE"""),"7")</f>
        <v>7</v>
      </c>
      <c r="U408" s="15" t="str">
        <f>IFERROR(__xludf.DUMMYFUNCTION("""COMPUTED_VALUE"""),"266806692 1305896, 1306045 8177211 h3a dom pedro comercio de lingerie- me trifil cpq 7")</f>
        <v>266806692 1305896, 1306045 8177211 h3a dom pedro comercio de lingerie- me trifil cpq 7</v>
      </c>
      <c r="V408" s="15" t="b">
        <f>IFERROR(__xludf.DUMMYFUNCTION("""COMPUTED_VALUE"""),FALSE)</f>
        <v>0</v>
      </c>
    </row>
    <row r="409">
      <c r="A409" s="19">
        <f>IFERROR(__xludf.DUMMYFUNCTION("""COMPUTED_VALUE"""),46304.0)</f>
        <v>46304</v>
      </c>
      <c r="B409" s="19">
        <f>IFERROR(__xludf.DUMMYFUNCTION("""COMPUTED_VALUE"""),46316.0)</f>
        <v>46316</v>
      </c>
      <c r="C409" s="15">
        <f>IFERROR(__xludf.DUMMYFUNCTION("""COMPUTED_VALUE"""),7.0)</f>
        <v>7</v>
      </c>
      <c r="D409" s="15" t="str">
        <f>IFERROR(__xludf.DUMMYFUNCTION("""COMPUTED_VALUE"""),"CPQ")</f>
        <v>CPQ</v>
      </c>
      <c r="E409" s="15" t="str">
        <f>IFERROR(__xludf.DUMMYFUNCTION("""COMPUTED_VALUE"""),"KLF Comercio de Meias e LingeriesLTDA EP")</f>
        <v>KLF Comercio de Meias e LingeriesLTDA EP</v>
      </c>
      <c r="F409" s="15" t="str">
        <f>IFERROR(__xludf.DUMMYFUNCTION("""COMPUTED_VALUE"""),"TRIFIL")</f>
        <v>TRIFIL</v>
      </c>
      <c r="G409" s="15" t="str">
        <f>IFERROR(__xludf.DUMMYFUNCTION("""COMPUTED_VALUE"""),"266806694")</f>
        <v>266806694</v>
      </c>
      <c r="H409" s="15" t="str">
        <f>IFERROR(__xludf.DUMMYFUNCTION("""COMPUTED_VALUE"""),"1306160")</f>
        <v>1306160</v>
      </c>
      <c r="I409" s="15" t="str">
        <f>IFERROR(__xludf.DUMMYFUNCTION("""COMPUTED_VALUE"""),"8177239")</f>
        <v>8177239</v>
      </c>
      <c r="J409" s="15" t="str">
        <f>IFERROR(__xludf.DUMMYFUNCTION("""COMPUTED_VALUE"""),"CIF")</f>
        <v>CIF</v>
      </c>
      <c r="K409" s="15" t="str">
        <f>IFERROR(__xludf.DUMMYFUNCTION("""COMPUTED_VALUE"""),"(sem célula)")</f>
        <v>(sem célula)</v>
      </c>
      <c r="L409" s="15" t="str">
        <f>IFERROR(__xludf.DUMMYFUNCTION("""COMPUTED_VALUE"""),"AUTORIZADO")</f>
        <v>AUTORIZADO</v>
      </c>
      <c r="M409" s="15" t="str">
        <f>IFERROR(__xludf.DUMMYFUNCTION("""COMPUTED_VALUE"""),"NA ORIGEM")</f>
        <v>NA ORIGEM</v>
      </c>
      <c r="N409" s="15" t="str">
        <f>IFERROR(__xludf.DUMMYFUNCTION("""COMPUTED_VALUE"""),"Antes Prazo")</f>
        <v>Antes Prazo</v>
      </c>
      <c r="O409" s="15" t="str">
        <f>IFERROR(__xludf.DUMMYFUNCTION("""COMPUTED_VALUE"""),"B2B")</f>
        <v>B2B</v>
      </c>
      <c r="P409" s="16">
        <f>IFERROR(__xludf.DUMMYFUNCTION("""COMPUTED_VALUE"""),38.46)</f>
        <v>38.46</v>
      </c>
      <c r="Q409" s="15">
        <f>IFERROR(__xludf.DUMMYFUNCTION("""COMPUTED_VALUE"""),1.0)</f>
        <v>1</v>
      </c>
      <c r="R409" s="15" t="str">
        <f>IFERROR(__xludf.DUMMYFUNCTION("""COMPUTED_VALUE"""),"RODO")</f>
        <v>RODO</v>
      </c>
      <c r="S409" s="15" t="str">
        <f>IFERROR(__xludf.DUMMYFUNCTION("""COMPUTED_VALUE"""),"ITN")</f>
        <v>ITN</v>
      </c>
      <c r="T409" s="15" t="str">
        <f>IFERROR(__xludf.DUMMYFUNCTION("""COMPUTED_VALUE"""),"7")</f>
        <v>7</v>
      </c>
      <c r="U409" s="15" t="str">
        <f>IFERROR(__xludf.DUMMYFUNCTION("""COMPUTED_VALUE"""),"266806694 1306160 8177239 klf comercio de meias e lingeriesltda ep trifil cpq 7")</f>
        <v>266806694 1306160 8177239 klf comercio de meias e lingeriesltda ep trifil cpq 7</v>
      </c>
      <c r="V409" s="15" t="b">
        <f>IFERROR(__xludf.DUMMYFUNCTION("""COMPUTED_VALUE"""),FALSE)</f>
        <v>0</v>
      </c>
    </row>
    <row r="410">
      <c r="A410" s="19">
        <f>IFERROR(__xludf.DUMMYFUNCTION("""COMPUTED_VALUE"""),46304.0)</f>
        <v>46304</v>
      </c>
      <c r="B410" s="19">
        <f>IFERROR(__xludf.DUMMYFUNCTION("""COMPUTED_VALUE"""),46316.0)</f>
        <v>46316</v>
      </c>
      <c r="C410" s="15">
        <f>IFERROR(__xludf.DUMMYFUNCTION("""COMPUTED_VALUE"""),7.0)</f>
        <v>7</v>
      </c>
      <c r="D410" s="15" t="str">
        <f>IFERROR(__xludf.DUMMYFUNCTION("""COMPUTED_VALUE"""),"CPQ")</f>
        <v>CPQ</v>
      </c>
      <c r="E410" s="15" t="str">
        <f>IFERROR(__xludf.DUMMYFUNCTION("""COMPUTED_VALUE"""),"Barbara CayresME")</f>
        <v>Barbara CayresME</v>
      </c>
      <c r="F410" s="15" t="str">
        <f>IFERROR(__xludf.DUMMYFUNCTION("""COMPUTED_VALUE"""),"TRIFIL")</f>
        <v>TRIFIL</v>
      </c>
      <c r="G410" s="15" t="str">
        <f>IFERROR(__xludf.DUMMYFUNCTION("""COMPUTED_VALUE"""),"266806697")</f>
        <v>266806697</v>
      </c>
      <c r="H410" s="15" t="str">
        <f>IFERROR(__xludf.DUMMYFUNCTION("""COMPUTED_VALUE"""),"1306141")</f>
        <v>1306141</v>
      </c>
      <c r="I410" s="15" t="str">
        <f>IFERROR(__xludf.DUMMYFUNCTION("""COMPUTED_VALUE"""),"8177314")</f>
        <v>8177314</v>
      </c>
      <c r="J410" s="15" t="str">
        <f>IFERROR(__xludf.DUMMYFUNCTION("""COMPUTED_VALUE"""),"CIF")</f>
        <v>CIF</v>
      </c>
      <c r="K410" s="15" t="str">
        <f>IFERROR(__xludf.DUMMYFUNCTION("""COMPUTED_VALUE"""),"SAO-1")</f>
        <v>SAO-1</v>
      </c>
      <c r="L410" s="15" t="str">
        <f>IFERROR(__xludf.DUMMYFUNCTION("""COMPUTED_VALUE"""),"AUTORIZADO")</f>
        <v>AUTORIZADO</v>
      </c>
      <c r="M410" s="15" t="str">
        <f>IFERROR(__xludf.DUMMYFUNCTION("""COMPUTED_VALUE"""),"NA ORIGEM")</f>
        <v>NA ORIGEM</v>
      </c>
      <c r="N410" s="15" t="str">
        <f>IFERROR(__xludf.DUMMYFUNCTION("""COMPUTED_VALUE"""),"Antes Prazo")</f>
        <v>Antes Prazo</v>
      </c>
      <c r="O410" s="15" t="str">
        <f>IFERROR(__xludf.DUMMYFUNCTION("""COMPUTED_VALUE"""),"B2B")</f>
        <v>B2B</v>
      </c>
      <c r="P410" s="16">
        <f>IFERROR(__xludf.DUMMYFUNCTION("""COMPUTED_VALUE"""),38.46)</f>
        <v>38.46</v>
      </c>
      <c r="Q410" s="15">
        <f>IFERROR(__xludf.DUMMYFUNCTION("""COMPUTED_VALUE"""),2.0)</f>
        <v>2</v>
      </c>
      <c r="R410" s="15" t="str">
        <f>IFERROR(__xludf.DUMMYFUNCTION("""COMPUTED_VALUE"""),"RODO")</f>
        <v>RODO</v>
      </c>
      <c r="S410" s="15" t="str">
        <f>IFERROR(__xludf.DUMMYFUNCTION("""COMPUTED_VALUE"""),"ITN")</f>
        <v>ITN</v>
      </c>
      <c r="T410" s="15" t="str">
        <f>IFERROR(__xludf.DUMMYFUNCTION("""COMPUTED_VALUE"""),"201")</f>
        <v>201</v>
      </c>
      <c r="U410" s="15" t="str">
        <f>IFERROR(__xludf.DUMMYFUNCTION("""COMPUTED_VALUE"""),"266806697 1306141 8177314 barbara cayresme trifil cpq 201")</f>
        <v>266806697 1306141 8177314 barbara cayresme trifil cpq 201</v>
      </c>
      <c r="V410" s="15" t="b">
        <f>IFERROR(__xludf.DUMMYFUNCTION("""COMPUTED_VALUE"""),FALSE)</f>
        <v>0</v>
      </c>
    </row>
    <row r="411">
      <c r="A411" s="19">
        <f>IFERROR(__xludf.DUMMYFUNCTION("""COMPUTED_VALUE"""),46304.0)</f>
        <v>46304</v>
      </c>
      <c r="B411" s="19">
        <f>IFERROR(__xludf.DUMMYFUNCTION("""COMPUTED_VALUE"""),46316.0)</f>
        <v>46316</v>
      </c>
      <c r="C411" s="15">
        <f>IFERROR(__xludf.DUMMYFUNCTION("""COMPUTED_VALUE"""),7.0)</f>
        <v>7</v>
      </c>
      <c r="D411" s="15" t="str">
        <f>IFERROR(__xludf.DUMMYFUNCTION("""COMPUTED_VALUE"""),"CPQ")</f>
        <v>CPQ</v>
      </c>
      <c r="E411" s="15" t="str">
        <f>IFERROR(__xludf.DUMMYFUNCTION("""COMPUTED_VALUE"""),"A. B. CIPRIANI COMERCIO DE ROUPAS L")</f>
        <v>A. B. CIPRIANI COMERCIO DE ROUPAS L</v>
      </c>
      <c r="F411" s="15" t="str">
        <f>IFERROR(__xludf.DUMMYFUNCTION("""COMPUTED_VALUE"""),"TRIFIL")</f>
        <v>TRIFIL</v>
      </c>
      <c r="G411" s="15" t="str">
        <f>IFERROR(__xludf.DUMMYFUNCTION("""COMPUTED_VALUE"""),"266806698")</f>
        <v>266806698</v>
      </c>
      <c r="H411" s="15" t="str">
        <f>IFERROR(__xludf.DUMMYFUNCTION("""COMPUTED_VALUE"""),"1306322")</f>
        <v>1306322</v>
      </c>
      <c r="I411" s="15" t="str">
        <f>IFERROR(__xludf.DUMMYFUNCTION("""COMPUTED_VALUE"""),"8177315")</f>
        <v>8177315</v>
      </c>
      <c r="J411" s="15" t="str">
        <f>IFERROR(__xludf.DUMMYFUNCTION("""COMPUTED_VALUE"""),"CIF")</f>
        <v>CIF</v>
      </c>
      <c r="K411" s="15" t="str">
        <f>IFERROR(__xludf.DUMMYFUNCTION("""COMPUTED_VALUE"""),"SAO-1")</f>
        <v>SAO-1</v>
      </c>
      <c r="L411" s="15" t="str">
        <f>IFERROR(__xludf.DUMMYFUNCTION("""COMPUTED_VALUE"""),"AUTORIZADO")</f>
        <v>AUTORIZADO</v>
      </c>
      <c r="M411" s="15" t="str">
        <f>IFERROR(__xludf.DUMMYFUNCTION("""COMPUTED_VALUE"""),"NA ORIGEM")</f>
        <v>NA ORIGEM</v>
      </c>
      <c r="N411" s="15" t="str">
        <f>IFERROR(__xludf.DUMMYFUNCTION("""COMPUTED_VALUE"""),"Antes Prazo")</f>
        <v>Antes Prazo</v>
      </c>
      <c r="O411" s="15" t="str">
        <f>IFERROR(__xludf.DUMMYFUNCTION("""COMPUTED_VALUE"""),"B2B")</f>
        <v>B2B</v>
      </c>
      <c r="P411" s="16">
        <f>IFERROR(__xludf.DUMMYFUNCTION("""COMPUTED_VALUE"""),38.46)</f>
        <v>38.46</v>
      </c>
      <c r="Q411" s="15">
        <f>IFERROR(__xludf.DUMMYFUNCTION("""COMPUTED_VALUE"""),2.0)</f>
        <v>2</v>
      </c>
      <c r="R411" s="15" t="str">
        <f>IFERROR(__xludf.DUMMYFUNCTION("""COMPUTED_VALUE"""),"RODO")</f>
        <v>RODO</v>
      </c>
      <c r="S411" s="15" t="str">
        <f>IFERROR(__xludf.DUMMYFUNCTION("""COMPUTED_VALUE"""),"ITN")</f>
        <v>ITN</v>
      </c>
      <c r="T411" s="15" t="str">
        <f>IFERROR(__xludf.DUMMYFUNCTION("""COMPUTED_VALUE"""),"204")</f>
        <v>204</v>
      </c>
      <c r="U411" s="15" t="str">
        <f>IFERROR(__xludf.DUMMYFUNCTION("""COMPUTED_VALUE"""),"266806698 1306322 8177315 a. b. cipriani comercio de roupas l trifil cpq 204")</f>
        <v>266806698 1306322 8177315 a. b. cipriani comercio de roupas l trifil cpq 204</v>
      </c>
      <c r="V411" s="15" t="b">
        <f>IFERROR(__xludf.DUMMYFUNCTION("""COMPUTED_VALUE"""),FALSE)</f>
        <v>0</v>
      </c>
    </row>
    <row r="412">
      <c r="A412" s="19">
        <f>IFERROR(__xludf.DUMMYFUNCTION("""COMPUTED_VALUE"""),46304.0)</f>
        <v>46304</v>
      </c>
      <c r="B412" s="19">
        <f>IFERROR(__xludf.DUMMYFUNCTION("""COMPUTED_VALUE"""),46317.0)</f>
        <v>46317</v>
      </c>
      <c r="C412" s="15">
        <f>IFERROR(__xludf.DUMMYFUNCTION("""COMPUTED_VALUE"""),8.0)</f>
        <v>8</v>
      </c>
      <c r="D412" s="15" t="str">
        <f>IFERROR(__xludf.DUMMYFUNCTION("""COMPUTED_VALUE"""),"CPQ")</f>
        <v>CPQ</v>
      </c>
      <c r="E412" s="15" t="str">
        <f>IFERROR(__xludf.DUMMYFUNCTION("""COMPUTED_VALUE"""),"JULIA DALCIN PETROVIC CORREA")</f>
        <v>JULIA DALCIN PETROVIC CORREA</v>
      </c>
      <c r="F412" s="15" t="str">
        <f>IFERROR(__xludf.DUMMYFUNCTION("""COMPUTED_VALUE"""),"TRIFIL")</f>
        <v>TRIFIL</v>
      </c>
      <c r="G412" s="15" t="str">
        <f>IFERROR(__xludf.DUMMYFUNCTION("""COMPUTED_VALUE"""),"266806701")</f>
        <v>266806701</v>
      </c>
      <c r="H412" s="15" t="str">
        <f>IFERROR(__xludf.DUMMYFUNCTION("""COMPUTED_VALUE"""),"1306023, 1306095")</f>
        <v>1306023, 1306095</v>
      </c>
      <c r="I412" s="15" t="str">
        <f>IFERROR(__xludf.DUMMYFUNCTION("""COMPUTED_VALUE"""),"8177316")</f>
        <v>8177316</v>
      </c>
      <c r="J412" s="15" t="str">
        <f>IFERROR(__xludf.DUMMYFUNCTION("""COMPUTED_VALUE"""),"CIF")</f>
        <v>CIF</v>
      </c>
      <c r="K412" s="15" t="str">
        <f>IFERROR(__xludf.DUMMYFUNCTION("""COMPUTED_VALUE"""),"SAO-1")</f>
        <v>SAO-1</v>
      </c>
      <c r="L412" s="15" t="str">
        <f>IFERROR(__xludf.DUMMYFUNCTION("""COMPUTED_VALUE"""),"AUTORIZADO")</f>
        <v>AUTORIZADO</v>
      </c>
      <c r="M412" s="15" t="str">
        <f>IFERROR(__xludf.DUMMYFUNCTION("""COMPUTED_VALUE"""),"NA ORIGEM")</f>
        <v>NA ORIGEM</v>
      </c>
      <c r="N412" s="15" t="str">
        <f>IFERROR(__xludf.DUMMYFUNCTION("""COMPUTED_VALUE"""),"Antes Prazo")</f>
        <v>Antes Prazo</v>
      </c>
      <c r="O412" s="15" t="str">
        <f>IFERROR(__xludf.DUMMYFUNCTION("""COMPUTED_VALUE"""),"B2B")</f>
        <v>B2B</v>
      </c>
      <c r="P412" s="16">
        <f>IFERROR(__xludf.DUMMYFUNCTION("""COMPUTED_VALUE"""),38.46)</f>
        <v>38.46</v>
      </c>
      <c r="Q412" s="15">
        <f>IFERROR(__xludf.DUMMYFUNCTION("""COMPUTED_VALUE"""),6.0)</f>
        <v>6</v>
      </c>
      <c r="R412" s="15" t="str">
        <f>IFERROR(__xludf.DUMMYFUNCTION("""COMPUTED_VALUE"""),"RODO")</f>
        <v>RODO</v>
      </c>
      <c r="S412" s="15" t="str">
        <f>IFERROR(__xludf.DUMMYFUNCTION("""COMPUTED_VALUE"""),"ITN")</f>
        <v>ITN</v>
      </c>
      <c r="T412" s="15" t="str">
        <f>IFERROR(__xludf.DUMMYFUNCTION("""COMPUTED_VALUE"""),"209")</f>
        <v>209</v>
      </c>
      <c r="U412" s="15" t="str">
        <f>IFERROR(__xludf.DUMMYFUNCTION("""COMPUTED_VALUE"""),"266806701 1306023, 1306095 8177316 julia dalcin petrovic correa trifil cpq 209")</f>
        <v>266806701 1306023, 1306095 8177316 julia dalcin petrovic correa trifil cpq 209</v>
      </c>
      <c r="V412" s="15" t="b">
        <f>IFERROR(__xludf.DUMMYFUNCTION("""COMPUTED_VALUE"""),FALSE)</f>
        <v>0</v>
      </c>
    </row>
    <row r="413">
      <c r="A413" s="19">
        <f>IFERROR(__xludf.DUMMYFUNCTION("""COMPUTED_VALUE"""),46304.0)</f>
        <v>46304</v>
      </c>
      <c r="B413" s="19">
        <f>IFERROR(__xludf.DUMMYFUNCTION("""COMPUTED_VALUE"""),46316.0)</f>
        <v>46316</v>
      </c>
      <c r="C413" s="15">
        <f>IFERROR(__xludf.DUMMYFUNCTION("""COMPUTED_VALUE"""),7.0)</f>
        <v>7</v>
      </c>
      <c r="D413" s="15" t="str">
        <f>IFERROR(__xludf.DUMMYFUNCTION("""COMPUTED_VALUE"""),"CPQ")</f>
        <v>CPQ</v>
      </c>
      <c r="E413" s="15" t="str">
        <f>IFERROR(__xludf.DUMMYFUNCTION("""COMPUTED_VALUE"""),"LUPO")</f>
        <v>LUPO</v>
      </c>
      <c r="F413" s="15" t="str">
        <f>IFERROR(__xludf.DUMMYFUNCTION("""COMPUTED_VALUE"""),"TRIFIL")</f>
        <v>TRIFIL</v>
      </c>
      <c r="G413" s="15" t="str">
        <f>IFERROR(__xludf.DUMMYFUNCTION("""COMPUTED_VALUE"""),"266806702")</f>
        <v>266806702</v>
      </c>
      <c r="H413" s="15" t="str">
        <f>IFERROR(__xludf.DUMMYFUNCTION("""COMPUTED_VALUE"""),"1306218")</f>
        <v>1306218</v>
      </c>
      <c r="I413" s="15" t="str">
        <f>IFERROR(__xludf.DUMMYFUNCTION("""COMPUTED_VALUE"""),"8177148")</f>
        <v>8177148</v>
      </c>
      <c r="J413" s="15" t="str">
        <f>IFERROR(__xludf.DUMMYFUNCTION("""COMPUTED_VALUE"""),"CIF")</f>
        <v>CIF</v>
      </c>
      <c r="K413" s="15" t="str">
        <f>IFERROR(__xludf.DUMMYFUNCTION("""COMPUTED_VALUE"""),"(sem célula)")</f>
        <v>(sem célula)</v>
      </c>
      <c r="L413" s="15" t="str">
        <f>IFERROR(__xludf.DUMMYFUNCTION("""COMPUTED_VALUE"""),"AUTORIZADO")</f>
        <v>AUTORIZADO</v>
      </c>
      <c r="M413" s="15" t="str">
        <f>IFERROR(__xludf.DUMMYFUNCTION("""COMPUTED_VALUE"""),"NA ORIGEM")</f>
        <v>NA ORIGEM</v>
      </c>
      <c r="N413" s="15" t="str">
        <f>IFERROR(__xludf.DUMMYFUNCTION("""COMPUTED_VALUE"""),"Antes Prazo")</f>
        <v>Antes Prazo</v>
      </c>
      <c r="O413" s="15" t="str">
        <f>IFERROR(__xludf.DUMMYFUNCTION("""COMPUTED_VALUE"""),"B2B")</f>
        <v>B2B</v>
      </c>
      <c r="P413" s="16">
        <f>IFERROR(__xludf.DUMMYFUNCTION("""COMPUTED_VALUE"""),38.46)</f>
        <v>38.46</v>
      </c>
      <c r="Q413" s="15">
        <f>IFERROR(__xludf.DUMMYFUNCTION("""COMPUTED_VALUE"""),1.0)</f>
        <v>1</v>
      </c>
      <c r="R413" s="15" t="str">
        <f>IFERROR(__xludf.DUMMYFUNCTION("""COMPUTED_VALUE"""),"RODO")</f>
        <v>RODO</v>
      </c>
      <c r="S413" s="15" t="str">
        <f>IFERROR(__xludf.DUMMYFUNCTION("""COMPUTED_VALUE"""),"ITN")</f>
        <v>ITN</v>
      </c>
      <c r="T413" s="15" t="str">
        <f>IFERROR(__xludf.DUMMYFUNCTION("""COMPUTED_VALUE"""),"106")</f>
        <v>106</v>
      </c>
      <c r="U413" s="15" t="str">
        <f>IFERROR(__xludf.DUMMYFUNCTION("""COMPUTED_VALUE"""),"266806702 1306218 8177148 lupo trifil cpq 106")</f>
        <v>266806702 1306218 8177148 lupo trifil cpq 106</v>
      </c>
      <c r="V413" s="15" t="b">
        <f>IFERROR(__xludf.DUMMYFUNCTION("""COMPUTED_VALUE"""),FALSE)</f>
        <v>0</v>
      </c>
    </row>
    <row r="414">
      <c r="A414" s="19">
        <f>IFERROR(__xludf.DUMMYFUNCTION("""COMPUTED_VALUE"""),46304.0)</f>
        <v>46304</v>
      </c>
      <c r="B414" s="19">
        <f>IFERROR(__xludf.DUMMYFUNCTION("""COMPUTED_VALUE"""),46317.0)</f>
        <v>46317</v>
      </c>
      <c r="C414" s="15">
        <f>IFERROR(__xludf.DUMMYFUNCTION("""COMPUTED_VALUE"""),8.0)</f>
        <v>8</v>
      </c>
      <c r="D414" s="15" t="str">
        <f>IFERROR(__xludf.DUMMYFUNCTION("""COMPUTED_VALUE"""),"DPW")</f>
        <v>DPW</v>
      </c>
      <c r="E414" s="15" t="str">
        <f>IFERROR(__xludf.DUMMYFUNCTION("""COMPUTED_VALUE"""),"GENY S S MONTE BELLO E FILHOS LTDA EPP -")</f>
        <v>GENY S S MONTE BELLO E FILHOS LTDA EPP -</v>
      </c>
      <c r="F414" s="15" t="str">
        <f>IFERROR(__xludf.DUMMYFUNCTION("""COMPUTED_VALUE"""),"TRIFIL")</f>
        <v>TRIFIL</v>
      </c>
      <c r="G414" s="15" t="str">
        <f>IFERROR(__xludf.DUMMYFUNCTION("""COMPUTED_VALUE"""),"266806705")</f>
        <v>266806705</v>
      </c>
      <c r="H414" s="15" t="str">
        <f>IFERROR(__xludf.DUMMYFUNCTION("""COMPUTED_VALUE"""),"1306172")</f>
        <v>1306172</v>
      </c>
      <c r="I414" s="15" t="str">
        <f>IFERROR(__xludf.DUMMYFUNCTION("""COMPUTED_VALUE"""),"8177149")</f>
        <v>8177149</v>
      </c>
      <c r="J414" s="15" t="str">
        <f>IFERROR(__xludf.DUMMYFUNCTION("""COMPUTED_VALUE"""),"CIF")</f>
        <v>CIF</v>
      </c>
      <c r="K414" s="15" t="str">
        <f>IFERROR(__xludf.DUMMYFUNCTION("""COMPUTED_VALUE"""),"(sem célula)")</f>
        <v>(sem célula)</v>
      </c>
      <c r="L414" s="15" t="str">
        <f>IFERROR(__xludf.DUMMYFUNCTION("""COMPUTED_VALUE"""),"AUTORIZADO")</f>
        <v>AUTORIZADO</v>
      </c>
      <c r="M414" s="15" t="str">
        <f>IFERROR(__xludf.DUMMYFUNCTION("""COMPUTED_VALUE"""),"NA ORIGEM")</f>
        <v>NA ORIGEM</v>
      </c>
      <c r="N414" s="15" t="str">
        <f>IFERROR(__xludf.DUMMYFUNCTION("""COMPUTED_VALUE"""),"Antes Prazo")</f>
        <v>Antes Prazo</v>
      </c>
      <c r="O414" s="15" t="str">
        <f>IFERROR(__xludf.DUMMYFUNCTION("""COMPUTED_VALUE"""),"B2B")</f>
        <v>B2B</v>
      </c>
      <c r="P414" s="16">
        <f>IFERROR(__xludf.DUMMYFUNCTION("""COMPUTED_VALUE"""),38.46)</f>
        <v>38.46</v>
      </c>
      <c r="Q414" s="15">
        <f>IFERROR(__xludf.DUMMYFUNCTION("""COMPUTED_VALUE"""),1.0)</f>
        <v>1</v>
      </c>
      <c r="R414" s="15" t="str">
        <f>IFERROR(__xludf.DUMMYFUNCTION("""COMPUTED_VALUE"""),"RODO")</f>
        <v>RODO</v>
      </c>
      <c r="S414" s="15" t="str">
        <f>IFERROR(__xludf.DUMMYFUNCTION("""COMPUTED_VALUE"""),"ITN")</f>
        <v>ITN</v>
      </c>
      <c r="T414" s="15" t="str">
        <f>IFERROR(__xludf.DUMMYFUNCTION("""COMPUTED_VALUE"""),"5")</f>
        <v>5</v>
      </c>
      <c r="U414" s="15" t="str">
        <f>IFERROR(__xludf.DUMMYFUNCTION("""COMPUTED_VALUE"""),"266806705 1306172 8177149 geny s s monte bello e filhos ltda epp - trifil dpw 5")</f>
        <v>266806705 1306172 8177149 geny s s monte bello e filhos ltda epp - trifil dpw 5</v>
      </c>
      <c r="V414" s="15" t="b">
        <f>IFERROR(__xludf.DUMMYFUNCTION("""COMPUTED_VALUE"""),FALSE)</f>
        <v>0</v>
      </c>
    </row>
    <row r="415">
      <c r="A415" s="19">
        <f>IFERROR(__xludf.DUMMYFUNCTION("""COMPUTED_VALUE"""),46304.0)</f>
        <v>46304</v>
      </c>
      <c r="B415" s="19">
        <f>IFERROR(__xludf.DUMMYFUNCTION("""COMPUTED_VALUE"""),46317.0)</f>
        <v>46317</v>
      </c>
      <c r="C415" s="15">
        <f>IFERROR(__xludf.DUMMYFUNCTION("""COMPUTED_VALUE"""),8.0)</f>
        <v>8</v>
      </c>
      <c r="D415" s="15" t="str">
        <f>IFERROR(__xludf.DUMMYFUNCTION("""COMPUTED_VALUE"""),"DPW")</f>
        <v>DPW</v>
      </c>
      <c r="E415" s="15" t="str">
        <f>IFERROR(__xludf.DUMMYFUNCTION("""COMPUTED_VALUE"""),"PAP COMERCIO DE ROUPAS LTDA")</f>
        <v>PAP COMERCIO DE ROUPAS LTDA</v>
      </c>
      <c r="F415" s="15" t="str">
        <f>IFERROR(__xludf.DUMMYFUNCTION("""COMPUTED_VALUE"""),"TRIFIL")</f>
        <v>TRIFIL</v>
      </c>
      <c r="G415" s="15" t="str">
        <f>IFERROR(__xludf.DUMMYFUNCTION("""COMPUTED_VALUE"""),"266806707")</f>
        <v>266806707</v>
      </c>
      <c r="H415" s="15" t="str">
        <f>IFERROR(__xludf.DUMMYFUNCTION("""COMPUTED_VALUE"""),"1305957")</f>
        <v>1305957</v>
      </c>
      <c r="I415" s="15" t="str">
        <f>IFERROR(__xludf.DUMMYFUNCTION("""COMPUTED_VALUE"""),"8177212")</f>
        <v>8177212</v>
      </c>
      <c r="J415" s="15" t="str">
        <f>IFERROR(__xludf.DUMMYFUNCTION("""COMPUTED_VALUE"""),"CIF")</f>
        <v>CIF</v>
      </c>
      <c r="K415" s="15" t="str">
        <f>IFERROR(__xludf.DUMMYFUNCTION("""COMPUTED_VALUE"""),"(sem célula)")</f>
        <v>(sem célula)</v>
      </c>
      <c r="L415" s="15" t="str">
        <f>IFERROR(__xludf.DUMMYFUNCTION("""COMPUTED_VALUE"""),"AUTORIZADO")</f>
        <v>AUTORIZADO</v>
      </c>
      <c r="M415" s="15" t="str">
        <f>IFERROR(__xludf.DUMMYFUNCTION("""COMPUTED_VALUE"""),"NA ORIGEM")</f>
        <v>NA ORIGEM</v>
      </c>
      <c r="N415" s="15" t="str">
        <f>IFERROR(__xludf.DUMMYFUNCTION("""COMPUTED_VALUE"""),"Antes Prazo")</f>
        <v>Antes Prazo</v>
      </c>
      <c r="O415" s="15" t="str">
        <f>IFERROR(__xludf.DUMMYFUNCTION("""COMPUTED_VALUE"""),"B2B")</f>
        <v>B2B</v>
      </c>
      <c r="P415" s="16">
        <f>IFERROR(__xludf.DUMMYFUNCTION("""COMPUTED_VALUE"""),38.46)</f>
        <v>38.46</v>
      </c>
      <c r="Q415" s="15">
        <f>IFERROR(__xludf.DUMMYFUNCTION("""COMPUTED_VALUE"""),1.0)</f>
        <v>1</v>
      </c>
      <c r="R415" s="15" t="str">
        <f>IFERROR(__xludf.DUMMYFUNCTION("""COMPUTED_VALUE"""),"RODO")</f>
        <v>RODO</v>
      </c>
      <c r="S415" s="15" t="str">
        <f>IFERROR(__xludf.DUMMYFUNCTION("""COMPUTED_VALUE"""),"ITN")</f>
        <v>ITN</v>
      </c>
      <c r="T415" s="15" t="str">
        <f>IFERROR(__xludf.DUMMYFUNCTION("""COMPUTED_VALUE"""),"106")</f>
        <v>106</v>
      </c>
      <c r="U415" s="15" t="str">
        <f>IFERROR(__xludf.DUMMYFUNCTION("""COMPUTED_VALUE"""),"266806707 1305957 8177212 pap comercio de roupas ltda trifil dpw 106")</f>
        <v>266806707 1305957 8177212 pap comercio de roupas ltda trifil dpw 106</v>
      </c>
      <c r="V415" s="15" t="b">
        <f>IFERROR(__xludf.DUMMYFUNCTION("""COMPUTED_VALUE"""),FALSE)</f>
        <v>0</v>
      </c>
    </row>
    <row r="416">
      <c r="A416" s="19">
        <f>IFERROR(__xludf.DUMMYFUNCTION("""COMPUTED_VALUE"""),46304.0)</f>
        <v>46304</v>
      </c>
      <c r="B416" s="19">
        <f>IFERROR(__xludf.DUMMYFUNCTION("""COMPUTED_VALUE"""),46317.0)</f>
        <v>46317</v>
      </c>
      <c r="C416" s="15">
        <f>IFERROR(__xludf.DUMMYFUNCTION("""COMPUTED_VALUE"""),8.0)</f>
        <v>8</v>
      </c>
      <c r="D416" s="15" t="str">
        <f>IFERROR(__xludf.DUMMYFUNCTION("""COMPUTED_VALUE"""),"CPQ")</f>
        <v>CPQ</v>
      </c>
      <c r="E416" s="15" t="str">
        <f>IFERROR(__xludf.DUMMYFUNCTION("""COMPUTED_VALUE"""),"GERALDINI GERALDINI E CIA LTDA")</f>
        <v>GERALDINI GERALDINI E CIA LTDA</v>
      </c>
      <c r="F416" s="15" t="str">
        <f>IFERROR(__xludf.DUMMYFUNCTION("""COMPUTED_VALUE"""),"TRIFIL")</f>
        <v>TRIFIL</v>
      </c>
      <c r="G416" s="15" t="str">
        <f>IFERROR(__xludf.DUMMYFUNCTION("""COMPUTED_VALUE"""),"266806710")</f>
        <v>266806710</v>
      </c>
      <c r="H416" s="15" t="str">
        <f>IFERROR(__xludf.DUMMYFUNCTION("""COMPUTED_VALUE"""),"1306015")</f>
        <v>1306015</v>
      </c>
      <c r="I416" s="15" t="str">
        <f>IFERROR(__xludf.DUMMYFUNCTION("""COMPUTED_VALUE"""),"8177182")</f>
        <v>8177182</v>
      </c>
      <c r="J416" s="15" t="str">
        <f>IFERROR(__xludf.DUMMYFUNCTION("""COMPUTED_VALUE"""),"CIF")</f>
        <v>CIF</v>
      </c>
      <c r="K416" s="15" t="str">
        <f>IFERROR(__xludf.DUMMYFUNCTION("""COMPUTED_VALUE"""),"SAO-1")</f>
        <v>SAO-1</v>
      </c>
      <c r="L416" s="15" t="str">
        <f>IFERROR(__xludf.DUMMYFUNCTION("""COMPUTED_VALUE"""),"AUTORIZADO")</f>
        <v>AUTORIZADO</v>
      </c>
      <c r="M416" s="15" t="str">
        <f>IFERROR(__xludf.DUMMYFUNCTION("""COMPUTED_VALUE"""),"NA ORIGEM")</f>
        <v>NA ORIGEM</v>
      </c>
      <c r="N416" s="15" t="str">
        <f>IFERROR(__xludf.DUMMYFUNCTION("""COMPUTED_VALUE"""),"Antes Prazo")</f>
        <v>Antes Prazo</v>
      </c>
      <c r="O416" s="15" t="str">
        <f>IFERROR(__xludf.DUMMYFUNCTION("""COMPUTED_VALUE"""),"B2B")</f>
        <v>B2B</v>
      </c>
      <c r="P416" s="16">
        <f>IFERROR(__xludf.DUMMYFUNCTION("""COMPUTED_VALUE"""),38.46)</f>
        <v>38.46</v>
      </c>
      <c r="Q416" s="15">
        <f>IFERROR(__xludf.DUMMYFUNCTION("""COMPUTED_VALUE"""),1.0)</f>
        <v>1</v>
      </c>
      <c r="R416" s="15" t="str">
        <f>IFERROR(__xludf.DUMMYFUNCTION("""COMPUTED_VALUE"""),"RODO")</f>
        <v>RODO</v>
      </c>
      <c r="S416" s="15" t="str">
        <f>IFERROR(__xludf.DUMMYFUNCTION("""COMPUTED_VALUE"""),"ITN")</f>
        <v>ITN</v>
      </c>
      <c r="T416" s="15" t="str">
        <f>IFERROR(__xludf.DUMMYFUNCTION("""COMPUTED_VALUE"""),"111")</f>
        <v>111</v>
      </c>
      <c r="U416" s="15" t="str">
        <f>IFERROR(__xludf.DUMMYFUNCTION("""COMPUTED_VALUE"""),"266806710 1306015 8177182 geraldini geraldini e cia ltda trifil cpq 111")</f>
        <v>266806710 1306015 8177182 geraldini geraldini e cia ltda trifil cpq 111</v>
      </c>
      <c r="V416" s="15" t="b">
        <f>IFERROR(__xludf.DUMMYFUNCTION("""COMPUTED_VALUE"""),FALSE)</f>
        <v>0</v>
      </c>
    </row>
    <row r="417">
      <c r="A417" s="19">
        <f>IFERROR(__xludf.DUMMYFUNCTION("""COMPUTED_VALUE"""),46304.0)</f>
        <v>46304</v>
      </c>
      <c r="B417" s="19">
        <f>IFERROR(__xludf.DUMMYFUNCTION("""COMPUTED_VALUE"""),46316.0)</f>
        <v>46316</v>
      </c>
      <c r="C417" s="15">
        <f>IFERROR(__xludf.DUMMYFUNCTION("""COMPUTED_VALUE"""),7.0)</f>
        <v>7</v>
      </c>
      <c r="D417" s="15" t="str">
        <f>IFERROR(__xludf.DUMMYFUNCTION("""COMPUTED_VALUE"""),"RAO")</f>
        <v>RAO</v>
      </c>
      <c r="E417" s="15" t="str">
        <f>IFERROR(__xludf.DUMMYFUNCTION("""COMPUTED_VALUE"""),"IRMAS AMARAL COMERCIO DE ROUPAS E ACESSO")</f>
        <v>IRMAS AMARAL COMERCIO DE ROUPAS E ACESSO</v>
      </c>
      <c r="F417" s="15" t="str">
        <f>IFERROR(__xludf.DUMMYFUNCTION("""COMPUTED_VALUE"""),"TRIFIL")</f>
        <v>TRIFIL</v>
      </c>
      <c r="G417" s="15" t="str">
        <f>IFERROR(__xludf.DUMMYFUNCTION("""COMPUTED_VALUE"""),"266806711")</f>
        <v>266806711</v>
      </c>
      <c r="H417" s="15" t="str">
        <f>IFERROR(__xludf.DUMMYFUNCTION("""COMPUTED_VALUE"""),"1306222")</f>
        <v>1306222</v>
      </c>
      <c r="I417" s="15" t="str">
        <f>IFERROR(__xludf.DUMMYFUNCTION("""COMPUTED_VALUE"""),"8177126")</f>
        <v>8177126</v>
      </c>
      <c r="J417" s="15" t="str">
        <f>IFERROR(__xludf.DUMMYFUNCTION("""COMPUTED_VALUE"""),"CIF")</f>
        <v>CIF</v>
      </c>
      <c r="K417" s="15" t="str">
        <f>IFERROR(__xludf.DUMMYFUNCTION("""COMPUTED_VALUE"""),"(sem célula)")</f>
        <v>(sem célula)</v>
      </c>
      <c r="L417" s="15" t="str">
        <f>IFERROR(__xludf.DUMMYFUNCTION("""COMPUTED_VALUE"""),"AUTORIZADO")</f>
        <v>AUTORIZADO</v>
      </c>
      <c r="M417" s="15" t="str">
        <f>IFERROR(__xludf.DUMMYFUNCTION("""COMPUTED_VALUE"""),"NA ORIGEM")</f>
        <v>NA ORIGEM</v>
      </c>
      <c r="N417" s="15" t="str">
        <f>IFERROR(__xludf.DUMMYFUNCTION("""COMPUTED_VALUE"""),"Antes Prazo")</f>
        <v>Antes Prazo</v>
      </c>
      <c r="O417" s="15" t="str">
        <f>IFERROR(__xludf.DUMMYFUNCTION("""COMPUTED_VALUE"""),"B2B")</f>
        <v>B2B</v>
      </c>
      <c r="P417" s="16">
        <f>IFERROR(__xludf.DUMMYFUNCTION("""COMPUTED_VALUE"""),38.46)</f>
        <v>38.46</v>
      </c>
      <c r="Q417" s="15">
        <f>IFERROR(__xludf.DUMMYFUNCTION("""COMPUTED_VALUE"""),1.0)</f>
        <v>1</v>
      </c>
      <c r="R417" s="15" t="str">
        <f>IFERROR(__xludf.DUMMYFUNCTION("""COMPUTED_VALUE"""),"RODO")</f>
        <v>RODO</v>
      </c>
      <c r="S417" s="15" t="str">
        <f>IFERROR(__xludf.DUMMYFUNCTION("""COMPUTED_VALUE"""),"ITN")</f>
        <v>ITN</v>
      </c>
      <c r="T417" s="15" t="str">
        <f>IFERROR(__xludf.DUMMYFUNCTION("""COMPUTED_VALUE"""),"1")</f>
        <v>1</v>
      </c>
      <c r="U417" s="15" t="str">
        <f>IFERROR(__xludf.DUMMYFUNCTION("""COMPUTED_VALUE"""),"266806711 1306222 8177126 irmas amaral comercio de roupas e acesso trifil rao 1")</f>
        <v>266806711 1306222 8177126 irmas amaral comercio de roupas e acesso trifil rao 1</v>
      </c>
      <c r="V417" s="15" t="b">
        <f>IFERROR(__xludf.DUMMYFUNCTION("""COMPUTED_VALUE"""),FALSE)</f>
        <v>0</v>
      </c>
    </row>
    <row r="418">
      <c r="A418" s="19">
        <f>IFERROR(__xludf.DUMMYFUNCTION("""COMPUTED_VALUE"""),46304.0)</f>
        <v>46304</v>
      </c>
      <c r="B418" s="19">
        <f>IFERROR(__xludf.DUMMYFUNCTION("""COMPUTED_VALUE"""),46321.0)</f>
        <v>46321</v>
      </c>
      <c r="C418" s="15">
        <f>IFERROR(__xludf.DUMMYFUNCTION("""COMPUTED_VALUE"""),10.0)</f>
        <v>10</v>
      </c>
      <c r="D418" s="15" t="str">
        <f>IFERROR(__xludf.DUMMYFUNCTION("""COMPUTED_VALUE"""),"RAO")</f>
        <v>RAO</v>
      </c>
      <c r="E418" s="15" t="str">
        <f>IFERROR(__xludf.DUMMYFUNCTION("""COMPUTED_VALUE"""),"Angelica Cristina Penna de Souza 3837841")</f>
        <v>Angelica Cristina Penna de Souza 3837841</v>
      </c>
      <c r="F418" s="15" t="str">
        <f>IFERROR(__xludf.DUMMYFUNCTION("""COMPUTED_VALUE"""),"TRIFIL")</f>
        <v>TRIFIL</v>
      </c>
      <c r="G418" s="15" t="str">
        <f>IFERROR(__xludf.DUMMYFUNCTION("""COMPUTED_VALUE"""),"266806714")</f>
        <v>266806714</v>
      </c>
      <c r="H418" s="15" t="str">
        <f>IFERROR(__xludf.DUMMYFUNCTION("""COMPUTED_VALUE"""),"1306166")</f>
        <v>1306166</v>
      </c>
      <c r="I418" s="15" t="str">
        <f>IFERROR(__xludf.DUMMYFUNCTION("""COMPUTED_VALUE"""),"8177317")</f>
        <v>8177317</v>
      </c>
      <c r="J418" s="15" t="str">
        <f>IFERROR(__xludf.DUMMYFUNCTION("""COMPUTED_VALUE"""),"CIF")</f>
        <v>CIF</v>
      </c>
      <c r="K418" s="15" t="str">
        <f>IFERROR(__xludf.DUMMYFUNCTION("""COMPUTED_VALUE"""),"(sem célula)")</f>
        <v>(sem célula)</v>
      </c>
      <c r="L418" s="15" t="str">
        <f>IFERROR(__xludf.DUMMYFUNCTION("""COMPUTED_VALUE"""),"AUTORIZADO")</f>
        <v>AUTORIZADO</v>
      </c>
      <c r="M418" s="15" t="str">
        <f>IFERROR(__xludf.DUMMYFUNCTION("""COMPUTED_VALUE"""),"NA ORIGEM")</f>
        <v>NA ORIGEM</v>
      </c>
      <c r="N418" s="15" t="str">
        <f>IFERROR(__xludf.DUMMYFUNCTION("""COMPUTED_VALUE"""),"Antes Prazo")</f>
        <v>Antes Prazo</v>
      </c>
      <c r="O418" s="15" t="str">
        <f>IFERROR(__xludf.DUMMYFUNCTION("""COMPUTED_VALUE"""),"B2B")</f>
        <v>B2B</v>
      </c>
      <c r="P418" s="16">
        <f>IFERROR(__xludf.DUMMYFUNCTION("""COMPUTED_VALUE"""),38.46)</f>
        <v>38.46</v>
      </c>
      <c r="Q418" s="15">
        <f>IFERROR(__xludf.DUMMYFUNCTION("""COMPUTED_VALUE"""),1.0)</f>
        <v>1</v>
      </c>
      <c r="R418" s="15" t="str">
        <f>IFERROR(__xludf.DUMMYFUNCTION("""COMPUTED_VALUE"""),"RODO")</f>
        <v>RODO</v>
      </c>
      <c r="S418" s="15" t="str">
        <f>IFERROR(__xludf.DUMMYFUNCTION("""COMPUTED_VALUE"""),"ITN")</f>
        <v>ITN</v>
      </c>
      <c r="T418" s="15" t="str">
        <f>IFERROR(__xludf.DUMMYFUNCTION("""COMPUTED_VALUE"""),"113")</f>
        <v>113</v>
      </c>
      <c r="U418" s="15" t="str">
        <f>IFERROR(__xludf.DUMMYFUNCTION("""COMPUTED_VALUE"""),"266806714 1306166 8177317 angelica cristina penna de souza 3837841 trifil rao 113")</f>
        <v>266806714 1306166 8177317 angelica cristina penna de souza 3837841 trifil rao 113</v>
      </c>
      <c r="V418" s="15" t="b">
        <f>IFERROR(__xludf.DUMMYFUNCTION("""COMPUTED_VALUE"""),FALSE)</f>
        <v>0</v>
      </c>
    </row>
    <row r="419">
      <c r="A419" s="19">
        <f>IFERROR(__xludf.DUMMYFUNCTION("""COMPUTED_VALUE"""),46304.0)</f>
        <v>46304</v>
      </c>
      <c r="B419" s="19">
        <f>IFERROR(__xludf.DUMMYFUNCTION("""COMPUTED_VALUE"""),46321.0)</f>
        <v>46321</v>
      </c>
      <c r="C419" s="15">
        <f>IFERROR(__xludf.DUMMYFUNCTION("""COMPUTED_VALUE"""),10.0)</f>
        <v>10</v>
      </c>
      <c r="D419" s="15" t="str">
        <f>IFERROR(__xludf.DUMMYFUNCTION("""COMPUTED_VALUE"""),"RAO")</f>
        <v>RAO</v>
      </c>
      <c r="E419" s="15" t="str">
        <f>IFERROR(__xludf.DUMMYFUNCTION("""COMPUTED_VALUE"""),"WANDERLEY DA SILVA SANTOS")</f>
        <v>WANDERLEY DA SILVA SANTOS</v>
      </c>
      <c r="F419" s="15" t="str">
        <f>IFERROR(__xludf.DUMMYFUNCTION("""COMPUTED_VALUE"""),"TRIFIL")</f>
        <v>TRIFIL</v>
      </c>
      <c r="G419" s="15" t="str">
        <f>IFERROR(__xludf.DUMMYFUNCTION("""COMPUTED_VALUE"""),"266806716")</f>
        <v>266806716</v>
      </c>
      <c r="H419" s="15" t="str">
        <f>IFERROR(__xludf.DUMMYFUNCTION("""COMPUTED_VALUE"""),"1305979")</f>
        <v>1305979</v>
      </c>
      <c r="I419" s="15" t="str">
        <f>IFERROR(__xludf.DUMMYFUNCTION("""COMPUTED_VALUE"""),"8177342")</f>
        <v>8177342</v>
      </c>
      <c r="J419" s="15" t="str">
        <f>IFERROR(__xludf.DUMMYFUNCTION("""COMPUTED_VALUE"""),"CIF")</f>
        <v>CIF</v>
      </c>
      <c r="K419" s="15" t="str">
        <f>IFERROR(__xludf.DUMMYFUNCTION("""COMPUTED_VALUE"""),"SAO-1")</f>
        <v>SAO-1</v>
      </c>
      <c r="L419" s="15" t="str">
        <f>IFERROR(__xludf.DUMMYFUNCTION("""COMPUTED_VALUE"""),"AUTORIZADO")</f>
        <v>AUTORIZADO</v>
      </c>
      <c r="M419" s="15" t="str">
        <f>IFERROR(__xludf.DUMMYFUNCTION("""COMPUTED_VALUE"""),"NA ORIGEM")</f>
        <v>NA ORIGEM</v>
      </c>
      <c r="N419" s="15" t="str">
        <f>IFERROR(__xludf.DUMMYFUNCTION("""COMPUTED_VALUE"""),"Antes Prazo")</f>
        <v>Antes Prazo</v>
      </c>
      <c r="O419" s="15" t="str">
        <f>IFERROR(__xludf.DUMMYFUNCTION("""COMPUTED_VALUE"""),"B2B")</f>
        <v>B2B</v>
      </c>
      <c r="P419" s="16">
        <f>IFERROR(__xludf.DUMMYFUNCTION("""COMPUTED_VALUE"""),44.45)</f>
        <v>44.45</v>
      </c>
      <c r="Q419" s="15">
        <f>IFERROR(__xludf.DUMMYFUNCTION("""COMPUTED_VALUE"""),6.0)</f>
        <v>6</v>
      </c>
      <c r="R419" s="15" t="str">
        <f>IFERROR(__xludf.DUMMYFUNCTION("""COMPUTED_VALUE"""),"RODO")</f>
        <v>RODO</v>
      </c>
      <c r="S419" s="15" t="str">
        <f>IFERROR(__xludf.DUMMYFUNCTION("""COMPUTED_VALUE"""),"ITN")</f>
        <v>ITN</v>
      </c>
      <c r="T419" s="15" t="str">
        <f>IFERROR(__xludf.DUMMYFUNCTION("""COMPUTED_VALUE"""),"102")</f>
        <v>102</v>
      </c>
      <c r="U419" s="15" t="str">
        <f>IFERROR(__xludf.DUMMYFUNCTION("""COMPUTED_VALUE"""),"266806716 1305979 8177342 wanderley da silva santos trifil rao 102")</f>
        <v>266806716 1305979 8177342 wanderley da silva santos trifil rao 102</v>
      </c>
      <c r="V419" s="15" t="b">
        <f>IFERROR(__xludf.DUMMYFUNCTION("""COMPUTED_VALUE"""),FALSE)</f>
        <v>0</v>
      </c>
    </row>
    <row r="420">
      <c r="A420" s="19">
        <f>IFERROR(__xludf.DUMMYFUNCTION("""COMPUTED_VALUE"""),46304.0)</f>
        <v>46304</v>
      </c>
      <c r="B420" s="19">
        <f>IFERROR(__xludf.DUMMYFUNCTION("""COMPUTED_VALUE"""),46316.0)</f>
        <v>46316</v>
      </c>
      <c r="C420" s="15">
        <f>IFERROR(__xludf.DUMMYFUNCTION("""COMPUTED_VALUE"""),7.0)</f>
        <v>7</v>
      </c>
      <c r="D420" s="15" t="str">
        <f>IFERROR(__xludf.DUMMYFUNCTION("""COMPUTED_VALUE"""),"FRC")</f>
        <v>FRC</v>
      </c>
      <c r="E420" s="15" t="str">
        <f>IFERROR(__xludf.DUMMYFUNCTION("""COMPUTED_VALUE"""),"ARLETE APARECIDA DE OLIVEIRA LUIZ ME")</f>
        <v>ARLETE APARECIDA DE OLIVEIRA LUIZ ME</v>
      </c>
      <c r="F420" s="15" t="str">
        <f>IFERROR(__xludf.DUMMYFUNCTION("""COMPUTED_VALUE"""),"TRIFIL")</f>
        <v>TRIFIL</v>
      </c>
      <c r="G420" s="15" t="str">
        <f>IFERROR(__xludf.DUMMYFUNCTION("""COMPUTED_VALUE"""),"266806719")</f>
        <v>266806719</v>
      </c>
      <c r="H420" s="15" t="str">
        <f>IFERROR(__xludf.DUMMYFUNCTION("""COMPUTED_VALUE"""),"1306162")</f>
        <v>1306162</v>
      </c>
      <c r="I420" s="15" t="str">
        <f>IFERROR(__xludf.DUMMYFUNCTION("""COMPUTED_VALUE"""),"8177318")</f>
        <v>8177318</v>
      </c>
      <c r="J420" s="15" t="str">
        <f>IFERROR(__xludf.DUMMYFUNCTION("""COMPUTED_VALUE"""),"CIF")</f>
        <v>CIF</v>
      </c>
      <c r="K420" s="15" t="str">
        <f>IFERROR(__xludf.DUMMYFUNCTION("""COMPUTED_VALUE"""),"SAO-1")</f>
        <v>SAO-1</v>
      </c>
      <c r="L420" s="15" t="str">
        <f>IFERROR(__xludf.DUMMYFUNCTION("""COMPUTED_VALUE"""),"AUTORIZADO")</f>
        <v>AUTORIZADO</v>
      </c>
      <c r="M420" s="15" t="str">
        <f>IFERROR(__xludf.DUMMYFUNCTION("""COMPUTED_VALUE"""),"NA ORIGEM")</f>
        <v>NA ORIGEM</v>
      </c>
      <c r="N420" s="15" t="str">
        <f>IFERROR(__xludf.DUMMYFUNCTION("""COMPUTED_VALUE"""),"Antes Prazo")</f>
        <v>Antes Prazo</v>
      </c>
      <c r="O420" s="15" t="str">
        <f>IFERROR(__xludf.DUMMYFUNCTION("""COMPUTED_VALUE"""),"B2B")</f>
        <v>B2B</v>
      </c>
      <c r="P420" s="16">
        <f>IFERROR(__xludf.DUMMYFUNCTION("""COMPUTED_VALUE"""),38.46)</f>
        <v>38.46</v>
      </c>
      <c r="Q420" s="15">
        <f>IFERROR(__xludf.DUMMYFUNCTION("""COMPUTED_VALUE"""),2.0)</f>
        <v>2</v>
      </c>
      <c r="R420" s="15" t="str">
        <f>IFERROR(__xludf.DUMMYFUNCTION("""COMPUTED_VALUE"""),"RODO")</f>
        <v>RODO</v>
      </c>
      <c r="S420" s="15" t="str">
        <f>IFERROR(__xludf.DUMMYFUNCTION("""COMPUTED_VALUE"""),"ITN")</f>
        <v>ITN</v>
      </c>
      <c r="T420" s="15" t="str">
        <f>IFERROR(__xludf.DUMMYFUNCTION("""COMPUTED_VALUE"""),"4")</f>
        <v>4</v>
      </c>
      <c r="U420" s="15" t="str">
        <f>IFERROR(__xludf.DUMMYFUNCTION("""COMPUTED_VALUE"""),"266806719 1306162 8177318 arlete aparecida de oliveira luiz me trifil frc 4")</f>
        <v>266806719 1306162 8177318 arlete aparecida de oliveira luiz me trifil frc 4</v>
      </c>
      <c r="V420" s="15" t="b">
        <f>IFERROR(__xludf.DUMMYFUNCTION("""COMPUTED_VALUE"""),FALSE)</f>
        <v>0</v>
      </c>
    </row>
    <row r="421">
      <c r="A421" s="19">
        <f>IFERROR(__xludf.DUMMYFUNCTION("""COMPUTED_VALUE"""),46304.0)</f>
        <v>46304</v>
      </c>
      <c r="B421" s="19">
        <f>IFERROR(__xludf.DUMMYFUNCTION("""COMPUTED_VALUE"""),46317.0)</f>
        <v>46317</v>
      </c>
      <c r="C421" s="15">
        <f>IFERROR(__xludf.DUMMYFUNCTION("""COMPUTED_VALUE"""),8.0)</f>
        <v>8</v>
      </c>
      <c r="D421" s="15" t="str">
        <f>IFERROR(__xludf.DUMMYFUNCTION("""COMPUTED_VALUE"""),"RAO")</f>
        <v>RAO</v>
      </c>
      <c r="E421" s="15" t="str">
        <f>IFERROR(__xludf.DUMMYFUNCTION("""COMPUTED_VALUE"""),"RFH LEONELO LTDA")</f>
        <v>RFH LEONELO LTDA</v>
      </c>
      <c r="F421" s="15" t="str">
        <f>IFERROR(__xludf.DUMMYFUNCTION("""COMPUTED_VALUE"""),"TRIFIL")</f>
        <v>TRIFIL</v>
      </c>
      <c r="G421" s="15" t="str">
        <f>IFERROR(__xludf.DUMMYFUNCTION("""COMPUTED_VALUE"""),"266806721")</f>
        <v>266806721</v>
      </c>
      <c r="H421" s="15" t="str">
        <f>IFERROR(__xludf.DUMMYFUNCTION("""COMPUTED_VALUE"""),"1306138")</f>
        <v>1306138</v>
      </c>
      <c r="I421" s="15" t="str">
        <f>IFERROR(__xludf.DUMMYFUNCTION("""COMPUTED_VALUE"""),"8177110")</f>
        <v>8177110</v>
      </c>
      <c r="J421" s="15" t="str">
        <f>IFERROR(__xludf.DUMMYFUNCTION("""COMPUTED_VALUE"""),"CIF")</f>
        <v>CIF</v>
      </c>
      <c r="K421" s="15" t="str">
        <f>IFERROR(__xludf.DUMMYFUNCTION("""COMPUTED_VALUE"""),"(sem célula)")</f>
        <v>(sem célula)</v>
      </c>
      <c r="L421" s="15" t="str">
        <f>IFERROR(__xludf.DUMMYFUNCTION("""COMPUTED_VALUE"""),"AUTORIZADO")</f>
        <v>AUTORIZADO</v>
      </c>
      <c r="M421" s="15" t="str">
        <f>IFERROR(__xludf.DUMMYFUNCTION("""COMPUTED_VALUE"""),"NA ORIGEM")</f>
        <v>NA ORIGEM</v>
      </c>
      <c r="N421" s="15" t="str">
        <f>IFERROR(__xludf.DUMMYFUNCTION("""COMPUTED_VALUE"""),"Antes Prazo")</f>
        <v>Antes Prazo</v>
      </c>
      <c r="O421" s="15" t="str">
        <f>IFERROR(__xludf.DUMMYFUNCTION("""COMPUTED_VALUE"""),"B2B")</f>
        <v>B2B</v>
      </c>
      <c r="P421" s="16">
        <f>IFERROR(__xludf.DUMMYFUNCTION("""COMPUTED_VALUE"""),38.46)</f>
        <v>38.46</v>
      </c>
      <c r="Q421" s="15">
        <f>IFERROR(__xludf.DUMMYFUNCTION("""COMPUTED_VALUE"""),1.0)</f>
        <v>1</v>
      </c>
      <c r="R421" s="15" t="str">
        <f>IFERROR(__xludf.DUMMYFUNCTION("""COMPUTED_VALUE"""),"RODO")</f>
        <v>RODO</v>
      </c>
      <c r="S421" s="15" t="str">
        <f>IFERROR(__xludf.DUMMYFUNCTION("""COMPUTED_VALUE"""),"ITN")</f>
        <v>ITN</v>
      </c>
      <c r="T421" s="15" t="str">
        <f>IFERROR(__xludf.DUMMYFUNCTION("""COMPUTED_VALUE"""),"103")</f>
        <v>103</v>
      </c>
      <c r="U421" s="15" t="str">
        <f>IFERROR(__xludf.DUMMYFUNCTION("""COMPUTED_VALUE"""),"266806721 1306138 8177110 rfh leonelo ltda trifil rao 103")</f>
        <v>266806721 1306138 8177110 rfh leonelo ltda trifil rao 103</v>
      </c>
      <c r="V421" s="15" t="b">
        <f>IFERROR(__xludf.DUMMYFUNCTION("""COMPUTED_VALUE"""),FALSE)</f>
        <v>0</v>
      </c>
    </row>
    <row r="422">
      <c r="A422" s="19">
        <f>IFERROR(__xludf.DUMMYFUNCTION("""COMPUTED_VALUE"""),46304.0)</f>
        <v>46304</v>
      </c>
      <c r="B422" s="19">
        <f>IFERROR(__xludf.DUMMYFUNCTION("""COMPUTED_VALUE"""),46317.0)</f>
        <v>46317</v>
      </c>
      <c r="C422" s="15">
        <f>IFERROR(__xludf.DUMMYFUNCTION("""COMPUTED_VALUE"""),8.0)</f>
        <v>8</v>
      </c>
      <c r="D422" s="15" t="str">
        <f>IFERROR(__xludf.DUMMYFUNCTION("""COMPUTED_VALUE"""),"SJP")</f>
        <v>SJP</v>
      </c>
      <c r="E422" s="15" t="str">
        <f>IFERROR(__xludf.DUMMYFUNCTION("""COMPUTED_VALUE"""),"VIVIANE REBECA DE FREITAS FIRME")</f>
        <v>VIVIANE REBECA DE FREITAS FIRME</v>
      </c>
      <c r="F422" s="15" t="str">
        <f>IFERROR(__xludf.DUMMYFUNCTION("""COMPUTED_VALUE"""),"TRIFIL")</f>
        <v>TRIFIL</v>
      </c>
      <c r="G422" s="15" t="str">
        <f>IFERROR(__xludf.DUMMYFUNCTION("""COMPUTED_VALUE"""),"266806723")</f>
        <v>266806723</v>
      </c>
      <c r="H422" s="15" t="str">
        <f>IFERROR(__xludf.DUMMYFUNCTION("""COMPUTED_VALUE"""),"1305929")</f>
        <v>1305929</v>
      </c>
      <c r="I422" s="15" t="str">
        <f>IFERROR(__xludf.DUMMYFUNCTION("""COMPUTED_VALUE"""),"8177240")</f>
        <v>8177240</v>
      </c>
      <c r="J422" s="15" t="str">
        <f>IFERROR(__xludf.DUMMYFUNCTION("""COMPUTED_VALUE"""),"CIF")</f>
        <v>CIF</v>
      </c>
      <c r="K422" s="15" t="str">
        <f>IFERROR(__xludf.DUMMYFUNCTION("""COMPUTED_VALUE"""),"(sem célula)")</f>
        <v>(sem célula)</v>
      </c>
      <c r="L422" s="15" t="str">
        <f>IFERROR(__xludf.DUMMYFUNCTION("""COMPUTED_VALUE"""),"AUTORIZADO")</f>
        <v>AUTORIZADO</v>
      </c>
      <c r="M422" s="15" t="str">
        <f>IFERROR(__xludf.DUMMYFUNCTION("""COMPUTED_VALUE"""),"NA ORIGEM")</f>
        <v>NA ORIGEM</v>
      </c>
      <c r="N422" s="15" t="str">
        <f>IFERROR(__xludf.DUMMYFUNCTION("""COMPUTED_VALUE"""),"Antes Prazo")</f>
        <v>Antes Prazo</v>
      </c>
      <c r="O422" s="15" t="str">
        <f>IFERROR(__xludf.DUMMYFUNCTION("""COMPUTED_VALUE"""),"B2B")</f>
        <v>B2B</v>
      </c>
      <c r="P422" s="16">
        <f>IFERROR(__xludf.DUMMYFUNCTION("""COMPUTED_VALUE"""),38.46)</f>
        <v>38.46</v>
      </c>
      <c r="Q422" s="15">
        <f>IFERROR(__xludf.DUMMYFUNCTION("""COMPUTED_VALUE"""),1.0)</f>
        <v>1</v>
      </c>
      <c r="R422" s="15" t="str">
        <f>IFERROR(__xludf.DUMMYFUNCTION("""COMPUTED_VALUE"""),"RODO")</f>
        <v>RODO</v>
      </c>
      <c r="S422" s="15" t="str">
        <f>IFERROR(__xludf.DUMMYFUNCTION("""COMPUTED_VALUE"""),"ITN")</f>
        <v>ITN</v>
      </c>
      <c r="T422" s="15" t="str">
        <f>IFERROR(__xludf.DUMMYFUNCTION("""COMPUTED_VALUE"""),"101")</f>
        <v>101</v>
      </c>
      <c r="U422" s="15" t="str">
        <f>IFERROR(__xludf.DUMMYFUNCTION("""COMPUTED_VALUE"""),"266806723 1305929 8177240 viviane rebeca de freitas firme trifil sjp 101")</f>
        <v>266806723 1305929 8177240 viviane rebeca de freitas firme trifil sjp 101</v>
      </c>
      <c r="V422" s="15" t="b">
        <f>IFERROR(__xludf.DUMMYFUNCTION("""COMPUTED_VALUE"""),FALSE)</f>
        <v>0</v>
      </c>
    </row>
    <row r="423">
      <c r="A423" s="19">
        <f>IFERROR(__xludf.DUMMYFUNCTION("""COMPUTED_VALUE"""),46304.0)</f>
        <v>46304</v>
      </c>
      <c r="B423" s="19">
        <f>IFERROR(__xludf.DUMMYFUNCTION("""COMPUTED_VALUE"""),46316.0)</f>
        <v>46316</v>
      </c>
      <c r="C423" s="15">
        <f>IFERROR(__xludf.DUMMYFUNCTION("""COMPUTED_VALUE"""),7.0)</f>
        <v>7</v>
      </c>
      <c r="D423" s="15" t="str">
        <f>IFERROR(__xludf.DUMMYFUNCTION("""COMPUTED_VALUE"""),"AQA")</f>
        <v>AQA</v>
      </c>
      <c r="E423" s="15" t="str">
        <f>IFERROR(__xludf.DUMMYFUNCTION("""COMPUTED_VALUE"""),"CARLOTA")</f>
        <v>CARLOTA</v>
      </c>
      <c r="F423" s="15" t="str">
        <f>IFERROR(__xludf.DUMMYFUNCTION("""COMPUTED_VALUE"""),"TRIFIL")</f>
        <v>TRIFIL</v>
      </c>
      <c r="G423" s="15" t="str">
        <f>IFERROR(__xludf.DUMMYFUNCTION("""COMPUTED_VALUE"""),"266806725")</f>
        <v>266806725</v>
      </c>
      <c r="H423" s="15" t="str">
        <f>IFERROR(__xludf.DUMMYFUNCTION("""COMPUTED_VALUE"""),"1305969")</f>
        <v>1305969</v>
      </c>
      <c r="I423" s="15" t="str">
        <f>IFERROR(__xludf.DUMMYFUNCTION("""COMPUTED_VALUE"""),"8177343")</f>
        <v>8177343</v>
      </c>
      <c r="J423" s="15" t="str">
        <f>IFERROR(__xludf.DUMMYFUNCTION("""COMPUTED_VALUE"""),"CIF")</f>
        <v>CIF</v>
      </c>
      <c r="K423" s="15" t="str">
        <f>IFERROR(__xludf.DUMMYFUNCTION("""COMPUTED_VALUE"""),"SAO-1")</f>
        <v>SAO-1</v>
      </c>
      <c r="L423" s="15" t="str">
        <f>IFERROR(__xludf.DUMMYFUNCTION("""COMPUTED_VALUE"""),"AUTORIZADO")</f>
        <v>AUTORIZADO</v>
      </c>
      <c r="M423" s="15" t="str">
        <f>IFERROR(__xludf.DUMMYFUNCTION("""COMPUTED_VALUE"""),"NA ORIGEM")</f>
        <v>NA ORIGEM</v>
      </c>
      <c r="N423" s="15" t="str">
        <f>IFERROR(__xludf.DUMMYFUNCTION("""COMPUTED_VALUE"""),"Antes Prazo")</f>
        <v>Antes Prazo</v>
      </c>
      <c r="O423" s="15" t="str">
        <f>IFERROR(__xludf.DUMMYFUNCTION("""COMPUTED_VALUE"""),"B2B")</f>
        <v>B2B</v>
      </c>
      <c r="P423" s="16">
        <f>IFERROR(__xludf.DUMMYFUNCTION("""COMPUTED_VALUE"""),38.46)</f>
        <v>38.46</v>
      </c>
      <c r="Q423" s="15">
        <f>IFERROR(__xludf.DUMMYFUNCTION("""COMPUTED_VALUE"""),2.0)</f>
        <v>2</v>
      </c>
      <c r="R423" s="15" t="str">
        <f>IFERROR(__xludf.DUMMYFUNCTION("""COMPUTED_VALUE"""),"RODO")</f>
        <v>RODO</v>
      </c>
      <c r="S423" s="15" t="str">
        <f>IFERROR(__xludf.DUMMYFUNCTION("""COMPUTED_VALUE"""),"ITN")</f>
        <v>ITN</v>
      </c>
      <c r="T423" s="15" t="str">
        <f>IFERROR(__xludf.DUMMYFUNCTION("""COMPUTED_VALUE"""),"1")</f>
        <v>1</v>
      </c>
      <c r="U423" s="15" t="str">
        <f>IFERROR(__xludf.DUMMYFUNCTION("""COMPUTED_VALUE"""),"266806725 1305969 8177343 carlota trifil aqa 1")</f>
        <v>266806725 1305969 8177343 carlota trifil aqa 1</v>
      </c>
      <c r="V423" s="15" t="b">
        <f>IFERROR(__xludf.DUMMYFUNCTION("""COMPUTED_VALUE"""),FALSE)</f>
        <v>0</v>
      </c>
    </row>
    <row r="424">
      <c r="A424" s="19">
        <f>IFERROR(__xludf.DUMMYFUNCTION("""COMPUTED_VALUE"""),46304.0)</f>
        <v>46304</v>
      </c>
      <c r="B424" s="19">
        <f>IFERROR(__xludf.DUMMYFUNCTION("""COMPUTED_VALUE"""),46318.0)</f>
        <v>46318</v>
      </c>
      <c r="C424" s="15">
        <f>IFERROR(__xludf.DUMMYFUNCTION("""COMPUTED_VALUE"""),9.0)</f>
        <v>9</v>
      </c>
      <c r="D424" s="15" t="str">
        <f>IFERROR(__xludf.DUMMYFUNCTION("""COMPUTED_VALUE"""),"SJP")</f>
        <v>SJP</v>
      </c>
      <c r="E424" s="15" t="str">
        <f>IFERROR(__xludf.DUMMYFUNCTION("""COMPUTED_VALUE"""),"NORMA LUCIA DA CUNHA RIOS EDUARDO")</f>
        <v>NORMA LUCIA DA CUNHA RIOS EDUARDO</v>
      </c>
      <c r="F424" s="15" t="str">
        <f>IFERROR(__xludf.DUMMYFUNCTION("""COMPUTED_VALUE"""),"TRIFIL")</f>
        <v>TRIFIL</v>
      </c>
      <c r="G424" s="15" t="str">
        <f>IFERROR(__xludf.DUMMYFUNCTION("""COMPUTED_VALUE"""),"266806726")</f>
        <v>266806726</v>
      </c>
      <c r="H424" s="15" t="str">
        <f>IFERROR(__xludf.DUMMYFUNCTION("""COMPUTED_VALUE"""),"1306098")</f>
        <v>1306098</v>
      </c>
      <c r="I424" s="15" t="str">
        <f>IFERROR(__xludf.DUMMYFUNCTION("""COMPUTED_VALUE"""),"8177127")</f>
        <v>8177127</v>
      </c>
      <c r="J424" s="15" t="str">
        <f>IFERROR(__xludf.DUMMYFUNCTION("""COMPUTED_VALUE"""),"CIF")</f>
        <v>CIF</v>
      </c>
      <c r="K424" s="15" t="str">
        <f>IFERROR(__xludf.DUMMYFUNCTION("""COMPUTED_VALUE"""),"SAO-1")</f>
        <v>SAO-1</v>
      </c>
      <c r="L424" s="15" t="str">
        <f>IFERROR(__xludf.DUMMYFUNCTION("""COMPUTED_VALUE"""),"AUTORIZADO")</f>
        <v>AUTORIZADO</v>
      </c>
      <c r="M424" s="15" t="str">
        <f>IFERROR(__xludf.DUMMYFUNCTION("""COMPUTED_VALUE"""),"NA ORIGEM")</f>
        <v>NA ORIGEM</v>
      </c>
      <c r="N424" s="15" t="str">
        <f>IFERROR(__xludf.DUMMYFUNCTION("""COMPUTED_VALUE"""),"Antes Prazo")</f>
        <v>Antes Prazo</v>
      </c>
      <c r="O424" s="15" t="str">
        <f>IFERROR(__xludf.DUMMYFUNCTION("""COMPUTED_VALUE"""),"B2B")</f>
        <v>B2B</v>
      </c>
      <c r="P424" s="16">
        <f>IFERROR(__xludf.DUMMYFUNCTION("""COMPUTED_VALUE"""),38.46)</f>
        <v>38.46</v>
      </c>
      <c r="Q424" s="15">
        <f>IFERROR(__xludf.DUMMYFUNCTION("""COMPUTED_VALUE"""),2.0)</f>
        <v>2</v>
      </c>
      <c r="R424" s="15" t="str">
        <f>IFERROR(__xludf.DUMMYFUNCTION("""COMPUTED_VALUE"""),"RODO")</f>
        <v>RODO</v>
      </c>
      <c r="S424" s="15" t="str">
        <f>IFERROR(__xludf.DUMMYFUNCTION("""COMPUTED_VALUE"""),"ITN")</f>
        <v>ITN</v>
      </c>
      <c r="T424" s="15" t="str">
        <f>IFERROR(__xludf.DUMMYFUNCTION("""COMPUTED_VALUE"""),"107")</f>
        <v>107</v>
      </c>
      <c r="U424" s="15" t="str">
        <f>IFERROR(__xludf.DUMMYFUNCTION("""COMPUTED_VALUE"""),"266806726 1306098 8177127 norma lucia da cunha rios eduardo trifil sjp 107")</f>
        <v>266806726 1306098 8177127 norma lucia da cunha rios eduardo trifil sjp 107</v>
      </c>
      <c r="V424" s="15" t="b">
        <f>IFERROR(__xludf.DUMMYFUNCTION("""COMPUTED_VALUE"""),FALSE)</f>
        <v>0</v>
      </c>
    </row>
    <row r="425">
      <c r="A425" s="19">
        <f>IFERROR(__xludf.DUMMYFUNCTION("""COMPUTED_VALUE"""),46304.0)</f>
        <v>46304</v>
      </c>
      <c r="B425" s="19">
        <f>IFERROR(__xludf.DUMMYFUNCTION("""COMPUTED_VALUE"""),46318.0)</f>
        <v>46318</v>
      </c>
      <c r="C425" s="15">
        <f>IFERROR(__xludf.DUMMYFUNCTION("""COMPUTED_VALUE"""),9.0)</f>
        <v>9</v>
      </c>
      <c r="D425" s="15" t="str">
        <f>IFERROR(__xludf.DUMMYFUNCTION("""COMPUTED_VALUE"""),"SJP")</f>
        <v>SJP</v>
      </c>
      <c r="E425" s="15" t="str">
        <f>IFERROR(__xludf.DUMMYFUNCTION("""COMPUTED_VALUE"""),"BAZAR BEIJA FLOR")</f>
        <v>BAZAR BEIJA FLOR</v>
      </c>
      <c r="F425" s="15" t="str">
        <f>IFERROR(__xludf.DUMMYFUNCTION("""COMPUTED_VALUE"""),"TRIFIL")</f>
        <v>TRIFIL</v>
      </c>
      <c r="G425" s="15" t="str">
        <f>IFERROR(__xludf.DUMMYFUNCTION("""COMPUTED_VALUE"""),"266806727")</f>
        <v>266806727</v>
      </c>
      <c r="H425" s="15" t="str">
        <f>IFERROR(__xludf.DUMMYFUNCTION("""COMPUTED_VALUE"""),"1306076")</f>
        <v>1306076</v>
      </c>
      <c r="I425" s="15" t="str">
        <f>IFERROR(__xludf.DUMMYFUNCTION("""COMPUTED_VALUE"""),"8177213")</f>
        <v>8177213</v>
      </c>
      <c r="J425" s="15" t="str">
        <f>IFERROR(__xludf.DUMMYFUNCTION("""COMPUTED_VALUE"""),"CIF")</f>
        <v>CIF</v>
      </c>
      <c r="K425" s="15" t="str">
        <f>IFERROR(__xludf.DUMMYFUNCTION("""COMPUTED_VALUE"""),"(sem célula)")</f>
        <v>(sem célula)</v>
      </c>
      <c r="L425" s="15" t="str">
        <f>IFERROR(__xludf.DUMMYFUNCTION("""COMPUTED_VALUE"""),"AUTORIZADO")</f>
        <v>AUTORIZADO</v>
      </c>
      <c r="M425" s="15" t="str">
        <f>IFERROR(__xludf.DUMMYFUNCTION("""COMPUTED_VALUE"""),"NA ORIGEM")</f>
        <v>NA ORIGEM</v>
      </c>
      <c r="N425" s="15" t="str">
        <f>IFERROR(__xludf.DUMMYFUNCTION("""COMPUTED_VALUE"""),"Antes Prazo")</f>
        <v>Antes Prazo</v>
      </c>
      <c r="O425" s="15" t="str">
        <f>IFERROR(__xludf.DUMMYFUNCTION("""COMPUTED_VALUE"""),"B2B")</f>
        <v>B2B</v>
      </c>
      <c r="P425" s="16">
        <f>IFERROR(__xludf.DUMMYFUNCTION("""COMPUTED_VALUE"""),38.46)</f>
        <v>38.46</v>
      </c>
      <c r="Q425" s="15">
        <f>IFERROR(__xludf.DUMMYFUNCTION("""COMPUTED_VALUE"""),1.0)</f>
        <v>1</v>
      </c>
      <c r="R425" s="15" t="str">
        <f>IFERROR(__xludf.DUMMYFUNCTION("""COMPUTED_VALUE"""),"RODO")</f>
        <v>RODO</v>
      </c>
      <c r="S425" s="15" t="str">
        <f>IFERROR(__xludf.DUMMYFUNCTION("""COMPUTED_VALUE"""),"ITN")</f>
        <v>ITN</v>
      </c>
      <c r="T425" s="15" t="str">
        <f>IFERROR(__xludf.DUMMYFUNCTION("""COMPUTED_VALUE"""),"118")</f>
        <v>118</v>
      </c>
      <c r="U425" s="15" t="str">
        <f>IFERROR(__xludf.DUMMYFUNCTION("""COMPUTED_VALUE"""),"266806727 1306076 8177213 bazar beija flor trifil sjp 118")</f>
        <v>266806727 1306076 8177213 bazar beija flor trifil sjp 118</v>
      </c>
      <c r="V425" s="15" t="b">
        <f>IFERROR(__xludf.DUMMYFUNCTION("""COMPUTED_VALUE"""),FALSE)</f>
        <v>0</v>
      </c>
    </row>
    <row r="426">
      <c r="A426" s="19">
        <f>IFERROR(__xludf.DUMMYFUNCTION("""COMPUTED_VALUE"""),46304.0)</f>
        <v>46304</v>
      </c>
      <c r="B426" s="19">
        <f>IFERROR(__xludf.DUMMYFUNCTION("""COMPUTED_VALUE"""),46322.0)</f>
        <v>46322</v>
      </c>
      <c r="C426" s="15">
        <f>IFERROR(__xludf.DUMMYFUNCTION("""COMPUTED_VALUE"""),11.0)</f>
        <v>11</v>
      </c>
      <c r="D426" s="15" t="str">
        <f>IFERROR(__xludf.DUMMYFUNCTION("""COMPUTED_VALUE"""),"SJP")</f>
        <v>SJP</v>
      </c>
      <c r="E426" s="15" t="str">
        <f>IFERROR(__xludf.DUMMYFUNCTION("""COMPUTED_VALUE"""),"OBA OBA")</f>
        <v>OBA OBA</v>
      </c>
      <c r="F426" s="15" t="str">
        <f>IFERROR(__xludf.DUMMYFUNCTION("""COMPUTED_VALUE"""),"TRIFIL")</f>
        <v>TRIFIL</v>
      </c>
      <c r="G426" s="15" t="str">
        <f>IFERROR(__xludf.DUMMYFUNCTION("""COMPUTED_VALUE"""),"266806729")</f>
        <v>266806729</v>
      </c>
      <c r="H426" s="15" t="str">
        <f>IFERROR(__xludf.DUMMYFUNCTION("""COMPUTED_VALUE"""),"1306263")</f>
        <v>1306263</v>
      </c>
      <c r="I426" s="15" t="str">
        <f>IFERROR(__xludf.DUMMYFUNCTION("""COMPUTED_VALUE"""),"8177150")</f>
        <v>8177150</v>
      </c>
      <c r="J426" s="15" t="str">
        <f>IFERROR(__xludf.DUMMYFUNCTION("""COMPUTED_VALUE"""),"CIF")</f>
        <v>CIF</v>
      </c>
      <c r="K426" s="15" t="str">
        <f>IFERROR(__xludf.DUMMYFUNCTION("""COMPUTED_VALUE"""),"(sem célula)")</f>
        <v>(sem célula)</v>
      </c>
      <c r="L426" s="15" t="str">
        <f>IFERROR(__xludf.DUMMYFUNCTION("""COMPUTED_VALUE"""),"AUTORIZADO")</f>
        <v>AUTORIZADO</v>
      </c>
      <c r="M426" s="15" t="str">
        <f>IFERROR(__xludf.DUMMYFUNCTION("""COMPUTED_VALUE"""),"NA ORIGEM")</f>
        <v>NA ORIGEM</v>
      </c>
      <c r="N426" s="15" t="str">
        <f>IFERROR(__xludf.DUMMYFUNCTION("""COMPUTED_VALUE"""),"Antes Prazo")</f>
        <v>Antes Prazo</v>
      </c>
      <c r="O426" s="15" t="str">
        <f>IFERROR(__xludf.DUMMYFUNCTION("""COMPUTED_VALUE"""),"B2B")</f>
        <v>B2B</v>
      </c>
      <c r="P426" s="16">
        <f>IFERROR(__xludf.DUMMYFUNCTION("""COMPUTED_VALUE"""),38.46)</f>
        <v>38.46</v>
      </c>
      <c r="Q426" s="15">
        <f>IFERROR(__xludf.DUMMYFUNCTION("""COMPUTED_VALUE"""),1.0)</f>
        <v>1</v>
      </c>
      <c r="R426" s="15" t="str">
        <f>IFERROR(__xludf.DUMMYFUNCTION("""COMPUTED_VALUE"""),"RODO")</f>
        <v>RODO</v>
      </c>
      <c r="S426" s="15" t="str">
        <f>IFERROR(__xludf.DUMMYFUNCTION("""COMPUTED_VALUE"""),"ITN")</f>
        <v>ITN</v>
      </c>
      <c r="T426" s="15" t="str">
        <f>IFERROR(__xludf.DUMMYFUNCTION("""COMPUTED_VALUE"""),"113")</f>
        <v>113</v>
      </c>
      <c r="U426" s="15" t="str">
        <f>IFERROR(__xludf.DUMMYFUNCTION("""COMPUTED_VALUE"""),"266806729 1306263 8177150 oba oba trifil sjp 113")</f>
        <v>266806729 1306263 8177150 oba oba trifil sjp 113</v>
      </c>
      <c r="V426" s="15" t="b">
        <f>IFERROR(__xludf.DUMMYFUNCTION("""COMPUTED_VALUE"""),FALSE)</f>
        <v>0</v>
      </c>
    </row>
    <row r="427">
      <c r="A427" s="19">
        <f>IFERROR(__xludf.DUMMYFUNCTION("""COMPUTED_VALUE"""),46304.0)</f>
        <v>46304</v>
      </c>
      <c r="B427" s="19">
        <f>IFERROR(__xludf.DUMMYFUNCTION("""COMPUTED_VALUE"""),46323.0)</f>
        <v>46323</v>
      </c>
      <c r="C427" s="15">
        <f>IFERROR(__xludf.DUMMYFUNCTION("""COMPUTED_VALUE"""),12.0)</f>
        <v>12</v>
      </c>
      <c r="D427" s="15" t="str">
        <f>IFERROR(__xludf.DUMMYFUNCTION("""COMPUTED_VALUE"""),"SJP")</f>
        <v>SJP</v>
      </c>
      <c r="E427" s="15" t="str">
        <f>IFERROR(__xludf.DUMMYFUNCTION("""COMPUTED_VALUE"""),"49.415.400 HELENA MARIA SILVA")</f>
        <v>49.415.400 HELENA MARIA SILVA</v>
      </c>
      <c r="F427" s="15" t="str">
        <f>IFERROR(__xludf.DUMMYFUNCTION("""COMPUTED_VALUE"""),"TRIFIL")</f>
        <v>TRIFIL</v>
      </c>
      <c r="G427" s="15" t="str">
        <f>IFERROR(__xludf.DUMMYFUNCTION("""COMPUTED_VALUE"""),"266806731")</f>
        <v>266806731</v>
      </c>
      <c r="H427" s="15" t="str">
        <f>IFERROR(__xludf.DUMMYFUNCTION("""COMPUTED_VALUE"""),"1305885")</f>
        <v>1305885</v>
      </c>
      <c r="I427" s="15" t="str">
        <f>IFERROR(__xludf.DUMMYFUNCTION("""COMPUTED_VALUE"""),"8177241")</f>
        <v>8177241</v>
      </c>
      <c r="J427" s="15" t="str">
        <f>IFERROR(__xludf.DUMMYFUNCTION("""COMPUTED_VALUE"""),"CIF")</f>
        <v>CIF</v>
      </c>
      <c r="K427" s="15" t="str">
        <f>IFERROR(__xludf.DUMMYFUNCTION("""COMPUTED_VALUE"""),"(sem célula)")</f>
        <v>(sem célula)</v>
      </c>
      <c r="L427" s="15" t="str">
        <f>IFERROR(__xludf.DUMMYFUNCTION("""COMPUTED_VALUE"""),"AUTORIZADO")</f>
        <v>AUTORIZADO</v>
      </c>
      <c r="M427" s="15" t="str">
        <f>IFERROR(__xludf.DUMMYFUNCTION("""COMPUTED_VALUE"""),"NA ORIGEM")</f>
        <v>NA ORIGEM</v>
      </c>
      <c r="N427" s="15" t="str">
        <f>IFERROR(__xludf.DUMMYFUNCTION("""COMPUTED_VALUE"""),"Antes Prazo")</f>
        <v>Antes Prazo</v>
      </c>
      <c r="O427" s="15" t="str">
        <f>IFERROR(__xludf.DUMMYFUNCTION("""COMPUTED_VALUE"""),"B2B")</f>
        <v>B2B</v>
      </c>
      <c r="P427" s="16">
        <f>IFERROR(__xludf.DUMMYFUNCTION("""COMPUTED_VALUE"""),38.46)</f>
        <v>38.46</v>
      </c>
      <c r="Q427" s="15">
        <f>IFERROR(__xludf.DUMMYFUNCTION("""COMPUTED_VALUE"""),1.0)</f>
        <v>1</v>
      </c>
      <c r="R427" s="15" t="str">
        <f>IFERROR(__xludf.DUMMYFUNCTION("""COMPUTED_VALUE"""),"RODO")</f>
        <v>RODO</v>
      </c>
      <c r="S427" s="15" t="str">
        <f>IFERROR(__xludf.DUMMYFUNCTION("""COMPUTED_VALUE"""),"ITN")</f>
        <v>ITN</v>
      </c>
      <c r="T427" s="15" t="str">
        <f>IFERROR(__xludf.DUMMYFUNCTION("""COMPUTED_VALUE"""),"113")</f>
        <v>113</v>
      </c>
      <c r="U427" s="15" t="str">
        <f>IFERROR(__xludf.DUMMYFUNCTION("""COMPUTED_VALUE"""),"266806731 1305885 8177241 49.415.400 helena maria silva trifil sjp 113")</f>
        <v>266806731 1305885 8177241 49.415.400 helena maria silva trifil sjp 113</v>
      </c>
      <c r="V427" s="15" t="b">
        <f>IFERROR(__xludf.DUMMYFUNCTION("""COMPUTED_VALUE"""),FALSE)</f>
        <v>0</v>
      </c>
    </row>
    <row r="428">
      <c r="A428" s="19">
        <f>IFERROR(__xludf.DUMMYFUNCTION("""COMPUTED_VALUE"""),46304.0)</f>
        <v>46304</v>
      </c>
      <c r="B428" s="19">
        <f>IFERROR(__xludf.DUMMYFUNCTION("""COMPUTED_VALUE"""),46317.0)</f>
        <v>46317</v>
      </c>
      <c r="C428" s="15">
        <f>IFERROR(__xludf.DUMMYFUNCTION("""COMPUTED_VALUE"""),8.0)</f>
        <v>8</v>
      </c>
      <c r="D428" s="15" t="str">
        <f>IFERROR(__xludf.DUMMYFUNCTION("""COMPUTED_VALUE"""),"SJP")</f>
        <v>SJP</v>
      </c>
      <c r="E428" s="15" t="str">
        <f>IFERROR(__xludf.DUMMYFUNCTION("""COMPUTED_VALUE"""),"JOSE GILMAR CERON")</f>
        <v>JOSE GILMAR CERON</v>
      </c>
      <c r="F428" s="15" t="str">
        <f>IFERROR(__xludf.DUMMYFUNCTION("""COMPUTED_VALUE"""),"TRIFIL")</f>
        <v>TRIFIL</v>
      </c>
      <c r="G428" s="15" t="str">
        <f>IFERROR(__xludf.DUMMYFUNCTION("""COMPUTED_VALUE"""),"266806732")</f>
        <v>266806732</v>
      </c>
      <c r="H428" s="15" t="str">
        <f>IFERROR(__xludf.DUMMYFUNCTION("""COMPUTED_VALUE"""),"1305846")</f>
        <v>1305846</v>
      </c>
      <c r="I428" s="15" t="str">
        <f>IFERROR(__xludf.DUMMYFUNCTION("""COMPUTED_VALUE"""),"8177242")</f>
        <v>8177242</v>
      </c>
      <c r="J428" s="15" t="str">
        <f>IFERROR(__xludf.DUMMYFUNCTION("""COMPUTED_VALUE"""),"CIF")</f>
        <v>CIF</v>
      </c>
      <c r="K428" s="15" t="str">
        <f>IFERROR(__xludf.DUMMYFUNCTION("""COMPUTED_VALUE"""),"(sem célula)")</f>
        <v>(sem célula)</v>
      </c>
      <c r="L428" s="15" t="str">
        <f>IFERROR(__xludf.DUMMYFUNCTION("""COMPUTED_VALUE"""),"AUTORIZADO")</f>
        <v>AUTORIZADO</v>
      </c>
      <c r="M428" s="15" t="str">
        <f>IFERROR(__xludf.DUMMYFUNCTION("""COMPUTED_VALUE"""),"NA ORIGEM")</f>
        <v>NA ORIGEM</v>
      </c>
      <c r="N428" s="15" t="str">
        <f>IFERROR(__xludf.DUMMYFUNCTION("""COMPUTED_VALUE"""),"Antes Prazo")</f>
        <v>Antes Prazo</v>
      </c>
      <c r="O428" s="15" t="str">
        <f>IFERROR(__xludf.DUMMYFUNCTION("""COMPUTED_VALUE"""),"B2B")</f>
        <v>B2B</v>
      </c>
      <c r="P428" s="16">
        <f>IFERROR(__xludf.DUMMYFUNCTION("""COMPUTED_VALUE"""),38.46)</f>
        <v>38.46</v>
      </c>
      <c r="Q428" s="15">
        <f>IFERROR(__xludf.DUMMYFUNCTION("""COMPUTED_VALUE"""),1.0)</f>
        <v>1</v>
      </c>
      <c r="R428" s="15" t="str">
        <f>IFERROR(__xludf.DUMMYFUNCTION("""COMPUTED_VALUE"""),"RODO")</f>
        <v>RODO</v>
      </c>
      <c r="S428" s="15" t="str">
        <f>IFERROR(__xludf.DUMMYFUNCTION("""COMPUTED_VALUE"""),"ITN")</f>
        <v>ITN</v>
      </c>
      <c r="T428" s="15" t="str">
        <f>IFERROR(__xludf.DUMMYFUNCTION("""COMPUTED_VALUE"""),"122")</f>
        <v>122</v>
      </c>
      <c r="U428" s="15" t="str">
        <f>IFERROR(__xludf.DUMMYFUNCTION("""COMPUTED_VALUE"""),"266806732 1305846 8177242 jose gilmar ceron trifil sjp 122")</f>
        <v>266806732 1305846 8177242 jose gilmar ceron trifil sjp 122</v>
      </c>
      <c r="V428" s="15" t="b">
        <f>IFERROR(__xludf.DUMMYFUNCTION("""COMPUTED_VALUE"""),FALSE)</f>
        <v>0</v>
      </c>
    </row>
    <row r="429">
      <c r="A429" s="19">
        <f>IFERROR(__xludf.DUMMYFUNCTION("""COMPUTED_VALUE"""),46304.0)</f>
        <v>46304</v>
      </c>
      <c r="B429" s="19">
        <f>IFERROR(__xludf.DUMMYFUNCTION("""COMPUTED_VALUE"""),46317.0)</f>
        <v>46317</v>
      </c>
      <c r="C429" s="15">
        <f>IFERROR(__xludf.DUMMYFUNCTION("""COMPUTED_VALUE"""),8.0)</f>
        <v>8</v>
      </c>
      <c r="D429" s="15" t="str">
        <f>IFERROR(__xludf.DUMMYFUNCTION("""COMPUTED_VALUE"""),"SJP")</f>
        <v>SJP</v>
      </c>
      <c r="E429" s="15" t="str">
        <f>IFERROR(__xludf.DUMMYFUNCTION("""COMPUTED_VALUE"""),"OLGA BAZAN TAKUNAGA BAZAR ME")</f>
        <v>OLGA BAZAN TAKUNAGA BAZAR ME</v>
      </c>
      <c r="F429" s="15" t="str">
        <f>IFERROR(__xludf.DUMMYFUNCTION("""COMPUTED_VALUE"""),"TRIFIL")</f>
        <v>TRIFIL</v>
      </c>
      <c r="G429" s="15" t="str">
        <f>IFERROR(__xludf.DUMMYFUNCTION("""COMPUTED_VALUE"""),"266806734")</f>
        <v>266806734</v>
      </c>
      <c r="H429" s="15" t="str">
        <f>IFERROR(__xludf.DUMMYFUNCTION("""COMPUTED_VALUE"""),"1305865")</f>
        <v>1305865</v>
      </c>
      <c r="I429" s="15" t="str">
        <f>IFERROR(__xludf.DUMMYFUNCTION("""COMPUTED_VALUE"""),"8177243")</f>
        <v>8177243</v>
      </c>
      <c r="J429" s="15" t="str">
        <f>IFERROR(__xludf.DUMMYFUNCTION("""COMPUTED_VALUE"""),"CIF")</f>
        <v>CIF</v>
      </c>
      <c r="K429" s="15" t="str">
        <f>IFERROR(__xludf.DUMMYFUNCTION("""COMPUTED_VALUE"""),"(sem célula)")</f>
        <v>(sem célula)</v>
      </c>
      <c r="L429" s="15" t="str">
        <f>IFERROR(__xludf.DUMMYFUNCTION("""COMPUTED_VALUE"""),"AUTORIZADO")</f>
        <v>AUTORIZADO</v>
      </c>
      <c r="M429" s="15" t="str">
        <f>IFERROR(__xludf.DUMMYFUNCTION("""COMPUTED_VALUE"""),"NA ORIGEM")</f>
        <v>NA ORIGEM</v>
      </c>
      <c r="N429" s="15" t="str">
        <f>IFERROR(__xludf.DUMMYFUNCTION("""COMPUTED_VALUE"""),"Antes Prazo")</f>
        <v>Antes Prazo</v>
      </c>
      <c r="O429" s="15" t="str">
        <f>IFERROR(__xludf.DUMMYFUNCTION("""COMPUTED_VALUE"""),"B2B")</f>
        <v>B2B</v>
      </c>
      <c r="P429" s="16">
        <f>IFERROR(__xludf.DUMMYFUNCTION("""COMPUTED_VALUE"""),38.46)</f>
        <v>38.46</v>
      </c>
      <c r="Q429" s="15">
        <f>IFERROR(__xludf.DUMMYFUNCTION("""COMPUTED_VALUE"""),1.0)</f>
        <v>1</v>
      </c>
      <c r="R429" s="15" t="str">
        <f>IFERROR(__xludf.DUMMYFUNCTION("""COMPUTED_VALUE"""),"RODO")</f>
        <v>RODO</v>
      </c>
      <c r="S429" s="15" t="str">
        <f>IFERROR(__xludf.DUMMYFUNCTION("""COMPUTED_VALUE"""),"ITN")</f>
        <v>ITN</v>
      </c>
      <c r="T429" s="15" t="str">
        <f>IFERROR(__xludf.DUMMYFUNCTION("""COMPUTED_VALUE"""),"122")</f>
        <v>122</v>
      </c>
      <c r="U429" s="15" t="str">
        <f>IFERROR(__xludf.DUMMYFUNCTION("""COMPUTED_VALUE"""),"266806734 1305865 8177243 olga bazan takunaga bazar me trifil sjp 122")</f>
        <v>266806734 1305865 8177243 olga bazan takunaga bazar me trifil sjp 122</v>
      </c>
      <c r="V429" s="15" t="b">
        <f>IFERROR(__xludf.DUMMYFUNCTION("""COMPUTED_VALUE"""),FALSE)</f>
        <v>0</v>
      </c>
    </row>
    <row r="430">
      <c r="A430" s="19">
        <f>IFERROR(__xludf.DUMMYFUNCTION("""COMPUTED_VALUE"""),46304.0)</f>
        <v>46304</v>
      </c>
      <c r="B430" s="19">
        <f>IFERROR(__xludf.DUMMYFUNCTION("""COMPUTED_VALUE"""),46322.0)</f>
        <v>46322</v>
      </c>
      <c r="C430" s="15">
        <f>IFERROR(__xludf.DUMMYFUNCTION("""COMPUTED_VALUE"""),11.0)</f>
        <v>11</v>
      </c>
      <c r="D430" s="15" t="str">
        <f>IFERROR(__xludf.DUMMYFUNCTION("""COMPUTED_VALUE"""),"SJP")</f>
        <v>SJP</v>
      </c>
      <c r="E430" s="15" t="str">
        <f>IFERROR(__xludf.DUMMYFUNCTION("""COMPUTED_VALUE"""),"LEDIANE MARISTELA SANTAREM DE ALMEIDA ME")</f>
        <v>LEDIANE MARISTELA SANTAREM DE ALMEIDA ME</v>
      </c>
      <c r="F430" s="15" t="str">
        <f>IFERROR(__xludf.DUMMYFUNCTION("""COMPUTED_VALUE"""),"TRIFIL")</f>
        <v>TRIFIL</v>
      </c>
      <c r="G430" s="15" t="str">
        <f>IFERROR(__xludf.DUMMYFUNCTION("""COMPUTED_VALUE"""),"266806736")</f>
        <v>266806736</v>
      </c>
      <c r="H430" s="15" t="str">
        <f>IFERROR(__xludf.DUMMYFUNCTION("""COMPUTED_VALUE"""),"1306185")</f>
        <v>1306185</v>
      </c>
      <c r="I430" s="15" t="str">
        <f>IFERROR(__xludf.DUMMYFUNCTION("""COMPUTED_VALUE"""),"8177214")</f>
        <v>8177214</v>
      </c>
      <c r="J430" s="15" t="str">
        <f>IFERROR(__xludf.DUMMYFUNCTION("""COMPUTED_VALUE"""),"CIF")</f>
        <v>CIF</v>
      </c>
      <c r="K430" s="15" t="str">
        <f>IFERROR(__xludf.DUMMYFUNCTION("""COMPUTED_VALUE"""),"(sem célula)")</f>
        <v>(sem célula)</v>
      </c>
      <c r="L430" s="15" t="str">
        <f>IFERROR(__xludf.DUMMYFUNCTION("""COMPUTED_VALUE"""),"AUTORIZADO")</f>
        <v>AUTORIZADO</v>
      </c>
      <c r="M430" s="15" t="str">
        <f>IFERROR(__xludf.DUMMYFUNCTION("""COMPUTED_VALUE"""),"NA ORIGEM")</f>
        <v>NA ORIGEM</v>
      </c>
      <c r="N430" s="15" t="str">
        <f>IFERROR(__xludf.DUMMYFUNCTION("""COMPUTED_VALUE"""),"Antes Prazo")</f>
        <v>Antes Prazo</v>
      </c>
      <c r="O430" s="15" t="str">
        <f>IFERROR(__xludf.DUMMYFUNCTION("""COMPUTED_VALUE"""),"B2B")</f>
        <v>B2B</v>
      </c>
      <c r="P430" s="16">
        <f>IFERROR(__xludf.DUMMYFUNCTION("""COMPUTED_VALUE"""),38.46)</f>
        <v>38.46</v>
      </c>
      <c r="Q430" s="15">
        <f>IFERROR(__xludf.DUMMYFUNCTION("""COMPUTED_VALUE"""),1.0)</f>
        <v>1</v>
      </c>
      <c r="R430" s="15" t="str">
        <f>IFERROR(__xludf.DUMMYFUNCTION("""COMPUTED_VALUE"""),"RODO")</f>
        <v>RODO</v>
      </c>
      <c r="S430" s="15" t="str">
        <f>IFERROR(__xludf.DUMMYFUNCTION("""COMPUTED_VALUE"""),"ITN")</f>
        <v>ITN</v>
      </c>
      <c r="T430" s="15" t="str">
        <f>IFERROR(__xludf.DUMMYFUNCTION("""COMPUTED_VALUE"""),"101")</f>
        <v>101</v>
      </c>
      <c r="U430" s="15" t="str">
        <f>IFERROR(__xludf.DUMMYFUNCTION("""COMPUTED_VALUE"""),"266806736 1306185 8177214 lediane maristela santarem de almeida me trifil sjp 101")</f>
        <v>266806736 1306185 8177214 lediane maristela santarem de almeida me trifil sjp 101</v>
      </c>
      <c r="V430" s="15" t="b">
        <f>IFERROR(__xludf.DUMMYFUNCTION("""COMPUTED_VALUE"""),FALSE)</f>
        <v>0</v>
      </c>
    </row>
    <row r="431">
      <c r="A431" s="19">
        <f>IFERROR(__xludf.DUMMYFUNCTION("""COMPUTED_VALUE"""),46304.0)</f>
        <v>46304</v>
      </c>
      <c r="B431" s="19">
        <f>IFERROR(__xludf.DUMMYFUNCTION("""COMPUTED_VALUE"""),46322.0)</f>
        <v>46322</v>
      </c>
      <c r="C431" s="15">
        <f>IFERROR(__xludf.DUMMYFUNCTION("""COMPUTED_VALUE"""),11.0)</f>
        <v>11</v>
      </c>
      <c r="D431" s="15" t="str">
        <f>IFERROR(__xludf.DUMMYFUNCTION("""COMPUTED_VALUE"""),"SJP")</f>
        <v>SJP</v>
      </c>
      <c r="E431" s="15" t="str">
        <f>IFERROR(__xludf.DUMMYFUNCTION("""COMPUTED_VALUE"""),"SENSUALLY MODA INTIMA")</f>
        <v>SENSUALLY MODA INTIMA</v>
      </c>
      <c r="F431" s="15" t="str">
        <f>IFERROR(__xludf.DUMMYFUNCTION("""COMPUTED_VALUE"""),"TRIFIL")</f>
        <v>TRIFIL</v>
      </c>
      <c r="G431" s="15" t="str">
        <f>IFERROR(__xludf.DUMMYFUNCTION("""COMPUTED_VALUE"""),"266806737")</f>
        <v>266806737</v>
      </c>
      <c r="H431" s="15" t="str">
        <f>IFERROR(__xludf.DUMMYFUNCTION("""COMPUTED_VALUE"""),"1306194")</f>
        <v>1306194</v>
      </c>
      <c r="I431" s="15" t="str">
        <f>IFERROR(__xludf.DUMMYFUNCTION("""COMPUTED_VALUE"""),"8177128")</f>
        <v>8177128</v>
      </c>
      <c r="J431" s="15" t="str">
        <f>IFERROR(__xludf.DUMMYFUNCTION("""COMPUTED_VALUE"""),"CIF")</f>
        <v>CIF</v>
      </c>
      <c r="K431" s="15" t="str">
        <f>IFERROR(__xludf.DUMMYFUNCTION("""COMPUTED_VALUE"""),"(sem célula)")</f>
        <v>(sem célula)</v>
      </c>
      <c r="L431" s="15" t="str">
        <f>IFERROR(__xludf.DUMMYFUNCTION("""COMPUTED_VALUE"""),"AUTORIZADO")</f>
        <v>AUTORIZADO</v>
      </c>
      <c r="M431" s="15" t="str">
        <f>IFERROR(__xludf.DUMMYFUNCTION("""COMPUTED_VALUE"""),"NA ORIGEM")</f>
        <v>NA ORIGEM</v>
      </c>
      <c r="N431" s="15" t="str">
        <f>IFERROR(__xludf.DUMMYFUNCTION("""COMPUTED_VALUE"""),"Antes Prazo")</f>
        <v>Antes Prazo</v>
      </c>
      <c r="O431" s="15" t="str">
        <f>IFERROR(__xludf.DUMMYFUNCTION("""COMPUTED_VALUE"""),"B2B")</f>
        <v>B2B</v>
      </c>
      <c r="P431" s="16">
        <f>IFERROR(__xludf.DUMMYFUNCTION("""COMPUTED_VALUE"""),38.46)</f>
        <v>38.46</v>
      </c>
      <c r="Q431" s="15">
        <f>IFERROR(__xludf.DUMMYFUNCTION("""COMPUTED_VALUE"""),1.0)</f>
        <v>1</v>
      </c>
      <c r="R431" s="15" t="str">
        <f>IFERROR(__xludf.DUMMYFUNCTION("""COMPUTED_VALUE"""),"RODO")</f>
        <v>RODO</v>
      </c>
      <c r="S431" s="15" t="str">
        <f>IFERROR(__xludf.DUMMYFUNCTION("""COMPUTED_VALUE"""),"ITN")</f>
        <v>ITN</v>
      </c>
      <c r="T431" s="15" t="str">
        <f>IFERROR(__xludf.DUMMYFUNCTION("""COMPUTED_VALUE"""),"108")</f>
        <v>108</v>
      </c>
      <c r="U431" s="15" t="str">
        <f>IFERROR(__xludf.DUMMYFUNCTION("""COMPUTED_VALUE"""),"266806737 1306194 8177128 sensually moda intima trifil sjp 108")</f>
        <v>266806737 1306194 8177128 sensually moda intima trifil sjp 108</v>
      </c>
      <c r="V431" s="15" t="b">
        <f>IFERROR(__xludf.DUMMYFUNCTION("""COMPUTED_VALUE"""),FALSE)</f>
        <v>0</v>
      </c>
    </row>
    <row r="432">
      <c r="A432" s="19">
        <f>IFERROR(__xludf.DUMMYFUNCTION("""COMPUTED_VALUE"""),46304.0)</f>
        <v>46304</v>
      </c>
      <c r="B432" s="19">
        <f>IFERROR(__xludf.DUMMYFUNCTION("""COMPUTED_VALUE"""),46317.0)</f>
        <v>46317</v>
      </c>
      <c r="C432" s="15">
        <f>IFERROR(__xludf.DUMMYFUNCTION("""COMPUTED_VALUE"""),8.0)</f>
        <v>8</v>
      </c>
      <c r="D432" s="15" t="str">
        <f>IFERROR(__xludf.DUMMYFUNCTION("""COMPUTED_VALUE"""),"SJP")</f>
        <v>SJP</v>
      </c>
      <c r="E432" s="15" t="str">
        <f>IFERROR(__xludf.DUMMYFUNCTION("""COMPUTED_VALUE"""),"CONFECCOES ANA GERIE MODA INTIMA LT")</f>
        <v>CONFECCOES ANA GERIE MODA INTIMA LT</v>
      </c>
      <c r="F432" s="15" t="str">
        <f>IFERROR(__xludf.DUMMYFUNCTION("""COMPUTED_VALUE"""),"TRIFIL")</f>
        <v>TRIFIL</v>
      </c>
      <c r="G432" s="15" t="str">
        <f>IFERROR(__xludf.DUMMYFUNCTION("""COMPUTED_VALUE"""),"266806738")</f>
        <v>266806738</v>
      </c>
      <c r="H432" s="15" t="str">
        <f>IFERROR(__xludf.DUMMYFUNCTION("""COMPUTED_VALUE"""),"1306132")</f>
        <v>1306132</v>
      </c>
      <c r="I432" s="15" t="str">
        <f>IFERROR(__xludf.DUMMYFUNCTION("""COMPUTED_VALUE"""),"8177319")</f>
        <v>8177319</v>
      </c>
      <c r="J432" s="15" t="str">
        <f>IFERROR(__xludf.DUMMYFUNCTION("""COMPUTED_VALUE"""),"CIF")</f>
        <v>CIF</v>
      </c>
      <c r="K432" s="15" t="str">
        <f>IFERROR(__xludf.DUMMYFUNCTION("""COMPUTED_VALUE"""),"(sem célula)")</f>
        <v>(sem célula)</v>
      </c>
      <c r="L432" s="15" t="str">
        <f>IFERROR(__xludf.DUMMYFUNCTION("""COMPUTED_VALUE"""),"AUTORIZADO")</f>
        <v>AUTORIZADO</v>
      </c>
      <c r="M432" s="15" t="str">
        <f>IFERROR(__xludf.DUMMYFUNCTION("""COMPUTED_VALUE"""),"NA ORIGEM")</f>
        <v>NA ORIGEM</v>
      </c>
      <c r="N432" s="15" t="str">
        <f>IFERROR(__xludf.DUMMYFUNCTION("""COMPUTED_VALUE"""),"Antes Prazo")</f>
        <v>Antes Prazo</v>
      </c>
      <c r="O432" s="15" t="str">
        <f>IFERROR(__xludf.DUMMYFUNCTION("""COMPUTED_VALUE"""),"B2B")</f>
        <v>B2B</v>
      </c>
      <c r="P432" s="16">
        <f>IFERROR(__xludf.DUMMYFUNCTION("""COMPUTED_VALUE"""),38.46)</f>
        <v>38.46</v>
      </c>
      <c r="Q432" s="15">
        <f>IFERROR(__xludf.DUMMYFUNCTION("""COMPUTED_VALUE"""),1.0)</f>
        <v>1</v>
      </c>
      <c r="R432" s="15" t="str">
        <f>IFERROR(__xludf.DUMMYFUNCTION("""COMPUTED_VALUE"""),"RODO")</f>
        <v>RODO</v>
      </c>
      <c r="S432" s="15" t="str">
        <f>IFERROR(__xludf.DUMMYFUNCTION("""COMPUTED_VALUE"""),"ITN")</f>
        <v>ITN</v>
      </c>
      <c r="T432" s="15" t="str">
        <f>IFERROR(__xludf.DUMMYFUNCTION("""COMPUTED_VALUE"""),"107")</f>
        <v>107</v>
      </c>
      <c r="U432" s="15" t="str">
        <f>IFERROR(__xludf.DUMMYFUNCTION("""COMPUTED_VALUE"""),"266806738 1306132 8177319 confeccoes ana gerie moda intima lt trifil sjp 107")</f>
        <v>266806738 1306132 8177319 confeccoes ana gerie moda intima lt trifil sjp 107</v>
      </c>
      <c r="V432" s="15" t="b">
        <f>IFERROR(__xludf.DUMMYFUNCTION("""COMPUTED_VALUE"""),FALSE)</f>
        <v>0</v>
      </c>
    </row>
    <row r="433">
      <c r="A433" s="19">
        <f>IFERROR(__xludf.DUMMYFUNCTION("""COMPUTED_VALUE"""),46304.0)</f>
        <v>46304</v>
      </c>
      <c r="B433" s="19">
        <f>IFERROR(__xludf.DUMMYFUNCTION("""COMPUTED_VALUE"""),46316.0)</f>
        <v>46316</v>
      </c>
      <c r="C433" s="15">
        <f>IFERROR(__xludf.DUMMYFUNCTION("""COMPUTED_VALUE"""),7.0)</f>
        <v>7</v>
      </c>
      <c r="D433" s="15" t="str">
        <f>IFERROR(__xludf.DUMMYFUNCTION("""COMPUTED_VALUE"""),"BAU")</f>
        <v>BAU</v>
      </c>
      <c r="E433" s="15" t="str">
        <f>IFERROR(__xludf.DUMMYFUNCTION("""COMPUTED_VALUE"""),"CLAUDETE APARECIDA GAZZIRO MORAIS - ME")</f>
        <v>CLAUDETE APARECIDA GAZZIRO MORAIS - ME</v>
      </c>
      <c r="F433" s="15" t="str">
        <f>IFERROR(__xludf.DUMMYFUNCTION("""COMPUTED_VALUE"""),"TRIFIL")</f>
        <v>TRIFIL</v>
      </c>
      <c r="G433" s="15" t="str">
        <f>IFERROR(__xludf.DUMMYFUNCTION("""COMPUTED_VALUE"""),"266806739")</f>
        <v>266806739</v>
      </c>
      <c r="H433" s="15" t="str">
        <f>IFERROR(__xludf.DUMMYFUNCTION("""COMPUTED_VALUE"""),"1306258")</f>
        <v>1306258</v>
      </c>
      <c r="I433" s="15" t="str">
        <f>IFERROR(__xludf.DUMMYFUNCTION("""COMPUTED_VALUE"""),"8177183")</f>
        <v>8177183</v>
      </c>
      <c r="J433" s="15" t="str">
        <f>IFERROR(__xludf.DUMMYFUNCTION("""COMPUTED_VALUE"""),"CIF")</f>
        <v>CIF</v>
      </c>
      <c r="K433" s="15" t="str">
        <f>IFERROR(__xludf.DUMMYFUNCTION("""COMPUTED_VALUE"""),"(sem célula)")</f>
        <v>(sem célula)</v>
      </c>
      <c r="L433" s="15" t="str">
        <f>IFERROR(__xludf.DUMMYFUNCTION("""COMPUTED_VALUE"""),"AUTORIZADO")</f>
        <v>AUTORIZADO</v>
      </c>
      <c r="M433" s="15" t="str">
        <f>IFERROR(__xludf.DUMMYFUNCTION("""COMPUTED_VALUE"""),"NA ORIGEM")</f>
        <v>NA ORIGEM</v>
      </c>
      <c r="N433" s="15" t="str">
        <f>IFERROR(__xludf.DUMMYFUNCTION("""COMPUTED_VALUE"""),"Antes Prazo")</f>
        <v>Antes Prazo</v>
      </c>
      <c r="O433" s="15" t="str">
        <f>IFERROR(__xludf.DUMMYFUNCTION("""COMPUTED_VALUE"""),"B2B")</f>
        <v>B2B</v>
      </c>
      <c r="P433" s="16">
        <f>IFERROR(__xludf.DUMMYFUNCTION("""COMPUTED_VALUE"""),38.46)</f>
        <v>38.46</v>
      </c>
      <c r="Q433" s="15">
        <f>IFERROR(__xludf.DUMMYFUNCTION("""COMPUTED_VALUE"""),1.0)</f>
        <v>1</v>
      </c>
      <c r="R433" s="15" t="str">
        <f>IFERROR(__xludf.DUMMYFUNCTION("""COMPUTED_VALUE"""),"RODO")</f>
        <v>RODO</v>
      </c>
      <c r="S433" s="15" t="str">
        <f>IFERROR(__xludf.DUMMYFUNCTION("""COMPUTED_VALUE"""),"ITN")</f>
        <v>ITN</v>
      </c>
      <c r="T433" s="15" t="str">
        <f>IFERROR(__xludf.DUMMYFUNCTION("""COMPUTED_VALUE"""),"104")</f>
        <v>104</v>
      </c>
      <c r="U433" s="15" t="str">
        <f>IFERROR(__xludf.DUMMYFUNCTION("""COMPUTED_VALUE"""),"266806739 1306258 8177183 claudete aparecida gazziro morais - me trifil bau 104")</f>
        <v>266806739 1306258 8177183 claudete aparecida gazziro morais - me trifil bau 104</v>
      </c>
      <c r="V433" s="15" t="b">
        <f>IFERROR(__xludf.DUMMYFUNCTION("""COMPUTED_VALUE"""),FALSE)</f>
        <v>0</v>
      </c>
    </row>
    <row r="434">
      <c r="A434" s="19">
        <f>IFERROR(__xludf.DUMMYFUNCTION("""COMPUTED_VALUE"""),46304.0)</f>
        <v>46304</v>
      </c>
      <c r="B434" s="19">
        <f>IFERROR(__xludf.DUMMYFUNCTION("""COMPUTED_VALUE"""),46317.0)</f>
        <v>46317</v>
      </c>
      <c r="C434" s="15">
        <f>IFERROR(__xludf.DUMMYFUNCTION("""COMPUTED_VALUE"""),8.0)</f>
        <v>8</v>
      </c>
      <c r="D434" s="15" t="str">
        <f>IFERROR(__xludf.DUMMYFUNCTION("""COMPUTED_VALUE"""),"PPR")</f>
        <v>PPR</v>
      </c>
      <c r="E434" s="15" t="str">
        <f>IFERROR(__xludf.DUMMYFUNCTION("""COMPUTED_VALUE"""),"DELICATA MODA INTIMA")</f>
        <v>DELICATA MODA INTIMA</v>
      </c>
      <c r="F434" s="15" t="str">
        <f>IFERROR(__xludf.DUMMYFUNCTION("""COMPUTED_VALUE"""),"TRIFIL")</f>
        <v>TRIFIL</v>
      </c>
      <c r="G434" s="15" t="str">
        <f>IFERROR(__xludf.DUMMYFUNCTION("""COMPUTED_VALUE"""),"266806741")</f>
        <v>266806741</v>
      </c>
      <c r="H434" s="15" t="str">
        <f>IFERROR(__xludf.DUMMYFUNCTION("""COMPUTED_VALUE"""),"1306147")</f>
        <v>1306147</v>
      </c>
      <c r="I434" s="15" t="str">
        <f>IFERROR(__xludf.DUMMYFUNCTION("""COMPUTED_VALUE"""),"8177184")</f>
        <v>8177184</v>
      </c>
      <c r="J434" s="15" t="str">
        <f>IFERROR(__xludf.DUMMYFUNCTION("""COMPUTED_VALUE"""),"CIF")</f>
        <v>CIF</v>
      </c>
      <c r="K434" s="15" t="str">
        <f>IFERROR(__xludf.DUMMYFUNCTION("""COMPUTED_VALUE"""),"(sem célula)")</f>
        <v>(sem célula)</v>
      </c>
      <c r="L434" s="15" t="str">
        <f>IFERROR(__xludf.DUMMYFUNCTION("""COMPUTED_VALUE"""),"AUTORIZADO")</f>
        <v>AUTORIZADO</v>
      </c>
      <c r="M434" s="15" t="str">
        <f>IFERROR(__xludf.DUMMYFUNCTION("""COMPUTED_VALUE"""),"NA ORIGEM")</f>
        <v>NA ORIGEM</v>
      </c>
      <c r="N434" s="15" t="str">
        <f>IFERROR(__xludf.DUMMYFUNCTION("""COMPUTED_VALUE"""),"Antes Prazo")</f>
        <v>Antes Prazo</v>
      </c>
      <c r="O434" s="15" t="str">
        <f>IFERROR(__xludf.DUMMYFUNCTION("""COMPUTED_VALUE"""),"B2B")</f>
        <v>B2B</v>
      </c>
      <c r="P434" s="16">
        <f>IFERROR(__xludf.DUMMYFUNCTION("""COMPUTED_VALUE"""),38.46)</f>
        <v>38.46</v>
      </c>
      <c r="Q434" s="15">
        <f>IFERROR(__xludf.DUMMYFUNCTION("""COMPUTED_VALUE"""),1.0)</f>
        <v>1</v>
      </c>
      <c r="R434" s="15" t="str">
        <f>IFERROR(__xludf.DUMMYFUNCTION("""COMPUTED_VALUE"""),"RODO")</f>
        <v>RODO</v>
      </c>
      <c r="S434" s="15" t="str">
        <f>IFERROR(__xludf.DUMMYFUNCTION("""COMPUTED_VALUE"""),"ITN")</f>
        <v>ITN</v>
      </c>
      <c r="T434" s="15" t="str">
        <f>IFERROR(__xludf.DUMMYFUNCTION("""COMPUTED_VALUE"""),"107")</f>
        <v>107</v>
      </c>
      <c r="U434" s="15" t="str">
        <f>IFERROR(__xludf.DUMMYFUNCTION("""COMPUTED_VALUE"""),"266806741 1306147 8177184 delicata moda intima trifil ppr 107")</f>
        <v>266806741 1306147 8177184 delicata moda intima trifil ppr 107</v>
      </c>
      <c r="V434" s="15" t="b">
        <f>IFERROR(__xludf.DUMMYFUNCTION("""COMPUTED_VALUE"""),FALSE)</f>
        <v>0</v>
      </c>
    </row>
    <row r="435">
      <c r="A435" s="19">
        <f>IFERROR(__xludf.DUMMYFUNCTION("""COMPUTED_VALUE"""),46304.0)</f>
        <v>46304</v>
      </c>
      <c r="B435" s="19">
        <f>IFERROR(__xludf.DUMMYFUNCTION("""COMPUTED_VALUE"""),46317.0)</f>
        <v>46317</v>
      </c>
      <c r="C435" s="15">
        <f>IFERROR(__xludf.DUMMYFUNCTION("""COMPUTED_VALUE"""),8.0)</f>
        <v>8</v>
      </c>
      <c r="D435" s="15" t="str">
        <f>IFERROR(__xludf.DUMMYFUNCTION("""COMPUTED_VALUE"""),"PPR")</f>
        <v>PPR</v>
      </c>
      <c r="E435" s="15" t="str">
        <f>IFERROR(__xludf.DUMMYFUNCTION("""COMPUTED_VALUE"""),"FERREIRA &amp; MENINI LTDA.")</f>
        <v>FERREIRA &amp; MENINI LTDA.</v>
      </c>
      <c r="F435" s="15" t="str">
        <f>IFERROR(__xludf.DUMMYFUNCTION("""COMPUTED_VALUE"""),"TRIFIL")</f>
        <v>TRIFIL</v>
      </c>
      <c r="G435" s="15" t="str">
        <f>IFERROR(__xludf.DUMMYFUNCTION("""COMPUTED_VALUE"""),"266806743")</f>
        <v>266806743</v>
      </c>
      <c r="H435" s="15" t="str">
        <f>IFERROR(__xludf.DUMMYFUNCTION("""COMPUTED_VALUE"""),"1306210")</f>
        <v>1306210</v>
      </c>
      <c r="I435" s="15" t="str">
        <f>IFERROR(__xludf.DUMMYFUNCTION("""COMPUTED_VALUE"""),"8177244")</f>
        <v>8177244</v>
      </c>
      <c r="J435" s="15" t="str">
        <f>IFERROR(__xludf.DUMMYFUNCTION("""COMPUTED_VALUE"""),"CIF")</f>
        <v>CIF</v>
      </c>
      <c r="K435" s="15" t="str">
        <f>IFERROR(__xludf.DUMMYFUNCTION("""COMPUTED_VALUE"""),"(sem célula)")</f>
        <v>(sem célula)</v>
      </c>
      <c r="L435" s="15" t="str">
        <f>IFERROR(__xludf.DUMMYFUNCTION("""COMPUTED_VALUE"""),"AUTORIZADO")</f>
        <v>AUTORIZADO</v>
      </c>
      <c r="M435" s="15" t="str">
        <f>IFERROR(__xludf.DUMMYFUNCTION("""COMPUTED_VALUE"""),"NA ORIGEM")</f>
        <v>NA ORIGEM</v>
      </c>
      <c r="N435" s="15" t="str">
        <f>IFERROR(__xludf.DUMMYFUNCTION("""COMPUTED_VALUE"""),"Antes Prazo")</f>
        <v>Antes Prazo</v>
      </c>
      <c r="O435" s="15" t="str">
        <f>IFERROR(__xludf.DUMMYFUNCTION("""COMPUTED_VALUE"""),"B2B")</f>
        <v>B2B</v>
      </c>
      <c r="P435" s="16">
        <f>IFERROR(__xludf.DUMMYFUNCTION("""COMPUTED_VALUE"""),38.46)</f>
        <v>38.46</v>
      </c>
      <c r="Q435" s="15">
        <f>IFERROR(__xludf.DUMMYFUNCTION("""COMPUTED_VALUE"""),1.0)</f>
        <v>1</v>
      </c>
      <c r="R435" s="15" t="str">
        <f>IFERROR(__xludf.DUMMYFUNCTION("""COMPUTED_VALUE"""),"RODO")</f>
        <v>RODO</v>
      </c>
      <c r="S435" s="15" t="str">
        <f>IFERROR(__xludf.DUMMYFUNCTION("""COMPUTED_VALUE"""),"ITN")</f>
        <v>ITN</v>
      </c>
      <c r="T435" s="15" t="str">
        <f>IFERROR(__xludf.DUMMYFUNCTION("""COMPUTED_VALUE"""),"107")</f>
        <v>107</v>
      </c>
      <c r="U435" s="15" t="str">
        <f>IFERROR(__xludf.DUMMYFUNCTION("""COMPUTED_VALUE"""),"266806743 1306210 8177244 ferreira &amp; menini ltda. trifil ppr 107")</f>
        <v>266806743 1306210 8177244 ferreira &amp; menini ltda. trifil ppr 107</v>
      </c>
      <c r="V435" s="15" t="b">
        <f>IFERROR(__xludf.DUMMYFUNCTION("""COMPUTED_VALUE"""),FALSE)</f>
        <v>0</v>
      </c>
    </row>
    <row r="436">
      <c r="A436" s="19">
        <f>IFERROR(__xludf.DUMMYFUNCTION("""COMPUTED_VALUE"""),46304.0)</f>
        <v>46304</v>
      </c>
      <c r="B436" s="19">
        <f>IFERROR(__xludf.DUMMYFUNCTION("""COMPUTED_VALUE"""),46317.0)</f>
        <v>46317</v>
      </c>
      <c r="C436" s="15">
        <f>IFERROR(__xludf.DUMMYFUNCTION("""COMPUTED_VALUE"""),8.0)</f>
        <v>8</v>
      </c>
      <c r="D436" s="15" t="str">
        <f>IFERROR(__xludf.DUMMYFUNCTION("""COMPUTED_VALUE"""),"PPR")</f>
        <v>PPR</v>
      </c>
      <c r="E436" s="15" t="str">
        <f>IFERROR(__xludf.DUMMYFUNCTION("""COMPUTED_VALUE"""),"N NAKANDAKARE E CIA LTDA")</f>
        <v>N NAKANDAKARE E CIA LTDA</v>
      </c>
      <c r="F436" s="15" t="str">
        <f>IFERROR(__xludf.DUMMYFUNCTION("""COMPUTED_VALUE"""),"TRIFIL")</f>
        <v>TRIFIL</v>
      </c>
      <c r="G436" s="15" t="str">
        <f>IFERROR(__xludf.DUMMYFUNCTION("""COMPUTED_VALUE"""),"266806745")</f>
        <v>266806745</v>
      </c>
      <c r="H436" s="15" t="str">
        <f>IFERROR(__xludf.DUMMYFUNCTION("""COMPUTED_VALUE"""),"1305807")</f>
        <v>1305807</v>
      </c>
      <c r="I436" s="15" t="str">
        <f>IFERROR(__xludf.DUMMYFUNCTION("""COMPUTED_VALUE"""),"8177285")</f>
        <v>8177285</v>
      </c>
      <c r="J436" s="15" t="str">
        <f>IFERROR(__xludf.DUMMYFUNCTION("""COMPUTED_VALUE"""),"CIF")</f>
        <v>CIF</v>
      </c>
      <c r="K436" s="15" t="str">
        <f>IFERROR(__xludf.DUMMYFUNCTION("""COMPUTED_VALUE"""),"(sem célula)")</f>
        <v>(sem célula)</v>
      </c>
      <c r="L436" s="15" t="str">
        <f>IFERROR(__xludf.DUMMYFUNCTION("""COMPUTED_VALUE"""),"AUTORIZADO")</f>
        <v>AUTORIZADO</v>
      </c>
      <c r="M436" s="15" t="str">
        <f>IFERROR(__xludf.DUMMYFUNCTION("""COMPUTED_VALUE"""),"NA ORIGEM")</f>
        <v>NA ORIGEM</v>
      </c>
      <c r="N436" s="15" t="str">
        <f>IFERROR(__xludf.DUMMYFUNCTION("""COMPUTED_VALUE"""),"Antes Prazo")</f>
        <v>Antes Prazo</v>
      </c>
      <c r="O436" s="15" t="str">
        <f>IFERROR(__xludf.DUMMYFUNCTION("""COMPUTED_VALUE"""),"B2B")</f>
        <v>B2B</v>
      </c>
      <c r="P436" s="16">
        <f>IFERROR(__xludf.DUMMYFUNCTION("""COMPUTED_VALUE"""),38.46)</f>
        <v>38.46</v>
      </c>
      <c r="Q436" s="15">
        <f>IFERROR(__xludf.DUMMYFUNCTION("""COMPUTED_VALUE"""),1.0)</f>
        <v>1</v>
      </c>
      <c r="R436" s="15" t="str">
        <f>IFERROR(__xludf.DUMMYFUNCTION("""COMPUTED_VALUE"""),"RODO")</f>
        <v>RODO</v>
      </c>
      <c r="S436" s="15" t="str">
        <f>IFERROR(__xludf.DUMMYFUNCTION("""COMPUTED_VALUE"""),"ITN")</f>
        <v>ITN</v>
      </c>
      <c r="T436" s="15" t="str">
        <f>IFERROR(__xludf.DUMMYFUNCTION("""COMPUTED_VALUE"""),"102")</f>
        <v>102</v>
      </c>
      <c r="U436" s="15" t="str">
        <f>IFERROR(__xludf.DUMMYFUNCTION("""COMPUTED_VALUE"""),"266806745 1305807 8177285 n nakandakare e cia ltda trifil ppr 102")</f>
        <v>266806745 1305807 8177285 n nakandakare e cia ltda trifil ppr 102</v>
      </c>
      <c r="V436" s="15" t="b">
        <f>IFERROR(__xludf.DUMMYFUNCTION("""COMPUTED_VALUE"""),FALSE)</f>
        <v>0</v>
      </c>
    </row>
    <row r="437">
      <c r="A437" s="19">
        <f>IFERROR(__xludf.DUMMYFUNCTION("""COMPUTED_VALUE"""),46304.0)</f>
        <v>46304</v>
      </c>
      <c r="B437" s="19">
        <f>IFERROR(__xludf.DUMMYFUNCTION("""COMPUTED_VALUE"""),46323.0)</f>
        <v>46323</v>
      </c>
      <c r="C437" s="15">
        <f>IFERROR(__xludf.DUMMYFUNCTION("""COMPUTED_VALUE"""),12.0)</f>
        <v>12</v>
      </c>
      <c r="D437" s="15" t="str">
        <f>IFERROR(__xludf.DUMMYFUNCTION("""COMPUTED_VALUE"""),"SOD")</f>
        <v>SOD</v>
      </c>
      <c r="E437" s="15" t="str">
        <f>IFERROR(__xludf.DUMMYFUNCTION("""COMPUTED_VALUE"""),"MASTHER VARIEDADES LTDA")</f>
        <v>MASTHER VARIEDADES LTDA</v>
      </c>
      <c r="F437" s="15" t="str">
        <f>IFERROR(__xludf.DUMMYFUNCTION("""COMPUTED_VALUE"""),"TRIFIL")</f>
        <v>TRIFIL</v>
      </c>
      <c r="G437" s="15" t="str">
        <f>IFERROR(__xludf.DUMMYFUNCTION("""COMPUTED_VALUE"""),"266806746")</f>
        <v>266806746</v>
      </c>
      <c r="H437" s="15" t="str">
        <f>IFERROR(__xludf.DUMMYFUNCTION("""COMPUTED_VALUE"""),"1305995")</f>
        <v>1305995</v>
      </c>
      <c r="I437" s="15" t="str">
        <f>IFERROR(__xludf.DUMMYFUNCTION("""COMPUTED_VALUE"""),"8177344")</f>
        <v>8177344</v>
      </c>
      <c r="J437" s="15" t="str">
        <f>IFERROR(__xludf.DUMMYFUNCTION("""COMPUTED_VALUE"""),"CIF")</f>
        <v>CIF</v>
      </c>
      <c r="K437" s="15" t="str">
        <f>IFERROR(__xludf.DUMMYFUNCTION("""COMPUTED_VALUE"""),"SAO-1")</f>
        <v>SAO-1</v>
      </c>
      <c r="L437" s="15" t="str">
        <f>IFERROR(__xludf.DUMMYFUNCTION("""COMPUTED_VALUE"""),"AUTORIZADO")</f>
        <v>AUTORIZADO</v>
      </c>
      <c r="M437" s="15" t="str">
        <f>IFERROR(__xludf.DUMMYFUNCTION("""COMPUTED_VALUE"""),"NA ORIGEM")</f>
        <v>NA ORIGEM</v>
      </c>
      <c r="N437" s="15" t="str">
        <f>IFERROR(__xludf.DUMMYFUNCTION("""COMPUTED_VALUE"""),"Antes Prazo")</f>
        <v>Antes Prazo</v>
      </c>
      <c r="O437" s="15" t="str">
        <f>IFERROR(__xludf.DUMMYFUNCTION("""COMPUTED_VALUE"""),"B2B")</f>
        <v>B2B</v>
      </c>
      <c r="P437" s="16">
        <f>IFERROR(__xludf.DUMMYFUNCTION("""COMPUTED_VALUE"""),38.46)</f>
        <v>38.46</v>
      </c>
      <c r="Q437" s="15">
        <f>IFERROR(__xludf.DUMMYFUNCTION("""COMPUTED_VALUE"""),3.0)</f>
        <v>3</v>
      </c>
      <c r="R437" s="15" t="str">
        <f>IFERROR(__xludf.DUMMYFUNCTION("""COMPUTED_VALUE"""),"RODO")</f>
        <v>RODO</v>
      </c>
      <c r="S437" s="15" t="str">
        <f>IFERROR(__xludf.DUMMYFUNCTION("""COMPUTED_VALUE"""),"ITN")</f>
        <v>ITN</v>
      </c>
      <c r="T437" s="15" t="str">
        <f>IFERROR(__xludf.DUMMYFUNCTION("""COMPUTED_VALUE"""),"107")</f>
        <v>107</v>
      </c>
      <c r="U437" s="15" t="str">
        <f>IFERROR(__xludf.DUMMYFUNCTION("""COMPUTED_VALUE"""),"266806746 1305995 8177344 masther variedades ltda trifil sod 107")</f>
        <v>266806746 1305995 8177344 masther variedades ltda trifil sod 107</v>
      </c>
      <c r="V437" s="15" t="b">
        <f>IFERROR(__xludf.DUMMYFUNCTION("""COMPUTED_VALUE"""),FALSE)</f>
        <v>0</v>
      </c>
    </row>
    <row r="438">
      <c r="A438" s="19">
        <f>IFERROR(__xludf.DUMMYFUNCTION("""COMPUTED_VALUE"""),46304.0)</f>
        <v>46304</v>
      </c>
      <c r="B438" s="19">
        <f>IFERROR(__xludf.DUMMYFUNCTION("""COMPUTED_VALUE"""),46321.0)</f>
        <v>46321</v>
      </c>
      <c r="C438" s="15">
        <f>IFERROR(__xludf.DUMMYFUNCTION("""COMPUTED_VALUE"""),10.0)</f>
        <v>10</v>
      </c>
      <c r="D438" s="15" t="str">
        <f>IFERROR(__xludf.DUMMYFUNCTION("""COMPUTED_VALUE"""),"BAU")</f>
        <v>BAU</v>
      </c>
      <c r="E438" s="15" t="str">
        <f>IFERROR(__xludf.DUMMYFUNCTION("""COMPUTED_VALUE"""),"FURLAN MAGAZINE LTDA ''ME''")</f>
        <v>FURLAN MAGAZINE LTDA ''ME''</v>
      </c>
      <c r="F438" s="15" t="str">
        <f>IFERROR(__xludf.DUMMYFUNCTION("""COMPUTED_VALUE"""),"TRIFIL")</f>
        <v>TRIFIL</v>
      </c>
      <c r="G438" s="15" t="str">
        <f>IFERROR(__xludf.DUMMYFUNCTION("""COMPUTED_VALUE"""),"266806747")</f>
        <v>266806747</v>
      </c>
      <c r="H438" s="15" t="str">
        <f>IFERROR(__xludf.DUMMYFUNCTION("""COMPUTED_VALUE"""),"1306101")</f>
        <v>1306101</v>
      </c>
      <c r="I438" s="15" t="str">
        <f>IFERROR(__xludf.DUMMYFUNCTION("""COMPUTED_VALUE"""),"8177215")</f>
        <v>8177215</v>
      </c>
      <c r="J438" s="15" t="str">
        <f>IFERROR(__xludf.DUMMYFUNCTION("""COMPUTED_VALUE"""),"CIF")</f>
        <v>CIF</v>
      </c>
      <c r="K438" s="15" t="str">
        <f>IFERROR(__xludf.DUMMYFUNCTION("""COMPUTED_VALUE"""),"(sem célula)")</f>
        <v>(sem célula)</v>
      </c>
      <c r="L438" s="15" t="str">
        <f>IFERROR(__xludf.DUMMYFUNCTION("""COMPUTED_VALUE"""),"AUTORIZADO")</f>
        <v>AUTORIZADO</v>
      </c>
      <c r="M438" s="15" t="str">
        <f>IFERROR(__xludf.DUMMYFUNCTION("""COMPUTED_VALUE"""),"NA ORIGEM")</f>
        <v>NA ORIGEM</v>
      </c>
      <c r="N438" s="15" t="str">
        <f>IFERROR(__xludf.DUMMYFUNCTION("""COMPUTED_VALUE"""),"Antes Prazo")</f>
        <v>Antes Prazo</v>
      </c>
      <c r="O438" s="15" t="str">
        <f>IFERROR(__xludf.DUMMYFUNCTION("""COMPUTED_VALUE"""),"B2B")</f>
        <v>B2B</v>
      </c>
      <c r="P438" s="16">
        <f>IFERROR(__xludf.DUMMYFUNCTION("""COMPUTED_VALUE"""),38.46)</f>
        <v>38.46</v>
      </c>
      <c r="Q438" s="15">
        <f>IFERROR(__xludf.DUMMYFUNCTION("""COMPUTED_VALUE"""),1.0)</f>
        <v>1</v>
      </c>
      <c r="R438" s="15" t="str">
        <f>IFERROR(__xludf.DUMMYFUNCTION("""COMPUTED_VALUE"""),"RODO")</f>
        <v>RODO</v>
      </c>
      <c r="S438" s="15" t="str">
        <f>IFERROR(__xludf.DUMMYFUNCTION("""COMPUTED_VALUE"""),"ITN")</f>
        <v>ITN</v>
      </c>
      <c r="T438" s="15" t="str">
        <f>IFERROR(__xludf.DUMMYFUNCTION("""COMPUTED_VALUE"""),"119")</f>
        <v>119</v>
      </c>
      <c r="U438" s="15" t="str">
        <f>IFERROR(__xludf.DUMMYFUNCTION("""COMPUTED_VALUE"""),"266806747 1306101 8177215 furlan magazine ltda ''me'' trifil bau 119")</f>
        <v>266806747 1306101 8177215 furlan magazine ltda ''me'' trifil bau 119</v>
      </c>
      <c r="V438" s="15" t="b">
        <f>IFERROR(__xludf.DUMMYFUNCTION("""COMPUTED_VALUE"""),FALSE)</f>
        <v>0</v>
      </c>
    </row>
    <row r="439">
      <c r="A439" s="19">
        <f>IFERROR(__xludf.DUMMYFUNCTION("""COMPUTED_VALUE"""),46304.0)</f>
        <v>46304</v>
      </c>
      <c r="B439" s="19">
        <f>IFERROR(__xludf.DUMMYFUNCTION("""COMPUTED_VALUE"""),46316.0)</f>
        <v>46316</v>
      </c>
      <c r="C439" s="15">
        <f>IFERROR(__xludf.DUMMYFUNCTION("""COMPUTED_VALUE"""),7.0)</f>
        <v>7</v>
      </c>
      <c r="D439" s="15" t="str">
        <f>IFERROR(__xludf.DUMMYFUNCTION("""COMPUTED_VALUE"""),"BAU")</f>
        <v>BAU</v>
      </c>
      <c r="E439" s="15" t="str">
        <f>IFERROR(__xludf.DUMMYFUNCTION("""COMPUTED_VALUE"""),"EDVANIA REGINA BUZOLIN ANDRADE ME")</f>
        <v>EDVANIA REGINA BUZOLIN ANDRADE ME</v>
      </c>
      <c r="F439" s="15" t="str">
        <f>IFERROR(__xludf.DUMMYFUNCTION("""COMPUTED_VALUE"""),"TRIFIL")</f>
        <v>TRIFIL</v>
      </c>
      <c r="G439" s="15" t="str">
        <f>IFERROR(__xludf.DUMMYFUNCTION("""COMPUTED_VALUE"""),"266806748")</f>
        <v>266806748</v>
      </c>
      <c r="H439" s="15" t="str">
        <f>IFERROR(__xludf.DUMMYFUNCTION("""COMPUTED_VALUE"""),"1305764")</f>
        <v>1305764</v>
      </c>
      <c r="I439" s="15" t="str">
        <f>IFERROR(__xludf.DUMMYFUNCTION("""COMPUTED_VALUE"""),"8177286")</f>
        <v>8177286</v>
      </c>
      <c r="J439" s="15" t="str">
        <f>IFERROR(__xludf.DUMMYFUNCTION("""COMPUTED_VALUE"""),"CIF")</f>
        <v>CIF</v>
      </c>
      <c r="K439" s="15" t="str">
        <f>IFERROR(__xludf.DUMMYFUNCTION("""COMPUTED_VALUE"""),"(sem célula)")</f>
        <v>(sem célula)</v>
      </c>
      <c r="L439" s="15" t="str">
        <f>IFERROR(__xludf.DUMMYFUNCTION("""COMPUTED_VALUE"""),"AUTORIZADO")</f>
        <v>AUTORIZADO</v>
      </c>
      <c r="M439" s="15" t="str">
        <f>IFERROR(__xludf.DUMMYFUNCTION("""COMPUTED_VALUE"""),"NA ORIGEM")</f>
        <v>NA ORIGEM</v>
      </c>
      <c r="N439" s="15" t="str">
        <f>IFERROR(__xludf.DUMMYFUNCTION("""COMPUTED_VALUE"""),"Antes Prazo")</f>
        <v>Antes Prazo</v>
      </c>
      <c r="O439" s="15" t="str">
        <f>IFERROR(__xludf.DUMMYFUNCTION("""COMPUTED_VALUE"""),"B2B")</f>
        <v>B2B</v>
      </c>
      <c r="P439" s="16">
        <f>IFERROR(__xludf.DUMMYFUNCTION("""COMPUTED_VALUE"""),38.46)</f>
        <v>38.46</v>
      </c>
      <c r="Q439" s="15">
        <f>IFERROR(__xludf.DUMMYFUNCTION("""COMPUTED_VALUE"""),1.0)</f>
        <v>1</v>
      </c>
      <c r="R439" s="15" t="str">
        <f>IFERROR(__xludf.DUMMYFUNCTION("""COMPUTED_VALUE"""),"RODO")</f>
        <v>RODO</v>
      </c>
      <c r="S439" s="15" t="str">
        <f>IFERROR(__xludf.DUMMYFUNCTION("""COMPUTED_VALUE"""),"ITN")</f>
        <v>ITN</v>
      </c>
      <c r="T439" s="15" t="str">
        <f>IFERROR(__xludf.DUMMYFUNCTION("""COMPUTED_VALUE"""),"105")</f>
        <v>105</v>
      </c>
      <c r="U439" s="15" t="str">
        <f>IFERROR(__xludf.DUMMYFUNCTION("""COMPUTED_VALUE"""),"266806748 1305764 8177286 edvania regina buzolin andrade me trifil bau 105")</f>
        <v>266806748 1305764 8177286 edvania regina buzolin andrade me trifil bau 105</v>
      </c>
      <c r="V439" s="15" t="b">
        <f>IFERROR(__xludf.DUMMYFUNCTION("""COMPUTED_VALUE"""),FALSE)</f>
        <v>0</v>
      </c>
    </row>
    <row r="440">
      <c r="A440" s="19">
        <f>IFERROR(__xludf.DUMMYFUNCTION("""COMPUTED_VALUE"""),46304.0)</f>
        <v>46304</v>
      </c>
      <c r="B440" s="19">
        <f>IFERROR(__xludf.DUMMYFUNCTION("""COMPUTED_VALUE"""),46316.0)</f>
        <v>46316</v>
      </c>
      <c r="C440" s="15">
        <f>IFERROR(__xludf.DUMMYFUNCTION("""COMPUTED_VALUE"""),7.0)</f>
        <v>7</v>
      </c>
      <c r="D440" s="15" t="str">
        <f>IFERROR(__xludf.DUMMYFUNCTION("""COMPUTED_VALUE"""),"BAU")</f>
        <v>BAU</v>
      </c>
      <c r="E440" s="15" t="str">
        <f>IFERROR(__xludf.DUMMYFUNCTION("""COMPUTED_VALUE"""),"LAZARO BATISTA ANDRADE")</f>
        <v>LAZARO BATISTA ANDRADE</v>
      </c>
      <c r="F440" s="15" t="str">
        <f>IFERROR(__xludf.DUMMYFUNCTION("""COMPUTED_VALUE"""),"TRIFIL")</f>
        <v>TRIFIL</v>
      </c>
      <c r="G440" s="15" t="str">
        <f>IFERROR(__xludf.DUMMYFUNCTION("""COMPUTED_VALUE"""),"266806749")</f>
        <v>266806749</v>
      </c>
      <c r="H440" s="15" t="str">
        <f>IFERROR(__xludf.DUMMYFUNCTION("""COMPUTED_VALUE"""),"1306173")</f>
        <v>1306173</v>
      </c>
      <c r="I440" s="15" t="str">
        <f>IFERROR(__xludf.DUMMYFUNCTION("""COMPUTED_VALUE"""),"8177151")</f>
        <v>8177151</v>
      </c>
      <c r="J440" s="15" t="str">
        <f>IFERROR(__xludf.DUMMYFUNCTION("""COMPUTED_VALUE"""),"CIF")</f>
        <v>CIF</v>
      </c>
      <c r="K440" s="15" t="str">
        <f>IFERROR(__xludf.DUMMYFUNCTION("""COMPUTED_VALUE"""),"(sem célula)")</f>
        <v>(sem célula)</v>
      </c>
      <c r="L440" s="15" t="str">
        <f>IFERROR(__xludf.DUMMYFUNCTION("""COMPUTED_VALUE"""),"AUTORIZADO")</f>
        <v>AUTORIZADO</v>
      </c>
      <c r="M440" s="15" t="str">
        <f>IFERROR(__xludf.DUMMYFUNCTION("""COMPUTED_VALUE"""),"NA ORIGEM")</f>
        <v>NA ORIGEM</v>
      </c>
      <c r="N440" s="15" t="str">
        <f>IFERROR(__xludf.DUMMYFUNCTION("""COMPUTED_VALUE"""),"Antes Prazo")</f>
        <v>Antes Prazo</v>
      </c>
      <c r="O440" s="15" t="str">
        <f>IFERROR(__xludf.DUMMYFUNCTION("""COMPUTED_VALUE"""),"B2B")</f>
        <v>B2B</v>
      </c>
      <c r="P440" s="16">
        <f>IFERROR(__xludf.DUMMYFUNCTION("""COMPUTED_VALUE"""),38.46)</f>
        <v>38.46</v>
      </c>
      <c r="Q440" s="15">
        <f>IFERROR(__xludf.DUMMYFUNCTION("""COMPUTED_VALUE"""),1.0)</f>
        <v>1</v>
      </c>
      <c r="R440" s="15" t="str">
        <f>IFERROR(__xludf.DUMMYFUNCTION("""COMPUTED_VALUE"""),"RODO")</f>
        <v>RODO</v>
      </c>
      <c r="S440" s="15" t="str">
        <f>IFERROR(__xludf.DUMMYFUNCTION("""COMPUTED_VALUE"""),"ITN")</f>
        <v>ITN</v>
      </c>
      <c r="T440" s="15" t="str">
        <f>IFERROR(__xludf.DUMMYFUNCTION("""COMPUTED_VALUE"""),"105")</f>
        <v>105</v>
      </c>
      <c r="U440" s="15" t="str">
        <f>IFERROR(__xludf.DUMMYFUNCTION("""COMPUTED_VALUE"""),"266806749 1306173 8177151 lazaro batista andrade trifil bau 105")</f>
        <v>266806749 1306173 8177151 lazaro batista andrade trifil bau 105</v>
      </c>
      <c r="V440" s="15" t="b">
        <f>IFERROR(__xludf.DUMMYFUNCTION("""COMPUTED_VALUE"""),FALSE)</f>
        <v>0</v>
      </c>
    </row>
    <row r="441">
      <c r="A441" s="19">
        <f>IFERROR(__xludf.DUMMYFUNCTION("""COMPUTED_VALUE"""),46304.0)</f>
        <v>46304</v>
      </c>
      <c r="B441" s="19">
        <f>IFERROR(__xludf.DUMMYFUNCTION("""COMPUTED_VALUE"""),46317.0)</f>
        <v>46317</v>
      </c>
      <c r="C441" s="15">
        <f>IFERROR(__xludf.DUMMYFUNCTION("""COMPUTED_VALUE"""),8.0)</f>
        <v>8</v>
      </c>
      <c r="D441" s="15" t="str">
        <f>IFERROR(__xludf.DUMMYFUNCTION("""COMPUTED_VALUE"""),"PPR")</f>
        <v>PPR</v>
      </c>
      <c r="E441" s="15" t="str">
        <f>IFERROR(__xludf.DUMMYFUNCTION("""COMPUTED_VALUE"""),"CINDERELA CALCADOS E CONF")</f>
        <v>CINDERELA CALCADOS E CONF</v>
      </c>
      <c r="F441" s="15" t="str">
        <f>IFERROR(__xludf.DUMMYFUNCTION("""COMPUTED_VALUE"""),"TRIFIL")</f>
        <v>TRIFIL</v>
      </c>
      <c r="G441" s="15" t="str">
        <f>IFERROR(__xludf.DUMMYFUNCTION("""COMPUTED_VALUE"""),"266806750")</f>
        <v>266806750</v>
      </c>
      <c r="H441" s="15" t="str">
        <f>IFERROR(__xludf.DUMMYFUNCTION("""COMPUTED_VALUE"""),"1306347")</f>
        <v>1306347</v>
      </c>
      <c r="I441" s="15" t="str">
        <f>IFERROR(__xludf.DUMMYFUNCTION("""COMPUTED_VALUE"""),"8177111")</f>
        <v>8177111</v>
      </c>
      <c r="J441" s="15" t="str">
        <f>IFERROR(__xludf.DUMMYFUNCTION("""COMPUTED_VALUE"""),"CIF")</f>
        <v>CIF</v>
      </c>
      <c r="K441" s="15" t="str">
        <f>IFERROR(__xludf.DUMMYFUNCTION("""COMPUTED_VALUE"""),"(sem célula)")</f>
        <v>(sem célula)</v>
      </c>
      <c r="L441" s="15" t="str">
        <f>IFERROR(__xludf.DUMMYFUNCTION("""COMPUTED_VALUE"""),"AUTORIZADO")</f>
        <v>AUTORIZADO</v>
      </c>
      <c r="M441" s="15" t="str">
        <f>IFERROR(__xludf.DUMMYFUNCTION("""COMPUTED_VALUE"""),"NA ORIGEM")</f>
        <v>NA ORIGEM</v>
      </c>
      <c r="N441" s="15" t="str">
        <f>IFERROR(__xludf.DUMMYFUNCTION("""COMPUTED_VALUE"""),"Antes Prazo")</f>
        <v>Antes Prazo</v>
      </c>
      <c r="O441" s="15" t="str">
        <f>IFERROR(__xludf.DUMMYFUNCTION("""COMPUTED_VALUE"""),"B2B")</f>
        <v>B2B</v>
      </c>
      <c r="P441" s="16">
        <f>IFERROR(__xludf.DUMMYFUNCTION("""COMPUTED_VALUE"""),38.46)</f>
        <v>38.46</v>
      </c>
      <c r="Q441" s="15">
        <f>IFERROR(__xludf.DUMMYFUNCTION("""COMPUTED_VALUE"""),1.0)</f>
        <v>1</v>
      </c>
      <c r="R441" s="15" t="str">
        <f>IFERROR(__xludf.DUMMYFUNCTION("""COMPUTED_VALUE"""),"RODO")</f>
        <v>RODO</v>
      </c>
      <c r="S441" s="15" t="str">
        <f>IFERROR(__xludf.DUMMYFUNCTION("""COMPUTED_VALUE"""),"ITN")</f>
        <v>ITN</v>
      </c>
      <c r="T441" s="15" t="str">
        <f>IFERROR(__xludf.DUMMYFUNCTION("""COMPUTED_VALUE"""),"109")</f>
        <v>109</v>
      </c>
      <c r="U441" s="15" t="str">
        <f>IFERROR(__xludf.DUMMYFUNCTION("""COMPUTED_VALUE"""),"266806750 1306347 8177111 cinderela calcados e conf trifil ppr 109")</f>
        <v>266806750 1306347 8177111 cinderela calcados e conf trifil ppr 109</v>
      </c>
      <c r="V441" s="15" t="b">
        <f>IFERROR(__xludf.DUMMYFUNCTION("""COMPUTED_VALUE"""),FALSE)</f>
        <v>0</v>
      </c>
    </row>
    <row r="442">
      <c r="A442" s="19">
        <f>IFERROR(__xludf.DUMMYFUNCTION("""COMPUTED_VALUE"""),46304.0)</f>
        <v>46304</v>
      </c>
      <c r="B442" s="19">
        <f>IFERROR(__xludf.DUMMYFUNCTION("""COMPUTED_VALUE"""),46317.0)</f>
        <v>46317</v>
      </c>
      <c r="C442" s="15">
        <f>IFERROR(__xludf.DUMMYFUNCTION("""COMPUTED_VALUE"""),8.0)</f>
        <v>8</v>
      </c>
      <c r="D442" s="15" t="str">
        <f>IFERROR(__xludf.DUMMYFUNCTION("""COMPUTED_VALUE"""),"BAU")</f>
        <v>BAU</v>
      </c>
      <c r="E442" s="15" t="str">
        <f>IFERROR(__xludf.DUMMYFUNCTION("""COMPUTED_VALUE"""),"R V G LOPES")</f>
        <v>R V G LOPES</v>
      </c>
      <c r="F442" s="15" t="str">
        <f>IFERROR(__xludf.DUMMYFUNCTION("""COMPUTED_VALUE"""),"TRIFIL")</f>
        <v>TRIFIL</v>
      </c>
      <c r="G442" s="15" t="str">
        <f>IFERROR(__xludf.DUMMYFUNCTION("""COMPUTED_VALUE"""),"266806752")</f>
        <v>266806752</v>
      </c>
      <c r="H442" s="15" t="str">
        <f>IFERROR(__xludf.DUMMYFUNCTION("""COMPUTED_VALUE"""),"1305841")</f>
        <v>1305841</v>
      </c>
      <c r="I442" s="15" t="str">
        <f>IFERROR(__xludf.DUMMYFUNCTION("""COMPUTED_VALUE"""),"8177287")</f>
        <v>8177287</v>
      </c>
      <c r="J442" s="15" t="str">
        <f>IFERROR(__xludf.DUMMYFUNCTION("""COMPUTED_VALUE"""),"CIF")</f>
        <v>CIF</v>
      </c>
      <c r="K442" s="15" t="str">
        <f>IFERROR(__xludf.DUMMYFUNCTION("""COMPUTED_VALUE"""),"(sem célula)")</f>
        <v>(sem célula)</v>
      </c>
      <c r="L442" s="15" t="str">
        <f>IFERROR(__xludf.DUMMYFUNCTION("""COMPUTED_VALUE"""),"AUTORIZADO")</f>
        <v>AUTORIZADO</v>
      </c>
      <c r="M442" s="15" t="str">
        <f>IFERROR(__xludf.DUMMYFUNCTION("""COMPUTED_VALUE"""),"NA ORIGEM")</f>
        <v>NA ORIGEM</v>
      </c>
      <c r="N442" s="15" t="str">
        <f>IFERROR(__xludf.DUMMYFUNCTION("""COMPUTED_VALUE"""),"Antes Prazo")</f>
        <v>Antes Prazo</v>
      </c>
      <c r="O442" s="15" t="str">
        <f>IFERROR(__xludf.DUMMYFUNCTION("""COMPUTED_VALUE"""),"B2B")</f>
        <v>B2B</v>
      </c>
      <c r="P442" s="16">
        <f>IFERROR(__xludf.DUMMYFUNCTION("""COMPUTED_VALUE"""),38.46)</f>
        <v>38.46</v>
      </c>
      <c r="Q442" s="15">
        <f>IFERROR(__xludf.DUMMYFUNCTION("""COMPUTED_VALUE"""),1.0)</f>
        <v>1</v>
      </c>
      <c r="R442" s="15" t="str">
        <f>IFERROR(__xludf.DUMMYFUNCTION("""COMPUTED_VALUE"""),"RODO")</f>
        <v>RODO</v>
      </c>
      <c r="S442" s="15" t="str">
        <f>IFERROR(__xludf.DUMMYFUNCTION("""COMPUTED_VALUE"""),"ITN")</f>
        <v>ITN</v>
      </c>
      <c r="T442" s="15" t="str">
        <f>IFERROR(__xludf.DUMMYFUNCTION("""COMPUTED_VALUE"""),"117")</f>
        <v>117</v>
      </c>
      <c r="U442" s="15" t="str">
        <f>IFERROR(__xludf.DUMMYFUNCTION("""COMPUTED_VALUE"""),"266806752 1305841 8177287 r v g lopes trifil bau 117")</f>
        <v>266806752 1305841 8177287 r v g lopes trifil bau 117</v>
      </c>
      <c r="V442" s="15" t="b">
        <f>IFERROR(__xludf.DUMMYFUNCTION("""COMPUTED_VALUE"""),FALSE)</f>
        <v>0</v>
      </c>
    </row>
    <row r="443">
      <c r="A443" s="19">
        <f>IFERROR(__xludf.DUMMYFUNCTION("""COMPUTED_VALUE"""),46304.0)</f>
        <v>46304</v>
      </c>
      <c r="B443" s="19">
        <f>IFERROR(__xludf.DUMMYFUNCTION("""COMPUTED_VALUE"""),46316.0)</f>
        <v>46316</v>
      </c>
      <c r="C443" s="15">
        <f>IFERROR(__xludf.DUMMYFUNCTION("""COMPUTED_VALUE"""),7.0)</f>
        <v>7</v>
      </c>
      <c r="D443" s="15" t="str">
        <f>IFERROR(__xludf.DUMMYFUNCTION("""COMPUTED_VALUE"""),"RIO")</f>
        <v>RIO</v>
      </c>
      <c r="E443" s="15" t="str">
        <f>IFERROR(__xludf.DUMMYFUNCTION("""COMPUTED_VALUE"""),"JK2 COMÉRCIO DE MEIAS E ACESSÓRIOS LTDA")</f>
        <v>JK2 COMÉRCIO DE MEIAS E ACESSÓRIOS LTDA</v>
      </c>
      <c r="F443" s="15" t="str">
        <f>IFERROR(__xludf.DUMMYFUNCTION("""COMPUTED_VALUE"""),"TRIFIL")</f>
        <v>TRIFIL</v>
      </c>
      <c r="G443" s="15" t="str">
        <f>IFERROR(__xludf.DUMMYFUNCTION("""COMPUTED_VALUE"""),"266806753")</f>
        <v>266806753</v>
      </c>
      <c r="H443" s="15" t="str">
        <f>IFERROR(__xludf.DUMMYFUNCTION("""COMPUTED_VALUE"""),"1306230")</f>
        <v>1306230</v>
      </c>
      <c r="I443" s="15" t="str">
        <f>IFERROR(__xludf.DUMMYFUNCTION("""COMPUTED_VALUE"""),"8177345")</f>
        <v>8177345</v>
      </c>
      <c r="J443" s="15" t="str">
        <f>IFERROR(__xludf.DUMMYFUNCTION("""COMPUTED_VALUE"""),"CIF")</f>
        <v>CIF</v>
      </c>
      <c r="K443" s="15" t="str">
        <f>IFERROR(__xludf.DUMMYFUNCTION("""COMPUTED_VALUE"""),"(sem célula)")</f>
        <v>(sem célula)</v>
      </c>
      <c r="L443" s="15" t="str">
        <f>IFERROR(__xludf.DUMMYFUNCTION("""COMPUTED_VALUE"""),"AUTORIZADO")</f>
        <v>AUTORIZADO</v>
      </c>
      <c r="M443" s="15" t="str">
        <f>IFERROR(__xludf.DUMMYFUNCTION("""COMPUTED_VALUE"""),"NA ORIGEM")</f>
        <v>NA ORIGEM</v>
      </c>
      <c r="N443" s="15" t="str">
        <f>IFERROR(__xludf.DUMMYFUNCTION("""COMPUTED_VALUE"""),"Antes Prazo")</f>
        <v>Antes Prazo</v>
      </c>
      <c r="O443" s="15" t="str">
        <f>IFERROR(__xludf.DUMMYFUNCTION("""COMPUTED_VALUE"""),"B2B")</f>
        <v>B2B</v>
      </c>
      <c r="P443" s="16">
        <f>IFERROR(__xludf.DUMMYFUNCTION("""COMPUTED_VALUE"""),69.54)</f>
        <v>69.54</v>
      </c>
      <c r="Q443" s="15">
        <f>IFERROR(__xludf.DUMMYFUNCTION("""COMPUTED_VALUE"""),1.0)</f>
        <v>1</v>
      </c>
      <c r="R443" s="15" t="str">
        <f>IFERROR(__xludf.DUMMYFUNCTION("""COMPUTED_VALUE"""),"RODO")</f>
        <v>RODO</v>
      </c>
      <c r="S443" s="15" t="str">
        <f>IFERROR(__xludf.DUMMYFUNCTION("""COMPUTED_VALUE"""),"ITN")</f>
        <v>ITN</v>
      </c>
      <c r="T443" s="15" t="str">
        <f>IFERROR(__xludf.DUMMYFUNCTION("""COMPUTED_VALUE"""),"21")</f>
        <v>21</v>
      </c>
      <c r="U443" s="15" t="str">
        <f>IFERROR(__xludf.DUMMYFUNCTION("""COMPUTED_VALUE"""),"266806753 1306230 8177345 jk2 comércio de meias e acessórios ltda trifil rio 21")</f>
        <v>266806753 1306230 8177345 jk2 comércio de meias e acessórios ltda trifil rio 21</v>
      </c>
      <c r="V443" s="15" t="b">
        <f>IFERROR(__xludf.DUMMYFUNCTION("""COMPUTED_VALUE"""),FALSE)</f>
        <v>0</v>
      </c>
    </row>
    <row r="444">
      <c r="A444" s="19">
        <f>IFERROR(__xludf.DUMMYFUNCTION("""COMPUTED_VALUE"""),46304.0)</f>
        <v>46304</v>
      </c>
      <c r="B444" s="19">
        <f>IFERROR(__xludf.DUMMYFUNCTION("""COMPUTED_VALUE"""),46316.0)</f>
        <v>46316</v>
      </c>
      <c r="C444" s="15">
        <f>IFERROR(__xludf.DUMMYFUNCTION("""COMPUTED_VALUE"""),7.0)</f>
        <v>7</v>
      </c>
      <c r="D444" s="15" t="str">
        <f>IFERROR(__xludf.DUMMYFUNCTION("""COMPUTED_VALUE"""),"RIO")</f>
        <v>RIO</v>
      </c>
      <c r="E444" s="15" t="str">
        <f>IFERROR(__xludf.DUMMYFUNCTION("""COMPUTED_VALUE"""),"SAPATARIA E CAMISARIA FEIRANTE LT")</f>
        <v>SAPATARIA E CAMISARIA FEIRANTE LT</v>
      </c>
      <c r="F444" s="15" t="str">
        <f>IFERROR(__xludf.DUMMYFUNCTION("""COMPUTED_VALUE"""),"TRIFIL")</f>
        <v>TRIFIL</v>
      </c>
      <c r="G444" s="15" t="str">
        <f>IFERROR(__xludf.DUMMYFUNCTION("""COMPUTED_VALUE"""),"266806754")</f>
        <v>266806754</v>
      </c>
      <c r="H444" s="15" t="str">
        <f>IFERROR(__xludf.DUMMYFUNCTION("""COMPUTED_VALUE"""),"1306116")</f>
        <v>1306116</v>
      </c>
      <c r="I444" s="15" t="str">
        <f>IFERROR(__xludf.DUMMYFUNCTION("""COMPUTED_VALUE"""),"8177320")</f>
        <v>8177320</v>
      </c>
      <c r="J444" s="15" t="str">
        <f>IFERROR(__xludf.DUMMYFUNCTION("""COMPUTED_VALUE"""),"CIF")</f>
        <v>CIF</v>
      </c>
      <c r="K444" s="15" t="str">
        <f>IFERROR(__xludf.DUMMYFUNCTION("""COMPUTED_VALUE"""),"(sem célula)")</f>
        <v>(sem célula)</v>
      </c>
      <c r="L444" s="15" t="str">
        <f>IFERROR(__xludf.DUMMYFUNCTION("""COMPUTED_VALUE"""),"AUTORIZADO")</f>
        <v>AUTORIZADO</v>
      </c>
      <c r="M444" s="15" t="str">
        <f>IFERROR(__xludf.DUMMYFUNCTION("""COMPUTED_VALUE"""),"NA ORIGEM")</f>
        <v>NA ORIGEM</v>
      </c>
      <c r="N444" s="15" t="str">
        <f>IFERROR(__xludf.DUMMYFUNCTION("""COMPUTED_VALUE"""),"Antes Prazo")</f>
        <v>Antes Prazo</v>
      </c>
      <c r="O444" s="15" t="str">
        <f>IFERROR(__xludf.DUMMYFUNCTION("""COMPUTED_VALUE"""),"B2B")</f>
        <v>B2B</v>
      </c>
      <c r="P444" s="16">
        <f>IFERROR(__xludf.DUMMYFUNCTION("""COMPUTED_VALUE"""),69.63)</f>
        <v>69.63</v>
      </c>
      <c r="Q444" s="15">
        <f>IFERROR(__xludf.DUMMYFUNCTION("""COMPUTED_VALUE"""),1.0)</f>
        <v>1</v>
      </c>
      <c r="R444" s="15" t="str">
        <f>IFERROR(__xludf.DUMMYFUNCTION("""COMPUTED_VALUE"""),"RODO")</f>
        <v>RODO</v>
      </c>
      <c r="S444" s="15" t="str">
        <f>IFERROR(__xludf.DUMMYFUNCTION("""COMPUTED_VALUE"""),"ITN")</f>
        <v>ITN</v>
      </c>
      <c r="T444" s="15" t="str">
        <f>IFERROR(__xludf.DUMMYFUNCTION("""COMPUTED_VALUE"""),"26")</f>
        <v>26</v>
      </c>
      <c r="U444" s="15" t="str">
        <f>IFERROR(__xludf.DUMMYFUNCTION("""COMPUTED_VALUE"""),"266806754 1306116 8177320 sapataria e camisaria feirante lt trifil rio 26")</f>
        <v>266806754 1306116 8177320 sapataria e camisaria feirante lt trifil rio 26</v>
      </c>
      <c r="V444" s="15" t="b">
        <f>IFERROR(__xludf.DUMMYFUNCTION("""COMPUTED_VALUE"""),FALSE)</f>
        <v>0</v>
      </c>
    </row>
    <row r="445">
      <c r="A445" s="19">
        <f>IFERROR(__xludf.DUMMYFUNCTION("""COMPUTED_VALUE"""),46304.0)</f>
        <v>46304</v>
      </c>
      <c r="B445" s="19">
        <f>IFERROR(__xludf.DUMMYFUNCTION("""COMPUTED_VALUE"""),46316.0)</f>
        <v>46316</v>
      </c>
      <c r="C445" s="15">
        <f>IFERROR(__xludf.DUMMYFUNCTION("""COMPUTED_VALUE"""),7.0)</f>
        <v>7</v>
      </c>
      <c r="D445" s="15" t="str">
        <f>IFERROR(__xludf.DUMMYFUNCTION("""COMPUTED_VALUE"""),"RIO")</f>
        <v>RIO</v>
      </c>
      <c r="E445" s="15" t="str">
        <f>IFERROR(__xludf.DUMMYFUNCTION("""COMPUTED_VALUE"""),"CALCADOS VEGA LTDA.")</f>
        <v>CALCADOS VEGA LTDA.</v>
      </c>
      <c r="F445" s="15" t="str">
        <f>IFERROR(__xludf.DUMMYFUNCTION("""COMPUTED_VALUE"""),"TRIFIL")</f>
        <v>TRIFIL</v>
      </c>
      <c r="G445" s="15" t="str">
        <f>IFERROR(__xludf.DUMMYFUNCTION("""COMPUTED_VALUE"""),"266806755")</f>
        <v>266806755</v>
      </c>
      <c r="H445" s="15" t="str">
        <f>IFERROR(__xludf.DUMMYFUNCTION("""COMPUTED_VALUE"""),"1306140")</f>
        <v>1306140</v>
      </c>
      <c r="I445" s="15" t="str">
        <f>IFERROR(__xludf.DUMMYFUNCTION("""COMPUTED_VALUE"""),"8177185")</f>
        <v>8177185</v>
      </c>
      <c r="J445" s="15" t="str">
        <f>IFERROR(__xludf.DUMMYFUNCTION("""COMPUTED_VALUE"""),"CIF")</f>
        <v>CIF</v>
      </c>
      <c r="K445" s="15" t="str">
        <f>IFERROR(__xludf.DUMMYFUNCTION("""COMPUTED_VALUE"""),"(sem célula)")</f>
        <v>(sem célula)</v>
      </c>
      <c r="L445" s="15" t="str">
        <f>IFERROR(__xludf.DUMMYFUNCTION("""COMPUTED_VALUE"""),"AUTORIZADO")</f>
        <v>AUTORIZADO</v>
      </c>
      <c r="M445" s="15" t="str">
        <f>IFERROR(__xludf.DUMMYFUNCTION("""COMPUTED_VALUE"""),"NA ORIGEM")</f>
        <v>NA ORIGEM</v>
      </c>
      <c r="N445" s="15" t="str">
        <f>IFERROR(__xludf.DUMMYFUNCTION("""COMPUTED_VALUE"""),"Antes Prazo")</f>
        <v>Antes Prazo</v>
      </c>
      <c r="O445" s="15" t="str">
        <f>IFERROR(__xludf.DUMMYFUNCTION("""COMPUTED_VALUE"""),"B2B")</f>
        <v>B2B</v>
      </c>
      <c r="P445" s="16">
        <f>IFERROR(__xludf.DUMMYFUNCTION("""COMPUTED_VALUE"""),67.85)</f>
        <v>67.85</v>
      </c>
      <c r="Q445" s="15">
        <f>IFERROR(__xludf.DUMMYFUNCTION("""COMPUTED_VALUE"""),1.0)</f>
        <v>1</v>
      </c>
      <c r="R445" s="15" t="str">
        <f>IFERROR(__xludf.DUMMYFUNCTION("""COMPUTED_VALUE"""),"RODO")</f>
        <v>RODO</v>
      </c>
      <c r="S445" s="15" t="str">
        <f>IFERROR(__xludf.DUMMYFUNCTION("""COMPUTED_VALUE"""),"ITN")</f>
        <v>ITN</v>
      </c>
      <c r="T445" s="15" t="str">
        <f>IFERROR(__xludf.DUMMYFUNCTION("""COMPUTED_VALUE"""),"10")</f>
        <v>10</v>
      </c>
      <c r="U445" s="15" t="str">
        <f>IFERROR(__xludf.DUMMYFUNCTION("""COMPUTED_VALUE"""),"266806755 1306140 8177185 calcados vega ltda. trifil rio 10")</f>
        <v>266806755 1306140 8177185 calcados vega ltda. trifil rio 10</v>
      </c>
      <c r="V445" s="15" t="b">
        <f>IFERROR(__xludf.DUMMYFUNCTION("""COMPUTED_VALUE"""),FALSE)</f>
        <v>0</v>
      </c>
    </row>
    <row r="446">
      <c r="A446" s="19">
        <f>IFERROR(__xludf.DUMMYFUNCTION("""COMPUTED_VALUE"""),46304.0)</f>
        <v>46304</v>
      </c>
      <c r="B446" s="19">
        <f>IFERROR(__xludf.DUMMYFUNCTION("""COMPUTED_VALUE"""),46316.0)</f>
        <v>46316</v>
      </c>
      <c r="C446" s="15">
        <f>IFERROR(__xludf.DUMMYFUNCTION("""COMPUTED_VALUE"""),7.0)</f>
        <v>7</v>
      </c>
      <c r="D446" s="15" t="str">
        <f>IFERROR(__xludf.DUMMYFUNCTION("""COMPUTED_VALUE"""),"RIO")</f>
        <v>RIO</v>
      </c>
      <c r="E446" s="15" t="str">
        <f>IFERROR(__xludf.DUMMYFUNCTION("""COMPUTED_VALUE"""),"Jose Ricardo Ferreira do Nascimento94395")</f>
        <v>Jose Ricardo Ferreira do Nascimento94395</v>
      </c>
      <c r="F446" s="15" t="str">
        <f>IFERROR(__xludf.DUMMYFUNCTION("""COMPUTED_VALUE"""),"TRIFIL")</f>
        <v>TRIFIL</v>
      </c>
      <c r="G446" s="15" t="str">
        <f>IFERROR(__xludf.DUMMYFUNCTION("""COMPUTED_VALUE"""),"266806757")</f>
        <v>266806757</v>
      </c>
      <c r="H446" s="15" t="str">
        <f>IFERROR(__xludf.DUMMYFUNCTION("""COMPUTED_VALUE"""),"1306305")</f>
        <v>1306305</v>
      </c>
      <c r="I446" s="15" t="str">
        <f>IFERROR(__xludf.DUMMYFUNCTION("""COMPUTED_VALUE"""),"8177112")</f>
        <v>8177112</v>
      </c>
      <c r="J446" s="15" t="str">
        <f>IFERROR(__xludf.DUMMYFUNCTION("""COMPUTED_VALUE"""),"CIF")</f>
        <v>CIF</v>
      </c>
      <c r="K446" s="15" t="str">
        <f>IFERROR(__xludf.DUMMYFUNCTION("""COMPUTED_VALUE"""),"(sem célula)")</f>
        <v>(sem célula)</v>
      </c>
      <c r="L446" s="15" t="str">
        <f>IFERROR(__xludf.DUMMYFUNCTION("""COMPUTED_VALUE"""),"AUTORIZADO")</f>
        <v>AUTORIZADO</v>
      </c>
      <c r="M446" s="15" t="str">
        <f>IFERROR(__xludf.DUMMYFUNCTION("""COMPUTED_VALUE"""),"NA ORIGEM")</f>
        <v>NA ORIGEM</v>
      </c>
      <c r="N446" s="15" t="str">
        <f>IFERROR(__xludf.DUMMYFUNCTION("""COMPUTED_VALUE"""),"Antes Prazo")</f>
        <v>Antes Prazo</v>
      </c>
      <c r="O446" s="15" t="str">
        <f>IFERROR(__xludf.DUMMYFUNCTION("""COMPUTED_VALUE"""),"B2B")</f>
        <v>B2B</v>
      </c>
      <c r="P446" s="16">
        <f>IFERROR(__xludf.DUMMYFUNCTION("""COMPUTED_VALUE"""),67.78)</f>
        <v>67.78</v>
      </c>
      <c r="Q446" s="15">
        <f>IFERROR(__xludf.DUMMYFUNCTION("""COMPUTED_VALUE"""),1.0)</f>
        <v>1</v>
      </c>
      <c r="R446" s="15" t="str">
        <f>IFERROR(__xludf.DUMMYFUNCTION("""COMPUTED_VALUE"""),"RODO")</f>
        <v>RODO</v>
      </c>
      <c r="S446" s="15" t="str">
        <f>IFERROR(__xludf.DUMMYFUNCTION("""COMPUTED_VALUE"""),"ITN")</f>
        <v>ITN</v>
      </c>
      <c r="T446" s="15" t="str">
        <f>IFERROR(__xludf.DUMMYFUNCTION("""COMPUTED_VALUE"""),"8")</f>
        <v>8</v>
      </c>
      <c r="U446" s="15" t="str">
        <f>IFERROR(__xludf.DUMMYFUNCTION("""COMPUTED_VALUE"""),"266806757 1306305 8177112 jose ricardo ferreira do nascimento94395 trifil rio 8")</f>
        <v>266806757 1306305 8177112 jose ricardo ferreira do nascimento94395 trifil rio 8</v>
      </c>
      <c r="V446" s="15" t="b">
        <f>IFERROR(__xludf.DUMMYFUNCTION("""COMPUTED_VALUE"""),FALSE)</f>
        <v>0</v>
      </c>
    </row>
    <row r="447">
      <c r="A447" s="19">
        <f>IFERROR(__xludf.DUMMYFUNCTION("""COMPUTED_VALUE"""),46304.0)</f>
        <v>46304</v>
      </c>
      <c r="B447" s="19">
        <f>IFERROR(__xludf.DUMMYFUNCTION("""COMPUTED_VALUE"""),46321.0)</f>
        <v>46321</v>
      </c>
      <c r="C447" s="15">
        <f>IFERROR(__xludf.DUMMYFUNCTION("""COMPUTED_VALUE"""),10.0)</f>
        <v>10</v>
      </c>
      <c r="D447" s="15" t="str">
        <f>IFERROR(__xludf.DUMMYFUNCTION("""COMPUTED_VALUE"""),"RIO")</f>
        <v>RIO</v>
      </c>
      <c r="E447" s="15" t="str">
        <f>IFERROR(__xludf.DUMMYFUNCTION("""COMPUTED_VALUE"""),"64599 - LUCAS AZEREDO DE CARVALHO LTDA")</f>
        <v>64599 - LUCAS AZEREDO DE CARVALHO LTDA</v>
      </c>
      <c r="F447" s="15" t="str">
        <f>IFERROR(__xludf.DUMMYFUNCTION("""COMPUTED_VALUE"""),"TRIFIL")</f>
        <v>TRIFIL</v>
      </c>
      <c r="G447" s="15" t="str">
        <f>IFERROR(__xludf.DUMMYFUNCTION("""COMPUTED_VALUE"""),"266806758")</f>
        <v>266806758</v>
      </c>
      <c r="H447" s="15" t="str">
        <f>IFERROR(__xludf.DUMMYFUNCTION("""COMPUTED_VALUE"""),"1306235")</f>
        <v>1306235</v>
      </c>
      <c r="I447" s="15" t="str">
        <f>IFERROR(__xludf.DUMMYFUNCTION("""COMPUTED_VALUE"""),"8177152")</f>
        <v>8177152</v>
      </c>
      <c r="J447" s="15" t="str">
        <f>IFERROR(__xludf.DUMMYFUNCTION("""COMPUTED_VALUE"""),"CIF")</f>
        <v>CIF</v>
      </c>
      <c r="K447" s="15" t="str">
        <f>IFERROR(__xludf.DUMMYFUNCTION("""COMPUTED_VALUE"""),"(sem célula)")</f>
        <v>(sem célula)</v>
      </c>
      <c r="L447" s="15" t="str">
        <f>IFERROR(__xludf.DUMMYFUNCTION("""COMPUTED_VALUE"""),"AUTORIZADO")</f>
        <v>AUTORIZADO</v>
      </c>
      <c r="M447" s="15" t="str">
        <f>IFERROR(__xludf.DUMMYFUNCTION("""COMPUTED_VALUE"""),"NA ORIGEM")</f>
        <v>NA ORIGEM</v>
      </c>
      <c r="N447" s="15" t="str">
        <f>IFERROR(__xludf.DUMMYFUNCTION("""COMPUTED_VALUE"""),"Antes Prazo")</f>
        <v>Antes Prazo</v>
      </c>
      <c r="O447" s="15" t="str">
        <f>IFERROR(__xludf.DUMMYFUNCTION("""COMPUTED_VALUE"""),"B2B")</f>
        <v>B2B</v>
      </c>
      <c r="P447" s="16">
        <f>IFERROR(__xludf.DUMMYFUNCTION("""COMPUTED_VALUE"""),65.96)</f>
        <v>65.96</v>
      </c>
      <c r="Q447" s="15">
        <f>IFERROR(__xludf.DUMMYFUNCTION("""COMPUTED_VALUE"""),1.0)</f>
        <v>1</v>
      </c>
      <c r="R447" s="15" t="str">
        <f>IFERROR(__xludf.DUMMYFUNCTION("""COMPUTED_VALUE"""),"RODO")</f>
        <v>RODO</v>
      </c>
      <c r="S447" s="15" t="str">
        <f>IFERROR(__xludf.DUMMYFUNCTION("""COMPUTED_VALUE"""),"ITN")</f>
        <v>ITN</v>
      </c>
      <c r="T447" s="15" t="str">
        <f>IFERROR(__xludf.DUMMYFUNCTION("""COMPUTED_VALUE"""),"114")</f>
        <v>114</v>
      </c>
      <c r="U447" s="15" t="str">
        <f>IFERROR(__xludf.DUMMYFUNCTION("""COMPUTED_VALUE"""),"266806758 1306235 8177152 64599 - lucas azeredo de carvalho ltda trifil rio 114")</f>
        <v>266806758 1306235 8177152 64599 - lucas azeredo de carvalho ltda trifil rio 114</v>
      </c>
      <c r="V447" s="15" t="b">
        <f>IFERROR(__xludf.DUMMYFUNCTION("""COMPUTED_VALUE"""),FALSE)</f>
        <v>0</v>
      </c>
    </row>
    <row r="448">
      <c r="A448" s="19">
        <f>IFERROR(__xludf.DUMMYFUNCTION("""COMPUTED_VALUE"""),46304.0)</f>
        <v>46304</v>
      </c>
      <c r="B448" s="19">
        <f>IFERROR(__xludf.DUMMYFUNCTION("""COMPUTED_VALUE"""),46318.0)</f>
        <v>46318</v>
      </c>
      <c r="C448" s="15">
        <f>IFERROR(__xludf.DUMMYFUNCTION("""COMPUTED_VALUE"""),9.0)</f>
        <v>9</v>
      </c>
      <c r="D448" s="15" t="str">
        <f>IFERROR(__xludf.DUMMYFUNCTION("""COMPUTED_VALUE"""),"SDR")</f>
        <v>SDR</v>
      </c>
      <c r="E448" s="15" t="str">
        <f>IFERROR(__xludf.DUMMYFUNCTION("""COMPUTED_VALUE"""),"KATHLEEL BOUTIQUE")</f>
        <v>KATHLEEL BOUTIQUE</v>
      </c>
      <c r="F448" s="15" t="str">
        <f>IFERROR(__xludf.DUMMYFUNCTION("""COMPUTED_VALUE"""),"TRIFIL")</f>
        <v>TRIFIL</v>
      </c>
      <c r="G448" s="15" t="str">
        <f>IFERROR(__xludf.DUMMYFUNCTION("""COMPUTED_VALUE"""),"266806759")</f>
        <v>266806759</v>
      </c>
      <c r="H448" s="15" t="str">
        <f>IFERROR(__xludf.DUMMYFUNCTION("""COMPUTED_VALUE"""),"1305750")</f>
        <v>1305750</v>
      </c>
      <c r="I448" s="15" t="str">
        <f>IFERROR(__xludf.DUMMYFUNCTION("""COMPUTED_VALUE"""),"8177288")</f>
        <v>8177288</v>
      </c>
      <c r="J448" s="15" t="str">
        <f>IFERROR(__xludf.DUMMYFUNCTION("""COMPUTED_VALUE"""),"CIF")</f>
        <v>CIF</v>
      </c>
      <c r="K448" s="15" t="str">
        <f>IFERROR(__xludf.DUMMYFUNCTION("""COMPUTED_VALUE"""),"(sem célula)")</f>
        <v>(sem célula)</v>
      </c>
      <c r="L448" s="15" t="str">
        <f>IFERROR(__xludf.DUMMYFUNCTION("""COMPUTED_VALUE"""),"AUTORIZADO")</f>
        <v>AUTORIZADO</v>
      </c>
      <c r="M448" s="15" t="str">
        <f>IFERROR(__xludf.DUMMYFUNCTION("""COMPUTED_VALUE"""),"NA ORIGEM")</f>
        <v>NA ORIGEM</v>
      </c>
      <c r="N448" s="15" t="str">
        <f>IFERROR(__xludf.DUMMYFUNCTION("""COMPUTED_VALUE"""),"Antes Prazo")</f>
        <v>Antes Prazo</v>
      </c>
      <c r="O448" s="15" t="str">
        <f>IFERROR(__xludf.DUMMYFUNCTION("""COMPUTED_VALUE"""),"B2B")</f>
        <v>B2B</v>
      </c>
      <c r="P448" s="16">
        <f>IFERROR(__xludf.DUMMYFUNCTION("""COMPUTED_VALUE"""),58.93)</f>
        <v>58.93</v>
      </c>
      <c r="Q448" s="15">
        <f>IFERROR(__xludf.DUMMYFUNCTION("""COMPUTED_VALUE"""),1.0)</f>
        <v>1</v>
      </c>
      <c r="R448" s="15" t="str">
        <f>IFERROR(__xludf.DUMMYFUNCTION("""COMPUTED_VALUE"""),"RODO")</f>
        <v>RODO</v>
      </c>
      <c r="S448" s="15" t="str">
        <f>IFERROR(__xludf.DUMMYFUNCTION("""COMPUTED_VALUE"""),"ITN")</f>
        <v>ITN</v>
      </c>
      <c r="T448" s="15" t="str">
        <f>IFERROR(__xludf.DUMMYFUNCTION("""COMPUTED_VALUE"""),"108")</f>
        <v>108</v>
      </c>
      <c r="U448" s="15" t="str">
        <f>IFERROR(__xludf.DUMMYFUNCTION("""COMPUTED_VALUE"""),"266806759 1305750 8177288 kathleel boutique trifil sdr 108")</f>
        <v>266806759 1305750 8177288 kathleel boutique trifil sdr 108</v>
      </c>
      <c r="V448" s="15" t="b">
        <f>IFERROR(__xludf.DUMMYFUNCTION("""COMPUTED_VALUE"""),FALSE)</f>
        <v>0</v>
      </c>
    </row>
    <row r="449">
      <c r="A449" s="19">
        <f>IFERROR(__xludf.DUMMYFUNCTION("""COMPUTED_VALUE"""),46304.0)</f>
        <v>46304</v>
      </c>
      <c r="B449" s="19">
        <f>IFERROR(__xludf.DUMMYFUNCTION("""COMPUTED_VALUE"""),46317.0)</f>
        <v>46317</v>
      </c>
      <c r="C449" s="15">
        <f>IFERROR(__xludf.DUMMYFUNCTION("""COMPUTED_VALUE"""),8.0)</f>
        <v>8</v>
      </c>
      <c r="D449" s="15" t="str">
        <f>IFERROR(__xludf.DUMMYFUNCTION("""COMPUTED_VALUE"""),"CAW")</f>
        <v>CAW</v>
      </c>
      <c r="E449" s="15" t="str">
        <f>IFERROR(__xludf.DUMMYFUNCTION("""COMPUTED_VALUE"""),"ROSANGELA CORDEIRO DE BRITO 12167654723")</f>
        <v>ROSANGELA CORDEIRO DE BRITO 12167654723</v>
      </c>
      <c r="F449" s="15" t="str">
        <f>IFERROR(__xludf.DUMMYFUNCTION("""COMPUTED_VALUE"""),"TRIFIL")</f>
        <v>TRIFIL</v>
      </c>
      <c r="G449" s="15" t="str">
        <f>IFERROR(__xludf.DUMMYFUNCTION("""COMPUTED_VALUE"""),"266806760")</f>
        <v>266806760</v>
      </c>
      <c r="H449" s="15" t="str">
        <f>IFERROR(__xludf.DUMMYFUNCTION("""COMPUTED_VALUE"""),"1306303")</f>
        <v>1306303</v>
      </c>
      <c r="I449" s="15" t="str">
        <f>IFERROR(__xludf.DUMMYFUNCTION("""COMPUTED_VALUE"""),"8177153")</f>
        <v>8177153</v>
      </c>
      <c r="J449" s="15" t="str">
        <f>IFERROR(__xludf.DUMMYFUNCTION("""COMPUTED_VALUE"""),"CIF")</f>
        <v>CIF</v>
      </c>
      <c r="K449" s="15" t="str">
        <f>IFERROR(__xludf.DUMMYFUNCTION("""COMPUTED_VALUE"""),"(sem célula)")</f>
        <v>(sem célula)</v>
      </c>
      <c r="L449" s="15" t="str">
        <f>IFERROR(__xludf.DUMMYFUNCTION("""COMPUTED_VALUE"""),"AUTORIZADO")</f>
        <v>AUTORIZADO</v>
      </c>
      <c r="M449" s="15" t="str">
        <f>IFERROR(__xludf.DUMMYFUNCTION("""COMPUTED_VALUE"""),"NA ORIGEM")</f>
        <v>NA ORIGEM</v>
      </c>
      <c r="N449" s="15" t="str">
        <f>IFERROR(__xludf.DUMMYFUNCTION("""COMPUTED_VALUE"""),"Antes Prazo")</f>
        <v>Antes Prazo</v>
      </c>
      <c r="O449" s="15" t="str">
        <f>IFERROR(__xludf.DUMMYFUNCTION("""COMPUTED_VALUE"""),"B2B")</f>
        <v>B2B</v>
      </c>
      <c r="P449" s="16">
        <f>IFERROR(__xludf.DUMMYFUNCTION("""COMPUTED_VALUE"""),58.93)</f>
        <v>58.93</v>
      </c>
      <c r="Q449" s="15">
        <f>IFERROR(__xludf.DUMMYFUNCTION("""COMPUTED_VALUE"""),1.0)</f>
        <v>1</v>
      </c>
      <c r="R449" s="15" t="str">
        <f>IFERROR(__xludf.DUMMYFUNCTION("""COMPUTED_VALUE"""),"RODO")</f>
        <v>RODO</v>
      </c>
      <c r="S449" s="15" t="str">
        <f>IFERROR(__xludf.DUMMYFUNCTION("""COMPUTED_VALUE"""),"ITN")</f>
        <v>ITN</v>
      </c>
      <c r="T449" s="15" t="str">
        <f>IFERROR(__xludf.DUMMYFUNCTION("""COMPUTED_VALUE"""),"102")</f>
        <v>102</v>
      </c>
      <c r="U449" s="15" t="str">
        <f>IFERROR(__xludf.DUMMYFUNCTION("""COMPUTED_VALUE"""),"266806760 1306303 8177153 rosangela cordeiro de brito 12167654723 trifil caw 102")</f>
        <v>266806760 1306303 8177153 rosangela cordeiro de brito 12167654723 trifil caw 102</v>
      </c>
      <c r="V449" s="15" t="b">
        <f>IFERROR(__xludf.DUMMYFUNCTION("""COMPUTED_VALUE"""),FALSE)</f>
        <v>0</v>
      </c>
    </row>
    <row r="450">
      <c r="A450" s="19">
        <f>IFERROR(__xludf.DUMMYFUNCTION("""COMPUTED_VALUE"""),46304.0)</f>
        <v>46304</v>
      </c>
      <c r="B450" s="19">
        <f>IFERROR(__xludf.DUMMYFUNCTION("""COMPUTED_VALUE"""),46316.0)</f>
        <v>46316</v>
      </c>
      <c r="C450" s="15">
        <f>IFERROR(__xludf.DUMMYFUNCTION("""COMPUTED_VALUE"""),7.0)</f>
        <v>7</v>
      </c>
      <c r="D450" s="15" t="str">
        <f>IFERROR(__xludf.DUMMYFUNCTION("""COMPUTED_VALUE"""),"VIX")</f>
        <v>VIX</v>
      </c>
      <c r="E450" s="15" t="str">
        <f>IFERROR(__xludf.DUMMYFUNCTION("""COMPUTED_VALUE"""),"LA BELLE COMERCIO VAREJISTA DE LINGERIE")</f>
        <v>LA BELLE COMERCIO VAREJISTA DE LINGERIE</v>
      </c>
      <c r="F450" s="15" t="str">
        <f>IFERROR(__xludf.DUMMYFUNCTION("""COMPUTED_VALUE"""),"TRIFIL")</f>
        <v>TRIFIL</v>
      </c>
      <c r="G450" s="15" t="str">
        <f>IFERROR(__xludf.DUMMYFUNCTION("""COMPUTED_VALUE"""),"266806761")</f>
        <v>266806761</v>
      </c>
      <c r="H450" s="15" t="str">
        <f>IFERROR(__xludf.DUMMYFUNCTION("""COMPUTED_VALUE"""),"1305966")</f>
        <v>1305966</v>
      </c>
      <c r="I450" s="15" t="str">
        <f>IFERROR(__xludf.DUMMYFUNCTION("""COMPUTED_VALUE"""),"8177346")</f>
        <v>8177346</v>
      </c>
      <c r="J450" s="15" t="str">
        <f>IFERROR(__xludf.DUMMYFUNCTION("""COMPUTED_VALUE"""),"CIF")</f>
        <v>CIF</v>
      </c>
      <c r="K450" s="15" t="str">
        <f>IFERROR(__xludf.DUMMYFUNCTION("""COMPUTED_VALUE"""),"(sem célula)")</f>
        <v>(sem célula)</v>
      </c>
      <c r="L450" s="15" t="str">
        <f>IFERROR(__xludf.DUMMYFUNCTION("""COMPUTED_VALUE"""),"AUTORIZADO")</f>
        <v>AUTORIZADO</v>
      </c>
      <c r="M450" s="15" t="str">
        <f>IFERROR(__xludf.DUMMYFUNCTION("""COMPUTED_VALUE"""),"NA ORIGEM")</f>
        <v>NA ORIGEM</v>
      </c>
      <c r="N450" s="15" t="str">
        <f>IFERROR(__xludf.DUMMYFUNCTION("""COMPUTED_VALUE"""),"Antes Prazo")</f>
        <v>Antes Prazo</v>
      </c>
      <c r="O450" s="15" t="str">
        <f>IFERROR(__xludf.DUMMYFUNCTION("""COMPUTED_VALUE"""),"B2B")</f>
        <v>B2B</v>
      </c>
      <c r="P450" s="16">
        <f>IFERROR(__xludf.DUMMYFUNCTION("""COMPUTED_VALUE"""),51.93)</f>
        <v>51.93</v>
      </c>
      <c r="Q450" s="15">
        <f>IFERROR(__xludf.DUMMYFUNCTION("""COMPUTED_VALUE"""),8.0)</f>
        <v>8</v>
      </c>
      <c r="R450" s="15" t="str">
        <f>IFERROR(__xludf.DUMMYFUNCTION("""COMPUTED_VALUE"""),"RODO")</f>
        <v>RODO</v>
      </c>
      <c r="S450" s="15" t="str">
        <f>IFERROR(__xludf.DUMMYFUNCTION("""COMPUTED_VALUE"""),"ITN")</f>
        <v>ITN</v>
      </c>
      <c r="T450" s="15" t="str">
        <f>IFERROR(__xludf.DUMMYFUNCTION("""COMPUTED_VALUE"""),"1")</f>
        <v>1</v>
      </c>
      <c r="U450" s="15" t="str">
        <f>IFERROR(__xludf.DUMMYFUNCTION("""COMPUTED_VALUE"""),"266806761 1305966 8177346 la belle comercio varejista de lingerie trifil vix 1")</f>
        <v>266806761 1305966 8177346 la belle comercio varejista de lingerie trifil vix 1</v>
      </c>
      <c r="V450" s="15" t="b">
        <f>IFERROR(__xludf.DUMMYFUNCTION("""COMPUTED_VALUE"""),FALSE)</f>
        <v>0</v>
      </c>
    </row>
    <row r="451">
      <c r="A451" s="19">
        <f>IFERROR(__xludf.DUMMYFUNCTION("""COMPUTED_VALUE"""),46304.0)</f>
        <v>46304</v>
      </c>
      <c r="B451" s="19">
        <f>IFERROR(__xludf.DUMMYFUNCTION("""COMPUTED_VALUE"""),46316.0)</f>
        <v>46316</v>
      </c>
      <c r="C451" s="15">
        <f>IFERROR(__xludf.DUMMYFUNCTION("""COMPUTED_VALUE"""),7.0)</f>
        <v>7</v>
      </c>
      <c r="D451" s="15" t="str">
        <f>IFERROR(__xludf.DUMMYFUNCTION("""COMPUTED_VALUE"""),"V2C")</f>
        <v>V2C</v>
      </c>
      <c r="E451" s="15" t="str">
        <f>IFERROR(__xludf.DUMMYFUNCTION("""COMPUTED_VALUE"""),"CONFECCOES TUANNY LTDA ME")</f>
        <v>CONFECCOES TUANNY LTDA ME</v>
      </c>
      <c r="F451" s="15" t="str">
        <f>IFERROR(__xludf.DUMMYFUNCTION("""COMPUTED_VALUE"""),"TRIFIL")</f>
        <v>TRIFIL</v>
      </c>
      <c r="G451" s="15" t="str">
        <f>IFERROR(__xludf.DUMMYFUNCTION("""COMPUTED_VALUE"""),"266806762")</f>
        <v>266806762</v>
      </c>
      <c r="H451" s="15" t="str">
        <f>IFERROR(__xludf.DUMMYFUNCTION("""COMPUTED_VALUE"""),"1306049")</f>
        <v>1306049</v>
      </c>
      <c r="I451" s="15" t="str">
        <f>IFERROR(__xludf.DUMMYFUNCTION("""COMPUTED_VALUE"""),"8177216")</f>
        <v>8177216</v>
      </c>
      <c r="J451" s="15" t="str">
        <f>IFERROR(__xludf.DUMMYFUNCTION("""COMPUTED_VALUE"""),"CIF")</f>
        <v>CIF</v>
      </c>
      <c r="K451" s="15" t="str">
        <f>IFERROR(__xludf.DUMMYFUNCTION("""COMPUTED_VALUE"""),"(sem célula)")</f>
        <v>(sem célula)</v>
      </c>
      <c r="L451" s="15" t="str">
        <f>IFERROR(__xludf.DUMMYFUNCTION("""COMPUTED_VALUE"""),"AUTORIZADO")</f>
        <v>AUTORIZADO</v>
      </c>
      <c r="M451" s="15" t="str">
        <f>IFERROR(__xludf.DUMMYFUNCTION("""COMPUTED_VALUE"""),"NA ORIGEM")</f>
        <v>NA ORIGEM</v>
      </c>
      <c r="N451" s="15" t="str">
        <f>IFERROR(__xludf.DUMMYFUNCTION("""COMPUTED_VALUE"""),"Antes Prazo")</f>
        <v>Antes Prazo</v>
      </c>
      <c r="O451" s="15" t="str">
        <f>IFERROR(__xludf.DUMMYFUNCTION("""COMPUTED_VALUE"""),"B2B")</f>
        <v>B2B</v>
      </c>
      <c r="P451" s="16">
        <f>IFERROR(__xludf.DUMMYFUNCTION("""COMPUTED_VALUE"""),44.77)</f>
        <v>44.77</v>
      </c>
      <c r="Q451" s="15">
        <f>IFERROR(__xludf.DUMMYFUNCTION("""COMPUTED_VALUE"""),1.0)</f>
        <v>1</v>
      </c>
      <c r="R451" s="15" t="str">
        <f>IFERROR(__xludf.DUMMYFUNCTION("""COMPUTED_VALUE"""),"RODO")</f>
        <v>RODO</v>
      </c>
      <c r="S451" s="15" t="str">
        <f>IFERROR(__xludf.DUMMYFUNCTION("""COMPUTED_VALUE"""),"ITN")</f>
        <v>ITN</v>
      </c>
      <c r="T451" s="15" t="str">
        <f>IFERROR(__xludf.DUMMYFUNCTION("""COMPUTED_VALUE"""),"55")</f>
        <v>55</v>
      </c>
      <c r="U451" s="15" t="str">
        <f>IFERROR(__xludf.DUMMYFUNCTION("""COMPUTED_VALUE"""),"266806762 1306049 8177216 confeccoes tuanny ltda me trifil v2c 55")</f>
        <v>266806762 1306049 8177216 confeccoes tuanny ltda me trifil v2c 55</v>
      </c>
      <c r="V451" s="15" t="b">
        <f>IFERROR(__xludf.DUMMYFUNCTION("""COMPUTED_VALUE"""),FALSE)</f>
        <v>0</v>
      </c>
    </row>
    <row r="452">
      <c r="A452" s="19">
        <f>IFERROR(__xludf.DUMMYFUNCTION("""COMPUTED_VALUE"""),46304.0)</f>
        <v>46304</v>
      </c>
      <c r="B452" s="19">
        <f>IFERROR(__xludf.DUMMYFUNCTION("""COMPUTED_VALUE"""),46317.0)</f>
        <v>46317</v>
      </c>
      <c r="C452" s="15">
        <f>IFERROR(__xludf.DUMMYFUNCTION("""COMPUTED_VALUE"""),8.0)</f>
        <v>8</v>
      </c>
      <c r="D452" s="15" t="str">
        <f>IFERROR(__xludf.DUMMYFUNCTION("""COMPUTED_VALUE"""),"CXO")</f>
        <v>CXO</v>
      </c>
      <c r="E452" s="15" t="str">
        <f>IFERROR(__xludf.DUMMYFUNCTION("""COMPUTED_VALUE"""),"CONFECCOES RIMAGE")</f>
        <v>CONFECCOES RIMAGE</v>
      </c>
      <c r="F452" s="15" t="str">
        <f>IFERROR(__xludf.DUMMYFUNCTION("""COMPUTED_VALUE"""),"TRIFIL")</f>
        <v>TRIFIL</v>
      </c>
      <c r="G452" s="15" t="str">
        <f>IFERROR(__xludf.DUMMYFUNCTION("""COMPUTED_VALUE"""),"266806763")</f>
        <v>266806763</v>
      </c>
      <c r="H452" s="15" t="str">
        <f>IFERROR(__xludf.DUMMYFUNCTION("""COMPUTED_VALUE"""),"1305985")</f>
        <v>1305985</v>
      </c>
      <c r="I452" s="15" t="str">
        <f>IFERROR(__xludf.DUMMYFUNCTION("""COMPUTED_VALUE"""),"8177245")</f>
        <v>8177245</v>
      </c>
      <c r="J452" s="15" t="str">
        <f>IFERROR(__xludf.DUMMYFUNCTION("""COMPUTED_VALUE"""),"CIF")</f>
        <v>CIF</v>
      </c>
      <c r="K452" s="15" t="str">
        <f>IFERROR(__xludf.DUMMYFUNCTION("""COMPUTED_VALUE"""),"(sem célula)")</f>
        <v>(sem célula)</v>
      </c>
      <c r="L452" s="15" t="str">
        <f>IFERROR(__xludf.DUMMYFUNCTION("""COMPUTED_VALUE"""),"AUTORIZADO")</f>
        <v>AUTORIZADO</v>
      </c>
      <c r="M452" s="15" t="str">
        <f>IFERROR(__xludf.DUMMYFUNCTION("""COMPUTED_VALUE"""),"NA ORIGEM")</f>
        <v>NA ORIGEM</v>
      </c>
      <c r="N452" s="15" t="str">
        <f>IFERROR(__xludf.DUMMYFUNCTION("""COMPUTED_VALUE"""),"Antes Prazo")</f>
        <v>Antes Prazo</v>
      </c>
      <c r="O452" s="15" t="str">
        <f>IFERROR(__xludf.DUMMYFUNCTION("""COMPUTED_VALUE"""),"B2B")</f>
        <v>B2B</v>
      </c>
      <c r="P452" s="16">
        <f>IFERROR(__xludf.DUMMYFUNCTION("""COMPUTED_VALUE"""),50.14)</f>
        <v>50.14</v>
      </c>
      <c r="Q452" s="15">
        <f>IFERROR(__xludf.DUMMYFUNCTION("""COMPUTED_VALUE"""),1.0)</f>
        <v>1</v>
      </c>
      <c r="R452" s="15" t="str">
        <f>IFERROR(__xludf.DUMMYFUNCTION("""COMPUTED_VALUE"""),"RODO")</f>
        <v>RODO</v>
      </c>
      <c r="S452" s="15" t="str">
        <f>IFERROR(__xludf.DUMMYFUNCTION("""COMPUTED_VALUE"""),"ITN")</f>
        <v>ITN</v>
      </c>
      <c r="T452" s="15" t="str">
        <f>IFERROR(__xludf.DUMMYFUNCTION("""COMPUTED_VALUE"""),"102")</f>
        <v>102</v>
      </c>
      <c r="U452" s="15" t="str">
        <f>IFERROR(__xludf.DUMMYFUNCTION("""COMPUTED_VALUE"""),"266806763 1305985 8177245 confeccoes rimage trifil cxo 102")</f>
        <v>266806763 1305985 8177245 confeccoes rimage trifil cxo 102</v>
      </c>
      <c r="V452" s="15" t="b">
        <f>IFERROR(__xludf.DUMMYFUNCTION("""COMPUTED_VALUE"""),FALSE)</f>
        <v>0</v>
      </c>
    </row>
    <row r="453">
      <c r="A453" s="19">
        <f>IFERROR(__xludf.DUMMYFUNCTION("""COMPUTED_VALUE"""),46304.0)</f>
        <v>46304</v>
      </c>
      <c r="B453" s="19">
        <f>IFERROR(__xludf.DUMMYFUNCTION("""COMPUTED_VALUE"""),46321.0)</f>
        <v>46321</v>
      </c>
      <c r="C453" s="15">
        <f>IFERROR(__xludf.DUMMYFUNCTION("""COMPUTED_VALUE"""),10.0)</f>
        <v>10</v>
      </c>
      <c r="D453" s="15" t="str">
        <f>IFERROR(__xludf.DUMMYFUNCTION("""COMPUTED_VALUE"""),"CXO")</f>
        <v>CXO</v>
      </c>
      <c r="E453" s="15" t="str">
        <f>IFERROR(__xludf.DUMMYFUNCTION("""COMPUTED_VALUE"""),"CENTRO LOJA SOBRAL")</f>
        <v>CENTRO LOJA SOBRAL</v>
      </c>
      <c r="F453" s="15" t="str">
        <f>IFERROR(__xludf.DUMMYFUNCTION("""COMPUTED_VALUE"""),"TRIFIL")</f>
        <v>TRIFIL</v>
      </c>
      <c r="G453" s="15" t="str">
        <f>IFERROR(__xludf.DUMMYFUNCTION("""COMPUTED_VALUE"""),"266806764")</f>
        <v>266806764</v>
      </c>
      <c r="H453" s="15" t="str">
        <f>IFERROR(__xludf.DUMMYFUNCTION("""COMPUTED_VALUE"""),"1306111, 1306127")</f>
        <v>1306111, 1306127</v>
      </c>
      <c r="I453" s="15" t="str">
        <f>IFERROR(__xludf.DUMMYFUNCTION("""COMPUTED_VALUE"""),"8177321")</f>
        <v>8177321</v>
      </c>
      <c r="J453" s="15" t="str">
        <f>IFERROR(__xludf.DUMMYFUNCTION("""COMPUTED_VALUE"""),"CIF")</f>
        <v>CIF</v>
      </c>
      <c r="K453" s="15" t="str">
        <f>IFERROR(__xludf.DUMMYFUNCTION("""COMPUTED_VALUE"""),"(sem célula)")</f>
        <v>(sem célula)</v>
      </c>
      <c r="L453" s="15" t="str">
        <f>IFERROR(__xludf.DUMMYFUNCTION("""COMPUTED_VALUE"""),"AUTORIZADO")</f>
        <v>AUTORIZADO</v>
      </c>
      <c r="M453" s="15" t="str">
        <f>IFERROR(__xludf.DUMMYFUNCTION("""COMPUTED_VALUE"""),"NA ORIGEM")</f>
        <v>NA ORIGEM</v>
      </c>
      <c r="N453" s="15" t="str">
        <f>IFERROR(__xludf.DUMMYFUNCTION("""COMPUTED_VALUE"""),"Antes Prazo")</f>
        <v>Antes Prazo</v>
      </c>
      <c r="O453" s="15" t="str">
        <f>IFERROR(__xludf.DUMMYFUNCTION("""COMPUTED_VALUE"""),"B2B")</f>
        <v>B2B</v>
      </c>
      <c r="P453" s="16">
        <f>IFERROR(__xludf.DUMMYFUNCTION("""COMPUTED_VALUE"""),44.77)</f>
        <v>44.77</v>
      </c>
      <c r="Q453" s="15">
        <f>IFERROR(__xludf.DUMMYFUNCTION("""COMPUTED_VALUE"""),2.0)</f>
        <v>2</v>
      </c>
      <c r="R453" s="15" t="str">
        <f>IFERROR(__xludf.DUMMYFUNCTION("""COMPUTED_VALUE"""),"RODO")</f>
        <v>RODO</v>
      </c>
      <c r="S453" s="15" t="str">
        <f>IFERROR(__xludf.DUMMYFUNCTION("""COMPUTED_VALUE"""),"ITN")</f>
        <v>ITN</v>
      </c>
      <c r="T453" s="15" t="str">
        <f>IFERROR(__xludf.DUMMYFUNCTION("""COMPUTED_VALUE"""),"104")</f>
        <v>104</v>
      </c>
      <c r="U453" s="15" t="str">
        <f>IFERROR(__xludf.DUMMYFUNCTION("""COMPUTED_VALUE"""),"266806764 1306111, 1306127 8177321 centro loja sobral trifil cxo 104")</f>
        <v>266806764 1306111, 1306127 8177321 centro loja sobral trifil cxo 104</v>
      </c>
      <c r="V453" s="15" t="b">
        <f>IFERROR(__xludf.DUMMYFUNCTION("""COMPUTED_VALUE"""),FALSE)</f>
        <v>0</v>
      </c>
    </row>
    <row r="454">
      <c r="A454" s="19">
        <f>IFERROR(__xludf.DUMMYFUNCTION("""COMPUTED_VALUE"""),46304.0)</f>
        <v>46304</v>
      </c>
      <c r="B454" s="19">
        <f>IFERROR(__xludf.DUMMYFUNCTION("""COMPUTED_VALUE"""),46322.0)</f>
        <v>46322</v>
      </c>
      <c r="C454" s="15">
        <f>IFERROR(__xludf.DUMMYFUNCTION("""COMPUTED_VALUE"""),11.0)</f>
        <v>11</v>
      </c>
      <c r="D454" s="15" t="str">
        <f>IFERROR(__xludf.DUMMYFUNCTION("""COMPUTED_VALUE"""),"COL")</f>
        <v>COL</v>
      </c>
      <c r="E454" s="15" t="str">
        <f>IFERROR(__xludf.DUMMYFUNCTION("""COMPUTED_VALUE"""),"ARLETI DE FATIMA BISSOLI FAGUNDES ME MEE")</f>
        <v>ARLETI DE FATIMA BISSOLI FAGUNDES ME MEE</v>
      </c>
      <c r="F454" s="15" t="str">
        <f>IFERROR(__xludf.DUMMYFUNCTION("""COMPUTED_VALUE"""),"TRIFIL")</f>
        <v>TRIFIL</v>
      </c>
      <c r="G454" s="15" t="str">
        <f>IFERROR(__xludf.DUMMYFUNCTION("""COMPUTED_VALUE"""),"266806765")</f>
        <v>266806765</v>
      </c>
      <c r="H454" s="15" t="str">
        <f>IFERROR(__xludf.DUMMYFUNCTION("""COMPUTED_VALUE"""),"1305782")</f>
        <v>1305782</v>
      </c>
      <c r="I454" s="15" t="str">
        <f>IFERROR(__xludf.DUMMYFUNCTION("""COMPUTED_VALUE"""),"8177289")</f>
        <v>8177289</v>
      </c>
      <c r="J454" s="15" t="str">
        <f>IFERROR(__xludf.DUMMYFUNCTION("""COMPUTED_VALUE"""),"CIF")</f>
        <v>CIF</v>
      </c>
      <c r="K454" s="15" t="str">
        <f>IFERROR(__xludf.DUMMYFUNCTION("""COMPUTED_VALUE"""),"(sem célula)")</f>
        <v>(sem célula)</v>
      </c>
      <c r="L454" s="15" t="str">
        <f>IFERROR(__xludf.DUMMYFUNCTION("""COMPUTED_VALUE"""),"AUTORIZADO")</f>
        <v>AUTORIZADO</v>
      </c>
      <c r="M454" s="15" t="str">
        <f>IFERROR(__xludf.DUMMYFUNCTION("""COMPUTED_VALUE"""),"NA ORIGEM")</f>
        <v>NA ORIGEM</v>
      </c>
      <c r="N454" s="15" t="str">
        <f>IFERROR(__xludf.DUMMYFUNCTION("""COMPUTED_VALUE"""),"Antes Prazo")</f>
        <v>Antes Prazo</v>
      </c>
      <c r="O454" s="15" t="str">
        <f>IFERROR(__xludf.DUMMYFUNCTION("""COMPUTED_VALUE"""),"B2B")</f>
        <v>B2B</v>
      </c>
      <c r="P454" s="16">
        <f>IFERROR(__xludf.DUMMYFUNCTION("""COMPUTED_VALUE"""),50.14)</f>
        <v>50.14</v>
      </c>
      <c r="Q454" s="15">
        <f>IFERROR(__xludf.DUMMYFUNCTION("""COMPUTED_VALUE"""),1.0)</f>
        <v>1</v>
      </c>
      <c r="R454" s="15" t="str">
        <f>IFERROR(__xludf.DUMMYFUNCTION("""COMPUTED_VALUE"""),"RODO")</f>
        <v>RODO</v>
      </c>
      <c r="S454" s="15" t="str">
        <f>IFERROR(__xludf.DUMMYFUNCTION("""COMPUTED_VALUE"""),"ITN")</f>
        <v>ITN</v>
      </c>
      <c r="T454" s="15" t="str">
        <f>IFERROR(__xludf.DUMMYFUNCTION("""COMPUTED_VALUE"""),"1020")</f>
        <v>1020</v>
      </c>
      <c r="U454" s="15" t="str">
        <f>IFERROR(__xludf.DUMMYFUNCTION("""COMPUTED_VALUE"""),"266806765 1305782 8177289 arleti de fatima bissoli fagundes me mee trifil col 1020")</f>
        <v>266806765 1305782 8177289 arleti de fatima bissoli fagundes me mee trifil col 1020</v>
      </c>
      <c r="V454" s="15" t="b">
        <f>IFERROR(__xludf.DUMMYFUNCTION("""COMPUTED_VALUE"""),FALSE)</f>
        <v>0</v>
      </c>
    </row>
    <row r="455">
      <c r="A455" s="19">
        <f>IFERROR(__xludf.DUMMYFUNCTION("""COMPUTED_VALUE"""),46304.0)</f>
        <v>46304</v>
      </c>
      <c r="B455" s="19">
        <f>IFERROR(__xludf.DUMMYFUNCTION("""COMPUTED_VALUE"""),46316.0)</f>
        <v>46316</v>
      </c>
      <c r="C455" s="15">
        <f>IFERROR(__xludf.DUMMYFUNCTION("""COMPUTED_VALUE"""),7.0)</f>
        <v>7</v>
      </c>
      <c r="D455" s="15" t="str">
        <f>IFERROR(__xludf.DUMMYFUNCTION("""COMPUTED_VALUE"""),"BHZ")</f>
        <v>BHZ</v>
      </c>
      <c r="E455" s="15" t="str">
        <f>IFERROR(__xludf.DUMMYFUNCTION("""COMPUTED_VALUE"""),"OSVALDO RESENDE OLIVEIRA ME")</f>
        <v>OSVALDO RESENDE OLIVEIRA ME</v>
      </c>
      <c r="F455" s="15" t="str">
        <f>IFERROR(__xludf.DUMMYFUNCTION("""COMPUTED_VALUE"""),"TRIFIL")</f>
        <v>TRIFIL</v>
      </c>
      <c r="G455" s="15" t="str">
        <f>IFERROR(__xludf.DUMMYFUNCTION("""COMPUTED_VALUE"""),"266806767")</f>
        <v>266806767</v>
      </c>
      <c r="H455" s="15" t="str">
        <f>IFERROR(__xludf.DUMMYFUNCTION("""COMPUTED_VALUE"""),"1306017")</f>
        <v>1306017</v>
      </c>
      <c r="I455" s="15" t="str">
        <f>IFERROR(__xludf.DUMMYFUNCTION("""COMPUTED_VALUE"""),"8177217")</f>
        <v>8177217</v>
      </c>
      <c r="J455" s="15" t="str">
        <f>IFERROR(__xludf.DUMMYFUNCTION("""COMPUTED_VALUE"""),"CIF")</f>
        <v>CIF</v>
      </c>
      <c r="K455" s="15" t="str">
        <f>IFERROR(__xludf.DUMMYFUNCTION("""COMPUTED_VALUE"""),"(sem célula)")</f>
        <v>(sem célula)</v>
      </c>
      <c r="L455" s="15" t="str">
        <f>IFERROR(__xludf.DUMMYFUNCTION("""COMPUTED_VALUE"""),"AUTORIZADO")</f>
        <v>AUTORIZADO</v>
      </c>
      <c r="M455" s="15" t="str">
        <f>IFERROR(__xludf.DUMMYFUNCTION("""COMPUTED_VALUE"""),"NA ORIGEM")</f>
        <v>NA ORIGEM</v>
      </c>
      <c r="N455" s="15" t="str">
        <f>IFERROR(__xludf.DUMMYFUNCTION("""COMPUTED_VALUE"""),"Antes Prazo")</f>
        <v>Antes Prazo</v>
      </c>
      <c r="O455" s="15" t="str">
        <f>IFERROR(__xludf.DUMMYFUNCTION("""COMPUTED_VALUE"""),"B2B")</f>
        <v>B2B</v>
      </c>
      <c r="P455" s="16">
        <f>IFERROR(__xludf.DUMMYFUNCTION("""COMPUTED_VALUE"""),51.62)</f>
        <v>51.62</v>
      </c>
      <c r="Q455" s="15">
        <f>IFERROR(__xludf.DUMMYFUNCTION("""COMPUTED_VALUE"""),1.0)</f>
        <v>1</v>
      </c>
      <c r="R455" s="15" t="str">
        <f>IFERROR(__xludf.DUMMYFUNCTION("""COMPUTED_VALUE"""),"RODO")</f>
        <v>RODO</v>
      </c>
      <c r="S455" s="15" t="str">
        <f>IFERROR(__xludf.DUMMYFUNCTION("""COMPUTED_VALUE"""),"ITN")</f>
        <v>ITN</v>
      </c>
      <c r="T455" s="15" t="str">
        <f>IFERROR(__xludf.DUMMYFUNCTION("""COMPUTED_VALUE"""),"7")</f>
        <v>7</v>
      </c>
      <c r="U455" s="15" t="str">
        <f>IFERROR(__xludf.DUMMYFUNCTION("""COMPUTED_VALUE"""),"266806767 1306017 8177217 osvaldo resende oliveira me trifil bhz 7")</f>
        <v>266806767 1306017 8177217 osvaldo resende oliveira me trifil bhz 7</v>
      </c>
      <c r="V455" s="15" t="b">
        <f>IFERROR(__xludf.DUMMYFUNCTION("""COMPUTED_VALUE"""),FALSE)</f>
        <v>0</v>
      </c>
    </row>
    <row r="456">
      <c r="A456" s="19">
        <f>IFERROR(__xludf.DUMMYFUNCTION("""COMPUTED_VALUE"""),46304.0)</f>
        <v>46304</v>
      </c>
      <c r="B456" s="19">
        <f>IFERROR(__xludf.DUMMYFUNCTION("""COMPUTED_VALUE"""),46318.0)</f>
        <v>46318</v>
      </c>
      <c r="C456" s="15">
        <f>IFERROR(__xludf.DUMMYFUNCTION("""COMPUTED_VALUE"""),9.0)</f>
        <v>9</v>
      </c>
      <c r="D456" s="15" t="str">
        <f>IFERROR(__xludf.DUMMYFUNCTION("""COMPUTED_VALUE"""),"BCG")</f>
        <v>BCG</v>
      </c>
      <c r="E456" s="15" t="str">
        <f>IFERROR(__xludf.DUMMYFUNCTION("""COMPUTED_VALUE"""),"MARIA DALVA FERREIRA DOS SANTOS")</f>
        <v>MARIA DALVA FERREIRA DOS SANTOS</v>
      </c>
      <c r="F456" s="15" t="str">
        <f>IFERROR(__xludf.DUMMYFUNCTION("""COMPUTED_VALUE"""),"TRIFIL")</f>
        <v>TRIFIL</v>
      </c>
      <c r="G456" s="15" t="str">
        <f>IFERROR(__xludf.DUMMYFUNCTION("""COMPUTED_VALUE"""),"266806768")</f>
        <v>266806768</v>
      </c>
      <c r="H456" s="15" t="str">
        <f>IFERROR(__xludf.DUMMYFUNCTION("""COMPUTED_VALUE"""),"1305999")</f>
        <v>1305999</v>
      </c>
      <c r="I456" s="15" t="str">
        <f>IFERROR(__xludf.DUMMYFUNCTION("""COMPUTED_VALUE"""),"8177347")</f>
        <v>8177347</v>
      </c>
      <c r="J456" s="15" t="str">
        <f>IFERROR(__xludf.DUMMYFUNCTION("""COMPUTED_VALUE"""),"CIF")</f>
        <v>CIF</v>
      </c>
      <c r="K456" s="15" t="str">
        <f>IFERROR(__xludf.DUMMYFUNCTION("""COMPUTED_VALUE"""),"(sem célula)")</f>
        <v>(sem célula)</v>
      </c>
      <c r="L456" s="15" t="str">
        <f>IFERROR(__xludf.DUMMYFUNCTION("""COMPUTED_VALUE"""),"AUTORIZADO")</f>
        <v>AUTORIZADO</v>
      </c>
      <c r="M456" s="15" t="str">
        <f>IFERROR(__xludf.DUMMYFUNCTION("""COMPUTED_VALUE"""),"NA ORIGEM")</f>
        <v>NA ORIGEM</v>
      </c>
      <c r="N456" s="15" t="str">
        <f>IFERROR(__xludf.DUMMYFUNCTION("""COMPUTED_VALUE"""),"Antes Prazo")</f>
        <v>Antes Prazo</v>
      </c>
      <c r="O456" s="15" t="str">
        <f>IFERROR(__xludf.DUMMYFUNCTION("""COMPUTED_VALUE"""),"B2B")</f>
        <v>B2B</v>
      </c>
      <c r="P456" s="16">
        <f>IFERROR(__xludf.DUMMYFUNCTION("""COMPUTED_VALUE"""),51.62)</f>
        <v>51.62</v>
      </c>
      <c r="Q456" s="15">
        <f>IFERROR(__xludf.DUMMYFUNCTION("""COMPUTED_VALUE"""),3.0)</f>
        <v>3</v>
      </c>
      <c r="R456" s="15" t="str">
        <f>IFERROR(__xludf.DUMMYFUNCTION("""COMPUTED_VALUE"""),"RODO")</f>
        <v>RODO</v>
      </c>
      <c r="S456" s="15" t="str">
        <f>IFERROR(__xludf.DUMMYFUNCTION("""COMPUTED_VALUE"""),"ITN")</f>
        <v>ITN</v>
      </c>
      <c r="T456" s="15" t="str">
        <f>IFERROR(__xludf.DUMMYFUNCTION("""COMPUTED_VALUE"""),"127")</f>
        <v>127</v>
      </c>
      <c r="U456" s="15" t="str">
        <f>IFERROR(__xludf.DUMMYFUNCTION("""COMPUTED_VALUE"""),"266806768 1305999 8177347 maria dalva ferreira dos santos trifil bcg 127")</f>
        <v>266806768 1305999 8177347 maria dalva ferreira dos santos trifil bcg 127</v>
      </c>
      <c r="V456" s="15" t="b">
        <f>IFERROR(__xludf.DUMMYFUNCTION("""COMPUTED_VALUE"""),FALSE)</f>
        <v>0</v>
      </c>
    </row>
    <row r="457">
      <c r="A457" s="19">
        <f>IFERROR(__xludf.DUMMYFUNCTION("""COMPUTED_VALUE"""),46304.0)</f>
        <v>46304</v>
      </c>
      <c r="B457" s="19">
        <f>IFERROR(__xludf.DUMMYFUNCTION("""COMPUTED_VALUE"""),46318.0)</f>
        <v>46318</v>
      </c>
      <c r="C457" s="15">
        <f>IFERROR(__xludf.DUMMYFUNCTION("""COMPUTED_VALUE"""),9.0)</f>
        <v>9</v>
      </c>
      <c r="D457" s="15" t="str">
        <f>IFERROR(__xludf.DUMMYFUNCTION("""COMPUTED_VALUE"""),"BCG")</f>
        <v>BCG</v>
      </c>
      <c r="E457" s="15" t="str">
        <f>IFERROR(__xludf.DUMMYFUNCTION("""COMPUTED_VALUE"""),"RUANDA CALCADOS LTDA")</f>
        <v>RUANDA CALCADOS LTDA</v>
      </c>
      <c r="F457" s="15" t="str">
        <f>IFERROR(__xludf.DUMMYFUNCTION("""COMPUTED_VALUE"""),"TRIFIL")</f>
        <v>TRIFIL</v>
      </c>
      <c r="G457" s="15" t="str">
        <f>IFERROR(__xludf.DUMMYFUNCTION("""COMPUTED_VALUE"""),"266806769")</f>
        <v>266806769</v>
      </c>
      <c r="H457" s="15" t="str">
        <f>IFERROR(__xludf.DUMMYFUNCTION("""COMPUTED_VALUE"""),"1306065")</f>
        <v>1306065</v>
      </c>
      <c r="I457" s="15" t="str">
        <f>IFERROR(__xludf.DUMMYFUNCTION("""COMPUTED_VALUE"""),"8177218")</f>
        <v>8177218</v>
      </c>
      <c r="J457" s="15" t="str">
        <f>IFERROR(__xludf.DUMMYFUNCTION("""COMPUTED_VALUE"""),"CIF")</f>
        <v>CIF</v>
      </c>
      <c r="K457" s="15" t="str">
        <f>IFERROR(__xludf.DUMMYFUNCTION("""COMPUTED_VALUE"""),"(sem célula)")</f>
        <v>(sem célula)</v>
      </c>
      <c r="L457" s="15" t="str">
        <f>IFERROR(__xludf.DUMMYFUNCTION("""COMPUTED_VALUE"""),"AUTORIZADO")</f>
        <v>AUTORIZADO</v>
      </c>
      <c r="M457" s="15" t="str">
        <f>IFERROR(__xludf.DUMMYFUNCTION("""COMPUTED_VALUE"""),"NA ORIGEM")</f>
        <v>NA ORIGEM</v>
      </c>
      <c r="N457" s="15" t="str">
        <f>IFERROR(__xludf.DUMMYFUNCTION("""COMPUTED_VALUE"""),"Antes Prazo")</f>
        <v>Antes Prazo</v>
      </c>
      <c r="O457" s="15" t="str">
        <f>IFERROR(__xludf.DUMMYFUNCTION("""COMPUTED_VALUE"""),"B2B")</f>
        <v>B2B</v>
      </c>
      <c r="P457" s="16">
        <f>IFERROR(__xludf.DUMMYFUNCTION("""COMPUTED_VALUE"""),51.62)</f>
        <v>51.62</v>
      </c>
      <c r="Q457" s="15">
        <f>IFERROR(__xludf.DUMMYFUNCTION("""COMPUTED_VALUE"""),2.0)</f>
        <v>2</v>
      </c>
      <c r="R457" s="15" t="str">
        <f>IFERROR(__xludf.DUMMYFUNCTION("""COMPUTED_VALUE"""),"RODO")</f>
        <v>RODO</v>
      </c>
      <c r="S457" s="15" t="str">
        <f>IFERROR(__xludf.DUMMYFUNCTION("""COMPUTED_VALUE"""),"ITN")</f>
        <v>ITN</v>
      </c>
      <c r="T457" s="15" t="str">
        <f>IFERROR(__xludf.DUMMYFUNCTION("""COMPUTED_VALUE"""),"127")</f>
        <v>127</v>
      </c>
      <c r="U457" s="15" t="str">
        <f>IFERROR(__xludf.DUMMYFUNCTION("""COMPUTED_VALUE"""),"266806769 1306065 8177218 ruanda calcados ltda trifil bcg 127")</f>
        <v>266806769 1306065 8177218 ruanda calcados ltda trifil bcg 127</v>
      </c>
      <c r="V457" s="15" t="b">
        <f>IFERROR(__xludf.DUMMYFUNCTION("""COMPUTED_VALUE"""),FALSE)</f>
        <v>0</v>
      </c>
    </row>
    <row r="458">
      <c r="A458" s="19">
        <f>IFERROR(__xludf.DUMMYFUNCTION("""COMPUTED_VALUE"""),46304.0)</f>
        <v>46304</v>
      </c>
      <c r="B458" s="19">
        <f>IFERROR(__xludf.DUMMYFUNCTION("""COMPUTED_VALUE"""),46318.0)</f>
        <v>46318</v>
      </c>
      <c r="C458" s="15">
        <f>IFERROR(__xludf.DUMMYFUNCTION("""COMPUTED_VALUE"""),9.0)</f>
        <v>9</v>
      </c>
      <c r="D458" s="15" t="str">
        <f>IFERROR(__xludf.DUMMYFUNCTION("""COMPUTED_VALUE"""),"GVR")</f>
        <v>GVR</v>
      </c>
      <c r="E458" s="15" t="str">
        <f>IFERROR(__xludf.DUMMYFUNCTION("""COMPUTED_VALUE"""),"SPAÇO DOS PES")</f>
        <v>SPAÇO DOS PES</v>
      </c>
      <c r="F458" s="15" t="str">
        <f>IFERROR(__xludf.DUMMYFUNCTION("""COMPUTED_VALUE"""),"TRIFIL")</f>
        <v>TRIFIL</v>
      </c>
      <c r="G458" s="15" t="str">
        <f>IFERROR(__xludf.DUMMYFUNCTION("""COMPUTED_VALUE"""),"266806770")</f>
        <v>266806770</v>
      </c>
      <c r="H458" s="15" t="str">
        <f>IFERROR(__xludf.DUMMYFUNCTION("""COMPUTED_VALUE"""),"1306088")</f>
        <v>1306088</v>
      </c>
      <c r="I458" s="15" t="str">
        <f>IFERROR(__xludf.DUMMYFUNCTION("""COMPUTED_VALUE"""),"8177186")</f>
        <v>8177186</v>
      </c>
      <c r="J458" s="15" t="str">
        <f>IFERROR(__xludf.DUMMYFUNCTION("""COMPUTED_VALUE"""),"CIF")</f>
        <v>CIF</v>
      </c>
      <c r="K458" s="15" t="str">
        <f>IFERROR(__xludf.DUMMYFUNCTION("""COMPUTED_VALUE"""),"(sem célula)")</f>
        <v>(sem célula)</v>
      </c>
      <c r="L458" s="15" t="str">
        <f>IFERROR(__xludf.DUMMYFUNCTION("""COMPUTED_VALUE"""),"AUTORIZADO")</f>
        <v>AUTORIZADO</v>
      </c>
      <c r="M458" s="15" t="str">
        <f>IFERROR(__xludf.DUMMYFUNCTION("""COMPUTED_VALUE"""),"NA ORIGEM")</f>
        <v>NA ORIGEM</v>
      </c>
      <c r="N458" s="15" t="str">
        <f>IFERROR(__xludf.DUMMYFUNCTION("""COMPUTED_VALUE"""),"Antes Prazo")</f>
        <v>Antes Prazo</v>
      </c>
      <c r="O458" s="15" t="str">
        <f>IFERROR(__xludf.DUMMYFUNCTION("""COMPUTED_VALUE"""),"B2B")</f>
        <v>B2B</v>
      </c>
      <c r="P458" s="16">
        <f>IFERROR(__xludf.DUMMYFUNCTION("""COMPUTED_VALUE"""),44.59)</f>
        <v>44.59</v>
      </c>
      <c r="Q458" s="15">
        <f>IFERROR(__xludf.DUMMYFUNCTION("""COMPUTED_VALUE"""),1.0)</f>
        <v>1</v>
      </c>
      <c r="R458" s="15" t="str">
        <f>IFERROR(__xludf.DUMMYFUNCTION("""COMPUTED_VALUE"""),"RODO")</f>
        <v>RODO</v>
      </c>
      <c r="S458" s="15" t="str">
        <f>IFERROR(__xludf.DUMMYFUNCTION("""COMPUTED_VALUE"""),"ITN")</f>
        <v>ITN</v>
      </c>
      <c r="T458" s="15" t="str">
        <f>IFERROR(__xludf.DUMMYFUNCTION("""COMPUTED_VALUE"""),"")</f>
        <v/>
      </c>
      <c r="U458" s="15" t="str">
        <f>IFERROR(__xludf.DUMMYFUNCTION("""COMPUTED_VALUE"""),"266806770 1306088 8177186 spaço dos pes trifil gvr ")</f>
        <v>266806770 1306088 8177186 spaço dos pes trifil gvr </v>
      </c>
      <c r="V458" s="15" t="b">
        <f>IFERROR(__xludf.DUMMYFUNCTION("""COMPUTED_VALUE"""),FALSE)</f>
        <v>0</v>
      </c>
    </row>
    <row r="459">
      <c r="A459" s="19">
        <f>IFERROR(__xludf.DUMMYFUNCTION("""COMPUTED_VALUE"""),46304.0)</f>
        <v>46304</v>
      </c>
      <c r="B459" s="19">
        <f>IFERROR(__xludf.DUMMYFUNCTION("""COMPUTED_VALUE"""),46316.0)</f>
        <v>46316</v>
      </c>
      <c r="C459" s="15">
        <f>IFERROR(__xludf.DUMMYFUNCTION("""COMPUTED_VALUE"""),7.0)</f>
        <v>7</v>
      </c>
      <c r="D459" s="15" t="str">
        <f>IFERROR(__xludf.DUMMYFUNCTION("""COMPUTED_VALUE"""),"DIQ")</f>
        <v>DIQ</v>
      </c>
      <c r="E459" s="15" t="str">
        <f>IFERROR(__xludf.DUMMYFUNCTION("""COMPUTED_VALUE"""),"DE LU LINGERIE LTDA")</f>
        <v>DE LU LINGERIE LTDA</v>
      </c>
      <c r="F459" s="15" t="str">
        <f>IFERROR(__xludf.DUMMYFUNCTION("""COMPUTED_VALUE"""),"TRIFIL")</f>
        <v>TRIFIL</v>
      </c>
      <c r="G459" s="15" t="str">
        <f>IFERROR(__xludf.DUMMYFUNCTION("""COMPUTED_VALUE"""),"266806771")</f>
        <v>266806771</v>
      </c>
      <c r="H459" s="15" t="str">
        <f>IFERROR(__xludf.DUMMYFUNCTION("""COMPUTED_VALUE"""),"1306038")</f>
        <v>1306038</v>
      </c>
      <c r="I459" s="15" t="str">
        <f>IFERROR(__xludf.DUMMYFUNCTION("""COMPUTED_VALUE"""),"8177187")</f>
        <v>8177187</v>
      </c>
      <c r="J459" s="15" t="str">
        <f>IFERROR(__xludf.DUMMYFUNCTION("""COMPUTED_VALUE"""),"CIF")</f>
        <v>CIF</v>
      </c>
      <c r="K459" s="15" t="str">
        <f>IFERROR(__xludf.DUMMYFUNCTION("""COMPUTED_VALUE"""),"(sem célula)")</f>
        <v>(sem célula)</v>
      </c>
      <c r="L459" s="15" t="str">
        <f>IFERROR(__xludf.DUMMYFUNCTION("""COMPUTED_VALUE"""),"AUTORIZADO")</f>
        <v>AUTORIZADO</v>
      </c>
      <c r="M459" s="15" t="str">
        <f>IFERROR(__xludf.DUMMYFUNCTION("""COMPUTED_VALUE"""),"NA ORIGEM")</f>
        <v>NA ORIGEM</v>
      </c>
      <c r="N459" s="15" t="str">
        <f>IFERROR(__xludf.DUMMYFUNCTION("""COMPUTED_VALUE"""),"Antes Prazo")</f>
        <v>Antes Prazo</v>
      </c>
      <c r="O459" s="15" t="str">
        <f>IFERROR(__xludf.DUMMYFUNCTION("""COMPUTED_VALUE"""),"B2B")</f>
        <v>B2B</v>
      </c>
      <c r="P459" s="16">
        <f>IFERROR(__xludf.DUMMYFUNCTION("""COMPUTED_VALUE"""),44.59)</f>
        <v>44.59</v>
      </c>
      <c r="Q459" s="15">
        <f>IFERROR(__xludf.DUMMYFUNCTION("""COMPUTED_VALUE"""),1.0)</f>
        <v>1</v>
      </c>
      <c r="R459" s="15" t="str">
        <f>IFERROR(__xludf.DUMMYFUNCTION("""COMPUTED_VALUE"""),"RODO")</f>
        <v>RODO</v>
      </c>
      <c r="S459" s="15" t="str">
        <f>IFERROR(__xludf.DUMMYFUNCTION("""COMPUTED_VALUE"""),"ITN")</f>
        <v>ITN</v>
      </c>
      <c r="T459" s="15" t="str">
        <f>IFERROR(__xludf.DUMMYFUNCTION("""COMPUTED_VALUE"""),"1")</f>
        <v>1</v>
      </c>
      <c r="U459" s="15" t="str">
        <f>IFERROR(__xludf.DUMMYFUNCTION("""COMPUTED_VALUE"""),"266806771 1306038 8177187 de lu lingerie ltda trifil diq 1")</f>
        <v>266806771 1306038 8177187 de lu lingerie ltda trifil diq 1</v>
      </c>
      <c r="V459" s="15" t="b">
        <f>IFERROR(__xludf.DUMMYFUNCTION("""COMPUTED_VALUE"""),FALSE)</f>
        <v>0</v>
      </c>
    </row>
    <row r="460">
      <c r="A460" s="19">
        <f>IFERROR(__xludf.DUMMYFUNCTION("""COMPUTED_VALUE"""),46304.0)</f>
        <v>46304</v>
      </c>
      <c r="B460" s="19">
        <f>IFERROR(__xludf.DUMMYFUNCTION("""COMPUTED_VALUE"""),46323.0)</f>
        <v>46323</v>
      </c>
      <c r="C460" s="15">
        <f>IFERROR(__xludf.DUMMYFUNCTION("""COMPUTED_VALUE"""),12.0)</f>
        <v>12</v>
      </c>
      <c r="D460" s="15" t="str">
        <f>IFERROR(__xludf.DUMMYFUNCTION("""COMPUTED_VALUE"""),"DIQ")</f>
        <v>DIQ</v>
      </c>
      <c r="E460" s="15" t="str">
        <f>IFERROR(__xludf.DUMMYFUNCTION("""COMPUTED_VALUE"""),"50.160.074 ALINE APARECIDA DA SILVA")</f>
        <v>50.160.074 ALINE APARECIDA DA SILVA</v>
      </c>
      <c r="F460" s="15" t="str">
        <f>IFERROR(__xludf.DUMMYFUNCTION("""COMPUTED_VALUE"""),"TRIFIL")</f>
        <v>TRIFIL</v>
      </c>
      <c r="G460" s="15" t="str">
        <f>IFERROR(__xludf.DUMMYFUNCTION("""COMPUTED_VALUE"""),"266806772")</f>
        <v>266806772</v>
      </c>
      <c r="H460" s="15" t="str">
        <f>IFERROR(__xludf.DUMMYFUNCTION("""COMPUTED_VALUE"""),"1305783")</f>
        <v>1305783</v>
      </c>
      <c r="I460" s="15" t="str">
        <f>IFERROR(__xludf.DUMMYFUNCTION("""COMPUTED_VALUE"""),"8177246")</f>
        <v>8177246</v>
      </c>
      <c r="J460" s="15" t="str">
        <f>IFERROR(__xludf.DUMMYFUNCTION("""COMPUTED_VALUE"""),"CIF")</f>
        <v>CIF</v>
      </c>
      <c r="K460" s="15" t="str">
        <f>IFERROR(__xludf.DUMMYFUNCTION("""COMPUTED_VALUE"""),"(sem célula)")</f>
        <v>(sem célula)</v>
      </c>
      <c r="L460" s="15" t="str">
        <f>IFERROR(__xludf.DUMMYFUNCTION("""COMPUTED_VALUE"""),"AUTORIZADO")</f>
        <v>AUTORIZADO</v>
      </c>
      <c r="M460" s="15" t="str">
        <f>IFERROR(__xludf.DUMMYFUNCTION("""COMPUTED_VALUE"""),"NA ORIGEM")</f>
        <v>NA ORIGEM</v>
      </c>
      <c r="N460" s="15" t="str">
        <f>IFERROR(__xludf.DUMMYFUNCTION("""COMPUTED_VALUE"""),"Antes Prazo")</f>
        <v>Antes Prazo</v>
      </c>
      <c r="O460" s="15" t="str">
        <f>IFERROR(__xludf.DUMMYFUNCTION("""COMPUTED_VALUE"""),"B2B")</f>
        <v>B2B</v>
      </c>
      <c r="P460" s="16">
        <f>IFERROR(__xludf.DUMMYFUNCTION("""COMPUTED_VALUE"""),49.43)</f>
        <v>49.43</v>
      </c>
      <c r="Q460" s="15">
        <f>IFERROR(__xludf.DUMMYFUNCTION("""COMPUTED_VALUE"""),1.0)</f>
        <v>1</v>
      </c>
      <c r="R460" s="15" t="str">
        <f>IFERROR(__xludf.DUMMYFUNCTION("""COMPUTED_VALUE"""),"RODO")</f>
        <v>RODO</v>
      </c>
      <c r="S460" s="15" t="str">
        <f>IFERROR(__xludf.DUMMYFUNCTION("""COMPUTED_VALUE"""),"ITN")</f>
        <v>ITN</v>
      </c>
      <c r="T460" s="15" t="str">
        <f>IFERROR(__xludf.DUMMYFUNCTION("""COMPUTED_VALUE"""),"101")</f>
        <v>101</v>
      </c>
      <c r="U460" s="15" t="str">
        <f>IFERROR(__xludf.DUMMYFUNCTION("""COMPUTED_VALUE"""),"266806772 1305783 8177246 50.160.074 aline aparecida da silva trifil diq 101")</f>
        <v>266806772 1305783 8177246 50.160.074 aline aparecida da silva trifil diq 101</v>
      </c>
      <c r="V460" s="15" t="b">
        <f>IFERROR(__xludf.DUMMYFUNCTION("""COMPUTED_VALUE"""),FALSE)</f>
        <v>0</v>
      </c>
    </row>
    <row r="461">
      <c r="A461" s="19">
        <f>IFERROR(__xludf.DUMMYFUNCTION("""COMPUTED_VALUE"""),46304.0)</f>
        <v>46304</v>
      </c>
      <c r="B461" s="19">
        <f>IFERROR(__xludf.DUMMYFUNCTION("""COMPUTED_VALUE"""),46323.0)</f>
        <v>46323</v>
      </c>
      <c r="C461" s="15">
        <f>IFERROR(__xludf.DUMMYFUNCTION("""COMPUTED_VALUE"""),12.0)</f>
        <v>12</v>
      </c>
      <c r="D461" s="15" t="str">
        <f>IFERROR(__xludf.DUMMYFUNCTION("""COMPUTED_VALUE"""),"DIQ")</f>
        <v>DIQ</v>
      </c>
      <c r="E461" s="15" t="str">
        <f>IFERROR(__xludf.DUMMYFUNCTION("""COMPUTED_VALUE"""),"MARIA DE LOURDES ALVES FONSECA")</f>
        <v>MARIA DE LOURDES ALVES FONSECA</v>
      </c>
      <c r="F461" s="15" t="str">
        <f>IFERROR(__xludf.DUMMYFUNCTION("""COMPUTED_VALUE"""),"TRIFIL")</f>
        <v>TRIFIL</v>
      </c>
      <c r="G461" s="15" t="str">
        <f>IFERROR(__xludf.DUMMYFUNCTION("""COMPUTED_VALUE"""),"266806773")</f>
        <v>266806773</v>
      </c>
      <c r="H461" s="15" t="str">
        <f>IFERROR(__xludf.DUMMYFUNCTION("""COMPUTED_VALUE"""),"1305797")</f>
        <v>1305797</v>
      </c>
      <c r="I461" s="15" t="str">
        <f>IFERROR(__xludf.DUMMYFUNCTION("""COMPUTED_VALUE"""),"8177290")</f>
        <v>8177290</v>
      </c>
      <c r="J461" s="15" t="str">
        <f>IFERROR(__xludf.DUMMYFUNCTION("""COMPUTED_VALUE"""),"CIF")</f>
        <v>CIF</v>
      </c>
      <c r="K461" s="15" t="str">
        <f>IFERROR(__xludf.DUMMYFUNCTION("""COMPUTED_VALUE"""),"(sem célula)")</f>
        <v>(sem célula)</v>
      </c>
      <c r="L461" s="15" t="str">
        <f>IFERROR(__xludf.DUMMYFUNCTION("""COMPUTED_VALUE"""),"AUTORIZADO")</f>
        <v>AUTORIZADO</v>
      </c>
      <c r="M461" s="15" t="str">
        <f>IFERROR(__xludf.DUMMYFUNCTION("""COMPUTED_VALUE"""),"NA ORIGEM")</f>
        <v>NA ORIGEM</v>
      </c>
      <c r="N461" s="15" t="str">
        <f>IFERROR(__xludf.DUMMYFUNCTION("""COMPUTED_VALUE"""),"Antes Prazo")</f>
        <v>Antes Prazo</v>
      </c>
      <c r="O461" s="15" t="str">
        <f>IFERROR(__xludf.DUMMYFUNCTION("""COMPUTED_VALUE"""),"B2B")</f>
        <v>B2B</v>
      </c>
      <c r="P461" s="16">
        <f>IFERROR(__xludf.DUMMYFUNCTION("""COMPUTED_VALUE"""),49.43)</f>
        <v>49.43</v>
      </c>
      <c r="Q461" s="15">
        <f>IFERROR(__xludf.DUMMYFUNCTION("""COMPUTED_VALUE"""),1.0)</f>
        <v>1</v>
      </c>
      <c r="R461" s="15" t="str">
        <f>IFERROR(__xludf.DUMMYFUNCTION("""COMPUTED_VALUE"""),"RODO")</f>
        <v>RODO</v>
      </c>
      <c r="S461" s="15" t="str">
        <f>IFERROR(__xludf.DUMMYFUNCTION("""COMPUTED_VALUE"""),"ITN")</f>
        <v>ITN</v>
      </c>
      <c r="T461" s="15" t="str">
        <f>IFERROR(__xludf.DUMMYFUNCTION("""COMPUTED_VALUE"""),"101")</f>
        <v>101</v>
      </c>
      <c r="U461" s="15" t="str">
        <f>IFERROR(__xludf.DUMMYFUNCTION("""COMPUTED_VALUE"""),"266806773 1305797 8177290 maria de lourdes alves fonseca trifil diq 101")</f>
        <v>266806773 1305797 8177290 maria de lourdes alves fonseca trifil diq 101</v>
      </c>
      <c r="V461" s="15" t="b">
        <f>IFERROR(__xludf.DUMMYFUNCTION("""COMPUTED_VALUE"""),FALSE)</f>
        <v>0</v>
      </c>
    </row>
    <row r="462">
      <c r="A462" s="19">
        <f>IFERROR(__xludf.DUMMYFUNCTION("""COMPUTED_VALUE"""),46304.0)</f>
        <v>46304</v>
      </c>
      <c r="B462" s="19">
        <f>IFERROR(__xludf.DUMMYFUNCTION("""COMPUTED_VALUE"""),46322.0)</f>
        <v>46322</v>
      </c>
      <c r="C462" s="15">
        <f>IFERROR(__xludf.DUMMYFUNCTION("""COMPUTED_VALUE"""),11.0)</f>
        <v>11</v>
      </c>
      <c r="D462" s="15" t="str">
        <f>IFERROR(__xludf.DUMMYFUNCTION("""COMPUTED_VALUE"""),"IPN")</f>
        <v>IPN</v>
      </c>
      <c r="E462" s="15" t="str">
        <f>IFERROR(__xludf.DUMMYFUNCTION("""COMPUTED_VALUE"""),"CELMAR ASSIS DIAS")</f>
        <v>CELMAR ASSIS DIAS</v>
      </c>
      <c r="F462" s="15" t="str">
        <f>IFERROR(__xludf.DUMMYFUNCTION("""COMPUTED_VALUE"""),"TRIFIL")</f>
        <v>TRIFIL</v>
      </c>
      <c r="G462" s="15" t="str">
        <f>IFERROR(__xludf.DUMMYFUNCTION("""COMPUTED_VALUE"""),"266806775")</f>
        <v>266806775</v>
      </c>
      <c r="H462" s="15" t="str">
        <f>IFERROR(__xludf.DUMMYFUNCTION("""COMPUTED_VALUE"""),"1306050")</f>
        <v>1306050</v>
      </c>
      <c r="I462" s="15" t="str">
        <f>IFERROR(__xludf.DUMMYFUNCTION("""COMPUTED_VALUE"""),"8177188")</f>
        <v>8177188</v>
      </c>
      <c r="J462" s="15" t="str">
        <f>IFERROR(__xludf.DUMMYFUNCTION("""COMPUTED_VALUE"""),"CIF")</f>
        <v>CIF</v>
      </c>
      <c r="K462" s="15" t="str">
        <f>IFERROR(__xludf.DUMMYFUNCTION("""COMPUTED_VALUE"""),"(sem célula)")</f>
        <v>(sem célula)</v>
      </c>
      <c r="L462" s="15" t="str">
        <f>IFERROR(__xludf.DUMMYFUNCTION("""COMPUTED_VALUE"""),"AUTORIZADO")</f>
        <v>AUTORIZADO</v>
      </c>
      <c r="M462" s="15" t="str">
        <f>IFERROR(__xludf.DUMMYFUNCTION("""COMPUTED_VALUE"""),"NA ORIGEM")</f>
        <v>NA ORIGEM</v>
      </c>
      <c r="N462" s="15" t="str">
        <f>IFERROR(__xludf.DUMMYFUNCTION("""COMPUTED_VALUE"""),"Antes Prazo")</f>
        <v>Antes Prazo</v>
      </c>
      <c r="O462" s="15" t="str">
        <f>IFERROR(__xludf.DUMMYFUNCTION("""COMPUTED_VALUE"""),"B2B")</f>
        <v>B2B</v>
      </c>
      <c r="P462" s="16">
        <f>IFERROR(__xludf.DUMMYFUNCTION("""COMPUTED_VALUE"""),49.43)</f>
        <v>49.43</v>
      </c>
      <c r="Q462" s="15">
        <f>IFERROR(__xludf.DUMMYFUNCTION("""COMPUTED_VALUE"""),2.0)</f>
        <v>2</v>
      </c>
      <c r="R462" s="15" t="str">
        <f>IFERROR(__xludf.DUMMYFUNCTION("""COMPUTED_VALUE"""),"RODO")</f>
        <v>RODO</v>
      </c>
      <c r="S462" s="15" t="str">
        <f>IFERROR(__xludf.DUMMYFUNCTION("""COMPUTED_VALUE"""),"ITN")</f>
        <v>ITN</v>
      </c>
      <c r="T462" s="15" t="str">
        <f>IFERROR(__xludf.DUMMYFUNCTION("""COMPUTED_VALUE"""),"107")</f>
        <v>107</v>
      </c>
      <c r="U462" s="15" t="str">
        <f>IFERROR(__xludf.DUMMYFUNCTION("""COMPUTED_VALUE"""),"266806775 1306050 8177188 celmar assis dias trifil ipn 107")</f>
        <v>266806775 1306050 8177188 celmar assis dias trifil ipn 107</v>
      </c>
      <c r="V462" s="15" t="b">
        <f>IFERROR(__xludf.DUMMYFUNCTION("""COMPUTED_VALUE"""),FALSE)</f>
        <v>0</v>
      </c>
    </row>
    <row r="463">
      <c r="A463" s="19">
        <f>IFERROR(__xludf.DUMMYFUNCTION("""COMPUTED_VALUE"""),46304.0)</f>
        <v>46304</v>
      </c>
      <c r="B463" s="19">
        <f>IFERROR(__xludf.DUMMYFUNCTION("""COMPUTED_VALUE"""),46321.0)</f>
        <v>46321</v>
      </c>
      <c r="C463" s="15">
        <f>IFERROR(__xludf.DUMMYFUNCTION("""COMPUTED_VALUE"""),10.0)</f>
        <v>10</v>
      </c>
      <c r="D463" s="15" t="str">
        <f>IFERROR(__xludf.DUMMYFUNCTION("""COMPUTED_VALUE"""),"BCG")</f>
        <v>BCG</v>
      </c>
      <c r="E463" s="15" t="str">
        <f>IFERROR(__xludf.DUMMYFUNCTION("""COMPUTED_VALUE"""),"ARMAGEDON")</f>
        <v>ARMAGEDON</v>
      </c>
      <c r="F463" s="15" t="str">
        <f>IFERROR(__xludf.DUMMYFUNCTION("""COMPUTED_VALUE"""),"TRIFIL")</f>
        <v>TRIFIL</v>
      </c>
      <c r="G463" s="15" t="str">
        <f>IFERROR(__xludf.DUMMYFUNCTION("""COMPUTED_VALUE"""),"266806776")</f>
        <v>266806776</v>
      </c>
      <c r="H463" s="15" t="str">
        <f>IFERROR(__xludf.DUMMYFUNCTION("""COMPUTED_VALUE"""),"1306272")</f>
        <v>1306272</v>
      </c>
      <c r="I463" s="15" t="str">
        <f>IFERROR(__xludf.DUMMYFUNCTION("""COMPUTED_VALUE"""),"8177113")</f>
        <v>8177113</v>
      </c>
      <c r="J463" s="15" t="str">
        <f>IFERROR(__xludf.DUMMYFUNCTION("""COMPUTED_VALUE"""),"CIF")</f>
        <v>CIF</v>
      </c>
      <c r="K463" s="15" t="str">
        <f>IFERROR(__xludf.DUMMYFUNCTION("""COMPUTED_VALUE"""),"(sem célula)")</f>
        <v>(sem célula)</v>
      </c>
      <c r="L463" s="15" t="str">
        <f>IFERROR(__xludf.DUMMYFUNCTION("""COMPUTED_VALUE"""),"AUTORIZADO")</f>
        <v>AUTORIZADO</v>
      </c>
      <c r="M463" s="15" t="str">
        <f>IFERROR(__xludf.DUMMYFUNCTION("""COMPUTED_VALUE"""),"NA ORIGEM")</f>
        <v>NA ORIGEM</v>
      </c>
      <c r="N463" s="15" t="str">
        <f>IFERROR(__xludf.DUMMYFUNCTION("""COMPUTED_VALUE"""),"Antes Prazo")</f>
        <v>Antes Prazo</v>
      </c>
      <c r="O463" s="15" t="str">
        <f>IFERROR(__xludf.DUMMYFUNCTION("""COMPUTED_VALUE"""),"B2B")</f>
        <v>B2B</v>
      </c>
      <c r="P463" s="16">
        <f>IFERROR(__xludf.DUMMYFUNCTION("""COMPUTED_VALUE"""),56.46)</f>
        <v>56.46</v>
      </c>
      <c r="Q463" s="15">
        <f>IFERROR(__xludf.DUMMYFUNCTION("""COMPUTED_VALUE"""),1.0)</f>
        <v>1</v>
      </c>
      <c r="R463" s="15" t="str">
        <f>IFERROR(__xludf.DUMMYFUNCTION("""COMPUTED_VALUE"""),"RODO")</f>
        <v>RODO</v>
      </c>
      <c r="S463" s="15" t="str">
        <f>IFERROR(__xludf.DUMMYFUNCTION("""COMPUTED_VALUE"""),"ITN")</f>
        <v>ITN</v>
      </c>
      <c r="T463" s="15" t="str">
        <f>IFERROR(__xludf.DUMMYFUNCTION("""COMPUTED_VALUE"""),"107")</f>
        <v>107</v>
      </c>
      <c r="U463" s="15" t="str">
        <f>IFERROR(__xludf.DUMMYFUNCTION("""COMPUTED_VALUE"""),"266806776 1306272 8177113 armagedon trifil bcg 107")</f>
        <v>266806776 1306272 8177113 armagedon trifil bcg 107</v>
      </c>
      <c r="V463" s="15" t="b">
        <f>IFERROR(__xludf.DUMMYFUNCTION("""COMPUTED_VALUE"""),FALSE)</f>
        <v>0</v>
      </c>
    </row>
    <row r="464">
      <c r="A464" s="19">
        <f>IFERROR(__xludf.DUMMYFUNCTION("""COMPUTED_VALUE"""),46304.0)</f>
        <v>46304</v>
      </c>
      <c r="B464" s="19">
        <f>IFERROR(__xludf.DUMMYFUNCTION("""COMPUTED_VALUE"""),46317.0)</f>
        <v>46317</v>
      </c>
      <c r="C464" s="15">
        <f>IFERROR(__xludf.DUMMYFUNCTION("""COMPUTED_VALUE"""),8.0)</f>
        <v>8</v>
      </c>
      <c r="D464" s="15" t="str">
        <f>IFERROR(__xludf.DUMMYFUNCTION("""COMPUTED_VALUE"""),"JDF")</f>
        <v>JDF</v>
      </c>
      <c r="E464" s="15" t="str">
        <f>IFERROR(__xludf.DUMMYFUNCTION("""COMPUTED_VALUE"""),"MEGA VALE JF COSMETICOS LTDA")</f>
        <v>MEGA VALE JF COSMETICOS LTDA</v>
      </c>
      <c r="F464" s="15" t="str">
        <f>IFERROR(__xludf.DUMMYFUNCTION("""COMPUTED_VALUE"""),"TRIFIL")</f>
        <v>TRIFIL</v>
      </c>
      <c r="G464" s="15" t="str">
        <f>IFERROR(__xludf.DUMMYFUNCTION("""COMPUTED_VALUE"""),"266806777")</f>
        <v>266806777</v>
      </c>
      <c r="H464" s="15" t="str">
        <f>IFERROR(__xludf.DUMMYFUNCTION("""COMPUTED_VALUE"""),"1306091")</f>
        <v>1306091</v>
      </c>
      <c r="I464" s="15" t="str">
        <f>IFERROR(__xludf.DUMMYFUNCTION("""COMPUTED_VALUE"""),"8177129")</f>
        <v>8177129</v>
      </c>
      <c r="J464" s="15" t="str">
        <f>IFERROR(__xludf.DUMMYFUNCTION("""COMPUTED_VALUE"""),"CIF")</f>
        <v>CIF</v>
      </c>
      <c r="K464" s="15" t="str">
        <f>IFERROR(__xludf.DUMMYFUNCTION("""COMPUTED_VALUE"""),"(sem célula)")</f>
        <v>(sem célula)</v>
      </c>
      <c r="L464" s="15" t="str">
        <f>IFERROR(__xludf.DUMMYFUNCTION("""COMPUTED_VALUE"""),"AUTORIZADO")</f>
        <v>AUTORIZADO</v>
      </c>
      <c r="M464" s="15" t="str">
        <f>IFERROR(__xludf.DUMMYFUNCTION("""COMPUTED_VALUE"""),"NA ORIGEM")</f>
        <v>NA ORIGEM</v>
      </c>
      <c r="N464" s="15" t="str">
        <f>IFERROR(__xludf.DUMMYFUNCTION("""COMPUTED_VALUE"""),"Antes Prazo")</f>
        <v>Antes Prazo</v>
      </c>
      <c r="O464" s="15" t="str">
        <f>IFERROR(__xludf.DUMMYFUNCTION("""COMPUTED_VALUE"""),"B2B")</f>
        <v>B2B</v>
      </c>
      <c r="P464" s="16">
        <f>IFERROR(__xludf.DUMMYFUNCTION("""COMPUTED_VALUE"""),44.59)</f>
        <v>44.59</v>
      </c>
      <c r="Q464" s="15">
        <f>IFERROR(__xludf.DUMMYFUNCTION("""COMPUTED_VALUE"""),1.0)</f>
        <v>1</v>
      </c>
      <c r="R464" s="15" t="str">
        <f>IFERROR(__xludf.DUMMYFUNCTION("""COMPUTED_VALUE"""),"RODO")</f>
        <v>RODO</v>
      </c>
      <c r="S464" s="15" t="str">
        <f>IFERROR(__xludf.DUMMYFUNCTION("""COMPUTED_VALUE"""),"ITN")</f>
        <v>ITN</v>
      </c>
      <c r="T464" s="15" t="str">
        <f>IFERROR(__xludf.DUMMYFUNCTION("""COMPUTED_VALUE"""),"98")</f>
        <v>98</v>
      </c>
      <c r="U464" s="15" t="str">
        <f>IFERROR(__xludf.DUMMYFUNCTION("""COMPUTED_VALUE"""),"266806777 1306091 8177129 mega vale jf cosmeticos ltda trifil jdf 98")</f>
        <v>266806777 1306091 8177129 mega vale jf cosmeticos ltda trifil jdf 98</v>
      </c>
      <c r="V464" s="15" t="b">
        <f>IFERROR(__xludf.DUMMYFUNCTION("""COMPUTED_VALUE"""),FALSE)</f>
        <v>0</v>
      </c>
    </row>
    <row r="465">
      <c r="A465" s="19">
        <f>IFERROR(__xludf.DUMMYFUNCTION("""COMPUTED_VALUE"""),46304.0)</f>
        <v>46304</v>
      </c>
      <c r="B465" s="19">
        <f>IFERROR(__xludf.DUMMYFUNCTION("""COMPUTED_VALUE"""),46317.0)</f>
        <v>46317</v>
      </c>
      <c r="C465" s="15">
        <f>IFERROR(__xludf.DUMMYFUNCTION("""COMPUTED_VALUE"""),8.0)</f>
        <v>8</v>
      </c>
      <c r="D465" s="15" t="str">
        <f>IFERROR(__xludf.DUMMYFUNCTION("""COMPUTED_VALUE"""),"JDF")</f>
        <v>JDF</v>
      </c>
      <c r="E465" s="15" t="str">
        <f>IFERROR(__xludf.DUMMYFUNCTION("""COMPUTED_VALUE"""),"LUCIANA LINGERIE")</f>
        <v>LUCIANA LINGERIE</v>
      </c>
      <c r="F465" s="15" t="str">
        <f>IFERROR(__xludf.DUMMYFUNCTION("""COMPUTED_VALUE"""),"TRIFIL")</f>
        <v>TRIFIL</v>
      </c>
      <c r="G465" s="15" t="str">
        <f>IFERROR(__xludf.DUMMYFUNCTION("""COMPUTED_VALUE"""),"266806778")</f>
        <v>266806778</v>
      </c>
      <c r="H465" s="15" t="str">
        <f>IFERROR(__xludf.DUMMYFUNCTION("""COMPUTED_VALUE"""),"1305919")</f>
        <v>1305919</v>
      </c>
      <c r="I465" s="15" t="str">
        <f>IFERROR(__xludf.DUMMYFUNCTION("""COMPUTED_VALUE"""),"8177247")</f>
        <v>8177247</v>
      </c>
      <c r="J465" s="15" t="str">
        <f>IFERROR(__xludf.DUMMYFUNCTION("""COMPUTED_VALUE"""),"CIF")</f>
        <v>CIF</v>
      </c>
      <c r="K465" s="15" t="str">
        <f>IFERROR(__xludf.DUMMYFUNCTION("""COMPUTED_VALUE"""),"(sem célula)")</f>
        <v>(sem célula)</v>
      </c>
      <c r="L465" s="15" t="str">
        <f>IFERROR(__xludf.DUMMYFUNCTION("""COMPUTED_VALUE"""),"AUTORIZADO")</f>
        <v>AUTORIZADO</v>
      </c>
      <c r="M465" s="15" t="str">
        <f>IFERROR(__xludf.DUMMYFUNCTION("""COMPUTED_VALUE"""),"NA ORIGEM")</f>
        <v>NA ORIGEM</v>
      </c>
      <c r="N465" s="15" t="str">
        <f>IFERROR(__xludf.DUMMYFUNCTION("""COMPUTED_VALUE"""),"Antes Prazo")</f>
        <v>Antes Prazo</v>
      </c>
      <c r="O465" s="15" t="str">
        <f>IFERROR(__xludf.DUMMYFUNCTION("""COMPUTED_VALUE"""),"B2B")</f>
        <v>B2B</v>
      </c>
      <c r="P465" s="16">
        <f>IFERROR(__xludf.DUMMYFUNCTION("""COMPUTED_VALUE"""),44.59)</f>
        <v>44.59</v>
      </c>
      <c r="Q465" s="15">
        <f>IFERROR(__xludf.DUMMYFUNCTION("""COMPUTED_VALUE"""),1.0)</f>
        <v>1</v>
      </c>
      <c r="R465" s="15" t="str">
        <f>IFERROR(__xludf.DUMMYFUNCTION("""COMPUTED_VALUE"""),"RODO")</f>
        <v>RODO</v>
      </c>
      <c r="S465" s="15" t="str">
        <f>IFERROR(__xludf.DUMMYFUNCTION("""COMPUTED_VALUE"""),"ITN")</f>
        <v>ITN</v>
      </c>
      <c r="T465" s="15" t="str">
        <f>IFERROR(__xludf.DUMMYFUNCTION("""COMPUTED_VALUE"""),"1")</f>
        <v>1</v>
      </c>
      <c r="U465" s="15" t="str">
        <f>IFERROR(__xludf.DUMMYFUNCTION("""COMPUTED_VALUE"""),"266806778 1305919 8177247 luciana lingerie trifil jdf 1")</f>
        <v>266806778 1305919 8177247 luciana lingerie trifil jdf 1</v>
      </c>
      <c r="V465" s="15" t="b">
        <f>IFERROR(__xludf.DUMMYFUNCTION("""COMPUTED_VALUE"""),FALSE)</f>
        <v>0</v>
      </c>
    </row>
    <row r="466">
      <c r="A466" s="19">
        <f>IFERROR(__xludf.DUMMYFUNCTION("""COMPUTED_VALUE"""),46304.0)</f>
        <v>46304</v>
      </c>
      <c r="B466" s="19">
        <f>IFERROR(__xludf.DUMMYFUNCTION("""COMPUTED_VALUE"""),46322.0)</f>
        <v>46322</v>
      </c>
      <c r="C466" s="15">
        <f>IFERROR(__xludf.DUMMYFUNCTION("""COMPUTED_VALUE"""),11.0)</f>
        <v>11</v>
      </c>
      <c r="D466" s="15" t="str">
        <f>IFERROR(__xludf.DUMMYFUNCTION("""COMPUTED_VALUE"""),"JDF")</f>
        <v>JDF</v>
      </c>
      <c r="E466" s="15" t="str">
        <f>IFERROR(__xludf.DUMMYFUNCTION("""COMPUTED_VALUE"""),"A D DA SILVA")</f>
        <v>A D DA SILVA</v>
      </c>
      <c r="F466" s="15" t="str">
        <f>IFERROR(__xludf.DUMMYFUNCTION("""COMPUTED_VALUE"""),"TRIFIL")</f>
        <v>TRIFIL</v>
      </c>
      <c r="G466" s="15" t="str">
        <f>IFERROR(__xludf.DUMMYFUNCTION("""COMPUTED_VALUE"""),"266806779")</f>
        <v>266806779</v>
      </c>
      <c r="H466" s="15" t="str">
        <f>IFERROR(__xludf.DUMMYFUNCTION("""COMPUTED_VALUE"""),"1306304")</f>
        <v>1306304</v>
      </c>
      <c r="I466" s="15" t="str">
        <f>IFERROR(__xludf.DUMMYFUNCTION("""COMPUTED_VALUE"""),"8177154")</f>
        <v>8177154</v>
      </c>
      <c r="J466" s="15" t="str">
        <f>IFERROR(__xludf.DUMMYFUNCTION("""COMPUTED_VALUE"""),"CIF")</f>
        <v>CIF</v>
      </c>
      <c r="K466" s="15" t="str">
        <f>IFERROR(__xludf.DUMMYFUNCTION("""COMPUTED_VALUE"""),"(sem célula)")</f>
        <v>(sem célula)</v>
      </c>
      <c r="L466" s="15" t="str">
        <f>IFERROR(__xludf.DUMMYFUNCTION("""COMPUTED_VALUE"""),"AUTORIZADO")</f>
        <v>AUTORIZADO</v>
      </c>
      <c r="M466" s="15" t="str">
        <f>IFERROR(__xludf.DUMMYFUNCTION("""COMPUTED_VALUE"""),"NA ORIGEM")</f>
        <v>NA ORIGEM</v>
      </c>
      <c r="N466" s="15" t="str">
        <f>IFERROR(__xludf.DUMMYFUNCTION("""COMPUTED_VALUE"""),"Antes Prazo")</f>
        <v>Antes Prazo</v>
      </c>
      <c r="O466" s="15" t="str">
        <f>IFERROR(__xludf.DUMMYFUNCTION("""COMPUTED_VALUE"""),"B2B")</f>
        <v>B2B</v>
      </c>
      <c r="P466" s="16">
        <f>IFERROR(__xludf.DUMMYFUNCTION("""COMPUTED_VALUE"""),49.43)</f>
        <v>49.43</v>
      </c>
      <c r="Q466" s="15">
        <f>IFERROR(__xludf.DUMMYFUNCTION("""COMPUTED_VALUE"""),1.0)</f>
        <v>1</v>
      </c>
      <c r="R466" s="15" t="str">
        <f>IFERROR(__xludf.DUMMYFUNCTION("""COMPUTED_VALUE"""),"RODO")</f>
        <v>RODO</v>
      </c>
      <c r="S466" s="15" t="str">
        <f>IFERROR(__xludf.DUMMYFUNCTION("""COMPUTED_VALUE"""),"ITN")</f>
        <v>ITN</v>
      </c>
      <c r="T466" s="15" t="str">
        <f>IFERROR(__xludf.DUMMYFUNCTION("""COMPUTED_VALUE"""),"111")</f>
        <v>111</v>
      </c>
      <c r="U466" s="15" t="str">
        <f>IFERROR(__xludf.DUMMYFUNCTION("""COMPUTED_VALUE"""),"266806779 1306304 8177154 a d da silva trifil jdf 111")</f>
        <v>266806779 1306304 8177154 a d da silva trifil jdf 111</v>
      </c>
      <c r="V466" s="15" t="b">
        <f>IFERROR(__xludf.DUMMYFUNCTION("""COMPUTED_VALUE"""),FALSE)</f>
        <v>0</v>
      </c>
    </row>
    <row r="467">
      <c r="A467" s="19">
        <f>IFERROR(__xludf.DUMMYFUNCTION("""COMPUTED_VALUE"""),46304.0)</f>
        <v>46304</v>
      </c>
      <c r="B467" s="19">
        <f>IFERROR(__xludf.DUMMYFUNCTION("""COMPUTED_VALUE"""),46322.0)</f>
        <v>46322</v>
      </c>
      <c r="C467" s="15">
        <f>IFERROR(__xludf.DUMMYFUNCTION("""COMPUTED_VALUE"""),11.0)</f>
        <v>11</v>
      </c>
      <c r="D467" s="15" t="str">
        <f>IFERROR(__xludf.DUMMYFUNCTION("""COMPUTED_VALUE"""),"JDF")</f>
        <v>JDF</v>
      </c>
      <c r="E467" s="15" t="str">
        <f>IFERROR(__xludf.DUMMYFUNCTION("""COMPUTED_VALUE"""),"LOJAS SOUSA E BERTOLIN LTDA - EPP")</f>
        <v>LOJAS SOUSA E BERTOLIN LTDA - EPP</v>
      </c>
      <c r="F467" s="15" t="str">
        <f>IFERROR(__xludf.DUMMYFUNCTION("""COMPUTED_VALUE"""),"TRIFIL")</f>
        <v>TRIFIL</v>
      </c>
      <c r="G467" s="15" t="str">
        <f>IFERROR(__xludf.DUMMYFUNCTION("""COMPUTED_VALUE"""),"266806780")</f>
        <v>266806780</v>
      </c>
      <c r="H467" s="15" t="str">
        <f>IFERROR(__xludf.DUMMYFUNCTION("""COMPUTED_VALUE"""),"1306165")</f>
        <v>1306165</v>
      </c>
      <c r="I467" s="15" t="str">
        <f>IFERROR(__xludf.DUMMYFUNCTION("""COMPUTED_VALUE"""),"8177130")</f>
        <v>8177130</v>
      </c>
      <c r="J467" s="15" t="str">
        <f>IFERROR(__xludf.DUMMYFUNCTION("""COMPUTED_VALUE"""),"CIF")</f>
        <v>CIF</v>
      </c>
      <c r="K467" s="15" t="str">
        <f>IFERROR(__xludf.DUMMYFUNCTION("""COMPUTED_VALUE"""),"(sem célula)")</f>
        <v>(sem célula)</v>
      </c>
      <c r="L467" s="15" t="str">
        <f>IFERROR(__xludf.DUMMYFUNCTION("""COMPUTED_VALUE"""),"AUTORIZADO")</f>
        <v>AUTORIZADO</v>
      </c>
      <c r="M467" s="15" t="str">
        <f>IFERROR(__xludf.DUMMYFUNCTION("""COMPUTED_VALUE"""),"NA ORIGEM")</f>
        <v>NA ORIGEM</v>
      </c>
      <c r="N467" s="15" t="str">
        <f>IFERROR(__xludf.DUMMYFUNCTION("""COMPUTED_VALUE"""),"Antes Prazo")</f>
        <v>Antes Prazo</v>
      </c>
      <c r="O467" s="15" t="str">
        <f>IFERROR(__xludf.DUMMYFUNCTION("""COMPUTED_VALUE"""),"B2B")</f>
        <v>B2B</v>
      </c>
      <c r="P467" s="16">
        <f>IFERROR(__xludf.DUMMYFUNCTION("""COMPUTED_VALUE"""),49.43)</f>
        <v>49.43</v>
      </c>
      <c r="Q467" s="15">
        <f>IFERROR(__xludf.DUMMYFUNCTION("""COMPUTED_VALUE"""),1.0)</f>
        <v>1</v>
      </c>
      <c r="R467" s="15" t="str">
        <f>IFERROR(__xludf.DUMMYFUNCTION("""COMPUTED_VALUE"""),"RODO")</f>
        <v>RODO</v>
      </c>
      <c r="S467" s="15" t="str">
        <f>IFERROR(__xludf.DUMMYFUNCTION("""COMPUTED_VALUE"""),"ITN")</f>
        <v>ITN</v>
      </c>
      <c r="T467" s="15" t="str">
        <f>IFERROR(__xludf.DUMMYFUNCTION("""COMPUTED_VALUE"""),"109")</f>
        <v>109</v>
      </c>
      <c r="U467" s="15" t="str">
        <f>IFERROR(__xludf.DUMMYFUNCTION("""COMPUTED_VALUE"""),"266806780 1306165 8177130 lojas sousa e bertolin ltda - epp trifil jdf 109")</f>
        <v>266806780 1306165 8177130 lojas sousa e bertolin ltda - epp trifil jdf 109</v>
      </c>
      <c r="V467" s="15" t="b">
        <f>IFERROR(__xludf.DUMMYFUNCTION("""COMPUTED_VALUE"""),FALSE)</f>
        <v>0</v>
      </c>
    </row>
    <row r="468">
      <c r="A468" s="19">
        <f>IFERROR(__xludf.DUMMYFUNCTION("""COMPUTED_VALUE"""),46304.0)</f>
        <v>46304</v>
      </c>
      <c r="B468" s="19">
        <f>IFERROR(__xludf.DUMMYFUNCTION("""COMPUTED_VALUE"""),46323.0)</f>
        <v>46323</v>
      </c>
      <c r="C468" s="15">
        <f>IFERROR(__xludf.DUMMYFUNCTION("""COMPUTED_VALUE"""),12.0)</f>
        <v>12</v>
      </c>
      <c r="D468" s="15" t="str">
        <f>IFERROR(__xludf.DUMMYFUNCTION("""COMPUTED_VALUE"""),"JDF")</f>
        <v>JDF</v>
      </c>
      <c r="E468" s="15" t="str">
        <f>IFERROR(__xludf.DUMMYFUNCTION("""COMPUTED_VALUE"""),"BAZAR DO POVO")</f>
        <v>BAZAR DO POVO</v>
      </c>
      <c r="F468" s="15" t="str">
        <f>IFERROR(__xludf.DUMMYFUNCTION("""COMPUTED_VALUE"""),"TRIFIL")</f>
        <v>TRIFIL</v>
      </c>
      <c r="G468" s="15" t="str">
        <f>IFERROR(__xludf.DUMMYFUNCTION("""COMPUTED_VALUE"""),"266806781")</f>
        <v>266806781</v>
      </c>
      <c r="H468" s="15" t="str">
        <f>IFERROR(__xludf.DUMMYFUNCTION("""COMPUTED_VALUE"""),"1306267")</f>
        <v>1306267</v>
      </c>
      <c r="I468" s="15" t="str">
        <f>IFERROR(__xludf.DUMMYFUNCTION("""COMPUTED_VALUE"""),"8177155")</f>
        <v>8177155</v>
      </c>
      <c r="J468" s="15" t="str">
        <f>IFERROR(__xludf.DUMMYFUNCTION("""COMPUTED_VALUE"""),"CIF")</f>
        <v>CIF</v>
      </c>
      <c r="K468" s="15" t="str">
        <f>IFERROR(__xludf.DUMMYFUNCTION("""COMPUTED_VALUE"""),"FSA-1")</f>
        <v>FSA-1</v>
      </c>
      <c r="L468" s="15" t="str">
        <f>IFERROR(__xludf.DUMMYFUNCTION("""COMPUTED_VALUE"""),"AUTORIZADO")</f>
        <v>AUTORIZADO</v>
      </c>
      <c r="M468" s="15" t="str">
        <f>IFERROR(__xludf.DUMMYFUNCTION("""COMPUTED_VALUE"""),"NA ORIGEM")</f>
        <v>NA ORIGEM</v>
      </c>
      <c r="N468" s="15" t="str">
        <f>IFERROR(__xludf.DUMMYFUNCTION("""COMPUTED_VALUE"""),"Antes Prazo")</f>
        <v>Antes Prazo</v>
      </c>
      <c r="O468" s="15" t="str">
        <f>IFERROR(__xludf.DUMMYFUNCTION("""COMPUTED_VALUE"""),"B2B")</f>
        <v>B2B</v>
      </c>
      <c r="P468" s="16">
        <f>IFERROR(__xludf.DUMMYFUNCTION("""COMPUTED_VALUE"""),49.43)</f>
        <v>49.43</v>
      </c>
      <c r="Q468" s="15">
        <f>IFERROR(__xludf.DUMMYFUNCTION("""COMPUTED_VALUE"""),1.0)</f>
        <v>1</v>
      </c>
      <c r="R468" s="15" t="str">
        <f>IFERROR(__xludf.DUMMYFUNCTION("""COMPUTED_VALUE"""),"RODO")</f>
        <v>RODO</v>
      </c>
      <c r="S468" s="15" t="str">
        <f>IFERROR(__xludf.DUMMYFUNCTION("""COMPUTED_VALUE"""),"ITN")</f>
        <v>ITN</v>
      </c>
      <c r="T468" s="15" t="str">
        <f>IFERROR(__xludf.DUMMYFUNCTION("""COMPUTED_VALUE"""),"110")</f>
        <v>110</v>
      </c>
      <c r="U468" s="15" t="str">
        <f>IFERROR(__xludf.DUMMYFUNCTION("""COMPUTED_VALUE"""),"266806781 1306267 8177155 bazar do povo trifil jdf 110")</f>
        <v>266806781 1306267 8177155 bazar do povo trifil jdf 110</v>
      </c>
      <c r="V468" s="15" t="b">
        <f>IFERROR(__xludf.DUMMYFUNCTION("""COMPUTED_VALUE"""),FALSE)</f>
        <v>0</v>
      </c>
    </row>
    <row r="469">
      <c r="A469" s="19">
        <f>IFERROR(__xludf.DUMMYFUNCTION("""COMPUTED_VALUE"""),46304.0)</f>
        <v>46304</v>
      </c>
      <c r="B469" s="19">
        <f>IFERROR(__xludf.DUMMYFUNCTION("""COMPUTED_VALUE"""),46321.0)</f>
        <v>46321</v>
      </c>
      <c r="C469" s="15">
        <f>IFERROR(__xludf.DUMMYFUNCTION("""COMPUTED_VALUE"""),10.0)</f>
        <v>10</v>
      </c>
      <c r="D469" s="15" t="str">
        <f>IFERROR(__xludf.DUMMYFUNCTION("""COMPUTED_VALUE"""),"FRC")</f>
        <v>FRC</v>
      </c>
      <c r="E469" s="15" t="str">
        <f>IFERROR(__xludf.DUMMYFUNCTION("""COMPUTED_VALUE"""),"CLEUZA MARIA FERREIRA TEIXEIRA")</f>
        <v>CLEUZA MARIA FERREIRA TEIXEIRA</v>
      </c>
      <c r="F469" s="15" t="str">
        <f>IFERROR(__xludf.DUMMYFUNCTION("""COMPUTED_VALUE"""),"TRIFIL")</f>
        <v>TRIFIL</v>
      </c>
      <c r="G469" s="15" t="str">
        <f>IFERROR(__xludf.DUMMYFUNCTION("""COMPUTED_VALUE"""),"266806782")</f>
        <v>266806782</v>
      </c>
      <c r="H469" s="15" t="str">
        <f>IFERROR(__xludf.DUMMYFUNCTION("""COMPUTED_VALUE"""),"1306042")</f>
        <v>1306042</v>
      </c>
      <c r="I469" s="15" t="str">
        <f>IFERROR(__xludf.DUMMYFUNCTION("""COMPUTED_VALUE"""),"8177322")</f>
        <v>8177322</v>
      </c>
      <c r="J469" s="15" t="str">
        <f>IFERROR(__xludf.DUMMYFUNCTION("""COMPUTED_VALUE"""),"CIF")</f>
        <v>CIF</v>
      </c>
      <c r="K469" s="15" t="str">
        <f>IFERROR(__xludf.DUMMYFUNCTION("""COMPUTED_VALUE"""),"(sem célula)")</f>
        <v>(sem célula)</v>
      </c>
      <c r="L469" s="15" t="str">
        <f>IFERROR(__xludf.DUMMYFUNCTION("""COMPUTED_VALUE"""),"AUTORIZADO")</f>
        <v>AUTORIZADO</v>
      </c>
      <c r="M469" s="15" t="str">
        <f>IFERROR(__xludf.DUMMYFUNCTION("""COMPUTED_VALUE"""),"NA ORIGEM")</f>
        <v>NA ORIGEM</v>
      </c>
      <c r="N469" s="15" t="str">
        <f>IFERROR(__xludf.DUMMYFUNCTION("""COMPUTED_VALUE"""),"Antes Prazo")</f>
        <v>Antes Prazo</v>
      </c>
      <c r="O469" s="15" t="str">
        <f>IFERROR(__xludf.DUMMYFUNCTION("""COMPUTED_VALUE"""),"B2B")</f>
        <v>B2B</v>
      </c>
      <c r="P469" s="16">
        <f>IFERROR(__xludf.DUMMYFUNCTION("""COMPUTED_VALUE"""),49.43)</f>
        <v>49.43</v>
      </c>
      <c r="Q469" s="15">
        <f>IFERROR(__xludf.DUMMYFUNCTION("""COMPUTED_VALUE"""),1.0)</f>
        <v>1</v>
      </c>
      <c r="R469" s="15" t="str">
        <f>IFERROR(__xludf.DUMMYFUNCTION("""COMPUTED_VALUE"""),"RODO")</f>
        <v>RODO</v>
      </c>
      <c r="S469" s="15" t="str">
        <f>IFERROR(__xludf.DUMMYFUNCTION("""COMPUTED_VALUE"""),"ITN")</f>
        <v>ITN</v>
      </c>
      <c r="T469" s="15" t="str">
        <f>IFERROR(__xludf.DUMMYFUNCTION("""COMPUTED_VALUE"""),"103")</f>
        <v>103</v>
      </c>
      <c r="U469" s="15" t="str">
        <f>IFERROR(__xludf.DUMMYFUNCTION("""COMPUTED_VALUE"""),"266806782 1306042 8177322 cleuza maria ferreira teixeira trifil frc 103")</f>
        <v>266806782 1306042 8177322 cleuza maria ferreira teixeira trifil frc 103</v>
      </c>
      <c r="V469" s="15" t="b">
        <f>IFERROR(__xludf.DUMMYFUNCTION("""COMPUTED_VALUE"""),FALSE)</f>
        <v>0</v>
      </c>
    </row>
    <row r="470">
      <c r="A470" s="19">
        <f>IFERROR(__xludf.DUMMYFUNCTION("""COMPUTED_VALUE"""),46304.0)</f>
        <v>46304</v>
      </c>
      <c r="B470" s="19">
        <f>IFERROR(__xludf.DUMMYFUNCTION("""COMPUTED_VALUE"""),46317.0)</f>
        <v>46317</v>
      </c>
      <c r="C470" s="15">
        <f>IFERROR(__xludf.DUMMYFUNCTION("""COMPUTED_VALUE"""),8.0)</f>
        <v>8</v>
      </c>
      <c r="D470" s="15" t="str">
        <f>IFERROR(__xludf.DUMMYFUNCTION("""COMPUTED_VALUE"""),"VAG")</f>
        <v>VAG</v>
      </c>
      <c r="E470" s="15" t="str">
        <f>IFERROR(__xludf.DUMMYFUNCTION("""COMPUTED_VALUE"""),"COMERCIAL FATUME LTDA")</f>
        <v>COMERCIAL FATUME LTDA</v>
      </c>
      <c r="F470" s="15" t="str">
        <f>IFERROR(__xludf.DUMMYFUNCTION("""COMPUTED_VALUE"""),"TRIFIL")</f>
        <v>TRIFIL</v>
      </c>
      <c r="G470" s="15" t="str">
        <f>IFERROR(__xludf.DUMMYFUNCTION("""COMPUTED_VALUE"""),"266806783")</f>
        <v>266806783</v>
      </c>
      <c r="H470" s="15" t="str">
        <f>IFERROR(__xludf.DUMMYFUNCTION("""COMPUTED_VALUE"""),"1306058")</f>
        <v>1306058</v>
      </c>
      <c r="I470" s="15" t="str">
        <f>IFERROR(__xludf.DUMMYFUNCTION("""COMPUTED_VALUE"""),"8177219")</f>
        <v>8177219</v>
      </c>
      <c r="J470" s="15" t="str">
        <f>IFERROR(__xludf.DUMMYFUNCTION("""COMPUTED_VALUE"""),"CIF")</f>
        <v>CIF</v>
      </c>
      <c r="K470" s="15" t="str">
        <f>IFERROR(__xludf.DUMMYFUNCTION("""COMPUTED_VALUE"""),"(sem célula)")</f>
        <v>(sem célula)</v>
      </c>
      <c r="L470" s="15" t="str">
        <f>IFERROR(__xludf.DUMMYFUNCTION("""COMPUTED_VALUE"""),"AUTORIZADO")</f>
        <v>AUTORIZADO</v>
      </c>
      <c r="M470" s="15" t="str">
        <f>IFERROR(__xludf.DUMMYFUNCTION("""COMPUTED_VALUE"""),"NA ORIGEM")</f>
        <v>NA ORIGEM</v>
      </c>
      <c r="N470" s="15" t="str">
        <f>IFERROR(__xludf.DUMMYFUNCTION("""COMPUTED_VALUE"""),"Antes Prazo")</f>
        <v>Antes Prazo</v>
      </c>
      <c r="O470" s="15" t="str">
        <f>IFERROR(__xludf.DUMMYFUNCTION("""COMPUTED_VALUE"""),"B2B")</f>
        <v>B2B</v>
      </c>
      <c r="P470" s="16">
        <f>IFERROR(__xludf.DUMMYFUNCTION("""COMPUTED_VALUE"""),49.43)</f>
        <v>49.43</v>
      </c>
      <c r="Q470" s="15">
        <f>IFERROR(__xludf.DUMMYFUNCTION("""COMPUTED_VALUE"""),1.0)</f>
        <v>1</v>
      </c>
      <c r="R470" s="15" t="str">
        <f>IFERROR(__xludf.DUMMYFUNCTION("""COMPUTED_VALUE"""),"RODO")</f>
        <v>RODO</v>
      </c>
      <c r="S470" s="15" t="str">
        <f>IFERROR(__xludf.DUMMYFUNCTION("""COMPUTED_VALUE"""),"ITN")</f>
        <v>ITN</v>
      </c>
      <c r="T470" s="15" t="str">
        <f>IFERROR(__xludf.DUMMYFUNCTION("""COMPUTED_VALUE"""),"108")</f>
        <v>108</v>
      </c>
      <c r="U470" s="15" t="str">
        <f>IFERROR(__xludf.DUMMYFUNCTION("""COMPUTED_VALUE"""),"266806783 1306058 8177219 comercial fatume ltda trifil vag 108")</f>
        <v>266806783 1306058 8177219 comercial fatume ltda trifil vag 108</v>
      </c>
      <c r="V470" s="15" t="b">
        <f>IFERROR(__xludf.DUMMYFUNCTION("""COMPUTED_VALUE"""),FALSE)</f>
        <v>0</v>
      </c>
    </row>
    <row r="471">
      <c r="A471" s="19">
        <f>IFERROR(__xludf.DUMMYFUNCTION("""COMPUTED_VALUE"""),46304.0)</f>
        <v>46304</v>
      </c>
      <c r="B471" s="19">
        <f>IFERROR(__xludf.DUMMYFUNCTION("""COMPUTED_VALUE"""),46321.0)</f>
        <v>46321</v>
      </c>
      <c r="C471" s="15">
        <f>IFERROR(__xludf.DUMMYFUNCTION("""COMPUTED_VALUE"""),10.0)</f>
        <v>10</v>
      </c>
      <c r="D471" s="15" t="str">
        <f>IFERROR(__xludf.DUMMYFUNCTION("""COMPUTED_VALUE"""),"VAG")</f>
        <v>VAG</v>
      </c>
      <c r="E471" s="15" t="str">
        <f>IFERROR(__xludf.DUMMYFUNCTION("""COMPUTED_VALUE"""),"VIA BRASIL LTDA ME")</f>
        <v>VIA BRASIL LTDA ME</v>
      </c>
      <c r="F471" s="15" t="str">
        <f>IFERROR(__xludf.DUMMYFUNCTION("""COMPUTED_VALUE"""),"TRIFIL")</f>
        <v>TRIFIL</v>
      </c>
      <c r="G471" s="15" t="str">
        <f>IFERROR(__xludf.DUMMYFUNCTION("""COMPUTED_VALUE"""),"266806784")</f>
        <v>266806784</v>
      </c>
      <c r="H471" s="15" t="str">
        <f>IFERROR(__xludf.DUMMYFUNCTION("""COMPUTED_VALUE"""),"1306022")</f>
        <v>1306022</v>
      </c>
      <c r="I471" s="15" t="str">
        <f>IFERROR(__xludf.DUMMYFUNCTION("""COMPUTED_VALUE"""),"8177220")</f>
        <v>8177220</v>
      </c>
      <c r="J471" s="15" t="str">
        <f>IFERROR(__xludf.DUMMYFUNCTION("""COMPUTED_VALUE"""),"CIF")</f>
        <v>CIF</v>
      </c>
      <c r="K471" s="15" t="str">
        <f>IFERROR(__xludf.DUMMYFUNCTION("""COMPUTED_VALUE"""),"(sem célula)")</f>
        <v>(sem célula)</v>
      </c>
      <c r="L471" s="15" t="str">
        <f>IFERROR(__xludf.DUMMYFUNCTION("""COMPUTED_VALUE"""),"AUTORIZADO")</f>
        <v>AUTORIZADO</v>
      </c>
      <c r="M471" s="15" t="str">
        <f>IFERROR(__xludf.DUMMYFUNCTION("""COMPUTED_VALUE"""),"NA ORIGEM")</f>
        <v>NA ORIGEM</v>
      </c>
      <c r="N471" s="15" t="str">
        <f>IFERROR(__xludf.DUMMYFUNCTION("""COMPUTED_VALUE"""),"Antes Prazo")</f>
        <v>Antes Prazo</v>
      </c>
      <c r="O471" s="15" t="str">
        <f>IFERROR(__xludf.DUMMYFUNCTION("""COMPUTED_VALUE"""),"B2B")</f>
        <v>B2B</v>
      </c>
      <c r="P471" s="16">
        <f>IFERROR(__xludf.DUMMYFUNCTION("""COMPUTED_VALUE"""),49.43)</f>
        <v>49.43</v>
      </c>
      <c r="Q471" s="15">
        <f>IFERROR(__xludf.DUMMYFUNCTION("""COMPUTED_VALUE"""),1.0)</f>
        <v>1</v>
      </c>
      <c r="R471" s="15" t="str">
        <f>IFERROR(__xludf.DUMMYFUNCTION("""COMPUTED_VALUE"""),"RODO")</f>
        <v>RODO</v>
      </c>
      <c r="S471" s="15" t="str">
        <f>IFERROR(__xludf.DUMMYFUNCTION("""COMPUTED_VALUE"""),"ITN")</f>
        <v>ITN</v>
      </c>
      <c r="T471" s="15" t="str">
        <f>IFERROR(__xludf.DUMMYFUNCTION("""COMPUTED_VALUE"""),"110")</f>
        <v>110</v>
      </c>
      <c r="U471" s="15" t="str">
        <f>IFERROR(__xludf.DUMMYFUNCTION("""COMPUTED_VALUE"""),"266806784 1306022 8177220 via brasil ltda me trifil vag 110")</f>
        <v>266806784 1306022 8177220 via brasil ltda me trifil vag 110</v>
      </c>
      <c r="V471" s="15" t="b">
        <f>IFERROR(__xludf.DUMMYFUNCTION("""COMPUTED_VALUE"""),FALSE)</f>
        <v>0</v>
      </c>
    </row>
    <row r="472">
      <c r="A472" s="19">
        <f>IFERROR(__xludf.DUMMYFUNCTION("""COMPUTED_VALUE"""),46304.0)</f>
        <v>46304</v>
      </c>
      <c r="B472" s="19">
        <f>IFERROR(__xludf.DUMMYFUNCTION("""COMPUTED_VALUE"""),46318.0)</f>
        <v>46318</v>
      </c>
      <c r="C472" s="15">
        <f>IFERROR(__xludf.DUMMYFUNCTION("""COMPUTED_VALUE"""),9.0)</f>
        <v>9</v>
      </c>
      <c r="D472" s="15" t="str">
        <f>IFERROR(__xludf.DUMMYFUNCTION("""COMPUTED_VALUE"""),"FRC")</f>
        <v>FRC</v>
      </c>
      <c r="E472" s="15" t="str">
        <f>IFERROR(__xludf.DUMMYFUNCTION("""COMPUTED_VALUE"""),"NETO &amp; NETO LTDA")</f>
        <v>NETO &amp; NETO LTDA</v>
      </c>
      <c r="F472" s="15" t="str">
        <f>IFERROR(__xludf.DUMMYFUNCTION("""COMPUTED_VALUE"""),"TRIFIL")</f>
        <v>TRIFIL</v>
      </c>
      <c r="G472" s="15" t="str">
        <f>IFERROR(__xludf.DUMMYFUNCTION("""COMPUTED_VALUE"""),"266806785")</f>
        <v>266806785</v>
      </c>
      <c r="H472" s="15" t="str">
        <f>IFERROR(__xludf.DUMMYFUNCTION("""COMPUTED_VALUE"""),"1306052")</f>
        <v>1306052</v>
      </c>
      <c r="I472" s="15" t="str">
        <f>IFERROR(__xludf.DUMMYFUNCTION("""COMPUTED_VALUE"""),"8177221")</f>
        <v>8177221</v>
      </c>
      <c r="J472" s="15" t="str">
        <f>IFERROR(__xludf.DUMMYFUNCTION("""COMPUTED_VALUE"""),"CIF")</f>
        <v>CIF</v>
      </c>
      <c r="K472" s="15" t="str">
        <f>IFERROR(__xludf.DUMMYFUNCTION("""COMPUTED_VALUE"""),"(sem célula)")</f>
        <v>(sem célula)</v>
      </c>
      <c r="L472" s="15" t="str">
        <f>IFERROR(__xludf.DUMMYFUNCTION("""COMPUTED_VALUE"""),"AUTORIZADO")</f>
        <v>AUTORIZADO</v>
      </c>
      <c r="M472" s="15" t="str">
        <f>IFERROR(__xludf.DUMMYFUNCTION("""COMPUTED_VALUE"""),"NA ORIGEM")</f>
        <v>NA ORIGEM</v>
      </c>
      <c r="N472" s="15" t="str">
        <f>IFERROR(__xludf.DUMMYFUNCTION("""COMPUTED_VALUE"""),"Antes Prazo")</f>
        <v>Antes Prazo</v>
      </c>
      <c r="O472" s="15" t="str">
        <f>IFERROR(__xludf.DUMMYFUNCTION("""COMPUTED_VALUE"""),"B2B")</f>
        <v>B2B</v>
      </c>
      <c r="P472" s="16">
        <f>IFERROR(__xludf.DUMMYFUNCTION("""COMPUTED_VALUE"""),62.8)</f>
        <v>62.8</v>
      </c>
      <c r="Q472" s="15">
        <f>IFERROR(__xludf.DUMMYFUNCTION("""COMPUTED_VALUE"""),10.0)</f>
        <v>10</v>
      </c>
      <c r="R472" s="15" t="str">
        <f>IFERROR(__xludf.DUMMYFUNCTION("""COMPUTED_VALUE"""),"RODO")</f>
        <v>RODO</v>
      </c>
      <c r="S472" s="15" t="str">
        <f>IFERROR(__xludf.DUMMYFUNCTION("""COMPUTED_VALUE"""),"ITN")</f>
        <v>ITN</v>
      </c>
      <c r="T472" s="15" t="str">
        <f>IFERROR(__xludf.DUMMYFUNCTION("""COMPUTED_VALUE"""),"102")</f>
        <v>102</v>
      </c>
      <c r="U472" s="15" t="str">
        <f>IFERROR(__xludf.DUMMYFUNCTION("""COMPUTED_VALUE"""),"266806785 1306052 8177221 neto &amp; neto ltda trifil frc 102")</f>
        <v>266806785 1306052 8177221 neto &amp; neto ltda trifil frc 102</v>
      </c>
      <c r="V472" s="15" t="b">
        <f>IFERROR(__xludf.DUMMYFUNCTION("""COMPUTED_VALUE"""),FALSE)</f>
        <v>0</v>
      </c>
    </row>
    <row r="473">
      <c r="A473" s="19">
        <f>IFERROR(__xludf.DUMMYFUNCTION("""COMPUTED_VALUE"""),46304.0)</f>
        <v>46304</v>
      </c>
      <c r="B473" s="19">
        <f>IFERROR(__xludf.DUMMYFUNCTION("""COMPUTED_VALUE"""),46316.0)</f>
        <v>46316</v>
      </c>
      <c r="C473" s="15">
        <f>IFERROR(__xludf.DUMMYFUNCTION("""COMPUTED_VALUE"""),7.0)</f>
        <v>7</v>
      </c>
      <c r="D473" s="15" t="str">
        <f>IFERROR(__xludf.DUMMYFUNCTION("""COMPUTED_VALUE"""),"UBA")</f>
        <v>UBA</v>
      </c>
      <c r="E473" s="15" t="str">
        <f>IFERROR(__xludf.DUMMYFUNCTION("""COMPUTED_VALUE"""),"LUPO")</f>
        <v>LUPO</v>
      </c>
      <c r="F473" s="15" t="str">
        <f>IFERROR(__xludf.DUMMYFUNCTION("""COMPUTED_VALUE"""),"TRIFIL")</f>
        <v>TRIFIL</v>
      </c>
      <c r="G473" s="15" t="str">
        <f>IFERROR(__xludf.DUMMYFUNCTION("""COMPUTED_VALUE"""),"266806786")</f>
        <v>266806786</v>
      </c>
      <c r="H473" s="15" t="str">
        <f>IFERROR(__xludf.DUMMYFUNCTION("""COMPUTED_VALUE"""),"1305801")</f>
        <v>1305801</v>
      </c>
      <c r="I473" s="15" t="str">
        <f>IFERROR(__xludf.DUMMYFUNCTION("""COMPUTED_VALUE"""),"8177291")</f>
        <v>8177291</v>
      </c>
      <c r="J473" s="15" t="str">
        <f>IFERROR(__xludf.DUMMYFUNCTION("""COMPUTED_VALUE"""),"CIF")</f>
        <v>CIF</v>
      </c>
      <c r="K473" s="15" t="str">
        <f>IFERROR(__xludf.DUMMYFUNCTION("""COMPUTED_VALUE"""),"(sem célula)")</f>
        <v>(sem célula)</v>
      </c>
      <c r="L473" s="15" t="str">
        <f>IFERROR(__xludf.DUMMYFUNCTION("""COMPUTED_VALUE"""),"AUTORIZADO")</f>
        <v>AUTORIZADO</v>
      </c>
      <c r="M473" s="15" t="str">
        <f>IFERROR(__xludf.DUMMYFUNCTION("""COMPUTED_VALUE"""),"NA ORIGEM")</f>
        <v>NA ORIGEM</v>
      </c>
      <c r="N473" s="15" t="str">
        <f>IFERROR(__xludf.DUMMYFUNCTION("""COMPUTED_VALUE"""),"Antes Prazo")</f>
        <v>Antes Prazo</v>
      </c>
      <c r="O473" s="15" t="str">
        <f>IFERROR(__xludf.DUMMYFUNCTION("""COMPUTED_VALUE"""),"B2B")</f>
        <v>B2B</v>
      </c>
      <c r="P473" s="16">
        <f>IFERROR(__xludf.DUMMYFUNCTION("""COMPUTED_VALUE"""),44.59)</f>
        <v>44.59</v>
      </c>
      <c r="Q473" s="15">
        <f>IFERROR(__xludf.DUMMYFUNCTION("""COMPUTED_VALUE"""),1.0)</f>
        <v>1</v>
      </c>
      <c r="R473" s="15" t="str">
        <f>IFERROR(__xludf.DUMMYFUNCTION("""COMPUTED_VALUE"""),"RODO")</f>
        <v>RODO</v>
      </c>
      <c r="S473" s="15" t="str">
        <f>IFERROR(__xludf.DUMMYFUNCTION("""COMPUTED_VALUE"""),"ITN")</f>
        <v>ITN</v>
      </c>
      <c r="T473" s="15" t="str">
        <f>IFERROR(__xludf.DUMMYFUNCTION("""COMPUTED_VALUE"""),"2")</f>
        <v>2</v>
      </c>
      <c r="U473" s="15" t="str">
        <f>IFERROR(__xludf.DUMMYFUNCTION("""COMPUTED_VALUE"""),"266806786 1305801 8177291 lupo trifil uba 2")</f>
        <v>266806786 1305801 8177291 lupo trifil uba 2</v>
      </c>
      <c r="V473" s="15" t="b">
        <f>IFERROR(__xludf.DUMMYFUNCTION("""COMPUTED_VALUE"""),FALSE)</f>
        <v>0</v>
      </c>
    </row>
    <row r="474">
      <c r="A474" s="19">
        <f>IFERROR(__xludf.DUMMYFUNCTION("""COMPUTED_VALUE"""),46304.0)</f>
        <v>46304</v>
      </c>
      <c r="B474" s="19">
        <f>IFERROR(__xludf.DUMMYFUNCTION("""COMPUTED_VALUE"""),46322.0)</f>
        <v>46322</v>
      </c>
      <c r="C474" s="15">
        <f>IFERROR(__xludf.DUMMYFUNCTION("""COMPUTED_VALUE"""),11.0)</f>
        <v>11</v>
      </c>
      <c r="D474" s="15" t="str">
        <f>IFERROR(__xludf.DUMMYFUNCTION("""COMPUTED_VALUE"""),"UDI")</f>
        <v>UDI</v>
      </c>
      <c r="E474" s="15" t="str">
        <f>IFERROR(__xludf.DUMMYFUNCTION("""COMPUTED_VALUE"""),"ESPORTES E CALCADOS FRUTOLENSE LTDA")</f>
        <v>ESPORTES E CALCADOS FRUTOLENSE LTDA</v>
      </c>
      <c r="F474" s="15" t="str">
        <f>IFERROR(__xludf.DUMMYFUNCTION("""COMPUTED_VALUE"""),"TRIFIL")</f>
        <v>TRIFIL</v>
      </c>
      <c r="G474" s="15" t="str">
        <f>IFERROR(__xludf.DUMMYFUNCTION("""COMPUTED_VALUE"""),"266806787")</f>
        <v>266806787</v>
      </c>
      <c r="H474" s="15" t="str">
        <f>IFERROR(__xludf.DUMMYFUNCTION("""COMPUTED_VALUE"""),"1306242")</f>
        <v>1306242</v>
      </c>
      <c r="I474" s="15" t="str">
        <f>IFERROR(__xludf.DUMMYFUNCTION("""COMPUTED_VALUE"""),"8177114")</f>
        <v>8177114</v>
      </c>
      <c r="J474" s="15" t="str">
        <f>IFERROR(__xludf.DUMMYFUNCTION("""COMPUTED_VALUE"""),"CIF")</f>
        <v>CIF</v>
      </c>
      <c r="K474" s="15" t="str">
        <f>IFERROR(__xludf.DUMMYFUNCTION("""COMPUTED_VALUE"""),"(sem célula)")</f>
        <v>(sem célula)</v>
      </c>
      <c r="L474" s="15" t="str">
        <f>IFERROR(__xludf.DUMMYFUNCTION("""COMPUTED_VALUE"""),"AUTORIZADO")</f>
        <v>AUTORIZADO</v>
      </c>
      <c r="M474" s="15" t="str">
        <f>IFERROR(__xludf.DUMMYFUNCTION("""COMPUTED_VALUE"""),"NA ORIGEM")</f>
        <v>NA ORIGEM</v>
      </c>
      <c r="N474" s="15" t="str">
        <f>IFERROR(__xludf.DUMMYFUNCTION("""COMPUTED_VALUE"""),"Antes Prazo")</f>
        <v>Antes Prazo</v>
      </c>
      <c r="O474" s="15" t="str">
        <f>IFERROR(__xludf.DUMMYFUNCTION("""COMPUTED_VALUE"""),"B2B")</f>
        <v>B2B</v>
      </c>
      <c r="P474" s="16">
        <f>IFERROR(__xludf.DUMMYFUNCTION("""COMPUTED_VALUE"""),49.43)</f>
        <v>49.43</v>
      </c>
      <c r="Q474" s="15">
        <f>IFERROR(__xludf.DUMMYFUNCTION("""COMPUTED_VALUE"""),1.0)</f>
        <v>1</v>
      </c>
      <c r="R474" s="15" t="str">
        <f>IFERROR(__xludf.DUMMYFUNCTION("""COMPUTED_VALUE"""),"RODO")</f>
        <v>RODO</v>
      </c>
      <c r="S474" s="15" t="str">
        <f>IFERROR(__xludf.DUMMYFUNCTION("""COMPUTED_VALUE"""),"ITN")</f>
        <v>ITN</v>
      </c>
      <c r="T474" s="15" t="str">
        <f>IFERROR(__xludf.DUMMYFUNCTION("""COMPUTED_VALUE"""),"106")</f>
        <v>106</v>
      </c>
      <c r="U474" s="15" t="str">
        <f>IFERROR(__xludf.DUMMYFUNCTION("""COMPUTED_VALUE"""),"266806787 1306242 8177114 esportes e calcados frutolense ltda trifil udi 106")</f>
        <v>266806787 1306242 8177114 esportes e calcados frutolense ltda trifil udi 106</v>
      </c>
      <c r="V474" s="15" t="b">
        <f>IFERROR(__xludf.DUMMYFUNCTION("""COMPUTED_VALUE"""),FALSE)</f>
        <v>0</v>
      </c>
    </row>
    <row r="475">
      <c r="A475" s="19">
        <f>IFERROR(__xludf.DUMMYFUNCTION("""COMPUTED_VALUE"""),46304.0)</f>
        <v>46304</v>
      </c>
      <c r="B475" s="19">
        <f>IFERROR(__xludf.DUMMYFUNCTION("""COMPUTED_VALUE"""),46316.0)</f>
        <v>46316</v>
      </c>
      <c r="C475" s="15">
        <f>IFERROR(__xludf.DUMMYFUNCTION("""COMPUTED_VALUE"""),7.0)</f>
        <v>7</v>
      </c>
      <c r="D475" s="15" t="str">
        <f>IFERROR(__xludf.DUMMYFUNCTION("""COMPUTED_VALUE"""),"UDI")</f>
        <v>UDI</v>
      </c>
      <c r="E475" s="15" t="str">
        <f>IFERROR(__xludf.DUMMYFUNCTION("""COMPUTED_VALUE"""),"SRC COMERCIO DE CALCADOS LTDA")</f>
        <v>SRC COMERCIO DE CALCADOS LTDA</v>
      </c>
      <c r="F475" s="15" t="str">
        <f>IFERROR(__xludf.DUMMYFUNCTION("""COMPUTED_VALUE"""),"TRIFIL")</f>
        <v>TRIFIL</v>
      </c>
      <c r="G475" s="15" t="str">
        <f>IFERROR(__xludf.DUMMYFUNCTION("""COMPUTED_VALUE"""),"266806788")</f>
        <v>266806788</v>
      </c>
      <c r="H475" s="15" t="str">
        <f>IFERROR(__xludf.DUMMYFUNCTION("""COMPUTED_VALUE"""),"1306240")</f>
        <v>1306240</v>
      </c>
      <c r="I475" s="15" t="str">
        <f>IFERROR(__xludf.DUMMYFUNCTION("""COMPUTED_VALUE"""),"8177156")</f>
        <v>8177156</v>
      </c>
      <c r="J475" s="15" t="str">
        <f>IFERROR(__xludf.DUMMYFUNCTION("""COMPUTED_VALUE"""),"CIF")</f>
        <v>CIF</v>
      </c>
      <c r="K475" s="15" t="str">
        <f>IFERROR(__xludf.DUMMYFUNCTION("""COMPUTED_VALUE"""),"(sem célula)")</f>
        <v>(sem célula)</v>
      </c>
      <c r="L475" s="15" t="str">
        <f>IFERROR(__xludf.DUMMYFUNCTION("""COMPUTED_VALUE"""),"AUTORIZADO")</f>
        <v>AUTORIZADO</v>
      </c>
      <c r="M475" s="15" t="str">
        <f>IFERROR(__xludf.DUMMYFUNCTION("""COMPUTED_VALUE"""),"NA ORIGEM")</f>
        <v>NA ORIGEM</v>
      </c>
      <c r="N475" s="15" t="str">
        <f>IFERROR(__xludf.DUMMYFUNCTION("""COMPUTED_VALUE"""),"Antes Prazo")</f>
        <v>Antes Prazo</v>
      </c>
      <c r="O475" s="15" t="str">
        <f>IFERROR(__xludf.DUMMYFUNCTION("""COMPUTED_VALUE"""),"B2B")</f>
        <v>B2B</v>
      </c>
      <c r="P475" s="16">
        <f>IFERROR(__xludf.DUMMYFUNCTION("""COMPUTED_VALUE"""),44.59)</f>
        <v>44.59</v>
      </c>
      <c r="Q475" s="15">
        <f>IFERROR(__xludf.DUMMYFUNCTION("""COMPUTED_VALUE"""),1.0)</f>
        <v>1</v>
      </c>
      <c r="R475" s="15" t="str">
        <f>IFERROR(__xludf.DUMMYFUNCTION("""COMPUTED_VALUE"""),"RODO")</f>
        <v>RODO</v>
      </c>
      <c r="S475" s="15" t="str">
        <f>IFERROR(__xludf.DUMMYFUNCTION("""COMPUTED_VALUE"""),"ITN")</f>
        <v>ITN</v>
      </c>
      <c r="T475" s="15" t="str">
        <f>IFERROR(__xludf.DUMMYFUNCTION("""COMPUTED_VALUE"""),"5")</f>
        <v>5</v>
      </c>
      <c r="U475" s="15" t="str">
        <f>IFERROR(__xludf.DUMMYFUNCTION("""COMPUTED_VALUE"""),"266806788 1306240 8177156 src comercio de calcados ltda trifil udi 5")</f>
        <v>266806788 1306240 8177156 src comercio de calcados ltda trifil udi 5</v>
      </c>
      <c r="V475" s="15" t="b">
        <f>IFERROR(__xludf.DUMMYFUNCTION("""COMPUTED_VALUE"""),FALSE)</f>
        <v>0</v>
      </c>
    </row>
    <row r="476">
      <c r="A476" s="19">
        <f>IFERROR(__xludf.DUMMYFUNCTION("""COMPUTED_VALUE"""),46304.0)</f>
        <v>46304</v>
      </c>
      <c r="B476" s="19">
        <f>IFERROR(__xludf.DUMMYFUNCTION("""COMPUTED_VALUE"""),46316.0)</f>
        <v>46316</v>
      </c>
      <c r="C476" s="15">
        <f>IFERROR(__xludf.DUMMYFUNCTION("""COMPUTED_VALUE"""),7.0)</f>
        <v>7</v>
      </c>
      <c r="D476" s="15" t="str">
        <f>IFERROR(__xludf.DUMMYFUNCTION("""COMPUTED_VALUE"""),"POJ")</f>
        <v>POJ</v>
      </c>
      <c r="E476" s="15" t="str">
        <f>IFERROR(__xludf.DUMMYFUNCTION("""COMPUTED_VALUE"""),"PIZANTTI CALCADOS")</f>
        <v>PIZANTTI CALCADOS</v>
      </c>
      <c r="F476" s="15" t="str">
        <f>IFERROR(__xludf.DUMMYFUNCTION("""COMPUTED_VALUE"""),"TRIFIL")</f>
        <v>TRIFIL</v>
      </c>
      <c r="G476" s="15" t="str">
        <f>IFERROR(__xludf.DUMMYFUNCTION("""COMPUTED_VALUE"""),"266806789")</f>
        <v>266806789</v>
      </c>
      <c r="H476" s="15" t="str">
        <f>IFERROR(__xludf.DUMMYFUNCTION("""COMPUTED_VALUE"""),"1305845")</f>
        <v>1305845</v>
      </c>
      <c r="I476" s="15" t="str">
        <f>IFERROR(__xludf.DUMMYFUNCTION("""COMPUTED_VALUE"""),"8177248")</f>
        <v>8177248</v>
      </c>
      <c r="J476" s="15" t="str">
        <f>IFERROR(__xludf.DUMMYFUNCTION("""COMPUTED_VALUE"""),"CIF")</f>
        <v>CIF</v>
      </c>
      <c r="K476" s="15" t="str">
        <f>IFERROR(__xludf.DUMMYFUNCTION("""COMPUTED_VALUE"""),"FSA-1")</f>
        <v>FSA-1</v>
      </c>
      <c r="L476" s="15" t="str">
        <f>IFERROR(__xludf.DUMMYFUNCTION("""COMPUTED_VALUE"""),"AUTORIZADO")</f>
        <v>AUTORIZADO</v>
      </c>
      <c r="M476" s="15" t="str">
        <f>IFERROR(__xludf.DUMMYFUNCTION("""COMPUTED_VALUE"""),"NA ORIGEM")</f>
        <v>NA ORIGEM</v>
      </c>
      <c r="N476" s="15" t="str">
        <f>IFERROR(__xludf.DUMMYFUNCTION("""COMPUTED_VALUE"""),"Antes Prazo")</f>
        <v>Antes Prazo</v>
      </c>
      <c r="O476" s="15" t="str">
        <f>IFERROR(__xludf.DUMMYFUNCTION("""COMPUTED_VALUE"""),"B2B")</f>
        <v>B2B</v>
      </c>
      <c r="P476" s="16">
        <f>IFERROR(__xludf.DUMMYFUNCTION("""COMPUTED_VALUE"""),44.59)</f>
        <v>44.59</v>
      </c>
      <c r="Q476" s="15">
        <f>IFERROR(__xludf.DUMMYFUNCTION("""COMPUTED_VALUE"""),1.0)</f>
        <v>1</v>
      </c>
      <c r="R476" s="15" t="str">
        <f>IFERROR(__xludf.DUMMYFUNCTION("""COMPUTED_VALUE"""),"RODO")</f>
        <v>RODO</v>
      </c>
      <c r="S476" s="15" t="str">
        <f>IFERROR(__xludf.DUMMYFUNCTION("""COMPUTED_VALUE"""),"ITN")</f>
        <v>ITN</v>
      </c>
      <c r="T476" s="15" t="str">
        <f>IFERROR(__xludf.DUMMYFUNCTION("""COMPUTED_VALUE"""),"1")</f>
        <v>1</v>
      </c>
      <c r="U476" s="15" t="str">
        <f>IFERROR(__xludf.DUMMYFUNCTION("""COMPUTED_VALUE"""),"266806789 1305845 8177248 pizantti calcados trifil poj 1")</f>
        <v>266806789 1305845 8177248 pizantti calcados trifil poj 1</v>
      </c>
      <c r="V476" s="15" t="b">
        <f>IFERROR(__xludf.DUMMYFUNCTION("""COMPUTED_VALUE"""),FALSE)</f>
        <v>0</v>
      </c>
    </row>
    <row r="477">
      <c r="A477" s="19">
        <f>IFERROR(__xludf.DUMMYFUNCTION("""COMPUTED_VALUE"""),46304.0)</f>
        <v>46304</v>
      </c>
      <c r="B477" s="19">
        <f>IFERROR(__xludf.DUMMYFUNCTION("""COMPUTED_VALUE"""),46323.0)</f>
        <v>46323</v>
      </c>
      <c r="C477" s="15">
        <f>IFERROR(__xludf.DUMMYFUNCTION("""COMPUTED_VALUE"""),12.0)</f>
        <v>12</v>
      </c>
      <c r="D477" s="15" t="str">
        <f>IFERROR(__xludf.DUMMYFUNCTION("""COMPUTED_VALUE"""),"POJ")</f>
        <v>POJ</v>
      </c>
      <c r="E477" s="15" t="str">
        <f>IFERROR(__xludf.DUMMYFUNCTION("""COMPUTED_VALUE"""),"BALADA BRASIL")</f>
        <v>BALADA BRASIL</v>
      </c>
      <c r="F477" s="15" t="str">
        <f>IFERROR(__xludf.DUMMYFUNCTION("""COMPUTED_VALUE"""),"TRIFIL")</f>
        <v>TRIFIL</v>
      </c>
      <c r="G477" s="15" t="str">
        <f>IFERROR(__xludf.DUMMYFUNCTION("""COMPUTED_VALUE"""),"266806790")</f>
        <v>266806790</v>
      </c>
      <c r="H477" s="15" t="str">
        <f>IFERROR(__xludf.DUMMYFUNCTION("""COMPUTED_VALUE"""),"1306232")</f>
        <v>1306232</v>
      </c>
      <c r="I477" s="15" t="str">
        <f>IFERROR(__xludf.DUMMYFUNCTION("""COMPUTED_VALUE"""),"8177157")</f>
        <v>8177157</v>
      </c>
      <c r="J477" s="15" t="str">
        <f>IFERROR(__xludf.DUMMYFUNCTION("""COMPUTED_VALUE"""),"CIF")</f>
        <v>CIF</v>
      </c>
      <c r="K477" s="15" t="str">
        <f>IFERROR(__xludf.DUMMYFUNCTION("""COMPUTED_VALUE"""),"(sem célula)")</f>
        <v>(sem célula)</v>
      </c>
      <c r="L477" s="15" t="str">
        <f>IFERROR(__xludf.DUMMYFUNCTION("""COMPUTED_VALUE"""),"AUTORIZADO")</f>
        <v>AUTORIZADO</v>
      </c>
      <c r="M477" s="15" t="str">
        <f>IFERROR(__xludf.DUMMYFUNCTION("""COMPUTED_VALUE"""),"NA ORIGEM")</f>
        <v>NA ORIGEM</v>
      </c>
      <c r="N477" s="15" t="str">
        <f>IFERROR(__xludf.DUMMYFUNCTION("""COMPUTED_VALUE"""),"Antes Prazo")</f>
        <v>Antes Prazo</v>
      </c>
      <c r="O477" s="15" t="str">
        <f>IFERROR(__xludf.DUMMYFUNCTION("""COMPUTED_VALUE"""),"B2B")</f>
        <v>B2B</v>
      </c>
      <c r="P477" s="16">
        <f>IFERROR(__xludf.DUMMYFUNCTION("""COMPUTED_VALUE"""),49.43)</f>
        <v>49.43</v>
      </c>
      <c r="Q477" s="15">
        <f>IFERROR(__xludf.DUMMYFUNCTION("""COMPUTED_VALUE"""),1.0)</f>
        <v>1</v>
      </c>
      <c r="R477" s="15" t="str">
        <f>IFERROR(__xludf.DUMMYFUNCTION("""COMPUTED_VALUE"""),"RODO")</f>
        <v>RODO</v>
      </c>
      <c r="S477" s="15" t="str">
        <f>IFERROR(__xludf.DUMMYFUNCTION("""COMPUTED_VALUE"""),"ITN")</f>
        <v>ITN</v>
      </c>
      <c r="T477" s="15" t="str">
        <f>IFERROR(__xludf.DUMMYFUNCTION("""COMPUTED_VALUE"""),"104")</f>
        <v>104</v>
      </c>
      <c r="U477" s="15" t="str">
        <f>IFERROR(__xludf.DUMMYFUNCTION("""COMPUTED_VALUE"""),"266806790 1306232 8177157 balada brasil trifil poj 104")</f>
        <v>266806790 1306232 8177157 balada brasil trifil poj 104</v>
      </c>
      <c r="V477" s="15" t="b">
        <f>IFERROR(__xludf.DUMMYFUNCTION("""COMPUTED_VALUE"""),FALSE)</f>
        <v>0</v>
      </c>
    </row>
    <row r="478">
      <c r="A478" s="19">
        <f>IFERROR(__xludf.DUMMYFUNCTION("""COMPUTED_VALUE"""),46304.0)</f>
        <v>46304</v>
      </c>
      <c r="B478" s="19">
        <f>IFERROR(__xludf.DUMMYFUNCTION("""COMPUTED_VALUE"""),46317.0)</f>
        <v>46317</v>
      </c>
      <c r="C478" s="15">
        <f>IFERROR(__xludf.DUMMYFUNCTION("""COMPUTED_VALUE"""),8.0)</f>
        <v>8</v>
      </c>
      <c r="D478" s="15" t="str">
        <f>IFERROR(__xludf.DUMMYFUNCTION("""COMPUTED_VALUE"""),"MOC")</f>
        <v>MOC</v>
      </c>
      <c r="E478" s="15" t="str">
        <f>IFERROR(__xludf.DUMMYFUNCTION("""COMPUTED_VALUE"""),"COMERCIAL ROBELMAR LTDA")</f>
        <v>COMERCIAL ROBELMAR LTDA</v>
      </c>
      <c r="F478" s="15" t="str">
        <f>IFERROR(__xludf.DUMMYFUNCTION("""COMPUTED_VALUE"""),"TRIFIL")</f>
        <v>TRIFIL</v>
      </c>
      <c r="G478" s="15" t="str">
        <f>IFERROR(__xludf.DUMMYFUNCTION("""COMPUTED_VALUE"""),"266806791")</f>
        <v>266806791</v>
      </c>
      <c r="H478" s="15" t="str">
        <f>IFERROR(__xludf.DUMMYFUNCTION("""COMPUTED_VALUE"""),"1306105")</f>
        <v>1306105</v>
      </c>
      <c r="I478" s="15" t="str">
        <f>IFERROR(__xludf.DUMMYFUNCTION("""COMPUTED_VALUE"""),"8177131")</f>
        <v>8177131</v>
      </c>
      <c r="J478" s="15" t="str">
        <f>IFERROR(__xludf.DUMMYFUNCTION("""COMPUTED_VALUE"""),"CIF")</f>
        <v>CIF</v>
      </c>
      <c r="K478" s="15" t="str">
        <f>IFERROR(__xludf.DUMMYFUNCTION("""COMPUTED_VALUE"""),"(sem célula)")</f>
        <v>(sem célula)</v>
      </c>
      <c r="L478" s="15" t="str">
        <f>IFERROR(__xludf.DUMMYFUNCTION("""COMPUTED_VALUE"""),"AUTORIZADO")</f>
        <v>AUTORIZADO</v>
      </c>
      <c r="M478" s="15" t="str">
        <f>IFERROR(__xludf.DUMMYFUNCTION("""COMPUTED_VALUE"""),"NA ORIGEM")</f>
        <v>NA ORIGEM</v>
      </c>
      <c r="N478" s="15" t="str">
        <f>IFERROR(__xludf.DUMMYFUNCTION("""COMPUTED_VALUE"""),"Antes Prazo")</f>
        <v>Antes Prazo</v>
      </c>
      <c r="O478" s="15" t="str">
        <f>IFERROR(__xludf.DUMMYFUNCTION("""COMPUTED_VALUE"""),"B2B")</f>
        <v>B2B</v>
      </c>
      <c r="P478" s="16">
        <f>IFERROR(__xludf.DUMMYFUNCTION("""COMPUTED_VALUE"""),44.59)</f>
        <v>44.59</v>
      </c>
      <c r="Q478" s="15">
        <f>IFERROR(__xludf.DUMMYFUNCTION("""COMPUTED_VALUE"""),2.0)</f>
        <v>2</v>
      </c>
      <c r="R478" s="15" t="str">
        <f>IFERROR(__xludf.DUMMYFUNCTION("""COMPUTED_VALUE"""),"RODO")</f>
        <v>RODO</v>
      </c>
      <c r="S478" s="15" t="str">
        <f>IFERROR(__xludf.DUMMYFUNCTION("""COMPUTED_VALUE"""),"ITN")</f>
        <v>ITN</v>
      </c>
      <c r="T478" s="15" t="str">
        <f>IFERROR(__xludf.DUMMYFUNCTION("""COMPUTED_VALUE"""),"2")</f>
        <v>2</v>
      </c>
      <c r="U478" s="15" t="str">
        <f>IFERROR(__xludf.DUMMYFUNCTION("""COMPUTED_VALUE"""),"266806791 1306105 8177131 comercial robelmar ltda trifil moc 2")</f>
        <v>266806791 1306105 8177131 comercial robelmar ltda trifil moc 2</v>
      </c>
      <c r="V478" s="15" t="b">
        <f>IFERROR(__xludf.DUMMYFUNCTION("""COMPUTED_VALUE"""),FALSE)</f>
        <v>0</v>
      </c>
    </row>
    <row r="479">
      <c r="A479" s="19">
        <f>IFERROR(__xludf.DUMMYFUNCTION("""COMPUTED_VALUE"""),46304.0)</f>
        <v>46304</v>
      </c>
      <c r="B479" s="19">
        <f>IFERROR(__xludf.DUMMYFUNCTION("""COMPUTED_VALUE"""),46321.0)</f>
        <v>46321</v>
      </c>
      <c r="C479" s="15">
        <f>IFERROR(__xludf.DUMMYFUNCTION("""COMPUTED_VALUE"""),10.0)</f>
        <v>10</v>
      </c>
      <c r="D479" s="15" t="str">
        <f>IFERROR(__xludf.DUMMYFUNCTION("""COMPUTED_VALUE"""),"GVR")</f>
        <v>GVR</v>
      </c>
      <c r="E479" s="15" t="str">
        <f>IFERROR(__xludf.DUMMYFUNCTION("""COMPUTED_VALUE"""),"FML MAGAZINE EIRELE EPP")</f>
        <v>FML MAGAZINE EIRELE EPP</v>
      </c>
      <c r="F479" s="15" t="str">
        <f>IFERROR(__xludf.DUMMYFUNCTION("""COMPUTED_VALUE"""),"TRIFIL")</f>
        <v>TRIFIL</v>
      </c>
      <c r="G479" s="15" t="str">
        <f>IFERROR(__xludf.DUMMYFUNCTION("""COMPUTED_VALUE"""),"266806792")</f>
        <v>266806792</v>
      </c>
      <c r="H479" s="15" t="str">
        <f>IFERROR(__xludf.DUMMYFUNCTION("""COMPUTED_VALUE"""),"1306273")</f>
        <v>1306273</v>
      </c>
      <c r="I479" s="15" t="str">
        <f>IFERROR(__xludf.DUMMYFUNCTION("""COMPUTED_VALUE"""),"8177158")</f>
        <v>8177158</v>
      </c>
      <c r="J479" s="15" t="str">
        <f>IFERROR(__xludf.DUMMYFUNCTION("""COMPUTED_VALUE"""),"CIF")</f>
        <v>CIF</v>
      </c>
      <c r="K479" s="15" t="str">
        <f>IFERROR(__xludf.DUMMYFUNCTION("""COMPUTED_VALUE"""),"(sem célula)")</f>
        <v>(sem célula)</v>
      </c>
      <c r="L479" s="15" t="str">
        <f>IFERROR(__xludf.DUMMYFUNCTION("""COMPUTED_VALUE"""),"AUTORIZADO")</f>
        <v>AUTORIZADO</v>
      </c>
      <c r="M479" s="15" t="str">
        <f>IFERROR(__xludf.DUMMYFUNCTION("""COMPUTED_VALUE"""),"NA ORIGEM")</f>
        <v>NA ORIGEM</v>
      </c>
      <c r="N479" s="15" t="str">
        <f>IFERROR(__xludf.DUMMYFUNCTION("""COMPUTED_VALUE"""),"Antes Prazo")</f>
        <v>Antes Prazo</v>
      </c>
      <c r="O479" s="15" t="str">
        <f>IFERROR(__xludf.DUMMYFUNCTION("""COMPUTED_VALUE"""),"B2B")</f>
        <v>B2B</v>
      </c>
      <c r="P479" s="16">
        <f>IFERROR(__xludf.DUMMYFUNCTION("""COMPUTED_VALUE"""),49.43)</f>
        <v>49.43</v>
      </c>
      <c r="Q479" s="15">
        <f>IFERROR(__xludf.DUMMYFUNCTION("""COMPUTED_VALUE"""),1.0)</f>
        <v>1</v>
      </c>
      <c r="R479" s="15" t="str">
        <f>IFERROR(__xludf.DUMMYFUNCTION("""COMPUTED_VALUE"""),"RODO")</f>
        <v>RODO</v>
      </c>
      <c r="S479" s="15" t="str">
        <f>IFERROR(__xludf.DUMMYFUNCTION("""COMPUTED_VALUE"""),"ITN")</f>
        <v>ITN</v>
      </c>
      <c r="T479" s="15" t="str">
        <f>IFERROR(__xludf.DUMMYFUNCTION("""COMPUTED_VALUE"""),"106")</f>
        <v>106</v>
      </c>
      <c r="U479" s="15" t="str">
        <f>IFERROR(__xludf.DUMMYFUNCTION("""COMPUTED_VALUE"""),"266806792 1306273 8177158 fml magazine eirele epp trifil gvr 106")</f>
        <v>266806792 1306273 8177158 fml magazine eirele epp trifil gvr 106</v>
      </c>
      <c r="V479" s="15" t="b">
        <f>IFERROR(__xludf.DUMMYFUNCTION("""COMPUTED_VALUE"""),FALSE)</f>
        <v>0</v>
      </c>
    </row>
    <row r="480">
      <c r="A480" s="19">
        <f>IFERROR(__xludf.DUMMYFUNCTION("""COMPUTED_VALUE"""),46304.0)</f>
        <v>46304</v>
      </c>
      <c r="B480" s="19">
        <f>IFERROR(__xludf.DUMMYFUNCTION("""COMPUTED_VALUE"""),46314.0)</f>
        <v>46314</v>
      </c>
      <c r="C480" s="15">
        <f>IFERROR(__xludf.DUMMYFUNCTION("""COMPUTED_VALUE"""),5.0)</f>
        <v>5</v>
      </c>
      <c r="D480" s="15" t="str">
        <f>IFERROR(__xludf.DUMMYFUNCTION("""COMPUTED_VALUE"""),"SSA")</f>
        <v>SSA</v>
      </c>
      <c r="E480" s="15" t="str">
        <f>IFERROR(__xludf.DUMMYFUNCTION("""COMPUTED_VALUE"""),"Ney Coutinho Sbv Comercio De Artigo")</f>
        <v>Ney Coutinho Sbv Comercio De Artigo</v>
      </c>
      <c r="F480" s="15" t="str">
        <f>IFERROR(__xludf.DUMMYFUNCTION("""COMPUTED_VALUE"""),"TRIFIL")</f>
        <v>TRIFIL</v>
      </c>
      <c r="G480" s="15" t="str">
        <f>IFERROR(__xludf.DUMMYFUNCTION("""COMPUTED_VALUE"""),"266806793")</f>
        <v>266806793</v>
      </c>
      <c r="H480" s="15" t="str">
        <f>IFERROR(__xludf.DUMMYFUNCTION("""COMPUTED_VALUE"""),"1306037")</f>
        <v>1306037</v>
      </c>
      <c r="I480" s="15" t="str">
        <f>IFERROR(__xludf.DUMMYFUNCTION("""COMPUTED_VALUE"""),"8177323")</f>
        <v>8177323</v>
      </c>
      <c r="J480" s="15" t="str">
        <f>IFERROR(__xludf.DUMMYFUNCTION("""COMPUTED_VALUE"""),"CIF")</f>
        <v>CIF</v>
      </c>
      <c r="K480" s="15" t="str">
        <f>IFERROR(__xludf.DUMMYFUNCTION("""COMPUTED_VALUE"""),"FSA-1")</f>
        <v>FSA-1</v>
      </c>
      <c r="L480" s="15" t="str">
        <f>IFERROR(__xludf.DUMMYFUNCTION("""COMPUTED_VALUE"""),"AUTORIZADO")</f>
        <v>AUTORIZADO</v>
      </c>
      <c r="M480" s="15" t="str">
        <f>IFERROR(__xludf.DUMMYFUNCTION("""COMPUTED_VALUE"""),"NA ORIGEM")</f>
        <v>NA ORIGEM</v>
      </c>
      <c r="N480" s="15" t="str">
        <f>IFERROR(__xludf.DUMMYFUNCTION("""COMPUTED_VALUE"""),"Antes Prazo")</f>
        <v>Antes Prazo</v>
      </c>
      <c r="O480" s="15" t="str">
        <f>IFERROR(__xludf.DUMMYFUNCTION("""COMPUTED_VALUE"""),"B2B")</f>
        <v>B2B</v>
      </c>
      <c r="P480" s="16">
        <f>IFERROR(__xludf.DUMMYFUNCTION("""COMPUTED_VALUE"""),43.17)</f>
        <v>43.17</v>
      </c>
      <c r="Q480" s="15">
        <f>IFERROR(__xludf.DUMMYFUNCTION("""COMPUTED_VALUE"""),4.0)</f>
        <v>4</v>
      </c>
      <c r="R480" s="15" t="str">
        <f>IFERROR(__xludf.DUMMYFUNCTION("""COMPUTED_VALUE"""),"RODO")</f>
        <v>RODO</v>
      </c>
      <c r="S480" s="15" t="str">
        <f>IFERROR(__xludf.DUMMYFUNCTION("""COMPUTED_VALUE"""),"ITN")</f>
        <v>ITN</v>
      </c>
      <c r="T480" s="15" t="str">
        <f>IFERROR(__xludf.DUMMYFUNCTION("""COMPUTED_VALUE"""),"10")</f>
        <v>10</v>
      </c>
      <c r="U480" s="15" t="str">
        <f>IFERROR(__xludf.DUMMYFUNCTION("""COMPUTED_VALUE"""),"266806793 1306037 8177323 ney coutinho sbv comercio de artigo trifil ssa 10")</f>
        <v>266806793 1306037 8177323 ney coutinho sbv comercio de artigo trifil ssa 10</v>
      </c>
      <c r="V480" s="15" t="b">
        <f>IFERROR(__xludf.DUMMYFUNCTION("""COMPUTED_VALUE"""),FALSE)</f>
        <v>0</v>
      </c>
    </row>
    <row r="481">
      <c r="A481" s="19">
        <f>IFERROR(__xludf.DUMMYFUNCTION("""COMPUTED_VALUE"""),46304.0)</f>
        <v>46304</v>
      </c>
      <c r="B481" s="19">
        <f>IFERROR(__xludf.DUMMYFUNCTION("""COMPUTED_VALUE"""),46314.0)</f>
        <v>46314</v>
      </c>
      <c r="C481" s="15">
        <f>IFERROR(__xludf.DUMMYFUNCTION("""COMPUTED_VALUE"""),5.0)</f>
        <v>5</v>
      </c>
      <c r="D481" s="15" t="str">
        <f>IFERROR(__xludf.DUMMYFUNCTION("""COMPUTED_VALUE"""),"SSA")</f>
        <v>SSA</v>
      </c>
      <c r="E481" s="15" t="str">
        <f>IFERROR(__xludf.DUMMYFUNCTION("""COMPUTED_VALUE"""),"MASTER STOCK - SSA")</f>
        <v>MASTER STOCK - SSA</v>
      </c>
      <c r="F481" s="15" t="str">
        <f>IFERROR(__xludf.DUMMYFUNCTION("""COMPUTED_VALUE"""),"TRIFIL")</f>
        <v>TRIFIL</v>
      </c>
      <c r="G481" s="15" t="str">
        <f>IFERROR(__xludf.DUMMYFUNCTION("""COMPUTED_VALUE"""),"266806794")</f>
        <v>266806794</v>
      </c>
      <c r="H481" s="15" t="str">
        <f>IFERROR(__xludf.DUMMYFUNCTION("""COMPUTED_VALUE"""),"1305960")</f>
        <v>1305960</v>
      </c>
      <c r="I481" s="15" t="str">
        <f>IFERROR(__xludf.DUMMYFUNCTION("""COMPUTED_VALUE"""),"8177348")</f>
        <v>8177348</v>
      </c>
      <c r="J481" s="15" t="str">
        <f>IFERROR(__xludf.DUMMYFUNCTION("""COMPUTED_VALUE"""),"CIF")</f>
        <v>CIF</v>
      </c>
      <c r="K481" s="15" t="str">
        <f>IFERROR(__xludf.DUMMYFUNCTION("""COMPUTED_VALUE"""),"FSA-1")</f>
        <v>FSA-1</v>
      </c>
      <c r="L481" s="15" t="str">
        <f>IFERROR(__xludf.DUMMYFUNCTION("""COMPUTED_VALUE"""),"AUTORIZADO")</f>
        <v>AUTORIZADO</v>
      </c>
      <c r="M481" s="15" t="str">
        <f>IFERROR(__xludf.DUMMYFUNCTION("""COMPUTED_VALUE"""),"NA ORIGEM")</f>
        <v>NA ORIGEM</v>
      </c>
      <c r="N481" s="15" t="str">
        <f>IFERROR(__xludf.DUMMYFUNCTION("""COMPUTED_VALUE"""),"Antes Prazo")</f>
        <v>Antes Prazo</v>
      </c>
      <c r="O481" s="15" t="str">
        <f>IFERROR(__xludf.DUMMYFUNCTION("""COMPUTED_VALUE"""),"B2B")</f>
        <v>B2B</v>
      </c>
      <c r="P481" s="16">
        <f>IFERROR(__xludf.DUMMYFUNCTION("""COMPUTED_VALUE"""),33.82)</f>
        <v>33.82</v>
      </c>
      <c r="Q481" s="15">
        <f>IFERROR(__xludf.DUMMYFUNCTION("""COMPUTED_VALUE"""),2.0)</f>
        <v>2</v>
      </c>
      <c r="R481" s="15" t="str">
        <f>IFERROR(__xludf.DUMMYFUNCTION("""COMPUTED_VALUE"""),"RODO")</f>
        <v>RODO</v>
      </c>
      <c r="S481" s="15" t="str">
        <f>IFERROR(__xludf.DUMMYFUNCTION("""COMPUTED_VALUE"""),"ITN")</f>
        <v>ITN</v>
      </c>
      <c r="T481" s="15" t="str">
        <f>IFERROR(__xludf.DUMMYFUNCTION("""COMPUTED_VALUE"""),"19")</f>
        <v>19</v>
      </c>
      <c r="U481" s="15" t="str">
        <f>IFERROR(__xludf.DUMMYFUNCTION("""COMPUTED_VALUE"""),"266806794 1305960 8177348 master stock - ssa trifil ssa 19")</f>
        <v>266806794 1305960 8177348 master stock - ssa trifil ssa 19</v>
      </c>
      <c r="V481" s="15" t="b">
        <f>IFERROR(__xludf.DUMMYFUNCTION("""COMPUTED_VALUE"""),FALSE)</f>
        <v>0</v>
      </c>
    </row>
    <row r="482">
      <c r="A482" s="19">
        <f>IFERROR(__xludf.DUMMYFUNCTION("""COMPUTED_VALUE"""),46304.0)</f>
        <v>46304</v>
      </c>
      <c r="B482" s="19">
        <f>IFERROR(__xludf.DUMMYFUNCTION("""COMPUTED_VALUE"""),46314.0)</f>
        <v>46314</v>
      </c>
      <c r="C482" s="15">
        <f>IFERROR(__xludf.DUMMYFUNCTION("""COMPUTED_VALUE"""),5.0)</f>
        <v>5</v>
      </c>
      <c r="D482" s="15" t="str">
        <f>IFERROR(__xludf.DUMMYFUNCTION("""COMPUTED_VALUE"""),"SSA")</f>
        <v>SSA</v>
      </c>
      <c r="E482" s="15" t="str">
        <f>IFERROR(__xludf.DUMMYFUNCTION("""COMPUTED_VALUE"""),"CASUAL")</f>
        <v>CASUAL</v>
      </c>
      <c r="F482" s="15" t="str">
        <f>IFERROR(__xludf.DUMMYFUNCTION("""COMPUTED_VALUE"""),"TRIFIL")</f>
        <v>TRIFIL</v>
      </c>
      <c r="G482" s="15" t="str">
        <f>IFERROR(__xludf.DUMMYFUNCTION("""COMPUTED_VALUE"""),"266806795")</f>
        <v>266806795</v>
      </c>
      <c r="H482" s="15" t="str">
        <f>IFERROR(__xludf.DUMMYFUNCTION("""COMPUTED_VALUE"""),"1305787")</f>
        <v>1305787</v>
      </c>
      <c r="I482" s="15" t="str">
        <f>IFERROR(__xludf.DUMMYFUNCTION("""COMPUTED_VALUE"""),"8177292")</f>
        <v>8177292</v>
      </c>
      <c r="J482" s="15" t="str">
        <f>IFERROR(__xludf.DUMMYFUNCTION("""COMPUTED_VALUE"""),"CIF")</f>
        <v>CIF</v>
      </c>
      <c r="K482" s="15" t="str">
        <f>IFERROR(__xludf.DUMMYFUNCTION("""COMPUTED_VALUE"""),"FSA-1")</f>
        <v>FSA-1</v>
      </c>
      <c r="L482" s="15" t="str">
        <f>IFERROR(__xludf.DUMMYFUNCTION("""COMPUTED_VALUE"""),"AUTORIZADO")</f>
        <v>AUTORIZADO</v>
      </c>
      <c r="M482" s="15" t="str">
        <f>IFERROR(__xludf.DUMMYFUNCTION("""COMPUTED_VALUE"""),"NA ORIGEM")</f>
        <v>NA ORIGEM</v>
      </c>
      <c r="N482" s="15" t="str">
        <f>IFERROR(__xludf.DUMMYFUNCTION("""COMPUTED_VALUE"""),"Antes Prazo")</f>
        <v>Antes Prazo</v>
      </c>
      <c r="O482" s="15" t="str">
        <f>IFERROR(__xludf.DUMMYFUNCTION("""COMPUTED_VALUE"""),"B2B")</f>
        <v>B2B</v>
      </c>
      <c r="P482" s="16">
        <f>IFERROR(__xludf.DUMMYFUNCTION("""COMPUTED_VALUE"""),33.82)</f>
        <v>33.82</v>
      </c>
      <c r="Q482" s="15">
        <f>IFERROR(__xludf.DUMMYFUNCTION("""COMPUTED_VALUE"""),1.0)</f>
        <v>1</v>
      </c>
      <c r="R482" s="15" t="str">
        <f>IFERROR(__xludf.DUMMYFUNCTION("""COMPUTED_VALUE"""),"RODO")</f>
        <v>RODO</v>
      </c>
      <c r="S482" s="15" t="str">
        <f>IFERROR(__xludf.DUMMYFUNCTION("""COMPUTED_VALUE"""),"ITN")</f>
        <v>ITN</v>
      </c>
      <c r="T482" s="15" t="str">
        <f>IFERROR(__xludf.DUMMYFUNCTION("""COMPUTED_VALUE"""),"11")</f>
        <v>11</v>
      </c>
      <c r="U482" s="15" t="str">
        <f>IFERROR(__xludf.DUMMYFUNCTION("""COMPUTED_VALUE"""),"266806795 1305787 8177292 casual trifil ssa 11")</f>
        <v>266806795 1305787 8177292 casual trifil ssa 11</v>
      </c>
      <c r="V482" s="15" t="b">
        <f>IFERROR(__xludf.DUMMYFUNCTION("""COMPUTED_VALUE"""),FALSE)</f>
        <v>0</v>
      </c>
    </row>
    <row r="483">
      <c r="A483" s="19">
        <f>IFERROR(__xludf.DUMMYFUNCTION("""COMPUTED_VALUE"""),46304.0)</f>
        <v>46304</v>
      </c>
      <c r="B483" s="19">
        <f>IFERROR(__xludf.DUMMYFUNCTION("""COMPUTED_VALUE"""),46314.0)</f>
        <v>46314</v>
      </c>
      <c r="C483" s="15">
        <f>IFERROR(__xludf.DUMMYFUNCTION("""COMPUTED_VALUE"""),5.0)</f>
        <v>5</v>
      </c>
      <c r="D483" s="15" t="str">
        <f>IFERROR(__xludf.DUMMYFUNCTION("""COMPUTED_VALUE"""),"SSA")</f>
        <v>SSA</v>
      </c>
      <c r="E483" s="15" t="str">
        <f>IFERROR(__xludf.DUMMYFUNCTION("""COMPUTED_VALUE"""),"TRANPOLIM - SHOPING DA BAHIA")</f>
        <v>TRANPOLIM - SHOPING DA BAHIA</v>
      </c>
      <c r="F483" s="15" t="str">
        <f>IFERROR(__xludf.DUMMYFUNCTION("""COMPUTED_VALUE"""),"TRIFIL")</f>
        <v>TRIFIL</v>
      </c>
      <c r="G483" s="15" t="str">
        <f>IFERROR(__xludf.DUMMYFUNCTION("""COMPUTED_VALUE"""),"266806796")</f>
        <v>266806796</v>
      </c>
      <c r="H483" s="15" t="str">
        <f>IFERROR(__xludf.DUMMYFUNCTION("""COMPUTED_VALUE"""),"1305961")</f>
        <v>1305961</v>
      </c>
      <c r="I483" s="15" t="str">
        <f>IFERROR(__xludf.DUMMYFUNCTION("""COMPUTED_VALUE"""),"8177349")</f>
        <v>8177349</v>
      </c>
      <c r="J483" s="15" t="str">
        <f>IFERROR(__xludf.DUMMYFUNCTION("""COMPUTED_VALUE"""),"CIF")</f>
        <v>CIF</v>
      </c>
      <c r="K483" s="15" t="str">
        <f>IFERROR(__xludf.DUMMYFUNCTION("""COMPUTED_VALUE"""),"FSA-1")</f>
        <v>FSA-1</v>
      </c>
      <c r="L483" s="15" t="str">
        <f>IFERROR(__xludf.DUMMYFUNCTION("""COMPUTED_VALUE"""),"AUTORIZADO")</f>
        <v>AUTORIZADO</v>
      </c>
      <c r="M483" s="15" t="str">
        <f>IFERROR(__xludf.DUMMYFUNCTION("""COMPUTED_VALUE"""),"NA ORIGEM")</f>
        <v>NA ORIGEM</v>
      </c>
      <c r="N483" s="15" t="str">
        <f>IFERROR(__xludf.DUMMYFUNCTION("""COMPUTED_VALUE"""),"Antes Prazo")</f>
        <v>Antes Prazo</v>
      </c>
      <c r="O483" s="15" t="str">
        <f>IFERROR(__xludf.DUMMYFUNCTION("""COMPUTED_VALUE"""),"B2B")</f>
        <v>B2B</v>
      </c>
      <c r="P483" s="16">
        <f>IFERROR(__xludf.DUMMYFUNCTION("""COMPUTED_VALUE"""),33.82)</f>
        <v>33.82</v>
      </c>
      <c r="Q483" s="15">
        <f>IFERROR(__xludf.DUMMYFUNCTION("""COMPUTED_VALUE"""),3.0)</f>
        <v>3</v>
      </c>
      <c r="R483" s="15" t="str">
        <f>IFERROR(__xludf.DUMMYFUNCTION("""COMPUTED_VALUE"""),"RODO")</f>
        <v>RODO</v>
      </c>
      <c r="S483" s="15" t="str">
        <f>IFERROR(__xludf.DUMMYFUNCTION("""COMPUTED_VALUE"""),"ITN")</f>
        <v>ITN</v>
      </c>
      <c r="T483" s="15" t="str">
        <f>IFERROR(__xludf.DUMMYFUNCTION("""COMPUTED_VALUE"""),"29")</f>
        <v>29</v>
      </c>
      <c r="U483" s="15" t="str">
        <f>IFERROR(__xludf.DUMMYFUNCTION("""COMPUTED_VALUE"""),"266806796 1305961 8177349 tranpolim - shoping da bahia trifil ssa 29")</f>
        <v>266806796 1305961 8177349 tranpolim - shoping da bahia trifil ssa 29</v>
      </c>
      <c r="V483" s="15" t="b">
        <f>IFERROR(__xludf.DUMMYFUNCTION("""COMPUTED_VALUE"""),FALSE)</f>
        <v>0</v>
      </c>
    </row>
    <row r="484">
      <c r="A484" s="19">
        <f>IFERROR(__xludf.DUMMYFUNCTION("""COMPUTED_VALUE"""),46304.0)</f>
        <v>46304</v>
      </c>
      <c r="B484" s="19">
        <f>IFERROR(__xludf.DUMMYFUNCTION("""COMPUTED_VALUE"""),46314.0)</f>
        <v>46314</v>
      </c>
      <c r="C484" s="15">
        <f>IFERROR(__xludf.DUMMYFUNCTION("""COMPUTED_VALUE"""),5.0)</f>
        <v>5</v>
      </c>
      <c r="D484" s="15" t="str">
        <f>IFERROR(__xludf.DUMMYFUNCTION("""COMPUTED_VALUE"""),"SSA")</f>
        <v>SSA</v>
      </c>
      <c r="E484" s="15" t="str">
        <f>IFERROR(__xludf.DUMMYFUNCTION("""COMPUTED_VALUE"""),"PLANETA CALCADOS")</f>
        <v>PLANETA CALCADOS</v>
      </c>
      <c r="F484" s="15" t="str">
        <f>IFERROR(__xludf.DUMMYFUNCTION("""COMPUTED_VALUE"""),"TRIFIL")</f>
        <v>TRIFIL</v>
      </c>
      <c r="G484" s="15" t="str">
        <f>IFERROR(__xludf.DUMMYFUNCTION("""COMPUTED_VALUE"""),"266806797")</f>
        <v>266806797</v>
      </c>
      <c r="H484" s="15" t="str">
        <f>IFERROR(__xludf.DUMMYFUNCTION("""COMPUTED_VALUE"""),"1306226")</f>
        <v>1306226</v>
      </c>
      <c r="I484" s="15" t="str">
        <f>IFERROR(__xludf.DUMMYFUNCTION("""COMPUTED_VALUE"""),"8177159")</f>
        <v>8177159</v>
      </c>
      <c r="J484" s="15" t="str">
        <f>IFERROR(__xludf.DUMMYFUNCTION("""COMPUTED_VALUE"""),"CIF")</f>
        <v>CIF</v>
      </c>
      <c r="K484" s="15" t="str">
        <f>IFERROR(__xludf.DUMMYFUNCTION("""COMPUTED_VALUE"""),"FSA-1")</f>
        <v>FSA-1</v>
      </c>
      <c r="L484" s="15" t="str">
        <f>IFERROR(__xludf.DUMMYFUNCTION("""COMPUTED_VALUE"""),"AUTORIZADO")</f>
        <v>AUTORIZADO</v>
      </c>
      <c r="M484" s="15" t="str">
        <f>IFERROR(__xludf.DUMMYFUNCTION("""COMPUTED_VALUE"""),"NA ORIGEM")</f>
        <v>NA ORIGEM</v>
      </c>
      <c r="N484" s="15" t="str">
        <f>IFERROR(__xludf.DUMMYFUNCTION("""COMPUTED_VALUE"""),"Antes Prazo")</f>
        <v>Antes Prazo</v>
      </c>
      <c r="O484" s="15" t="str">
        <f>IFERROR(__xludf.DUMMYFUNCTION("""COMPUTED_VALUE"""),"B2B")</f>
        <v>B2B</v>
      </c>
      <c r="P484" s="16">
        <f>IFERROR(__xludf.DUMMYFUNCTION("""COMPUTED_VALUE"""),37.78)</f>
        <v>37.78</v>
      </c>
      <c r="Q484" s="15">
        <f>IFERROR(__xludf.DUMMYFUNCTION("""COMPUTED_VALUE"""),1.0)</f>
        <v>1</v>
      </c>
      <c r="R484" s="15" t="str">
        <f>IFERROR(__xludf.DUMMYFUNCTION("""COMPUTED_VALUE"""),"RODO")</f>
        <v>RODO</v>
      </c>
      <c r="S484" s="15" t="str">
        <f>IFERROR(__xludf.DUMMYFUNCTION("""COMPUTED_VALUE"""),"ITN")</f>
        <v>ITN</v>
      </c>
      <c r="T484" s="15" t="str">
        <f>IFERROR(__xludf.DUMMYFUNCTION("""COMPUTED_VALUE"""),"101")</f>
        <v>101</v>
      </c>
      <c r="U484" s="15" t="str">
        <f>IFERROR(__xludf.DUMMYFUNCTION("""COMPUTED_VALUE"""),"266806797 1306226 8177159 planeta calcados trifil ssa 101")</f>
        <v>266806797 1306226 8177159 planeta calcados trifil ssa 101</v>
      </c>
      <c r="V484" s="15" t="b">
        <f>IFERROR(__xludf.DUMMYFUNCTION("""COMPUTED_VALUE"""),FALSE)</f>
        <v>0</v>
      </c>
    </row>
    <row r="485">
      <c r="A485" s="19">
        <f>IFERROR(__xludf.DUMMYFUNCTION("""COMPUTED_VALUE"""),46304.0)</f>
        <v>46304</v>
      </c>
      <c r="B485" s="19">
        <f>IFERROR(__xludf.DUMMYFUNCTION("""COMPUTED_VALUE"""),46314.0)</f>
        <v>46314</v>
      </c>
      <c r="C485" s="15">
        <f>IFERROR(__xludf.DUMMYFUNCTION("""COMPUTED_VALUE"""),5.0)</f>
        <v>5</v>
      </c>
      <c r="D485" s="15" t="str">
        <f>IFERROR(__xludf.DUMMYFUNCTION("""COMPUTED_VALUE"""),"SSA")</f>
        <v>SSA</v>
      </c>
      <c r="E485" s="15" t="str">
        <f>IFERROR(__xludf.DUMMYFUNCTION("""COMPUTED_VALUE"""),"SCALA COMERCIO DE ROUPAS E A. LTDA")</f>
        <v>SCALA COMERCIO DE ROUPAS E A. LTDA</v>
      </c>
      <c r="F485" s="15" t="str">
        <f>IFERROR(__xludf.DUMMYFUNCTION("""COMPUTED_VALUE"""),"TRIFIL")</f>
        <v>TRIFIL</v>
      </c>
      <c r="G485" s="15" t="str">
        <f>IFERROR(__xludf.DUMMYFUNCTION("""COMPUTED_VALUE"""),"266806798")</f>
        <v>266806798</v>
      </c>
      <c r="H485" s="15" t="str">
        <f>IFERROR(__xludf.DUMMYFUNCTION("""COMPUTED_VALUE"""),"1305981, 1306054")</f>
        <v>1305981, 1306054</v>
      </c>
      <c r="I485" s="15" t="str">
        <f>IFERROR(__xludf.DUMMYFUNCTION("""COMPUTED_VALUE"""),"8177324")</f>
        <v>8177324</v>
      </c>
      <c r="J485" s="15" t="str">
        <f>IFERROR(__xludf.DUMMYFUNCTION("""COMPUTED_VALUE"""),"CIF")</f>
        <v>CIF</v>
      </c>
      <c r="K485" s="15" t="str">
        <f>IFERROR(__xludf.DUMMYFUNCTION("""COMPUTED_VALUE"""),"FSA-1")</f>
        <v>FSA-1</v>
      </c>
      <c r="L485" s="15" t="str">
        <f>IFERROR(__xludf.DUMMYFUNCTION("""COMPUTED_VALUE"""),"AUTORIZADO")</f>
        <v>AUTORIZADO</v>
      </c>
      <c r="M485" s="15" t="str">
        <f>IFERROR(__xludf.DUMMYFUNCTION("""COMPUTED_VALUE"""),"NA ORIGEM")</f>
        <v>NA ORIGEM</v>
      </c>
      <c r="N485" s="15" t="str">
        <f>IFERROR(__xludf.DUMMYFUNCTION("""COMPUTED_VALUE"""),"Antes Prazo")</f>
        <v>Antes Prazo</v>
      </c>
      <c r="O485" s="15" t="str">
        <f>IFERROR(__xludf.DUMMYFUNCTION("""COMPUTED_VALUE"""),"B2B")</f>
        <v>B2B</v>
      </c>
      <c r="P485" s="16">
        <f>IFERROR(__xludf.DUMMYFUNCTION("""COMPUTED_VALUE"""),43.94)</f>
        <v>43.94</v>
      </c>
      <c r="Q485" s="15">
        <f>IFERROR(__xludf.DUMMYFUNCTION("""COMPUTED_VALUE"""),9.0)</f>
        <v>9</v>
      </c>
      <c r="R485" s="15" t="str">
        <f>IFERROR(__xludf.DUMMYFUNCTION("""COMPUTED_VALUE"""),"RODO")</f>
        <v>RODO</v>
      </c>
      <c r="S485" s="15" t="str">
        <f>IFERROR(__xludf.DUMMYFUNCTION("""COMPUTED_VALUE"""),"ITN")</f>
        <v>ITN</v>
      </c>
      <c r="T485" s="15" t="str">
        <f>IFERROR(__xludf.DUMMYFUNCTION("""COMPUTED_VALUE"""),"106")</f>
        <v>106</v>
      </c>
      <c r="U485" s="15" t="str">
        <f>IFERROR(__xludf.DUMMYFUNCTION("""COMPUTED_VALUE"""),"266806798 1305981, 1306054 8177324 scala comercio de roupas e a. ltda trifil ssa 106")</f>
        <v>266806798 1305981, 1306054 8177324 scala comercio de roupas e a. ltda trifil ssa 106</v>
      </c>
      <c r="V485" s="15" t="b">
        <f>IFERROR(__xludf.DUMMYFUNCTION("""COMPUTED_VALUE"""),FALSE)</f>
        <v>0</v>
      </c>
    </row>
    <row r="486">
      <c r="A486" s="19">
        <f>IFERROR(__xludf.DUMMYFUNCTION("""COMPUTED_VALUE"""),46304.0)</f>
        <v>46304</v>
      </c>
      <c r="B486" s="19">
        <f>IFERROR(__xludf.DUMMYFUNCTION("""COMPUTED_VALUE"""),46314.0)</f>
        <v>46314</v>
      </c>
      <c r="C486" s="15">
        <f>IFERROR(__xludf.DUMMYFUNCTION("""COMPUTED_VALUE"""),5.0)</f>
        <v>5</v>
      </c>
      <c r="D486" s="15" t="str">
        <f>IFERROR(__xludf.DUMMYFUNCTION("""COMPUTED_VALUE"""),"FSA")</f>
        <v>FSA</v>
      </c>
      <c r="E486" s="15" t="str">
        <f>IFERROR(__xludf.DUMMYFUNCTION("""COMPUTED_VALUE"""),"JOILSON DA CONCEICAO MACEDO")</f>
        <v>JOILSON DA CONCEICAO MACEDO</v>
      </c>
      <c r="F486" s="15" t="str">
        <f>IFERROR(__xludf.DUMMYFUNCTION("""COMPUTED_VALUE"""),"TRIFIL")</f>
        <v>TRIFIL</v>
      </c>
      <c r="G486" s="15" t="str">
        <f>IFERROR(__xludf.DUMMYFUNCTION("""COMPUTED_VALUE"""),"266806799")</f>
        <v>266806799</v>
      </c>
      <c r="H486" s="15" t="str">
        <f>IFERROR(__xludf.DUMMYFUNCTION("""COMPUTED_VALUE"""),"1305976")</f>
        <v>1305976</v>
      </c>
      <c r="I486" s="15" t="str">
        <f>IFERROR(__xludf.DUMMYFUNCTION("""COMPUTED_VALUE"""),"8177350")</f>
        <v>8177350</v>
      </c>
      <c r="J486" s="15" t="str">
        <f>IFERROR(__xludf.DUMMYFUNCTION("""COMPUTED_VALUE"""),"CIF")</f>
        <v>CIF</v>
      </c>
      <c r="K486" s="15" t="str">
        <f>IFERROR(__xludf.DUMMYFUNCTION("""COMPUTED_VALUE"""),"(sem célula)")</f>
        <v>(sem célula)</v>
      </c>
      <c r="L486" s="15" t="str">
        <f>IFERROR(__xludf.DUMMYFUNCTION("""COMPUTED_VALUE"""),"AUTORIZADO")</f>
        <v>AUTORIZADO</v>
      </c>
      <c r="M486" s="15" t="str">
        <f>IFERROR(__xludf.DUMMYFUNCTION("""COMPUTED_VALUE"""),"NA ORIGEM")</f>
        <v>NA ORIGEM</v>
      </c>
      <c r="N486" s="15" t="str">
        <f>IFERROR(__xludf.DUMMYFUNCTION("""COMPUTED_VALUE"""),"Antes Prazo")</f>
        <v>Antes Prazo</v>
      </c>
      <c r="O486" s="15" t="str">
        <f>IFERROR(__xludf.DUMMYFUNCTION("""COMPUTED_VALUE"""),"B2B")</f>
        <v>B2B</v>
      </c>
      <c r="P486" s="16">
        <f>IFERROR(__xludf.DUMMYFUNCTION("""COMPUTED_VALUE"""),36.71)</f>
        <v>36.71</v>
      </c>
      <c r="Q486" s="15">
        <f>IFERROR(__xludf.DUMMYFUNCTION("""COMPUTED_VALUE"""),5.0)</f>
        <v>5</v>
      </c>
      <c r="R486" s="15" t="str">
        <f>IFERROR(__xludf.DUMMYFUNCTION("""COMPUTED_VALUE"""),"RODO")</f>
        <v>RODO</v>
      </c>
      <c r="S486" s="15" t="str">
        <f>IFERROR(__xludf.DUMMYFUNCTION("""COMPUTED_VALUE"""),"ITN")</f>
        <v>ITN</v>
      </c>
      <c r="T486" s="15" t="str">
        <f>IFERROR(__xludf.DUMMYFUNCTION("""COMPUTED_VALUE"""),"2")</f>
        <v>2</v>
      </c>
      <c r="U486" s="15" t="str">
        <f>IFERROR(__xludf.DUMMYFUNCTION("""COMPUTED_VALUE"""),"266806799 1305976 8177350 joilson da conceicao macedo trifil fsa 2")</f>
        <v>266806799 1305976 8177350 joilson da conceicao macedo trifil fsa 2</v>
      </c>
      <c r="V486" s="15" t="b">
        <f>IFERROR(__xludf.DUMMYFUNCTION("""COMPUTED_VALUE"""),FALSE)</f>
        <v>0</v>
      </c>
    </row>
    <row r="487">
      <c r="A487" s="19">
        <f>IFERROR(__xludf.DUMMYFUNCTION("""COMPUTED_VALUE"""),46304.0)</f>
        <v>46304</v>
      </c>
      <c r="B487" s="19">
        <f>IFERROR(__xludf.DUMMYFUNCTION("""COMPUTED_VALUE"""),46314.0)</f>
        <v>46314</v>
      </c>
      <c r="C487" s="15">
        <f>IFERROR(__xludf.DUMMYFUNCTION("""COMPUTED_VALUE"""),5.0)</f>
        <v>5</v>
      </c>
      <c r="D487" s="15" t="str">
        <f>IFERROR(__xludf.DUMMYFUNCTION("""COMPUTED_VALUE"""),"FSA")</f>
        <v>FSA</v>
      </c>
      <c r="E487" s="15" t="str">
        <f>IFERROR(__xludf.DUMMYFUNCTION("""COMPUTED_VALUE"""),"Alysson Fabio Carvalho Conceicao")</f>
        <v>Alysson Fabio Carvalho Conceicao</v>
      </c>
      <c r="F487" s="15" t="str">
        <f>IFERROR(__xludf.DUMMYFUNCTION("""COMPUTED_VALUE"""),"TRIFIL")</f>
        <v>TRIFIL</v>
      </c>
      <c r="G487" s="15" t="str">
        <f>IFERROR(__xludf.DUMMYFUNCTION("""COMPUTED_VALUE"""),"266806801")</f>
        <v>266806801</v>
      </c>
      <c r="H487" s="15" t="str">
        <f>IFERROR(__xludf.DUMMYFUNCTION("""COMPUTED_VALUE"""),"1306036")</f>
        <v>1306036</v>
      </c>
      <c r="I487" s="15" t="str">
        <f>IFERROR(__xludf.DUMMYFUNCTION("""COMPUTED_VALUE"""),"8177222")</f>
        <v>8177222</v>
      </c>
      <c r="J487" s="15" t="str">
        <f>IFERROR(__xludf.DUMMYFUNCTION("""COMPUTED_VALUE"""),"CIF")</f>
        <v>CIF</v>
      </c>
      <c r="K487" s="15" t="str">
        <f>IFERROR(__xludf.DUMMYFUNCTION("""COMPUTED_VALUE"""),"(sem célula)")</f>
        <v>(sem célula)</v>
      </c>
      <c r="L487" s="15" t="str">
        <f>IFERROR(__xludf.DUMMYFUNCTION("""COMPUTED_VALUE"""),"AUTORIZADO")</f>
        <v>AUTORIZADO</v>
      </c>
      <c r="M487" s="15" t="str">
        <f>IFERROR(__xludf.DUMMYFUNCTION("""COMPUTED_VALUE"""),"NA ORIGEM")</f>
        <v>NA ORIGEM</v>
      </c>
      <c r="N487" s="15" t="str">
        <f>IFERROR(__xludf.DUMMYFUNCTION("""COMPUTED_VALUE"""),"Antes Prazo")</f>
        <v>Antes Prazo</v>
      </c>
      <c r="O487" s="15" t="str">
        <f>IFERROR(__xludf.DUMMYFUNCTION("""COMPUTED_VALUE"""),"B2B")</f>
        <v>B2B</v>
      </c>
      <c r="P487" s="16">
        <f>IFERROR(__xludf.DUMMYFUNCTION("""COMPUTED_VALUE"""),31.77)</f>
        <v>31.77</v>
      </c>
      <c r="Q487" s="15">
        <f>IFERROR(__xludf.DUMMYFUNCTION("""COMPUTED_VALUE"""),1.0)</f>
        <v>1</v>
      </c>
      <c r="R487" s="15" t="str">
        <f>IFERROR(__xludf.DUMMYFUNCTION("""COMPUTED_VALUE"""),"RODO")</f>
        <v>RODO</v>
      </c>
      <c r="S487" s="15" t="str">
        <f>IFERROR(__xludf.DUMMYFUNCTION("""COMPUTED_VALUE"""),"ITN")</f>
        <v>ITN</v>
      </c>
      <c r="T487" s="15" t="str">
        <f>IFERROR(__xludf.DUMMYFUNCTION("""COMPUTED_VALUE"""),"66")</f>
        <v>66</v>
      </c>
      <c r="U487" s="15" t="str">
        <f>IFERROR(__xludf.DUMMYFUNCTION("""COMPUTED_VALUE"""),"266806801 1306036 8177222 alysson fabio carvalho conceicao trifil fsa 66")</f>
        <v>266806801 1306036 8177222 alysson fabio carvalho conceicao trifil fsa 66</v>
      </c>
      <c r="V487" s="15" t="b">
        <f>IFERROR(__xludf.DUMMYFUNCTION("""COMPUTED_VALUE"""),FALSE)</f>
        <v>0</v>
      </c>
    </row>
    <row r="488">
      <c r="A488" s="19">
        <f>IFERROR(__xludf.DUMMYFUNCTION("""COMPUTED_VALUE"""),46304.0)</f>
        <v>46304</v>
      </c>
      <c r="B488" s="19">
        <f>IFERROR(__xludf.DUMMYFUNCTION("""COMPUTED_VALUE"""),46317.0)</f>
        <v>46317</v>
      </c>
      <c r="C488" s="15">
        <f>IFERROR(__xludf.DUMMYFUNCTION("""COMPUTED_VALUE"""),8.0)</f>
        <v>8</v>
      </c>
      <c r="D488" s="15" t="str">
        <f>IFERROR(__xludf.DUMMYFUNCTION("""COMPUTED_VALUE"""),"FSA")</f>
        <v>FSA</v>
      </c>
      <c r="E488" s="15" t="str">
        <f>IFERROR(__xludf.DUMMYFUNCTION("""COMPUTED_VALUE"""),"JOSE DA CONCEIÇÃO FERREIRA DA MATA")</f>
        <v>JOSE DA CONCEIÇÃO FERREIRA DA MATA</v>
      </c>
      <c r="F488" s="15" t="str">
        <f>IFERROR(__xludf.DUMMYFUNCTION("""COMPUTED_VALUE"""),"TRIFIL")</f>
        <v>TRIFIL</v>
      </c>
      <c r="G488" s="15" t="str">
        <f>IFERROR(__xludf.DUMMYFUNCTION("""COMPUTED_VALUE"""),"266806802")</f>
        <v>266806802</v>
      </c>
      <c r="H488" s="15" t="str">
        <f>IFERROR(__xludf.DUMMYFUNCTION("""COMPUTED_VALUE"""),"1306027")</f>
        <v>1306027</v>
      </c>
      <c r="I488" s="15" t="str">
        <f>IFERROR(__xludf.DUMMYFUNCTION("""COMPUTED_VALUE"""),"8177189")</f>
        <v>8177189</v>
      </c>
      <c r="J488" s="15" t="str">
        <f>IFERROR(__xludf.DUMMYFUNCTION("""COMPUTED_VALUE"""),"CIF")</f>
        <v>CIF</v>
      </c>
      <c r="K488" s="15" t="str">
        <f>IFERROR(__xludf.DUMMYFUNCTION("""COMPUTED_VALUE"""),"(sem célula)")</f>
        <v>(sem célula)</v>
      </c>
      <c r="L488" s="15" t="str">
        <f>IFERROR(__xludf.DUMMYFUNCTION("""COMPUTED_VALUE"""),"AUTORIZADO")</f>
        <v>AUTORIZADO</v>
      </c>
      <c r="M488" s="15" t="str">
        <f>IFERROR(__xludf.DUMMYFUNCTION("""COMPUTED_VALUE"""),"NA ORIGEM")</f>
        <v>NA ORIGEM</v>
      </c>
      <c r="N488" s="15" t="str">
        <f>IFERROR(__xludf.DUMMYFUNCTION("""COMPUTED_VALUE"""),"Antes Prazo")</f>
        <v>Antes Prazo</v>
      </c>
      <c r="O488" s="15" t="str">
        <f>IFERROR(__xludf.DUMMYFUNCTION("""COMPUTED_VALUE"""),"B2B")</f>
        <v>B2B</v>
      </c>
      <c r="P488" s="16">
        <f>IFERROR(__xludf.DUMMYFUNCTION("""COMPUTED_VALUE"""),33.82)</f>
        <v>33.82</v>
      </c>
      <c r="Q488" s="15">
        <f>IFERROR(__xludf.DUMMYFUNCTION("""COMPUTED_VALUE"""),1.0)</f>
        <v>1</v>
      </c>
      <c r="R488" s="15" t="str">
        <f>IFERROR(__xludf.DUMMYFUNCTION("""COMPUTED_VALUE"""),"RODO")</f>
        <v>RODO</v>
      </c>
      <c r="S488" s="15" t="str">
        <f>IFERROR(__xludf.DUMMYFUNCTION("""COMPUTED_VALUE"""),"ITN")</f>
        <v>ITN</v>
      </c>
      <c r="T488" s="15" t="str">
        <f>IFERROR(__xludf.DUMMYFUNCTION("""COMPUTED_VALUE"""),"211")</f>
        <v>211</v>
      </c>
      <c r="U488" s="15" t="str">
        <f>IFERROR(__xludf.DUMMYFUNCTION("""COMPUTED_VALUE"""),"266806802 1306027 8177189 jose da conceição ferreira da mata trifil fsa 211")</f>
        <v>266806802 1306027 8177189 jose da conceição ferreira da mata trifil fsa 211</v>
      </c>
      <c r="V488" s="15" t="b">
        <f>IFERROR(__xludf.DUMMYFUNCTION("""COMPUTED_VALUE"""),FALSE)</f>
        <v>0</v>
      </c>
    </row>
    <row r="489">
      <c r="A489" s="19">
        <f>IFERROR(__xludf.DUMMYFUNCTION("""COMPUTED_VALUE"""),46304.0)</f>
        <v>46304</v>
      </c>
      <c r="B489" s="19">
        <f>IFERROR(__xludf.DUMMYFUNCTION("""COMPUTED_VALUE"""),46318.0)</f>
        <v>46318</v>
      </c>
      <c r="C489" s="15">
        <f>IFERROR(__xludf.DUMMYFUNCTION("""COMPUTED_VALUE"""),9.0)</f>
        <v>9</v>
      </c>
      <c r="D489" s="15" t="str">
        <f>IFERROR(__xludf.DUMMYFUNCTION("""COMPUTED_VALUE"""),"FSA")</f>
        <v>FSA</v>
      </c>
      <c r="E489" s="15" t="str">
        <f>IFERROR(__xludf.DUMMYFUNCTION("""COMPUTED_VALUE"""),"I O CARNEIRO GUIMARAES")</f>
        <v>I O CARNEIRO GUIMARAES</v>
      </c>
      <c r="F489" s="15" t="str">
        <f>IFERROR(__xludf.DUMMYFUNCTION("""COMPUTED_VALUE"""),"TRIFIL")</f>
        <v>TRIFIL</v>
      </c>
      <c r="G489" s="15" t="str">
        <f>IFERROR(__xludf.DUMMYFUNCTION("""COMPUTED_VALUE"""),"266806803")</f>
        <v>266806803</v>
      </c>
      <c r="H489" s="15" t="str">
        <f>IFERROR(__xludf.DUMMYFUNCTION("""COMPUTED_VALUE"""),"1305924")</f>
        <v>1305924</v>
      </c>
      <c r="I489" s="15" t="str">
        <f>IFERROR(__xludf.DUMMYFUNCTION("""COMPUTED_VALUE"""),"8177249")</f>
        <v>8177249</v>
      </c>
      <c r="J489" s="15" t="str">
        <f>IFERROR(__xludf.DUMMYFUNCTION("""COMPUTED_VALUE"""),"CIF")</f>
        <v>CIF</v>
      </c>
      <c r="K489" s="15" t="str">
        <f>IFERROR(__xludf.DUMMYFUNCTION("""COMPUTED_VALUE"""),"(sem célula)")</f>
        <v>(sem célula)</v>
      </c>
      <c r="L489" s="15" t="str">
        <f>IFERROR(__xludf.DUMMYFUNCTION("""COMPUTED_VALUE"""),"AUTORIZADO")</f>
        <v>AUTORIZADO</v>
      </c>
      <c r="M489" s="15" t="str">
        <f>IFERROR(__xludf.DUMMYFUNCTION("""COMPUTED_VALUE"""),"NA ORIGEM")</f>
        <v>NA ORIGEM</v>
      </c>
      <c r="N489" s="15" t="str">
        <f>IFERROR(__xludf.DUMMYFUNCTION("""COMPUTED_VALUE"""),"Antes Prazo")</f>
        <v>Antes Prazo</v>
      </c>
      <c r="O489" s="15" t="str">
        <f>IFERROR(__xludf.DUMMYFUNCTION("""COMPUTED_VALUE"""),"B2B")</f>
        <v>B2B</v>
      </c>
      <c r="P489" s="16">
        <f>IFERROR(__xludf.DUMMYFUNCTION("""COMPUTED_VALUE"""),37.78)</f>
        <v>37.78</v>
      </c>
      <c r="Q489" s="15">
        <f>IFERROR(__xludf.DUMMYFUNCTION("""COMPUTED_VALUE"""),1.0)</f>
        <v>1</v>
      </c>
      <c r="R489" s="15" t="str">
        <f>IFERROR(__xludf.DUMMYFUNCTION("""COMPUTED_VALUE"""),"RODO")</f>
        <v>RODO</v>
      </c>
      <c r="S489" s="15" t="str">
        <f>IFERROR(__xludf.DUMMYFUNCTION("""COMPUTED_VALUE"""),"ITN")</f>
        <v>ITN</v>
      </c>
      <c r="T489" s="15" t="str">
        <f>IFERROR(__xludf.DUMMYFUNCTION("""COMPUTED_VALUE"""),"208")</f>
        <v>208</v>
      </c>
      <c r="U489" s="15" t="str">
        <f>IFERROR(__xludf.DUMMYFUNCTION("""COMPUTED_VALUE"""),"266806803 1305924 8177249 i o carneiro guimaraes trifil fsa 208")</f>
        <v>266806803 1305924 8177249 i o carneiro guimaraes trifil fsa 208</v>
      </c>
      <c r="V489" s="15" t="b">
        <f>IFERROR(__xludf.DUMMYFUNCTION("""COMPUTED_VALUE"""),FALSE)</f>
        <v>0</v>
      </c>
    </row>
    <row r="490">
      <c r="A490" s="19">
        <f>IFERROR(__xludf.DUMMYFUNCTION("""COMPUTED_VALUE"""),46304.0)</f>
        <v>46304</v>
      </c>
      <c r="B490" s="19">
        <f>IFERROR(__xludf.DUMMYFUNCTION("""COMPUTED_VALUE"""),46322.0)</f>
        <v>46322</v>
      </c>
      <c r="C490" s="15">
        <f>IFERROR(__xludf.DUMMYFUNCTION("""COMPUTED_VALUE"""),11.0)</f>
        <v>11</v>
      </c>
      <c r="D490" s="15" t="str">
        <f>IFERROR(__xludf.DUMMYFUNCTION("""COMPUTED_VALUE"""),"VDC")</f>
        <v>VDC</v>
      </c>
      <c r="E490" s="15" t="str">
        <f>IFERROR(__xludf.DUMMYFUNCTION("""COMPUTED_VALUE"""),"DANILO TORRES BENICIO DOS SANTOS 0027227")</f>
        <v>DANILO TORRES BENICIO DOS SANTOS 0027227</v>
      </c>
      <c r="F490" s="15" t="str">
        <f>IFERROR(__xludf.DUMMYFUNCTION("""COMPUTED_VALUE"""),"TRIFIL")</f>
        <v>TRIFIL</v>
      </c>
      <c r="G490" s="15" t="str">
        <f>IFERROR(__xludf.DUMMYFUNCTION("""COMPUTED_VALUE"""),"266806804")</f>
        <v>266806804</v>
      </c>
      <c r="H490" s="15" t="str">
        <f>IFERROR(__xludf.DUMMYFUNCTION("""COMPUTED_VALUE"""),"1305950")</f>
        <v>1305950</v>
      </c>
      <c r="I490" s="15" t="str">
        <f>IFERROR(__xludf.DUMMYFUNCTION("""COMPUTED_VALUE"""),"8177293")</f>
        <v>8177293</v>
      </c>
      <c r="J490" s="15" t="str">
        <f>IFERROR(__xludf.DUMMYFUNCTION("""COMPUTED_VALUE"""),"CIF")</f>
        <v>CIF</v>
      </c>
      <c r="K490" s="15" t="str">
        <f>IFERROR(__xludf.DUMMYFUNCTION("""COMPUTED_VALUE"""),"(sem célula)")</f>
        <v>(sem célula)</v>
      </c>
      <c r="L490" s="15" t="str">
        <f>IFERROR(__xludf.DUMMYFUNCTION("""COMPUTED_VALUE"""),"AUTORIZADO")</f>
        <v>AUTORIZADO</v>
      </c>
      <c r="M490" s="15" t="str">
        <f>IFERROR(__xludf.DUMMYFUNCTION("""COMPUTED_VALUE"""),"NA ORIGEM")</f>
        <v>NA ORIGEM</v>
      </c>
      <c r="N490" s="15" t="str">
        <f>IFERROR(__xludf.DUMMYFUNCTION("""COMPUTED_VALUE"""),"Antes Prazo")</f>
        <v>Antes Prazo</v>
      </c>
      <c r="O490" s="15" t="str">
        <f>IFERROR(__xludf.DUMMYFUNCTION("""COMPUTED_VALUE"""),"B2B")</f>
        <v>B2B</v>
      </c>
      <c r="P490" s="16">
        <f>IFERROR(__xludf.DUMMYFUNCTION("""COMPUTED_VALUE"""),31.77)</f>
        <v>31.77</v>
      </c>
      <c r="Q490" s="15">
        <f>IFERROR(__xludf.DUMMYFUNCTION("""COMPUTED_VALUE"""),1.0)</f>
        <v>1</v>
      </c>
      <c r="R490" s="15" t="str">
        <f>IFERROR(__xludf.DUMMYFUNCTION("""COMPUTED_VALUE"""),"RODO")</f>
        <v>RODO</v>
      </c>
      <c r="S490" s="15" t="str">
        <f>IFERROR(__xludf.DUMMYFUNCTION("""COMPUTED_VALUE"""),"ITN")</f>
        <v>ITN</v>
      </c>
      <c r="T490" s="15" t="str">
        <f>IFERROR(__xludf.DUMMYFUNCTION("""COMPUTED_VALUE"""),"2")</f>
        <v>2</v>
      </c>
      <c r="U490" s="15" t="str">
        <f>IFERROR(__xludf.DUMMYFUNCTION("""COMPUTED_VALUE"""),"266806804 1305950 8177293 danilo torres benicio dos santos 0027227 trifil vdc 2")</f>
        <v>266806804 1305950 8177293 danilo torres benicio dos santos 0027227 trifil vdc 2</v>
      </c>
      <c r="V490" s="15" t="b">
        <f>IFERROR(__xludf.DUMMYFUNCTION("""COMPUTED_VALUE"""),FALSE)</f>
        <v>0</v>
      </c>
    </row>
    <row r="491">
      <c r="A491" s="19">
        <f>IFERROR(__xludf.DUMMYFUNCTION("""COMPUTED_VALUE"""),46304.0)</f>
        <v>46304</v>
      </c>
      <c r="B491" s="19">
        <f>IFERROR(__xludf.DUMMYFUNCTION("""COMPUTED_VALUE"""),46324.0)</f>
        <v>46324</v>
      </c>
      <c r="C491" s="15">
        <f>IFERROR(__xludf.DUMMYFUNCTION("""COMPUTED_VALUE"""),13.0)</f>
        <v>13</v>
      </c>
      <c r="D491" s="15" t="str">
        <f>IFERROR(__xludf.DUMMYFUNCTION("""COMPUTED_VALUE"""),"VDC")</f>
        <v>VDC</v>
      </c>
      <c r="E491" s="15" t="str">
        <f>IFERROR(__xludf.DUMMYFUNCTION("""COMPUTED_VALUE"""),"ALISSON MIRANDA D OLIVEIRA")</f>
        <v>ALISSON MIRANDA D OLIVEIRA</v>
      </c>
      <c r="F491" s="15" t="str">
        <f>IFERROR(__xludf.DUMMYFUNCTION("""COMPUTED_VALUE"""),"TRIFIL")</f>
        <v>TRIFIL</v>
      </c>
      <c r="G491" s="15" t="str">
        <f>IFERROR(__xludf.DUMMYFUNCTION("""COMPUTED_VALUE"""),"266806805")</f>
        <v>266806805</v>
      </c>
      <c r="H491" s="15" t="str">
        <f>IFERROR(__xludf.DUMMYFUNCTION("""COMPUTED_VALUE"""),"1306025")</f>
        <v>1306025</v>
      </c>
      <c r="I491" s="15" t="str">
        <f>IFERROR(__xludf.DUMMYFUNCTION("""COMPUTED_VALUE"""),"8177223")</f>
        <v>8177223</v>
      </c>
      <c r="J491" s="15" t="str">
        <f>IFERROR(__xludf.DUMMYFUNCTION("""COMPUTED_VALUE"""),"CIF")</f>
        <v>CIF</v>
      </c>
      <c r="K491" s="15" t="str">
        <f>IFERROR(__xludf.DUMMYFUNCTION("""COMPUTED_VALUE"""),"FSA-1")</f>
        <v>FSA-1</v>
      </c>
      <c r="L491" s="15" t="str">
        <f>IFERROR(__xludf.DUMMYFUNCTION("""COMPUTED_VALUE"""),"AUTORIZADO")</f>
        <v>AUTORIZADO</v>
      </c>
      <c r="M491" s="15" t="str">
        <f>IFERROR(__xludf.DUMMYFUNCTION("""COMPUTED_VALUE"""),"NA ORIGEM")</f>
        <v>NA ORIGEM</v>
      </c>
      <c r="N491" s="15" t="str">
        <f>IFERROR(__xludf.DUMMYFUNCTION("""COMPUTED_VALUE"""),"Antes Prazo")</f>
        <v>Antes Prazo</v>
      </c>
      <c r="O491" s="15" t="str">
        <f>IFERROR(__xludf.DUMMYFUNCTION("""COMPUTED_VALUE"""),"B2B")</f>
        <v>B2B</v>
      </c>
      <c r="P491" s="16">
        <f>IFERROR(__xludf.DUMMYFUNCTION("""COMPUTED_VALUE"""),37.78)</f>
        <v>37.78</v>
      </c>
      <c r="Q491" s="15">
        <f>IFERROR(__xludf.DUMMYFUNCTION("""COMPUTED_VALUE"""),1.0)</f>
        <v>1</v>
      </c>
      <c r="R491" s="15" t="str">
        <f>IFERROR(__xludf.DUMMYFUNCTION("""COMPUTED_VALUE"""),"RODO")</f>
        <v>RODO</v>
      </c>
      <c r="S491" s="15" t="str">
        <f>IFERROR(__xludf.DUMMYFUNCTION("""COMPUTED_VALUE"""),"ITN")</f>
        <v>ITN</v>
      </c>
      <c r="T491" s="15" t="str">
        <f>IFERROR(__xludf.DUMMYFUNCTION("""COMPUTED_VALUE"""),"107")</f>
        <v>107</v>
      </c>
      <c r="U491" s="15" t="str">
        <f>IFERROR(__xludf.DUMMYFUNCTION("""COMPUTED_VALUE"""),"266806805 1306025 8177223 alisson miranda d oliveira trifil vdc 107")</f>
        <v>266806805 1306025 8177223 alisson miranda d oliveira trifil vdc 107</v>
      </c>
      <c r="V491" s="15" t="b">
        <f>IFERROR(__xludf.DUMMYFUNCTION("""COMPUTED_VALUE"""),FALSE)</f>
        <v>0</v>
      </c>
    </row>
    <row r="492">
      <c r="A492" s="19">
        <f>IFERROR(__xludf.DUMMYFUNCTION("""COMPUTED_VALUE"""),46304.0)</f>
        <v>46304</v>
      </c>
      <c r="B492" s="19">
        <f>IFERROR(__xludf.DUMMYFUNCTION("""COMPUTED_VALUE"""),46324.0)</f>
        <v>46324</v>
      </c>
      <c r="C492" s="15">
        <f>IFERROR(__xludf.DUMMYFUNCTION("""COMPUTED_VALUE"""),13.0)</f>
        <v>13</v>
      </c>
      <c r="D492" s="15" t="str">
        <f>IFERROR(__xludf.DUMMYFUNCTION("""COMPUTED_VALUE"""),"VDC")</f>
        <v>VDC</v>
      </c>
      <c r="E492" s="15" t="str">
        <f>IFERROR(__xludf.DUMMYFUNCTION("""COMPUTED_VALUE"""),"MAGAZINE ORION LTDA ME")</f>
        <v>MAGAZINE ORION LTDA ME</v>
      </c>
      <c r="F492" s="15" t="str">
        <f>IFERROR(__xludf.DUMMYFUNCTION("""COMPUTED_VALUE"""),"TRIFIL")</f>
        <v>TRIFIL</v>
      </c>
      <c r="G492" s="15" t="str">
        <f>IFERROR(__xludf.DUMMYFUNCTION("""COMPUTED_VALUE"""),"266806806")</f>
        <v>266806806</v>
      </c>
      <c r="H492" s="15" t="str">
        <f>IFERROR(__xludf.DUMMYFUNCTION("""COMPUTED_VALUE"""),"1305809")</f>
        <v>1305809</v>
      </c>
      <c r="I492" s="15" t="str">
        <f>IFERROR(__xludf.DUMMYFUNCTION("""COMPUTED_VALUE"""),"8177250")</f>
        <v>8177250</v>
      </c>
      <c r="J492" s="15" t="str">
        <f>IFERROR(__xludf.DUMMYFUNCTION("""COMPUTED_VALUE"""),"CIF")</f>
        <v>CIF</v>
      </c>
      <c r="K492" s="15" t="str">
        <f>IFERROR(__xludf.DUMMYFUNCTION("""COMPUTED_VALUE"""),"FSA-1")</f>
        <v>FSA-1</v>
      </c>
      <c r="L492" s="15" t="str">
        <f>IFERROR(__xludf.DUMMYFUNCTION("""COMPUTED_VALUE"""),"AUTORIZADO")</f>
        <v>AUTORIZADO</v>
      </c>
      <c r="M492" s="15" t="str">
        <f>IFERROR(__xludf.DUMMYFUNCTION("""COMPUTED_VALUE"""),"NA ORIGEM")</f>
        <v>NA ORIGEM</v>
      </c>
      <c r="N492" s="15" t="str">
        <f>IFERROR(__xludf.DUMMYFUNCTION("""COMPUTED_VALUE"""),"Antes Prazo")</f>
        <v>Antes Prazo</v>
      </c>
      <c r="O492" s="15" t="str">
        <f>IFERROR(__xludf.DUMMYFUNCTION("""COMPUTED_VALUE"""),"B2B")</f>
        <v>B2B</v>
      </c>
      <c r="P492" s="16">
        <f>IFERROR(__xludf.DUMMYFUNCTION("""COMPUTED_VALUE"""),37.78)</f>
        <v>37.78</v>
      </c>
      <c r="Q492" s="15">
        <f>IFERROR(__xludf.DUMMYFUNCTION("""COMPUTED_VALUE"""),1.0)</f>
        <v>1</v>
      </c>
      <c r="R492" s="15" t="str">
        <f>IFERROR(__xludf.DUMMYFUNCTION("""COMPUTED_VALUE"""),"RODO")</f>
        <v>RODO</v>
      </c>
      <c r="S492" s="15" t="str">
        <f>IFERROR(__xludf.DUMMYFUNCTION("""COMPUTED_VALUE"""),"ITN")</f>
        <v>ITN</v>
      </c>
      <c r="T492" s="15" t="str">
        <f>IFERROR(__xludf.DUMMYFUNCTION("""COMPUTED_VALUE"""),"107")</f>
        <v>107</v>
      </c>
      <c r="U492" s="15" t="str">
        <f>IFERROR(__xludf.DUMMYFUNCTION("""COMPUTED_VALUE"""),"266806806 1305809 8177250 magazine orion ltda me trifil vdc 107")</f>
        <v>266806806 1305809 8177250 magazine orion ltda me trifil vdc 107</v>
      </c>
      <c r="V492" s="15" t="b">
        <f>IFERROR(__xludf.DUMMYFUNCTION("""COMPUTED_VALUE"""),FALSE)</f>
        <v>0</v>
      </c>
    </row>
    <row r="493">
      <c r="A493" s="19">
        <f>IFERROR(__xludf.DUMMYFUNCTION("""COMPUTED_VALUE"""),46304.0)</f>
        <v>46304</v>
      </c>
      <c r="B493" s="19">
        <f>IFERROR(__xludf.DUMMYFUNCTION("""COMPUTED_VALUE"""),46324.0)</f>
        <v>46324</v>
      </c>
      <c r="C493" s="15">
        <f>IFERROR(__xludf.DUMMYFUNCTION("""COMPUTED_VALUE"""),13.0)</f>
        <v>13</v>
      </c>
      <c r="D493" s="15" t="str">
        <f>IFERROR(__xludf.DUMMYFUNCTION("""COMPUTED_VALUE"""),"VDC")</f>
        <v>VDC</v>
      </c>
      <c r="E493" s="15" t="str">
        <f>IFERROR(__xludf.DUMMYFUNCTION("""COMPUTED_VALUE"""),"YASMIN BATISTA NUNES 85821549507")</f>
        <v>YASMIN BATISTA NUNES 85821549507</v>
      </c>
      <c r="F493" s="15" t="str">
        <f>IFERROR(__xludf.DUMMYFUNCTION("""COMPUTED_VALUE"""),"TRIFIL")</f>
        <v>TRIFIL</v>
      </c>
      <c r="G493" s="15" t="str">
        <f>IFERROR(__xludf.DUMMYFUNCTION("""COMPUTED_VALUE"""),"266806807")</f>
        <v>266806807</v>
      </c>
      <c r="H493" s="15" t="str">
        <f>IFERROR(__xludf.DUMMYFUNCTION("""COMPUTED_VALUE"""),"1306030")</f>
        <v>1306030</v>
      </c>
      <c r="I493" s="15" t="str">
        <f>IFERROR(__xludf.DUMMYFUNCTION("""COMPUTED_VALUE"""),"8177190")</f>
        <v>8177190</v>
      </c>
      <c r="J493" s="15" t="str">
        <f>IFERROR(__xludf.DUMMYFUNCTION("""COMPUTED_VALUE"""),"CIF")</f>
        <v>CIF</v>
      </c>
      <c r="K493" s="15" t="str">
        <f>IFERROR(__xludf.DUMMYFUNCTION("""COMPUTED_VALUE"""),"FSA-1")</f>
        <v>FSA-1</v>
      </c>
      <c r="L493" s="15" t="str">
        <f>IFERROR(__xludf.DUMMYFUNCTION("""COMPUTED_VALUE"""),"AUTORIZADO")</f>
        <v>AUTORIZADO</v>
      </c>
      <c r="M493" s="15" t="str">
        <f>IFERROR(__xludf.DUMMYFUNCTION("""COMPUTED_VALUE"""),"NA ORIGEM")</f>
        <v>NA ORIGEM</v>
      </c>
      <c r="N493" s="15" t="str">
        <f>IFERROR(__xludf.DUMMYFUNCTION("""COMPUTED_VALUE"""),"Antes Prazo")</f>
        <v>Antes Prazo</v>
      </c>
      <c r="O493" s="15" t="str">
        <f>IFERROR(__xludf.DUMMYFUNCTION("""COMPUTED_VALUE"""),"B2B")</f>
        <v>B2B</v>
      </c>
      <c r="P493" s="16">
        <f>IFERROR(__xludf.DUMMYFUNCTION("""COMPUTED_VALUE"""),37.78)</f>
        <v>37.78</v>
      </c>
      <c r="Q493" s="15">
        <f>IFERROR(__xludf.DUMMYFUNCTION("""COMPUTED_VALUE"""),1.0)</f>
        <v>1</v>
      </c>
      <c r="R493" s="15" t="str">
        <f>IFERROR(__xludf.DUMMYFUNCTION("""COMPUTED_VALUE"""),"RODO")</f>
        <v>RODO</v>
      </c>
      <c r="S493" s="15" t="str">
        <f>IFERROR(__xludf.DUMMYFUNCTION("""COMPUTED_VALUE"""),"ITN")</f>
        <v>ITN</v>
      </c>
      <c r="T493" s="15" t="str">
        <f>IFERROR(__xludf.DUMMYFUNCTION("""COMPUTED_VALUE"""),"107")</f>
        <v>107</v>
      </c>
      <c r="U493" s="15" t="str">
        <f>IFERROR(__xludf.DUMMYFUNCTION("""COMPUTED_VALUE"""),"266806807 1306030 8177190 yasmin batista nunes 85821549507 trifil vdc 107")</f>
        <v>266806807 1306030 8177190 yasmin batista nunes 85821549507 trifil vdc 107</v>
      </c>
      <c r="V493" s="15" t="b">
        <f>IFERROR(__xludf.DUMMYFUNCTION("""COMPUTED_VALUE"""),FALSE)</f>
        <v>0</v>
      </c>
    </row>
    <row r="494">
      <c r="A494" s="19">
        <f>IFERROR(__xludf.DUMMYFUNCTION("""COMPUTED_VALUE"""),46304.0)</f>
        <v>46304</v>
      </c>
      <c r="B494" s="19">
        <f>IFERROR(__xludf.DUMMYFUNCTION("""COMPUTED_VALUE"""),46316.0)</f>
        <v>46316</v>
      </c>
      <c r="C494" s="15">
        <f>IFERROR(__xludf.DUMMYFUNCTION("""COMPUTED_VALUE"""),7.0)</f>
        <v>7</v>
      </c>
      <c r="D494" s="15" t="str">
        <f>IFERROR(__xludf.DUMMYFUNCTION("""COMPUTED_VALUE"""),"STO")</f>
        <v>STO</v>
      </c>
      <c r="E494" s="15" t="str">
        <f>IFERROR(__xludf.DUMMYFUNCTION("""COMPUTED_VALUE"""),"BROO KLIN.S MAGAZINE LTDA")</f>
        <v>BROO KLIN.S MAGAZINE LTDA</v>
      </c>
      <c r="F494" s="15" t="str">
        <f>IFERROR(__xludf.DUMMYFUNCTION("""COMPUTED_VALUE"""),"TRIFIL")</f>
        <v>TRIFIL</v>
      </c>
      <c r="G494" s="15" t="str">
        <f>IFERROR(__xludf.DUMMYFUNCTION("""COMPUTED_VALUE"""),"266806808")</f>
        <v>266806808</v>
      </c>
      <c r="H494" s="15" t="str">
        <f>IFERROR(__xludf.DUMMYFUNCTION("""COMPUTED_VALUE"""),"1306269")</f>
        <v>1306269</v>
      </c>
      <c r="I494" s="15" t="str">
        <f>IFERROR(__xludf.DUMMYFUNCTION("""COMPUTED_VALUE"""),"8177160")</f>
        <v>8177160</v>
      </c>
      <c r="J494" s="15" t="str">
        <f>IFERROR(__xludf.DUMMYFUNCTION("""COMPUTED_VALUE"""),"CIF")</f>
        <v>CIF</v>
      </c>
      <c r="K494" s="15" t="str">
        <f>IFERROR(__xludf.DUMMYFUNCTION("""COMPUTED_VALUE"""),"(sem célula)")</f>
        <v>(sem célula)</v>
      </c>
      <c r="L494" s="15" t="str">
        <f>IFERROR(__xludf.DUMMYFUNCTION("""COMPUTED_VALUE"""),"AUTORIZADO")</f>
        <v>AUTORIZADO</v>
      </c>
      <c r="M494" s="15" t="str">
        <f>IFERROR(__xludf.DUMMYFUNCTION("""COMPUTED_VALUE"""),"NA ORIGEM")</f>
        <v>NA ORIGEM</v>
      </c>
      <c r="N494" s="15" t="str">
        <f>IFERROR(__xludf.DUMMYFUNCTION("""COMPUTED_VALUE"""),"Antes Prazo")</f>
        <v>Antes Prazo</v>
      </c>
      <c r="O494" s="15" t="str">
        <f>IFERROR(__xludf.DUMMYFUNCTION("""COMPUTED_VALUE"""),"B2B")</f>
        <v>B2B</v>
      </c>
      <c r="P494" s="16">
        <f>IFERROR(__xludf.DUMMYFUNCTION("""COMPUTED_VALUE"""),45.49)</f>
        <v>45.49</v>
      </c>
      <c r="Q494" s="15">
        <f>IFERROR(__xludf.DUMMYFUNCTION("""COMPUTED_VALUE"""),1.0)</f>
        <v>1</v>
      </c>
      <c r="R494" s="15" t="str">
        <f>IFERROR(__xludf.DUMMYFUNCTION("""COMPUTED_VALUE"""),"RODO")</f>
        <v>RODO</v>
      </c>
      <c r="S494" s="15" t="str">
        <f>IFERROR(__xludf.DUMMYFUNCTION("""COMPUTED_VALUE"""),"ITN")</f>
        <v>ITN</v>
      </c>
      <c r="T494" s="15" t="str">
        <f>IFERROR(__xludf.DUMMYFUNCTION("""COMPUTED_VALUE"""),"452")</f>
        <v>452</v>
      </c>
      <c r="U494" s="15" t="str">
        <f>IFERROR(__xludf.DUMMYFUNCTION("""COMPUTED_VALUE"""),"266806808 1306269 8177160 broo klin.s magazine ltda trifil sto 452")</f>
        <v>266806808 1306269 8177160 broo klin.s magazine ltda trifil sto 452</v>
      </c>
      <c r="V494" s="15" t="b">
        <f>IFERROR(__xludf.DUMMYFUNCTION("""COMPUTED_VALUE"""),FALSE)</f>
        <v>0</v>
      </c>
    </row>
    <row r="495">
      <c r="A495" s="19">
        <f>IFERROR(__xludf.DUMMYFUNCTION("""COMPUTED_VALUE"""),46304.0)</f>
        <v>46304</v>
      </c>
      <c r="B495" s="19">
        <f>IFERROR(__xludf.DUMMYFUNCTION("""COMPUTED_VALUE"""),46323.0)</f>
        <v>46323</v>
      </c>
      <c r="C495" s="15">
        <f>IFERROR(__xludf.DUMMYFUNCTION("""COMPUTED_VALUE"""),12.0)</f>
        <v>12</v>
      </c>
      <c r="D495" s="15" t="str">
        <f>IFERROR(__xludf.DUMMYFUNCTION("""COMPUTED_VALUE"""),"NBR")</f>
        <v>NBR</v>
      </c>
      <c r="E495" s="15" t="str">
        <f>IFERROR(__xludf.DUMMYFUNCTION("""COMPUTED_VALUE"""),"MARLUCE RAMOS DE LIMA GUIMARAES")</f>
        <v>MARLUCE RAMOS DE LIMA GUIMARAES</v>
      </c>
      <c r="F495" s="15" t="str">
        <f>IFERROR(__xludf.DUMMYFUNCTION("""COMPUTED_VALUE"""),"TRIFIL")</f>
        <v>TRIFIL</v>
      </c>
      <c r="G495" s="15" t="str">
        <f>IFERROR(__xludf.DUMMYFUNCTION("""COMPUTED_VALUE"""),"266806811")</f>
        <v>266806811</v>
      </c>
      <c r="H495" s="15" t="str">
        <f>IFERROR(__xludf.DUMMYFUNCTION("""COMPUTED_VALUE"""),"1306124")</f>
        <v>1306124</v>
      </c>
      <c r="I495" s="15" t="str">
        <f>IFERROR(__xludf.DUMMYFUNCTION("""COMPUTED_VALUE"""),"8177132")</f>
        <v>8177132</v>
      </c>
      <c r="J495" s="15" t="str">
        <f>IFERROR(__xludf.DUMMYFUNCTION("""COMPUTED_VALUE"""),"CIF")</f>
        <v>CIF</v>
      </c>
      <c r="K495" s="15" t="str">
        <f>IFERROR(__xludf.DUMMYFUNCTION("""COMPUTED_VALUE"""),"SAO-1")</f>
        <v>SAO-1</v>
      </c>
      <c r="L495" s="15" t="str">
        <f>IFERROR(__xludf.DUMMYFUNCTION("""COMPUTED_VALUE"""),"AUTORIZADO")</f>
        <v>AUTORIZADO</v>
      </c>
      <c r="M495" s="15" t="str">
        <f>IFERROR(__xludf.DUMMYFUNCTION("""COMPUTED_VALUE"""),"NA ORIGEM")</f>
        <v>NA ORIGEM</v>
      </c>
      <c r="N495" s="15" t="str">
        <f>IFERROR(__xludf.DUMMYFUNCTION("""COMPUTED_VALUE"""),"Antes Prazo")</f>
        <v>Antes Prazo</v>
      </c>
      <c r="O495" s="15" t="str">
        <f>IFERROR(__xludf.DUMMYFUNCTION("""COMPUTED_VALUE"""),"B2B")</f>
        <v>B2B</v>
      </c>
      <c r="P495" s="16">
        <f>IFERROR(__xludf.DUMMYFUNCTION("""COMPUTED_VALUE"""),37.78)</f>
        <v>37.78</v>
      </c>
      <c r="Q495" s="15">
        <f>IFERROR(__xludf.DUMMYFUNCTION("""COMPUTED_VALUE"""),1.0)</f>
        <v>1</v>
      </c>
      <c r="R495" s="15" t="str">
        <f>IFERROR(__xludf.DUMMYFUNCTION("""COMPUTED_VALUE"""),"RODO")</f>
        <v>RODO</v>
      </c>
      <c r="S495" s="15" t="str">
        <f>IFERROR(__xludf.DUMMYFUNCTION("""COMPUTED_VALUE"""),"ITN")</f>
        <v>ITN</v>
      </c>
      <c r="T495" s="15" t="str">
        <f>IFERROR(__xludf.DUMMYFUNCTION("""COMPUTED_VALUE"""),"102")</f>
        <v>102</v>
      </c>
      <c r="U495" s="15" t="str">
        <f>IFERROR(__xludf.DUMMYFUNCTION("""COMPUTED_VALUE"""),"266806811 1306124 8177132 marluce ramos de lima guimaraes trifil nbr 102")</f>
        <v>266806811 1306124 8177132 marluce ramos de lima guimaraes trifil nbr 102</v>
      </c>
      <c r="V495" s="15" t="b">
        <f>IFERROR(__xludf.DUMMYFUNCTION("""COMPUTED_VALUE"""),FALSE)</f>
        <v>0</v>
      </c>
    </row>
    <row r="496">
      <c r="A496" s="19">
        <f>IFERROR(__xludf.DUMMYFUNCTION("""COMPUTED_VALUE"""),46304.0)</f>
        <v>46304</v>
      </c>
      <c r="B496" s="19">
        <f>IFERROR(__xludf.DUMMYFUNCTION("""COMPUTED_VALUE"""),46323.0)</f>
        <v>46323</v>
      </c>
      <c r="C496" s="15">
        <f>IFERROR(__xludf.DUMMYFUNCTION("""COMPUTED_VALUE"""),12.0)</f>
        <v>12</v>
      </c>
      <c r="D496" s="15" t="str">
        <f>IFERROR(__xludf.DUMMYFUNCTION("""COMPUTED_VALUE"""),"FSA")</f>
        <v>FSA</v>
      </c>
      <c r="E496" s="15" t="str">
        <f>IFERROR(__xludf.DUMMYFUNCTION("""COMPUTED_VALUE"""),"VITORIA MODAS E CONFECCOES LTDA")</f>
        <v>VITORIA MODAS E CONFECCOES LTDA</v>
      </c>
      <c r="F496" s="15" t="str">
        <f>IFERROR(__xludf.DUMMYFUNCTION("""COMPUTED_VALUE"""),"TRIFIL")</f>
        <v>TRIFIL</v>
      </c>
      <c r="G496" s="15" t="str">
        <f>IFERROR(__xludf.DUMMYFUNCTION("""COMPUTED_VALUE"""),"266806812")</f>
        <v>266806812</v>
      </c>
      <c r="H496" s="15" t="str">
        <f>IFERROR(__xludf.DUMMYFUNCTION("""COMPUTED_VALUE"""),"1305871")</f>
        <v>1305871</v>
      </c>
      <c r="I496" s="15" t="str">
        <f>IFERROR(__xludf.DUMMYFUNCTION("""COMPUTED_VALUE"""),"8177251")</f>
        <v>8177251</v>
      </c>
      <c r="J496" s="15" t="str">
        <f>IFERROR(__xludf.DUMMYFUNCTION("""COMPUTED_VALUE"""),"CIF")</f>
        <v>CIF</v>
      </c>
      <c r="K496" s="15" t="str">
        <f>IFERROR(__xludf.DUMMYFUNCTION("""COMPUTED_VALUE"""),"(sem célula)")</f>
        <v>(sem célula)</v>
      </c>
      <c r="L496" s="15" t="str">
        <f>IFERROR(__xludf.DUMMYFUNCTION("""COMPUTED_VALUE"""),"AUTORIZADO")</f>
        <v>AUTORIZADO</v>
      </c>
      <c r="M496" s="15" t="str">
        <f>IFERROR(__xludf.DUMMYFUNCTION("""COMPUTED_VALUE"""),"NA ORIGEM")</f>
        <v>NA ORIGEM</v>
      </c>
      <c r="N496" s="15" t="str">
        <f>IFERROR(__xludf.DUMMYFUNCTION("""COMPUTED_VALUE"""),"Antes Prazo")</f>
        <v>Antes Prazo</v>
      </c>
      <c r="O496" s="15" t="str">
        <f>IFERROR(__xludf.DUMMYFUNCTION("""COMPUTED_VALUE"""),"B2B")</f>
        <v>B2B</v>
      </c>
      <c r="P496" s="16">
        <f>IFERROR(__xludf.DUMMYFUNCTION("""COMPUTED_VALUE"""),37.78)</f>
        <v>37.78</v>
      </c>
      <c r="Q496" s="15">
        <f>IFERROR(__xludf.DUMMYFUNCTION("""COMPUTED_VALUE"""),1.0)</f>
        <v>1</v>
      </c>
      <c r="R496" s="15" t="str">
        <f>IFERROR(__xludf.DUMMYFUNCTION("""COMPUTED_VALUE"""),"RODO")</f>
        <v>RODO</v>
      </c>
      <c r="S496" s="15" t="str">
        <f>IFERROR(__xludf.DUMMYFUNCTION("""COMPUTED_VALUE"""),"ITN")</f>
        <v>ITN</v>
      </c>
      <c r="T496" s="15" t="str">
        <f>IFERROR(__xludf.DUMMYFUNCTION("""COMPUTED_VALUE"""),"215")</f>
        <v>215</v>
      </c>
      <c r="U496" s="15" t="str">
        <f>IFERROR(__xludf.DUMMYFUNCTION("""COMPUTED_VALUE"""),"266806812 1305871 8177251 vitoria modas e confeccoes ltda trifil fsa 215")</f>
        <v>266806812 1305871 8177251 vitoria modas e confeccoes ltda trifil fsa 215</v>
      </c>
      <c r="V496" s="15" t="b">
        <f>IFERROR(__xludf.DUMMYFUNCTION("""COMPUTED_VALUE"""),FALSE)</f>
        <v>0</v>
      </c>
    </row>
    <row r="497">
      <c r="A497" s="19">
        <f>IFERROR(__xludf.DUMMYFUNCTION("""COMPUTED_VALUE"""),46304.0)</f>
        <v>46304</v>
      </c>
      <c r="B497" s="19">
        <f>IFERROR(__xludf.DUMMYFUNCTION("""COMPUTED_VALUE"""),46316.0)</f>
        <v>46316</v>
      </c>
      <c r="C497" s="15">
        <f>IFERROR(__xludf.DUMMYFUNCTION("""COMPUTED_VALUE"""),7.0)</f>
        <v>7</v>
      </c>
      <c r="D497" s="15" t="str">
        <f>IFERROR(__xludf.DUMMYFUNCTION("""COMPUTED_VALUE"""),"BTB")</f>
        <v>BTB</v>
      </c>
      <c r="E497" s="15" t="str">
        <f>IFERROR(__xludf.DUMMYFUNCTION("""COMPUTED_VALUE"""),"ANALU INTIMATES LTDA ME")</f>
        <v>ANALU INTIMATES LTDA ME</v>
      </c>
      <c r="F497" s="15" t="str">
        <f>IFERROR(__xludf.DUMMYFUNCTION("""COMPUTED_VALUE"""),"TRIFIL")</f>
        <v>TRIFIL</v>
      </c>
      <c r="G497" s="15" t="str">
        <f>IFERROR(__xludf.DUMMYFUNCTION("""COMPUTED_VALUE"""),"266806813")</f>
        <v>266806813</v>
      </c>
      <c r="H497" s="15" t="str">
        <f>IFERROR(__xludf.DUMMYFUNCTION("""COMPUTED_VALUE"""),"1306139")</f>
        <v>1306139</v>
      </c>
      <c r="I497" s="15" t="str">
        <f>IFERROR(__xludf.DUMMYFUNCTION("""COMPUTED_VALUE"""),"8177192")</f>
        <v>8177192</v>
      </c>
      <c r="J497" s="15" t="str">
        <f>IFERROR(__xludf.DUMMYFUNCTION("""COMPUTED_VALUE"""),"CIF")</f>
        <v>CIF</v>
      </c>
      <c r="K497" s="15" t="str">
        <f>IFERROR(__xludf.DUMMYFUNCTION("""COMPUTED_VALUE"""),"(sem célula)")</f>
        <v>(sem célula)</v>
      </c>
      <c r="L497" s="15" t="str">
        <f>IFERROR(__xludf.DUMMYFUNCTION("""COMPUTED_VALUE"""),"AUTORIZADO")</f>
        <v>AUTORIZADO</v>
      </c>
      <c r="M497" s="15" t="str">
        <f>IFERROR(__xludf.DUMMYFUNCTION("""COMPUTED_VALUE"""),"NA ORIGEM")</f>
        <v>NA ORIGEM</v>
      </c>
      <c r="N497" s="15" t="str">
        <f>IFERROR(__xludf.DUMMYFUNCTION("""COMPUTED_VALUE"""),"Antes Prazo")</f>
        <v>Antes Prazo</v>
      </c>
      <c r="O497" s="15" t="str">
        <f>IFERROR(__xludf.DUMMYFUNCTION("""COMPUTED_VALUE"""),"B2B")</f>
        <v>B2B</v>
      </c>
      <c r="P497" s="16">
        <f>IFERROR(__xludf.DUMMYFUNCTION("""COMPUTED_VALUE"""),45.49)</f>
        <v>45.49</v>
      </c>
      <c r="Q497" s="15">
        <f>IFERROR(__xludf.DUMMYFUNCTION("""COMPUTED_VALUE"""),1.0)</f>
        <v>1</v>
      </c>
      <c r="R497" s="15" t="str">
        <f>IFERROR(__xludf.DUMMYFUNCTION("""COMPUTED_VALUE"""),"RODO")</f>
        <v>RODO</v>
      </c>
      <c r="S497" s="15" t="str">
        <f>IFERROR(__xludf.DUMMYFUNCTION("""COMPUTED_VALUE"""),"ITN")</f>
        <v>ITN</v>
      </c>
      <c r="T497" s="15" t="str">
        <f>IFERROR(__xludf.DUMMYFUNCTION("""COMPUTED_VALUE"""),"2706")</f>
        <v>2706</v>
      </c>
      <c r="U497" s="15" t="str">
        <f>IFERROR(__xludf.DUMMYFUNCTION("""COMPUTED_VALUE"""),"266806813 1306139 8177192 analu intimates ltda me trifil btb 2706")</f>
        <v>266806813 1306139 8177192 analu intimates ltda me trifil btb 2706</v>
      </c>
      <c r="V497" s="15" t="b">
        <f>IFERROR(__xludf.DUMMYFUNCTION("""COMPUTED_VALUE"""),FALSE)</f>
        <v>0</v>
      </c>
    </row>
    <row r="498">
      <c r="A498" s="19">
        <f>IFERROR(__xludf.DUMMYFUNCTION("""COMPUTED_VALUE"""),46304.0)</f>
        <v>46304</v>
      </c>
      <c r="B498" s="19">
        <f>IFERROR(__xludf.DUMMYFUNCTION("""COMPUTED_VALUE"""),46316.0)</f>
        <v>46316</v>
      </c>
      <c r="C498" s="15">
        <f>IFERROR(__xludf.DUMMYFUNCTION("""COMPUTED_VALUE"""),7.0)</f>
        <v>7</v>
      </c>
      <c r="D498" s="15" t="str">
        <f>IFERROR(__xludf.DUMMYFUNCTION("""COMPUTED_VALUE"""),"REC")</f>
        <v>REC</v>
      </c>
      <c r="E498" s="15" t="str">
        <f>IFERROR(__xludf.DUMMYFUNCTION("""COMPUTED_VALUE"""),"ANDRE CORREIA DE OLIVEIRA")</f>
        <v>ANDRE CORREIA DE OLIVEIRA</v>
      </c>
      <c r="F498" s="15" t="str">
        <f>IFERROR(__xludf.DUMMYFUNCTION("""COMPUTED_VALUE"""),"TRIFIL")</f>
        <v>TRIFIL</v>
      </c>
      <c r="G498" s="15" t="str">
        <f>IFERROR(__xludf.DUMMYFUNCTION("""COMPUTED_VALUE"""),"266806814")</f>
        <v>266806814</v>
      </c>
      <c r="H498" s="15" t="str">
        <f>IFERROR(__xludf.DUMMYFUNCTION("""COMPUTED_VALUE"""),"1304667")</f>
        <v>1304667</v>
      </c>
      <c r="I498" s="15" t="str">
        <f>IFERROR(__xludf.DUMMYFUNCTION("""COMPUTED_VALUE"""),"8177224")</f>
        <v>8177224</v>
      </c>
      <c r="J498" s="15" t="str">
        <f>IFERROR(__xludf.DUMMYFUNCTION("""COMPUTED_VALUE"""),"CIF")</f>
        <v>CIF</v>
      </c>
      <c r="K498" s="15" t="str">
        <f>IFERROR(__xludf.DUMMYFUNCTION("""COMPUTED_VALUE"""),"FSA-1")</f>
        <v>FSA-1</v>
      </c>
      <c r="L498" s="15" t="str">
        <f>IFERROR(__xludf.DUMMYFUNCTION("""COMPUTED_VALUE"""),"AUTORIZADO")</f>
        <v>AUTORIZADO</v>
      </c>
      <c r="M498" s="15" t="str">
        <f>IFERROR(__xludf.DUMMYFUNCTION("""COMPUTED_VALUE"""),"NA ORIGEM")</f>
        <v>NA ORIGEM</v>
      </c>
      <c r="N498" s="15" t="str">
        <f>IFERROR(__xludf.DUMMYFUNCTION("""COMPUTED_VALUE"""),"Antes Prazo")</f>
        <v>Antes Prazo</v>
      </c>
      <c r="O498" s="15" t="str">
        <f>IFERROR(__xludf.DUMMYFUNCTION("""COMPUTED_VALUE"""),"B2B")</f>
        <v>B2B</v>
      </c>
      <c r="P498" s="16">
        <f>IFERROR(__xludf.DUMMYFUNCTION("""COMPUTED_VALUE"""),56.59)</f>
        <v>56.59</v>
      </c>
      <c r="Q498" s="15">
        <f>IFERROR(__xludf.DUMMYFUNCTION("""COMPUTED_VALUE"""),1.0)</f>
        <v>1</v>
      </c>
      <c r="R498" s="15" t="str">
        <f>IFERROR(__xludf.DUMMYFUNCTION("""COMPUTED_VALUE"""),"RODO")</f>
        <v>RODO</v>
      </c>
      <c r="S498" s="15" t="str">
        <f>IFERROR(__xludf.DUMMYFUNCTION("""COMPUTED_VALUE"""),"ITN")</f>
        <v>ITN</v>
      </c>
      <c r="T498" s="15" t="str">
        <f>IFERROR(__xludf.DUMMYFUNCTION("""COMPUTED_VALUE"""),"12")</f>
        <v>12</v>
      </c>
      <c r="U498" s="15" t="str">
        <f>IFERROR(__xludf.DUMMYFUNCTION("""COMPUTED_VALUE"""),"266806814 1304667 8177224 andre correia de oliveira trifil rec 12")</f>
        <v>266806814 1304667 8177224 andre correia de oliveira trifil rec 12</v>
      </c>
      <c r="V498" s="15" t="b">
        <f>IFERROR(__xludf.DUMMYFUNCTION("""COMPUTED_VALUE"""),FALSE)</f>
        <v>0</v>
      </c>
    </row>
    <row r="499">
      <c r="A499" s="19">
        <f>IFERROR(__xludf.DUMMYFUNCTION("""COMPUTED_VALUE"""),46304.0)</f>
        <v>46304</v>
      </c>
      <c r="B499" s="19">
        <f>IFERROR(__xludf.DUMMYFUNCTION("""COMPUTED_VALUE"""),46316.0)</f>
        <v>46316</v>
      </c>
      <c r="C499" s="15">
        <f>IFERROR(__xludf.DUMMYFUNCTION("""COMPUTED_VALUE"""),7.0)</f>
        <v>7</v>
      </c>
      <c r="D499" s="15" t="str">
        <f>IFERROR(__xludf.DUMMYFUNCTION("""COMPUTED_VALUE"""),"REC")</f>
        <v>REC</v>
      </c>
      <c r="E499" s="15" t="str">
        <f>IFERROR(__xludf.DUMMYFUNCTION("""COMPUTED_VALUE"""),"MLL Comercio De Artigos Texteis LTDA ME")</f>
        <v>MLL Comercio De Artigos Texteis LTDA ME</v>
      </c>
      <c r="F499" s="15" t="str">
        <f>IFERROR(__xludf.DUMMYFUNCTION("""COMPUTED_VALUE"""),"TRIFIL")</f>
        <v>TRIFIL</v>
      </c>
      <c r="G499" s="15" t="str">
        <f>IFERROR(__xludf.DUMMYFUNCTION("""COMPUTED_VALUE"""),"266806815")</f>
        <v>266806815</v>
      </c>
      <c r="H499" s="15" t="str">
        <f>IFERROR(__xludf.DUMMYFUNCTION("""COMPUTED_VALUE"""),"1306035")</f>
        <v>1306035</v>
      </c>
      <c r="I499" s="15" t="str">
        <f>IFERROR(__xludf.DUMMYFUNCTION("""COMPUTED_VALUE"""),"8177252")</f>
        <v>8177252</v>
      </c>
      <c r="J499" s="15" t="str">
        <f>IFERROR(__xludf.DUMMYFUNCTION("""COMPUTED_VALUE"""),"CIF")</f>
        <v>CIF</v>
      </c>
      <c r="K499" s="15" t="str">
        <f>IFERROR(__xludf.DUMMYFUNCTION("""COMPUTED_VALUE"""),"FSA-1")</f>
        <v>FSA-1</v>
      </c>
      <c r="L499" s="15" t="str">
        <f>IFERROR(__xludf.DUMMYFUNCTION("""COMPUTED_VALUE"""),"AUTORIZADO")</f>
        <v>AUTORIZADO</v>
      </c>
      <c r="M499" s="15" t="str">
        <f>IFERROR(__xludf.DUMMYFUNCTION("""COMPUTED_VALUE"""),"NA ORIGEM")</f>
        <v>NA ORIGEM</v>
      </c>
      <c r="N499" s="15" t="str">
        <f>IFERROR(__xludf.DUMMYFUNCTION("""COMPUTED_VALUE"""),"Antes Prazo")</f>
        <v>Antes Prazo</v>
      </c>
      <c r="O499" s="15" t="str">
        <f>IFERROR(__xludf.DUMMYFUNCTION("""COMPUTED_VALUE"""),"B2B")</f>
        <v>B2B</v>
      </c>
      <c r="P499" s="16">
        <f>IFERROR(__xludf.DUMMYFUNCTION("""COMPUTED_VALUE"""),56.59)</f>
        <v>56.59</v>
      </c>
      <c r="Q499" s="15">
        <f>IFERROR(__xludf.DUMMYFUNCTION("""COMPUTED_VALUE"""),1.0)</f>
        <v>1</v>
      </c>
      <c r="R499" s="15" t="str">
        <f>IFERROR(__xludf.DUMMYFUNCTION("""COMPUTED_VALUE"""),"RODO")</f>
        <v>RODO</v>
      </c>
      <c r="S499" s="15" t="str">
        <f>IFERROR(__xludf.DUMMYFUNCTION("""COMPUTED_VALUE"""),"ITN")</f>
        <v>ITN</v>
      </c>
      <c r="T499" s="15" t="str">
        <f>IFERROR(__xludf.DUMMYFUNCTION("""COMPUTED_VALUE"""),"21")</f>
        <v>21</v>
      </c>
      <c r="U499" s="15" t="str">
        <f>IFERROR(__xludf.DUMMYFUNCTION("""COMPUTED_VALUE"""),"266806815 1306035 8177252 mll comercio de artigos texteis ltda me trifil rec 21")</f>
        <v>266806815 1306035 8177252 mll comercio de artigos texteis ltda me trifil rec 21</v>
      </c>
      <c r="V499" s="15" t="b">
        <f>IFERROR(__xludf.DUMMYFUNCTION("""COMPUTED_VALUE"""),FALSE)</f>
        <v>0</v>
      </c>
    </row>
    <row r="500">
      <c r="A500" s="19">
        <f>IFERROR(__xludf.DUMMYFUNCTION("""COMPUTED_VALUE"""),46304.0)</f>
        <v>46304</v>
      </c>
      <c r="B500" s="19">
        <f>IFERROR(__xludf.DUMMYFUNCTION("""COMPUTED_VALUE"""),46316.0)</f>
        <v>46316</v>
      </c>
      <c r="C500" s="15">
        <f>IFERROR(__xludf.DUMMYFUNCTION("""COMPUTED_VALUE"""),7.0)</f>
        <v>7</v>
      </c>
      <c r="D500" s="15" t="str">
        <f>IFERROR(__xludf.DUMMYFUNCTION("""COMPUTED_VALUE"""),"REC")</f>
        <v>REC</v>
      </c>
      <c r="E500" s="15" t="str">
        <f>IFERROR(__xludf.DUMMYFUNCTION("""COMPUTED_VALUE"""),"C R Castello Branco Ribeiro Representaco")</f>
        <v>C R Castello Branco Ribeiro Representaco</v>
      </c>
      <c r="F500" s="15" t="str">
        <f>IFERROR(__xludf.DUMMYFUNCTION("""COMPUTED_VALUE"""),"TRIFIL")</f>
        <v>TRIFIL</v>
      </c>
      <c r="G500" s="15" t="str">
        <f>IFERROR(__xludf.DUMMYFUNCTION("""COMPUTED_VALUE"""),"266806816")</f>
        <v>266806816</v>
      </c>
      <c r="H500" s="15" t="str">
        <f>IFERROR(__xludf.DUMMYFUNCTION("""COMPUTED_VALUE"""),"1304658")</f>
        <v>1304658</v>
      </c>
      <c r="I500" s="15" t="str">
        <f>IFERROR(__xludf.DUMMYFUNCTION("""COMPUTED_VALUE"""),"8177225")</f>
        <v>8177225</v>
      </c>
      <c r="J500" s="15" t="str">
        <f>IFERROR(__xludf.DUMMYFUNCTION("""COMPUTED_VALUE"""),"CIF")</f>
        <v>CIF</v>
      </c>
      <c r="K500" s="15" t="str">
        <f>IFERROR(__xludf.DUMMYFUNCTION("""COMPUTED_VALUE"""),"FSA-1")</f>
        <v>FSA-1</v>
      </c>
      <c r="L500" s="15" t="str">
        <f>IFERROR(__xludf.DUMMYFUNCTION("""COMPUTED_VALUE"""),"AUTORIZADO")</f>
        <v>AUTORIZADO</v>
      </c>
      <c r="M500" s="15" t="str">
        <f>IFERROR(__xludf.DUMMYFUNCTION("""COMPUTED_VALUE"""),"NA ORIGEM")</f>
        <v>NA ORIGEM</v>
      </c>
      <c r="N500" s="15" t="str">
        <f>IFERROR(__xludf.DUMMYFUNCTION("""COMPUTED_VALUE"""),"Antes Prazo")</f>
        <v>Antes Prazo</v>
      </c>
      <c r="O500" s="15" t="str">
        <f>IFERROR(__xludf.DUMMYFUNCTION("""COMPUTED_VALUE"""),"B2B")</f>
        <v>B2B</v>
      </c>
      <c r="P500" s="16">
        <f>IFERROR(__xludf.DUMMYFUNCTION("""COMPUTED_VALUE"""),56.59)</f>
        <v>56.59</v>
      </c>
      <c r="Q500" s="15">
        <f>IFERROR(__xludf.DUMMYFUNCTION("""COMPUTED_VALUE"""),1.0)</f>
        <v>1</v>
      </c>
      <c r="R500" s="15" t="str">
        <f>IFERROR(__xludf.DUMMYFUNCTION("""COMPUTED_VALUE"""),"RODO")</f>
        <v>RODO</v>
      </c>
      <c r="S500" s="15" t="str">
        <f>IFERROR(__xludf.DUMMYFUNCTION("""COMPUTED_VALUE"""),"ITN")</f>
        <v>ITN</v>
      </c>
      <c r="T500" s="15" t="str">
        <f>IFERROR(__xludf.DUMMYFUNCTION("""COMPUTED_VALUE"""),"3")</f>
        <v>3</v>
      </c>
      <c r="U500" s="15" t="str">
        <f>IFERROR(__xludf.DUMMYFUNCTION("""COMPUTED_VALUE"""),"266806816 1304658 8177225 c r castello branco ribeiro representaco trifil rec 3")</f>
        <v>266806816 1304658 8177225 c r castello branco ribeiro representaco trifil rec 3</v>
      </c>
      <c r="V500" s="15" t="b">
        <f>IFERROR(__xludf.DUMMYFUNCTION("""COMPUTED_VALUE"""),FALSE)</f>
        <v>0</v>
      </c>
    </row>
    <row r="501">
      <c r="A501" s="19">
        <f>IFERROR(__xludf.DUMMYFUNCTION("""COMPUTED_VALUE"""),46304.0)</f>
        <v>46304</v>
      </c>
      <c r="B501" s="19">
        <f>IFERROR(__xludf.DUMMYFUNCTION("""COMPUTED_VALUE"""),46316.0)</f>
        <v>46316</v>
      </c>
      <c r="C501" s="15">
        <f>IFERROR(__xludf.DUMMYFUNCTION("""COMPUTED_VALUE"""),7.0)</f>
        <v>7</v>
      </c>
      <c r="D501" s="15" t="str">
        <f>IFERROR(__xludf.DUMMYFUNCTION("""COMPUTED_VALUE"""),"BTB")</f>
        <v>BTB</v>
      </c>
      <c r="E501" s="15" t="str">
        <f>IFERROR(__xludf.DUMMYFUNCTION("""COMPUTED_VALUE"""),"R.A. SHOES CALCADOS - EIRELI - ME")</f>
        <v>R.A. SHOES CALCADOS - EIRELI - ME</v>
      </c>
      <c r="F501" s="15" t="str">
        <f>IFERROR(__xludf.DUMMYFUNCTION("""COMPUTED_VALUE"""),"TRIFIL")</f>
        <v>TRIFIL</v>
      </c>
      <c r="G501" s="15" t="str">
        <f>IFERROR(__xludf.DUMMYFUNCTION("""COMPUTED_VALUE"""),"266806817")</f>
        <v>266806817</v>
      </c>
      <c r="H501" s="15" t="str">
        <f>IFERROR(__xludf.DUMMYFUNCTION("""COMPUTED_VALUE"""),"1306291")</f>
        <v>1306291</v>
      </c>
      <c r="I501" s="15" t="str">
        <f>IFERROR(__xludf.DUMMYFUNCTION("""COMPUTED_VALUE"""),"8177161")</f>
        <v>8177161</v>
      </c>
      <c r="J501" s="15" t="str">
        <f>IFERROR(__xludf.DUMMYFUNCTION("""COMPUTED_VALUE"""),"CIF")</f>
        <v>CIF</v>
      </c>
      <c r="K501" s="15" t="str">
        <f>IFERROR(__xludf.DUMMYFUNCTION("""COMPUTED_VALUE"""),"(sem célula)")</f>
        <v>(sem célula)</v>
      </c>
      <c r="L501" s="15" t="str">
        <f>IFERROR(__xludf.DUMMYFUNCTION("""COMPUTED_VALUE"""),"AUTORIZADO")</f>
        <v>AUTORIZADO</v>
      </c>
      <c r="M501" s="15" t="str">
        <f>IFERROR(__xludf.DUMMYFUNCTION("""COMPUTED_VALUE"""),"NA ORIGEM")</f>
        <v>NA ORIGEM</v>
      </c>
      <c r="N501" s="15" t="str">
        <f>IFERROR(__xludf.DUMMYFUNCTION("""COMPUTED_VALUE"""),"Antes Prazo")</f>
        <v>Antes Prazo</v>
      </c>
      <c r="O501" s="15" t="str">
        <f>IFERROR(__xludf.DUMMYFUNCTION("""COMPUTED_VALUE"""),"B2B")</f>
        <v>B2B</v>
      </c>
      <c r="P501" s="16">
        <f>IFERROR(__xludf.DUMMYFUNCTION("""COMPUTED_VALUE"""),45.49)</f>
        <v>45.49</v>
      </c>
      <c r="Q501" s="15">
        <f>IFERROR(__xludf.DUMMYFUNCTION("""COMPUTED_VALUE"""),1.0)</f>
        <v>1</v>
      </c>
      <c r="R501" s="15" t="str">
        <f>IFERROR(__xludf.DUMMYFUNCTION("""COMPUTED_VALUE"""),"RODO")</f>
        <v>RODO</v>
      </c>
      <c r="S501" s="15" t="str">
        <f>IFERROR(__xludf.DUMMYFUNCTION("""COMPUTED_VALUE"""),"ITN")</f>
        <v>ITN</v>
      </c>
      <c r="T501" s="15" t="str">
        <f>IFERROR(__xludf.DUMMYFUNCTION("""COMPUTED_VALUE"""),"700")</f>
        <v>700</v>
      </c>
      <c r="U501" s="15" t="str">
        <f>IFERROR(__xludf.DUMMYFUNCTION("""COMPUTED_VALUE"""),"266806817 1306291 8177161 r.a. shoes calcados - eireli - me trifil btb 700")</f>
        <v>266806817 1306291 8177161 r.a. shoes calcados - eireli - me trifil btb 700</v>
      </c>
      <c r="V501" s="15" t="b">
        <f>IFERROR(__xludf.DUMMYFUNCTION("""COMPUTED_VALUE"""),FALSE)</f>
        <v>0</v>
      </c>
    </row>
    <row r="502">
      <c r="A502" s="19">
        <f>IFERROR(__xludf.DUMMYFUNCTION("""COMPUTED_VALUE"""),46304.0)</f>
        <v>46304</v>
      </c>
      <c r="B502" s="19">
        <f>IFERROR(__xludf.DUMMYFUNCTION("""COMPUTED_VALUE"""),46316.0)</f>
        <v>46316</v>
      </c>
      <c r="C502" s="15">
        <f>IFERROR(__xludf.DUMMYFUNCTION("""COMPUTED_VALUE"""),7.0)</f>
        <v>7</v>
      </c>
      <c r="D502" s="15" t="str">
        <f>IFERROR(__xludf.DUMMYFUNCTION("""COMPUTED_VALUE"""),"BTB")</f>
        <v>BTB</v>
      </c>
      <c r="E502" s="15" t="str">
        <f>IFERROR(__xludf.DUMMYFUNCTION("""COMPUTED_VALUE"""),"Neige Comercio de Vestuario LtdaEPP")</f>
        <v>Neige Comercio de Vestuario LtdaEPP</v>
      </c>
      <c r="F502" s="15" t="str">
        <f>IFERROR(__xludf.DUMMYFUNCTION("""COMPUTED_VALUE"""),"TRIFIL")</f>
        <v>TRIFIL</v>
      </c>
      <c r="G502" s="15" t="str">
        <f>IFERROR(__xludf.DUMMYFUNCTION("""COMPUTED_VALUE"""),"266806818")</f>
        <v>266806818</v>
      </c>
      <c r="H502" s="15" t="str">
        <f>IFERROR(__xludf.DUMMYFUNCTION("""COMPUTED_VALUE"""),"1306300")</f>
        <v>1306300</v>
      </c>
      <c r="I502" s="15" t="str">
        <f>IFERROR(__xludf.DUMMYFUNCTION("""COMPUTED_VALUE"""),"8177162")</f>
        <v>8177162</v>
      </c>
      <c r="J502" s="15" t="str">
        <f>IFERROR(__xludf.DUMMYFUNCTION("""COMPUTED_VALUE"""),"CIF")</f>
        <v>CIF</v>
      </c>
      <c r="K502" s="15" t="str">
        <f>IFERROR(__xludf.DUMMYFUNCTION("""COMPUTED_VALUE"""),"(sem célula)")</f>
        <v>(sem célula)</v>
      </c>
      <c r="L502" s="15" t="str">
        <f>IFERROR(__xludf.DUMMYFUNCTION("""COMPUTED_VALUE"""),"AUTORIZADO")</f>
        <v>AUTORIZADO</v>
      </c>
      <c r="M502" s="15" t="str">
        <f>IFERROR(__xludf.DUMMYFUNCTION("""COMPUTED_VALUE"""),"NA ORIGEM")</f>
        <v>NA ORIGEM</v>
      </c>
      <c r="N502" s="15" t="str">
        <f>IFERROR(__xludf.DUMMYFUNCTION("""COMPUTED_VALUE"""),"Antes Prazo")</f>
        <v>Antes Prazo</v>
      </c>
      <c r="O502" s="15" t="str">
        <f>IFERROR(__xludf.DUMMYFUNCTION("""COMPUTED_VALUE"""),"B2B")</f>
        <v>B2B</v>
      </c>
      <c r="P502" s="16">
        <f>IFERROR(__xludf.DUMMYFUNCTION("""COMPUTED_VALUE"""),45.49)</f>
        <v>45.49</v>
      </c>
      <c r="Q502" s="15">
        <f>IFERROR(__xludf.DUMMYFUNCTION("""COMPUTED_VALUE"""),1.0)</f>
        <v>1</v>
      </c>
      <c r="R502" s="15" t="str">
        <f>IFERROR(__xludf.DUMMYFUNCTION("""COMPUTED_VALUE"""),"RODO")</f>
        <v>RODO</v>
      </c>
      <c r="S502" s="15" t="str">
        <f>IFERROR(__xludf.DUMMYFUNCTION("""COMPUTED_VALUE"""),"ITN")</f>
        <v>ITN</v>
      </c>
      <c r="T502" s="15" t="str">
        <f>IFERROR(__xludf.DUMMYFUNCTION("""COMPUTED_VALUE"""),"531")</f>
        <v>531</v>
      </c>
      <c r="U502" s="15" t="str">
        <f>IFERROR(__xludf.DUMMYFUNCTION("""COMPUTED_VALUE"""),"266806818 1306300 8177162 neige comercio de vestuario ltdaepp trifil btb 531")</f>
        <v>266806818 1306300 8177162 neige comercio de vestuario ltdaepp trifil btb 531</v>
      </c>
      <c r="V502" s="15" t="b">
        <f>IFERROR(__xludf.DUMMYFUNCTION("""COMPUTED_VALUE"""),FALSE)</f>
        <v>0</v>
      </c>
    </row>
    <row r="503">
      <c r="A503" s="19">
        <f>IFERROR(__xludf.DUMMYFUNCTION("""COMPUTED_VALUE"""),46304.0)</f>
        <v>46304</v>
      </c>
      <c r="B503" s="19">
        <f>IFERROR(__xludf.DUMMYFUNCTION("""COMPUTED_VALUE"""),46321.0)</f>
        <v>46321</v>
      </c>
      <c r="C503" s="15">
        <f>IFERROR(__xludf.DUMMYFUNCTION("""COMPUTED_VALUE"""),10.0)</f>
        <v>10</v>
      </c>
      <c r="D503" s="15" t="str">
        <f>IFERROR(__xludf.DUMMYFUNCTION("""COMPUTED_VALUE"""),"REC")</f>
        <v>REC</v>
      </c>
      <c r="E503" s="15" t="str">
        <f>IFERROR(__xludf.DUMMYFUNCTION("""COMPUTED_VALUE"""),"R Q de Aguiar e Silva &amp; Cia Ltda-ME")</f>
        <v>R Q de Aguiar e Silva &amp; Cia Ltda-ME</v>
      </c>
      <c r="F503" s="15" t="str">
        <f>IFERROR(__xludf.DUMMYFUNCTION("""COMPUTED_VALUE"""),"TRIFIL")</f>
        <v>TRIFIL</v>
      </c>
      <c r="G503" s="15" t="str">
        <f>IFERROR(__xludf.DUMMYFUNCTION("""COMPUTED_VALUE"""),"266806819")</f>
        <v>266806819</v>
      </c>
      <c r="H503" s="15" t="str">
        <f>IFERROR(__xludf.DUMMYFUNCTION("""COMPUTED_VALUE"""),"1306310")</f>
        <v>1306310</v>
      </c>
      <c r="I503" s="15" t="str">
        <f>IFERROR(__xludf.DUMMYFUNCTION("""COMPUTED_VALUE"""),"8177115")</f>
        <v>8177115</v>
      </c>
      <c r="J503" s="15" t="str">
        <f>IFERROR(__xludf.DUMMYFUNCTION("""COMPUTED_VALUE"""),"CIF")</f>
        <v>CIF</v>
      </c>
      <c r="K503" s="15" t="str">
        <f>IFERROR(__xludf.DUMMYFUNCTION("""COMPUTED_VALUE"""),"FSA-1")</f>
        <v>FSA-1</v>
      </c>
      <c r="L503" s="15" t="str">
        <f>IFERROR(__xludf.DUMMYFUNCTION("""COMPUTED_VALUE"""),"AUTORIZADO")</f>
        <v>AUTORIZADO</v>
      </c>
      <c r="M503" s="15" t="str">
        <f>IFERROR(__xludf.DUMMYFUNCTION("""COMPUTED_VALUE"""),"NA ORIGEM")</f>
        <v>NA ORIGEM</v>
      </c>
      <c r="N503" s="15" t="str">
        <f>IFERROR(__xludf.DUMMYFUNCTION("""COMPUTED_VALUE"""),"Antes Prazo")</f>
        <v>Antes Prazo</v>
      </c>
      <c r="O503" s="15" t="str">
        <f>IFERROR(__xludf.DUMMYFUNCTION("""COMPUTED_VALUE"""),"B2B")</f>
        <v>B2B</v>
      </c>
      <c r="P503" s="16">
        <f>IFERROR(__xludf.DUMMYFUNCTION("""COMPUTED_VALUE"""),63.12)</f>
        <v>63.12</v>
      </c>
      <c r="Q503" s="15">
        <f>IFERROR(__xludf.DUMMYFUNCTION("""COMPUTED_VALUE"""),1.0)</f>
        <v>1</v>
      </c>
      <c r="R503" s="15" t="str">
        <f>IFERROR(__xludf.DUMMYFUNCTION("""COMPUTED_VALUE"""),"RODO")</f>
        <v>RODO</v>
      </c>
      <c r="S503" s="15" t="str">
        <f>IFERROR(__xludf.DUMMYFUNCTION("""COMPUTED_VALUE"""),"ITN")</f>
        <v>ITN</v>
      </c>
      <c r="T503" s="15" t="str">
        <f>IFERROR(__xludf.DUMMYFUNCTION("""COMPUTED_VALUE"""),"112")</f>
        <v>112</v>
      </c>
      <c r="U503" s="15" t="str">
        <f>IFERROR(__xludf.DUMMYFUNCTION("""COMPUTED_VALUE"""),"266806819 1306310 8177115 r q de aguiar e silva &amp; cia ltda-me trifil rec 112")</f>
        <v>266806819 1306310 8177115 r q de aguiar e silva &amp; cia ltda-me trifil rec 112</v>
      </c>
      <c r="V503" s="15" t="b">
        <f>IFERROR(__xludf.DUMMYFUNCTION("""COMPUTED_VALUE"""),FALSE)</f>
        <v>0</v>
      </c>
    </row>
    <row r="504">
      <c r="A504" s="19">
        <f>IFERROR(__xludf.DUMMYFUNCTION("""COMPUTED_VALUE"""),46304.0)</f>
        <v>46304</v>
      </c>
      <c r="B504" s="19">
        <f>IFERROR(__xludf.DUMMYFUNCTION("""COMPUTED_VALUE"""),46324.0)</f>
        <v>46324</v>
      </c>
      <c r="C504" s="15">
        <f>IFERROR(__xludf.DUMMYFUNCTION("""COMPUTED_VALUE"""),13.0)</f>
        <v>13</v>
      </c>
      <c r="D504" s="15" t="str">
        <f>IFERROR(__xludf.DUMMYFUNCTION("""COMPUTED_VALUE"""),"SGR")</f>
        <v>SGR</v>
      </c>
      <c r="E504" s="15" t="str">
        <f>IFERROR(__xludf.DUMMYFUNCTION("""COMPUTED_VALUE"""),"CASA SANTA TEREZINHA")</f>
        <v>CASA SANTA TEREZINHA</v>
      </c>
      <c r="F504" s="15" t="str">
        <f>IFERROR(__xludf.DUMMYFUNCTION("""COMPUTED_VALUE"""),"TRIFIL")</f>
        <v>TRIFIL</v>
      </c>
      <c r="G504" s="15" t="str">
        <f>IFERROR(__xludf.DUMMYFUNCTION("""COMPUTED_VALUE"""),"266806820")</f>
        <v>266806820</v>
      </c>
      <c r="H504" s="15" t="str">
        <f>IFERROR(__xludf.DUMMYFUNCTION("""COMPUTED_VALUE"""),"1305878")</f>
        <v>1305878</v>
      </c>
      <c r="I504" s="15" t="str">
        <f>IFERROR(__xludf.DUMMYFUNCTION("""COMPUTED_VALUE"""),"8177294")</f>
        <v>8177294</v>
      </c>
      <c r="J504" s="15" t="str">
        <f>IFERROR(__xludf.DUMMYFUNCTION("""COMPUTED_VALUE"""),"CIF")</f>
        <v>CIF</v>
      </c>
      <c r="K504" s="15" t="str">
        <f>IFERROR(__xludf.DUMMYFUNCTION("""COMPUTED_VALUE"""),"FSA-1")</f>
        <v>FSA-1</v>
      </c>
      <c r="L504" s="15" t="str">
        <f>IFERROR(__xludf.DUMMYFUNCTION("""COMPUTED_VALUE"""),"AUTORIZADO")</f>
        <v>AUTORIZADO</v>
      </c>
      <c r="M504" s="15" t="str">
        <f>IFERROR(__xludf.DUMMYFUNCTION("""COMPUTED_VALUE"""),"NA ORIGEM")</f>
        <v>NA ORIGEM</v>
      </c>
      <c r="N504" s="15" t="str">
        <f>IFERROR(__xludf.DUMMYFUNCTION("""COMPUTED_VALUE"""),"Antes Prazo")</f>
        <v>Antes Prazo</v>
      </c>
      <c r="O504" s="15" t="str">
        <f>IFERROR(__xludf.DUMMYFUNCTION("""COMPUTED_VALUE"""),"B2B")</f>
        <v>B2B</v>
      </c>
      <c r="P504" s="16">
        <f>IFERROR(__xludf.DUMMYFUNCTION("""COMPUTED_VALUE"""),63.12)</f>
        <v>63.12</v>
      </c>
      <c r="Q504" s="15">
        <f>IFERROR(__xludf.DUMMYFUNCTION("""COMPUTED_VALUE"""),1.0)</f>
        <v>1</v>
      </c>
      <c r="R504" s="15" t="str">
        <f>IFERROR(__xludf.DUMMYFUNCTION("""COMPUTED_VALUE"""),"RODO")</f>
        <v>RODO</v>
      </c>
      <c r="S504" s="15" t="str">
        <f>IFERROR(__xludf.DUMMYFUNCTION("""COMPUTED_VALUE"""),"ITN")</f>
        <v>ITN</v>
      </c>
      <c r="T504" s="15" t="str">
        <f>IFERROR(__xludf.DUMMYFUNCTION("""COMPUTED_VALUE"""),"3")</f>
        <v>3</v>
      </c>
      <c r="U504" s="15" t="str">
        <f>IFERROR(__xludf.DUMMYFUNCTION("""COMPUTED_VALUE"""),"266806820 1305878 8177294 casa santa terezinha trifil sgr 3")</f>
        <v>266806820 1305878 8177294 casa santa terezinha trifil sgr 3</v>
      </c>
      <c r="V504" s="15" t="b">
        <f>IFERROR(__xludf.DUMMYFUNCTION("""COMPUTED_VALUE"""),FALSE)</f>
        <v>0</v>
      </c>
    </row>
    <row r="505">
      <c r="A505" s="19">
        <f>IFERROR(__xludf.DUMMYFUNCTION("""COMPUTED_VALUE"""),46304.0)</f>
        <v>46304</v>
      </c>
      <c r="B505" s="19">
        <f>IFERROR(__xludf.DUMMYFUNCTION("""COMPUTED_VALUE"""),46324.0)</f>
        <v>46324</v>
      </c>
      <c r="C505" s="15">
        <f>IFERROR(__xludf.DUMMYFUNCTION("""COMPUTED_VALUE"""),13.0)</f>
        <v>13</v>
      </c>
      <c r="D505" s="15" t="str">
        <f>IFERROR(__xludf.DUMMYFUNCTION("""COMPUTED_VALUE"""),"SGR")</f>
        <v>SGR</v>
      </c>
      <c r="E505" s="15" t="str">
        <f>IFERROR(__xludf.DUMMYFUNCTION("""COMPUTED_VALUE"""),"I.L CALCADOS")</f>
        <v>I.L CALCADOS</v>
      </c>
      <c r="F505" s="15" t="str">
        <f>IFERROR(__xludf.DUMMYFUNCTION("""COMPUTED_VALUE"""),"TRIFIL")</f>
        <v>TRIFIL</v>
      </c>
      <c r="G505" s="15" t="str">
        <f>IFERROR(__xludf.DUMMYFUNCTION("""COMPUTED_VALUE"""),"266806821")</f>
        <v>266806821</v>
      </c>
      <c r="H505" s="15" t="str">
        <f>IFERROR(__xludf.DUMMYFUNCTION("""COMPUTED_VALUE"""),"1306055")</f>
        <v>1306055</v>
      </c>
      <c r="I505" s="15" t="str">
        <f>IFERROR(__xludf.DUMMYFUNCTION("""COMPUTED_VALUE"""),"8177193")</f>
        <v>8177193</v>
      </c>
      <c r="J505" s="15" t="str">
        <f>IFERROR(__xludf.DUMMYFUNCTION("""COMPUTED_VALUE"""),"CIF")</f>
        <v>CIF</v>
      </c>
      <c r="K505" s="15" t="str">
        <f>IFERROR(__xludf.DUMMYFUNCTION("""COMPUTED_VALUE"""),"FSA-1")</f>
        <v>FSA-1</v>
      </c>
      <c r="L505" s="15" t="str">
        <f>IFERROR(__xludf.DUMMYFUNCTION("""COMPUTED_VALUE"""),"AUTORIZADO")</f>
        <v>AUTORIZADO</v>
      </c>
      <c r="M505" s="15" t="str">
        <f>IFERROR(__xludf.DUMMYFUNCTION("""COMPUTED_VALUE"""),"NA ORIGEM")</f>
        <v>NA ORIGEM</v>
      </c>
      <c r="N505" s="15" t="str">
        <f>IFERROR(__xludf.DUMMYFUNCTION("""COMPUTED_VALUE"""),"Antes Prazo")</f>
        <v>Antes Prazo</v>
      </c>
      <c r="O505" s="15" t="str">
        <f>IFERROR(__xludf.DUMMYFUNCTION("""COMPUTED_VALUE"""),"B2B")</f>
        <v>B2B</v>
      </c>
      <c r="P505" s="16">
        <f>IFERROR(__xludf.DUMMYFUNCTION("""COMPUTED_VALUE"""),63.12)</f>
        <v>63.12</v>
      </c>
      <c r="Q505" s="15">
        <f>IFERROR(__xludf.DUMMYFUNCTION("""COMPUTED_VALUE"""),5.0)</f>
        <v>5</v>
      </c>
      <c r="R505" s="15" t="str">
        <f>IFERROR(__xludf.DUMMYFUNCTION("""COMPUTED_VALUE"""),"RODO")</f>
        <v>RODO</v>
      </c>
      <c r="S505" s="15" t="str">
        <f>IFERROR(__xludf.DUMMYFUNCTION("""COMPUTED_VALUE"""),"ITN")</f>
        <v>ITN</v>
      </c>
      <c r="T505" s="15" t="str">
        <f>IFERROR(__xludf.DUMMYFUNCTION("""COMPUTED_VALUE"""),"4")</f>
        <v>4</v>
      </c>
      <c r="U505" s="15" t="str">
        <f>IFERROR(__xludf.DUMMYFUNCTION("""COMPUTED_VALUE"""),"266806821 1306055 8177193 i.l calcados trifil sgr 4")</f>
        <v>266806821 1306055 8177193 i.l calcados trifil sgr 4</v>
      </c>
      <c r="V505" s="15" t="b">
        <f>IFERROR(__xludf.DUMMYFUNCTION("""COMPUTED_VALUE"""),FALSE)</f>
        <v>0</v>
      </c>
    </row>
    <row r="506">
      <c r="A506" s="19">
        <f>IFERROR(__xludf.DUMMYFUNCTION("""COMPUTED_VALUE"""),46304.0)</f>
        <v>46304</v>
      </c>
      <c r="B506" s="19">
        <f>IFERROR(__xludf.DUMMYFUNCTION("""COMPUTED_VALUE"""),46318.0)</f>
        <v>46318</v>
      </c>
      <c r="C506" s="15">
        <f>IFERROR(__xludf.DUMMYFUNCTION("""COMPUTED_VALUE"""),9.0)</f>
        <v>9</v>
      </c>
      <c r="D506" s="15" t="str">
        <f>IFERROR(__xludf.DUMMYFUNCTION("""COMPUTED_VALUE"""),"CAU")</f>
        <v>CAU</v>
      </c>
      <c r="E506" s="15" t="str">
        <f>IFERROR(__xludf.DUMMYFUNCTION("""COMPUTED_VALUE"""),"ANTONIO DE PADUA CAVALCANTE DE ARAUJO CI")</f>
        <v>ANTONIO DE PADUA CAVALCANTE DE ARAUJO CI</v>
      </c>
      <c r="F506" s="15" t="str">
        <f>IFERROR(__xludf.DUMMYFUNCTION("""COMPUTED_VALUE"""),"TRIFIL")</f>
        <v>TRIFIL</v>
      </c>
      <c r="G506" s="15" t="str">
        <f>IFERROR(__xludf.DUMMYFUNCTION("""COMPUTED_VALUE"""),"266806822")</f>
        <v>266806822</v>
      </c>
      <c r="H506" s="15" t="str">
        <f>IFERROR(__xludf.DUMMYFUNCTION("""COMPUTED_VALUE"""),"1306189")</f>
        <v>1306189</v>
      </c>
      <c r="I506" s="15" t="str">
        <f>IFERROR(__xludf.DUMMYFUNCTION("""COMPUTED_VALUE"""),"8177194")</f>
        <v>8177194</v>
      </c>
      <c r="J506" s="15" t="str">
        <f>IFERROR(__xludf.DUMMYFUNCTION("""COMPUTED_VALUE"""),"CIF")</f>
        <v>CIF</v>
      </c>
      <c r="K506" s="15" t="str">
        <f>IFERROR(__xludf.DUMMYFUNCTION("""COMPUTED_VALUE"""),"FSA-1")</f>
        <v>FSA-1</v>
      </c>
      <c r="L506" s="15" t="str">
        <f>IFERROR(__xludf.DUMMYFUNCTION("""COMPUTED_VALUE"""),"AUTORIZADO")</f>
        <v>AUTORIZADO</v>
      </c>
      <c r="M506" s="15" t="str">
        <f>IFERROR(__xludf.DUMMYFUNCTION("""COMPUTED_VALUE"""),"NA ORIGEM")</f>
        <v>NA ORIGEM</v>
      </c>
      <c r="N506" s="15" t="str">
        <f>IFERROR(__xludf.DUMMYFUNCTION("""COMPUTED_VALUE"""),"Antes Prazo")</f>
        <v>Antes Prazo</v>
      </c>
      <c r="O506" s="15" t="str">
        <f>IFERROR(__xludf.DUMMYFUNCTION("""COMPUTED_VALUE"""),"B2B")</f>
        <v>B2B</v>
      </c>
      <c r="P506" s="16">
        <f>IFERROR(__xludf.DUMMYFUNCTION("""COMPUTED_VALUE"""),63.12)</f>
        <v>63.12</v>
      </c>
      <c r="Q506" s="15">
        <f>IFERROR(__xludf.DUMMYFUNCTION("""COMPUTED_VALUE"""),1.0)</f>
        <v>1</v>
      </c>
      <c r="R506" s="15" t="str">
        <f>IFERROR(__xludf.DUMMYFUNCTION("""COMPUTED_VALUE"""),"RODO")</f>
        <v>RODO</v>
      </c>
      <c r="S506" s="15" t="str">
        <f>IFERROR(__xludf.DUMMYFUNCTION("""COMPUTED_VALUE"""),"ITN")</f>
        <v>ITN</v>
      </c>
      <c r="T506" s="15" t="str">
        <f>IFERROR(__xludf.DUMMYFUNCTION("""COMPUTED_VALUE"""),"103")</f>
        <v>103</v>
      </c>
      <c r="U506" s="15" t="str">
        <f>IFERROR(__xludf.DUMMYFUNCTION("""COMPUTED_VALUE"""),"266806822 1306189 8177194 antonio de padua cavalcante de araujo ci trifil cau 103")</f>
        <v>266806822 1306189 8177194 antonio de padua cavalcante de araujo ci trifil cau 103</v>
      </c>
      <c r="V506" s="15" t="b">
        <f>IFERROR(__xludf.DUMMYFUNCTION("""COMPUTED_VALUE"""),FALSE)</f>
        <v>0</v>
      </c>
    </row>
    <row r="507">
      <c r="A507" s="19">
        <f>IFERROR(__xludf.DUMMYFUNCTION("""COMPUTED_VALUE"""),46304.0)</f>
        <v>46304</v>
      </c>
      <c r="B507" s="19">
        <f>IFERROR(__xludf.DUMMYFUNCTION("""COMPUTED_VALUE"""),46321.0)</f>
        <v>46321</v>
      </c>
      <c r="C507" s="15">
        <f>IFERROR(__xludf.DUMMYFUNCTION("""COMPUTED_VALUE"""),10.0)</f>
        <v>10</v>
      </c>
      <c r="D507" s="15" t="str">
        <f>IFERROR(__xludf.DUMMYFUNCTION("""COMPUTED_VALUE"""),"CAU")</f>
        <v>CAU</v>
      </c>
      <c r="E507" s="15" t="str">
        <f>IFERROR(__xludf.DUMMYFUNCTION("""COMPUTED_VALUE"""),"ANA CRISTINA GONCALVES DE MELO RAMALHO C")</f>
        <v>ANA CRISTINA GONCALVES DE MELO RAMALHO C</v>
      </c>
      <c r="F507" s="15" t="str">
        <f>IFERROR(__xludf.DUMMYFUNCTION("""COMPUTED_VALUE"""),"TRIFIL")</f>
        <v>TRIFIL</v>
      </c>
      <c r="G507" s="15" t="str">
        <f>IFERROR(__xludf.DUMMYFUNCTION("""COMPUTED_VALUE"""),"266806823")</f>
        <v>266806823</v>
      </c>
      <c r="H507" s="15" t="str">
        <f>IFERROR(__xludf.DUMMYFUNCTION("""COMPUTED_VALUE"""),"1305894")</f>
        <v>1305894</v>
      </c>
      <c r="I507" s="15" t="str">
        <f>IFERROR(__xludf.DUMMYFUNCTION("""COMPUTED_VALUE"""),"8177253")</f>
        <v>8177253</v>
      </c>
      <c r="J507" s="15" t="str">
        <f>IFERROR(__xludf.DUMMYFUNCTION("""COMPUTED_VALUE"""),"CIF")</f>
        <v>CIF</v>
      </c>
      <c r="K507" s="15" t="str">
        <f>IFERROR(__xludf.DUMMYFUNCTION("""COMPUTED_VALUE"""),"FSA-1")</f>
        <v>FSA-1</v>
      </c>
      <c r="L507" s="15" t="str">
        <f>IFERROR(__xludf.DUMMYFUNCTION("""COMPUTED_VALUE"""),"AUTORIZADO")</f>
        <v>AUTORIZADO</v>
      </c>
      <c r="M507" s="15" t="str">
        <f>IFERROR(__xludf.DUMMYFUNCTION("""COMPUTED_VALUE"""),"NA ORIGEM")</f>
        <v>NA ORIGEM</v>
      </c>
      <c r="N507" s="15" t="str">
        <f>IFERROR(__xludf.DUMMYFUNCTION("""COMPUTED_VALUE"""),"Antes Prazo")</f>
        <v>Antes Prazo</v>
      </c>
      <c r="O507" s="15" t="str">
        <f>IFERROR(__xludf.DUMMYFUNCTION("""COMPUTED_VALUE"""),"B2B")</f>
        <v>B2B</v>
      </c>
      <c r="P507" s="16">
        <f>IFERROR(__xludf.DUMMYFUNCTION("""COMPUTED_VALUE"""),63.12)</f>
        <v>63.12</v>
      </c>
      <c r="Q507" s="15">
        <f>IFERROR(__xludf.DUMMYFUNCTION("""COMPUTED_VALUE"""),1.0)</f>
        <v>1</v>
      </c>
      <c r="R507" s="15" t="str">
        <f>IFERROR(__xludf.DUMMYFUNCTION("""COMPUTED_VALUE"""),"RODO")</f>
        <v>RODO</v>
      </c>
      <c r="S507" s="15" t="str">
        <f>IFERROR(__xludf.DUMMYFUNCTION("""COMPUTED_VALUE"""),"ITN")</f>
        <v>ITN</v>
      </c>
      <c r="T507" s="15" t="str">
        <f>IFERROR(__xludf.DUMMYFUNCTION("""COMPUTED_VALUE"""),"102")</f>
        <v>102</v>
      </c>
      <c r="U507" s="15" t="str">
        <f>IFERROR(__xludf.DUMMYFUNCTION("""COMPUTED_VALUE"""),"266806823 1305894 8177253 ana cristina goncalves de melo ramalho c trifil cau 102")</f>
        <v>266806823 1305894 8177253 ana cristina goncalves de melo ramalho c trifil cau 102</v>
      </c>
      <c r="V507" s="15" t="b">
        <f>IFERROR(__xludf.DUMMYFUNCTION("""COMPUTED_VALUE"""),FALSE)</f>
        <v>0</v>
      </c>
    </row>
    <row r="508">
      <c r="A508" s="19">
        <f>IFERROR(__xludf.DUMMYFUNCTION("""COMPUTED_VALUE"""),46304.0)</f>
        <v>46304</v>
      </c>
      <c r="B508" s="19">
        <f>IFERROR(__xludf.DUMMYFUNCTION("""COMPUTED_VALUE"""),46321.0)</f>
        <v>46321</v>
      </c>
      <c r="C508" s="15">
        <f>IFERROR(__xludf.DUMMYFUNCTION("""COMPUTED_VALUE"""),10.0)</f>
        <v>10</v>
      </c>
      <c r="D508" s="15" t="str">
        <f>IFERROR(__xludf.DUMMYFUNCTION("""COMPUTED_VALUE"""),"CAU")</f>
        <v>CAU</v>
      </c>
      <c r="E508" s="15" t="str">
        <f>IFERROR(__xludf.DUMMYFUNCTION("""COMPUTED_VALUE"""),"MARIA JOSE ARAUJO SILVA(0001011716)")</f>
        <v>MARIA JOSE ARAUJO SILVA(0001011716)</v>
      </c>
      <c r="F508" s="15" t="str">
        <f>IFERROR(__xludf.DUMMYFUNCTION("""COMPUTED_VALUE"""),"TRIFIL")</f>
        <v>TRIFIL</v>
      </c>
      <c r="G508" s="15" t="str">
        <f>IFERROR(__xludf.DUMMYFUNCTION("""COMPUTED_VALUE"""),"266806824")</f>
        <v>266806824</v>
      </c>
      <c r="H508" s="15" t="str">
        <f>IFERROR(__xludf.DUMMYFUNCTION("""COMPUTED_VALUE"""),"1306200")</f>
        <v>1306200</v>
      </c>
      <c r="I508" s="15" t="str">
        <f>IFERROR(__xludf.DUMMYFUNCTION("""COMPUTED_VALUE"""),"8177133")</f>
        <v>8177133</v>
      </c>
      <c r="J508" s="15" t="str">
        <f>IFERROR(__xludf.DUMMYFUNCTION("""COMPUTED_VALUE"""),"CIF")</f>
        <v>CIF</v>
      </c>
      <c r="K508" s="15" t="str">
        <f>IFERROR(__xludf.DUMMYFUNCTION("""COMPUTED_VALUE"""),"FSA-1")</f>
        <v>FSA-1</v>
      </c>
      <c r="L508" s="15" t="str">
        <f>IFERROR(__xludf.DUMMYFUNCTION("""COMPUTED_VALUE"""),"AUTORIZADO")</f>
        <v>AUTORIZADO</v>
      </c>
      <c r="M508" s="15" t="str">
        <f>IFERROR(__xludf.DUMMYFUNCTION("""COMPUTED_VALUE"""),"NA ORIGEM")</f>
        <v>NA ORIGEM</v>
      </c>
      <c r="N508" s="15" t="str">
        <f>IFERROR(__xludf.DUMMYFUNCTION("""COMPUTED_VALUE"""),"Antes Prazo")</f>
        <v>Antes Prazo</v>
      </c>
      <c r="O508" s="15" t="str">
        <f>IFERROR(__xludf.DUMMYFUNCTION("""COMPUTED_VALUE"""),"B2B")</f>
        <v>B2B</v>
      </c>
      <c r="P508" s="16">
        <f>IFERROR(__xludf.DUMMYFUNCTION("""COMPUTED_VALUE"""),63.12)</f>
        <v>63.12</v>
      </c>
      <c r="Q508" s="15">
        <f>IFERROR(__xludf.DUMMYFUNCTION("""COMPUTED_VALUE"""),1.0)</f>
        <v>1</v>
      </c>
      <c r="R508" s="15" t="str">
        <f>IFERROR(__xludf.DUMMYFUNCTION("""COMPUTED_VALUE"""),"RODO")</f>
        <v>RODO</v>
      </c>
      <c r="S508" s="15" t="str">
        <f>IFERROR(__xludf.DUMMYFUNCTION("""COMPUTED_VALUE"""),"ITN")</f>
        <v>ITN</v>
      </c>
      <c r="T508" s="15" t="str">
        <f>IFERROR(__xludf.DUMMYFUNCTION("""COMPUTED_VALUE"""),"102")</f>
        <v>102</v>
      </c>
      <c r="U508" s="15" t="str">
        <f>IFERROR(__xludf.DUMMYFUNCTION("""COMPUTED_VALUE"""),"266806824 1306200 8177133 maria jose araujo silva(0001011716) trifil cau 102")</f>
        <v>266806824 1306200 8177133 maria jose araujo silva(0001011716) trifil cau 102</v>
      </c>
      <c r="V508" s="15" t="b">
        <f>IFERROR(__xludf.DUMMYFUNCTION("""COMPUTED_VALUE"""),FALSE)</f>
        <v>0</v>
      </c>
    </row>
    <row r="509">
      <c r="A509" s="19">
        <f>IFERROR(__xludf.DUMMYFUNCTION("""COMPUTED_VALUE"""),46304.0)</f>
        <v>46304</v>
      </c>
      <c r="B509" s="19">
        <f>IFERROR(__xludf.DUMMYFUNCTION("""COMPUTED_VALUE"""),46318.0)</f>
        <v>46318</v>
      </c>
      <c r="C509" s="15">
        <f>IFERROR(__xludf.DUMMYFUNCTION("""COMPUTED_VALUE"""),9.0)</f>
        <v>9</v>
      </c>
      <c r="D509" s="15" t="str">
        <f>IFERROR(__xludf.DUMMYFUNCTION("""COMPUTED_VALUE"""),"MCZ")</f>
        <v>MCZ</v>
      </c>
      <c r="E509" s="15" t="str">
        <f>IFERROR(__xludf.DUMMYFUNCTION("""COMPUTED_VALUE"""),"ROSILENE M DA SILVA")</f>
        <v>ROSILENE M DA SILVA</v>
      </c>
      <c r="F509" s="15" t="str">
        <f>IFERROR(__xludf.DUMMYFUNCTION("""COMPUTED_VALUE"""),"TRIFIL")</f>
        <v>TRIFIL</v>
      </c>
      <c r="G509" s="15" t="str">
        <f>IFERROR(__xludf.DUMMYFUNCTION("""COMPUTED_VALUE"""),"266806825")</f>
        <v>266806825</v>
      </c>
      <c r="H509" s="15" t="str">
        <f>IFERROR(__xludf.DUMMYFUNCTION("""COMPUTED_VALUE"""),"1305831")</f>
        <v>1305831</v>
      </c>
      <c r="I509" s="15" t="str">
        <f>IFERROR(__xludf.DUMMYFUNCTION("""COMPUTED_VALUE"""),"8177295")</f>
        <v>8177295</v>
      </c>
      <c r="J509" s="15" t="str">
        <f>IFERROR(__xludf.DUMMYFUNCTION("""COMPUTED_VALUE"""),"CIF")</f>
        <v>CIF</v>
      </c>
      <c r="K509" s="15" t="str">
        <f>IFERROR(__xludf.DUMMYFUNCTION("""COMPUTED_VALUE"""),"FSA-1")</f>
        <v>FSA-1</v>
      </c>
      <c r="L509" s="15" t="str">
        <f>IFERROR(__xludf.DUMMYFUNCTION("""COMPUTED_VALUE"""),"AUTORIZADO")</f>
        <v>AUTORIZADO</v>
      </c>
      <c r="M509" s="15" t="str">
        <f>IFERROR(__xludf.DUMMYFUNCTION("""COMPUTED_VALUE"""),"NA ORIGEM")</f>
        <v>NA ORIGEM</v>
      </c>
      <c r="N509" s="15" t="str">
        <f>IFERROR(__xludf.DUMMYFUNCTION("""COMPUTED_VALUE"""),"Antes Prazo")</f>
        <v>Antes Prazo</v>
      </c>
      <c r="O509" s="15" t="str">
        <f>IFERROR(__xludf.DUMMYFUNCTION("""COMPUTED_VALUE"""),"B2B")</f>
        <v>B2B</v>
      </c>
      <c r="P509" s="16">
        <f>IFERROR(__xludf.DUMMYFUNCTION("""COMPUTED_VALUE"""),57.25)</f>
        <v>57.25</v>
      </c>
      <c r="Q509" s="15">
        <f>IFERROR(__xludf.DUMMYFUNCTION("""COMPUTED_VALUE"""),1.0)</f>
        <v>1</v>
      </c>
      <c r="R509" s="15" t="str">
        <f>IFERROR(__xludf.DUMMYFUNCTION("""COMPUTED_VALUE"""),"RODO")</f>
        <v>RODO</v>
      </c>
      <c r="S509" s="15" t="str">
        <f>IFERROR(__xludf.DUMMYFUNCTION("""COMPUTED_VALUE"""),"ITN")</f>
        <v>ITN</v>
      </c>
      <c r="T509" s="15" t="str">
        <f>IFERROR(__xludf.DUMMYFUNCTION("""COMPUTED_VALUE"""),"106")</f>
        <v>106</v>
      </c>
      <c r="U509" s="15" t="str">
        <f>IFERROR(__xludf.DUMMYFUNCTION("""COMPUTED_VALUE"""),"266806825 1305831 8177295 rosilene m da silva trifil mcz 106")</f>
        <v>266806825 1305831 8177295 rosilene m da silva trifil mcz 106</v>
      </c>
      <c r="V509" s="15" t="b">
        <f>IFERROR(__xludf.DUMMYFUNCTION("""COMPUTED_VALUE"""),FALSE)</f>
        <v>0</v>
      </c>
    </row>
    <row r="510">
      <c r="A510" s="19">
        <f>IFERROR(__xludf.DUMMYFUNCTION("""COMPUTED_VALUE"""),46304.0)</f>
        <v>46304</v>
      </c>
      <c r="B510" s="19">
        <f>IFERROR(__xludf.DUMMYFUNCTION("""COMPUTED_VALUE"""),46316.0)</f>
        <v>46316</v>
      </c>
      <c r="C510" s="15">
        <f>IFERROR(__xludf.DUMMYFUNCTION("""COMPUTED_VALUE"""),7.0)</f>
        <v>7</v>
      </c>
      <c r="D510" s="15" t="str">
        <f>IFERROR(__xludf.DUMMYFUNCTION("""COMPUTED_VALUE"""),"MCZ")</f>
        <v>MCZ</v>
      </c>
      <c r="E510" s="15" t="str">
        <f>IFERROR(__xludf.DUMMYFUNCTION("""COMPUTED_VALUE"""),"JOSIAS FERREIRA DA SILVA(0001031874)")</f>
        <v>JOSIAS FERREIRA DA SILVA(0001031874)</v>
      </c>
      <c r="F510" s="15" t="str">
        <f>IFERROR(__xludf.DUMMYFUNCTION("""COMPUTED_VALUE"""),"TRIFIL")</f>
        <v>TRIFIL</v>
      </c>
      <c r="G510" s="15" t="str">
        <f>IFERROR(__xludf.DUMMYFUNCTION("""COMPUTED_VALUE"""),"266806827")</f>
        <v>266806827</v>
      </c>
      <c r="H510" s="15" t="str">
        <f>IFERROR(__xludf.DUMMYFUNCTION("""COMPUTED_VALUE"""),"1306251")</f>
        <v>1306251</v>
      </c>
      <c r="I510" s="15" t="str">
        <f>IFERROR(__xludf.DUMMYFUNCTION("""COMPUTED_VALUE"""),"8177163")</f>
        <v>8177163</v>
      </c>
      <c r="J510" s="15" t="str">
        <f>IFERROR(__xludf.DUMMYFUNCTION("""COMPUTED_VALUE"""),"CIF")</f>
        <v>CIF</v>
      </c>
      <c r="K510" s="15" t="str">
        <f>IFERROR(__xludf.DUMMYFUNCTION("""COMPUTED_VALUE"""),"FSA-1")</f>
        <v>FSA-1</v>
      </c>
      <c r="L510" s="15" t="str">
        <f>IFERROR(__xludf.DUMMYFUNCTION("""COMPUTED_VALUE"""),"AUTORIZADO")</f>
        <v>AUTORIZADO</v>
      </c>
      <c r="M510" s="15" t="str">
        <f>IFERROR(__xludf.DUMMYFUNCTION("""COMPUTED_VALUE"""),"NA ORIGEM")</f>
        <v>NA ORIGEM</v>
      </c>
      <c r="N510" s="15" t="str">
        <f>IFERROR(__xludf.DUMMYFUNCTION("""COMPUTED_VALUE"""),"Antes Prazo")</f>
        <v>Antes Prazo</v>
      </c>
      <c r="O510" s="15" t="str">
        <f>IFERROR(__xludf.DUMMYFUNCTION("""COMPUTED_VALUE"""),"B2B")</f>
        <v>B2B</v>
      </c>
      <c r="P510" s="16">
        <f>IFERROR(__xludf.DUMMYFUNCTION("""COMPUTED_VALUE"""),57.25)</f>
        <v>57.25</v>
      </c>
      <c r="Q510" s="15">
        <f>IFERROR(__xludf.DUMMYFUNCTION("""COMPUTED_VALUE"""),1.0)</f>
        <v>1</v>
      </c>
      <c r="R510" s="15" t="str">
        <f>IFERROR(__xludf.DUMMYFUNCTION("""COMPUTED_VALUE"""),"RODO")</f>
        <v>RODO</v>
      </c>
      <c r="S510" s="15" t="str">
        <f>IFERROR(__xludf.DUMMYFUNCTION("""COMPUTED_VALUE"""),"ITN")</f>
        <v>ITN</v>
      </c>
      <c r="T510" s="15" t="str">
        <f>IFERROR(__xludf.DUMMYFUNCTION("""COMPUTED_VALUE"""),"101")</f>
        <v>101</v>
      </c>
      <c r="U510" s="15" t="str">
        <f>IFERROR(__xludf.DUMMYFUNCTION("""COMPUTED_VALUE"""),"266806827 1306251 8177163 josias ferreira da silva(0001031874) trifil mcz 101")</f>
        <v>266806827 1306251 8177163 josias ferreira da silva(0001031874) trifil mcz 101</v>
      </c>
      <c r="V510" s="15" t="b">
        <f>IFERROR(__xludf.DUMMYFUNCTION("""COMPUTED_VALUE"""),FALSE)</f>
        <v>0</v>
      </c>
    </row>
    <row r="511">
      <c r="A511" s="19">
        <f>IFERROR(__xludf.DUMMYFUNCTION("""COMPUTED_VALUE"""),46304.0)</f>
        <v>46304</v>
      </c>
      <c r="B511" s="19">
        <f>IFERROR(__xludf.DUMMYFUNCTION("""COMPUTED_VALUE"""),46324.0)</f>
        <v>46324</v>
      </c>
      <c r="C511" s="15">
        <f>IFERROR(__xludf.DUMMYFUNCTION("""COMPUTED_VALUE"""),13.0)</f>
        <v>13</v>
      </c>
      <c r="D511" s="15" t="str">
        <f>IFERROR(__xludf.DUMMYFUNCTION("""COMPUTED_VALUE"""),"CPV")</f>
        <v>CPV</v>
      </c>
      <c r="E511" s="15" t="str">
        <f>IFERROR(__xludf.DUMMYFUNCTION("""COMPUTED_VALUE"""),"JOANA D ARC EVARISTO ALVES 03094689493")</f>
        <v>JOANA D ARC EVARISTO ALVES 03094689493</v>
      </c>
      <c r="F511" s="15" t="str">
        <f>IFERROR(__xludf.DUMMYFUNCTION("""COMPUTED_VALUE"""),"TRIFIL")</f>
        <v>TRIFIL</v>
      </c>
      <c r="G511" s="15" t="str">
        <f>IFERROR(__xludf.DUMMYFUNCTION("""COMPUTED_VALUE"""),"266806828")</f>
        <v>266806828</v>
      </c>
      <c r="H511" s="15" t="str">
        <f>IFERROR(__xludf.DUMMYFUNCTION("""COMPUTED_VALUE"""),"1306122")</f>
        <v>1306122</v>
      </c>
      <c r="I511" s="15" t="str">
        <f>IFERROR(__xludf.DUMMYFUNCTION("""COMPUTED_VALUE"""),"8177325")</f>
        <v>8177325</v>
      </c>
      <c r="J511" s="15" t="str">
        <f>IFERROR(__xludf.DUMMYFUNCTION("""COMPUTED_VALUE"""),"CIF")</f>
        <v>CIF</v>
      </c>
      <c r="K511" s="15" t="str">
        <f>IFERROR(__xludf.DUMMYFUNCTION("""COMPUTED_VALUE"""),"FSA-1")</f>
        <v>FSA-1</v>
      </c>
      <c r="L511" s="15" t="str">
        <f>IFERROR(__xludf.DUMMYFUNCTION("""COMPUTED_VALUE"""),"AUTORIZADO")</f>
        <v>AUTORIZADO</v>
      </c>
      <c r="M511" s="15" t="str">
        <f>IFERROR(__xludf.DUMMYFUNCTION("""COMPUTED_VALUE"""),"NA ORIGEM")</f>
        <v>NA ORIGEM</v>
      </c>
      <c r="N511" s="15" t="str">
        <f>IFERROR(__xludf.DUMMYFUNCTION("""COMPUTED_VALUE"""),"Antes Prazo")</f>
        <v>Antes Prazo</v>
      </c>
      <c r="O511" s="15" t="str">
        <f>IFERROR(__xludf.DUMMYFUNCTION("""COMPUTED_VALUE"""),"B2B")</f>
        <v>B2B</v>
      </c>
      <c r="P511" s="16">
        <f>IFERROR(__xludf.DUMMYFUNCTION("""COMPUTED_VALUE"""),71.9)</f>
        <v>71.9</v>
      </c>
      <c r="Q511" s="15">
        <f>IFERROR(__xludf.DUMMYFUNCTION("""COMPUTED_VALUE"""),2.0)</f>
        <v>2</v>
      </c>
      <c r="R511" s="15" t="str">
        <f>IFERROR(__xludf.DUMMYFUNCTION("""COMPUTED_VALUE"""),"RODO")</f>
        <v>RODO</v>
      </c>
      <c r="S511" s="15" t="str">
        <f>IFERROR(__xludf.DUMMYFUNCTION("""COMPUTED_VALUE"""),"ITN")</f>
        <v>ITN</v>
      </c>
      <c r="T511" s="15" t="str">
        <f>IFERROR(__xludf.DUMMYFUNCTION("""COMPUTED_VALUE"""),"107")</f>
        <v>107</v>
      </c>
      <c r="U511" s="15" t="str">
        <f>IFERROR(__xludf.DUMMYFUNCTION("""COMPUTED_VALUE"""),"266806828 1306122 8177325 joana d arc evaristo alves 03094689493 trifil cpv 107")</f>
        <v>266806828 1306122 8177325 joana d arc evaristo alves 03094689493 trifil cpv 107</v>
      </c>
      <c r="V511" s="15" t="b">
        <f>IFERROR(__xludf.DUMMYFUNCTION("""COMPUTED_VALUE"""),FALSE)</f>
        <v>0</v>
      </c>
    </row>
    <row r="512">
      <c r="A512" s="19">
        <f>IFERROR(__xludf.DUMMYFUNCTION("""COMPUTED_VALUE"""),46304.0)</f>
        <v>46304</v>
      </c>
      <c r="B512" s="19">
        <f>IFERROR(__xludf.DUMMYFUNCTION("""COMPUTED_VALUE"""),46316.0)</f>
        <v>46316</v>
      </c>
      <c r="C512" s="15">
        <f>IFERROR(__xludf.DUMMYFUNCTION("""COMPUTED_VALUE"""),7.0)</f>
        <v>7</v>
      </c>
      <c r="D512" s="15" t="str">
        <f>IFERROR(__xludf.DUMMYFUNCTION("""COMPUTED_VALUE"""),"JPA")</f>
        <v>JPA</v>
      </c>
      <c r="E512" s="15" t="str">
        <f>IFERROR(__xludf.DUMMYFUNCTION("""COMPUTED_VALUE"""),"ORLANDO DAS MEIAS")</f>
        <v>ORLANDO DAS MEIAS</v>
      </c>
      <c r="F512" s="15" t="str">
        <f>IFERROR(__xludf.DUMMYFUNCTION("""COMPUTED_VALUE"""),"TRIFIL")</f>
        <v>TRIFIL</v>
      </c>
      <c r="G512" s="15" t="str">
        <f>IFERROR(__xludf.DUMMYFUNCTION("""COMPUTED_VALUE"""),"266806829")</f>
        <v>266806829</v>
      </c>
      <c r="H512" s="15" t="str">
        <f>IFERROR(__xludf.DUMMYFUNCTION("""COMPUTED_VALUE"""),"1306131")</f>
        <v>1306131</v>
      </c>
      <c r="I512" s="15" t="str">
        <f>IFERROR(__xludf.DUMMYFUNCTION("""COMPUTED_VALUE"""),"8177195")</f>
        <v>8177195</v>
      </c>
      <c r="J512" s="15" t="str">
        <f>IFERROR(__xludf.DUMMYFUNCTION("""COMPUTED_VALUE"""),"CIF")</f>
        <v>CIF</v>
      </c>
      <c r="K512" s="15" t="str">
        <f>IFERROR(__xludf.DUMMYFUNCTION("""COMPUTED_VALUE"""),"FSA-1")</f>
        <v>FSA-1</v>
      </c>
      <c r="L512" s="15" t="str">
        <f>IFERROR(__xludf.DUMMYFUNCTION("""COMPUTED_VALUE"""),"AUTORIZADO")</f>
        <v>AUTORIZADO</v>
      </c>
      <c r="M512" s="15" t="str">
        <f>IFERROR(__xludf.DUMMYFUNCTION("""COMPUTED_VALUE"""),"NA ORIGEM")</f>
        <v>NA ORIGEM</v>
      </c>
      <c r="N512" s="15" t="str">
        <f>IFERROR(__xludf.DUMMYFUNCTION("""COMPUTED_VALUE"""),"Antes Prazo")</f>
        <v>Antes Prazo</v>
      </c>
      <c r="O512" s="15" t="str">
        <f>IFERROR(__xludf.DUMMYFUNCTION("""COMPUTED_VALUE"""),"B2B")</f>
        <v>B2B</v>
      </c>
      <c r="P512" s="16">
        <f>IFERROR(__xludf.DUMMYFUNCTION("""COMPUTED_VALUE"""),64.23)</f>
        <v>64.23</v>
      </c>
      <c r="Q512" s="15">
        <f>IFERROR(__xludf.DUMMYFUNCTION("""COMPUTED_VALUE"""),1.0)</f>
        <v>1</v>
      </c>
      <c r="R512" s="15" t="str">
        <f>IFERROR(__xludf.DUMMYFUNCTION("""COMPUTED_VALUE"""),"RODO")</f>
        <v>RODO</v>
      </c>
      <c r="S512" s="15" t="str">
        <f>IFERROR(__xludf.DUMMYFUNCTION("""COMPUTED_VALUE"""),"ITN")</f>
        <v>ITN</v>
      </c>
      <c r="T512" s="15" t="str">
        <f>IFERROR(__xludf.DUMMYFUNCTION("""COMPUTED_VALUE"""),"4")</f>
        <v>4</v>
      </c>
      <c r="U512" s="15" t="str">
        <f>IFERROR(__xludf.DUMMYFUNCTION("""COMPUTED_VALUE"""),"266806829 1306131 8177195 orlando das meias trifil jpa 4")</f>
        <v>266806829 1306131 8177195 orlando das meias trifil jpa 4</v>
      </c>
      <c r="V512" s="15" t="b">
        <f>IFERROR(__xludf.DUMMYFUNCTION("""COMPUTED_VALUE"""),FALSE)</f>
        <v>0</v>
      </c>
    </row>
    <row r="513">
      <c r="A513" s="19">
        <f>IFERROR(__xludf.DUMMYFUNCTION("""COMPUTED_VALUE"""),46304.0)</f>
        <v>46304</v>
      </c>
      <c r="B513" s="19">
        <f>IFERROR(__xludf.DUMMYFUNCTION("""COMPUTED_VALUE"""),46316.0)</f>
        <v>46316</v>
      </c>
      <c r="C513" s="15">
        <f>IFERROR(__xludf.DUMMYFUNCTION("""COMPUTED_VALUE"""),7.0)</f>
        <v>7</v>
      </c>
      <c r="D513" s="15" t="str">
        <f>IFERROR(__xludf.DUMMYFUNCTION("""COMPUTED_VALUE"""),"CPV")</f>
        <v>CPV</v>
      </c>
      <c r="E513" s="15" t="str">
        <f>IFERROR(__xludf.DUMMYFUNCTION("""COMPUTED_VALUE"""),"LOJAS COMPREVESTE(CG-02)")</f>
        <v>LOJAS COMPREVESTE(CG-02)</v>
      </c>
      <c r="F513" s="15" t="str">
        <f>IFERROR(__xludf.DUMMYFUNCTION("""COMPUTED_VALUE"""),"TRIFIL")</f>
        <v>TRIFIL</v>
      </c>
      <c r="G513" s="15" t="str">
        <f>IFERROR(__xludf.DUMMYFUNCTION("""COMPUTED_VALUE"""),"266806830")</f>
        <v>266806830</v>
      </c>
      <c r="H513" s="15" t="str">
        <f>IFERROR(__xludf.DUMMYFUNCTION("""COMPUTED_VALUE"""),"1305875")</f>
        <v>1305875</v>
      </c>
      <c r="I513" s="15" t="str">
        <f>IFERROR(__xludf.DUMMYFUNCTION("""COMPUTED_VALUE"""),"8177254")</f>
        <v>8177254</v>
      </c>
      <c r="J513" s="15" t="str">
        <f>IFERROR(__xludf.DUMMYFUNCTION("""COMPUTED_VALUE"""),"CIF")</f>
        <v>CIF</v>
      </c>
      <c r="K513" s="15" t="str">
        <f>IFERROR(__xludf.DUMMYFUNCTION("""COMPUTED_VALUE"""),"FSA-1")</f>
        <v>FSA-1</v>
      </c>
      <c r="L513" s="15" t="str">
        <f>IFERROR(__xludf.DUMMYFUNCTION("""COMPUTED_VALUE"""),"AUTORIZADO")</f>
        <v>AUTORIZADO</v>
      </c>
      <c r="M513" s="15" t="str">
        <f>IFERROR(__xludf.DUMMYFUNCTION("""COMPUTED_VALUE"""),"NA ORIGEM")</f>
        <v>NA ORIGEM</v>
      </c>
      <c r="N513" s="15" t="str">
        <f>IFERROR(__xludf.DUMMYFUNCTION("""COMPUTED_VALUE"""),"Antes Prazo")</f>
        <v>Antes Prazo</v>
      </c>
      <c r="O513" s="15" t="str">
        <f>IFERROR(__xludf.DUMMYFUNCTION("""COMPUTED_VALUE"""),"B2B")</f>
        <v>B2B</v>
      </c>
      <c r="P513" s="16">
        <f>IFERROR(__xludf.DUMMYFUNCTION("""COMPUTED_VALUE"""),56.59)</f>
        <v>56.59</v>
      </c>
      <c r="Q513" s="15">
        <f>IFERROR(__xludf.DUMMYFUNCTION("""COMPUTED_VALUE"""),1.0)</f>
        <v>1</v>
      </c>
      <c r="R513" s="15" t="str">
        <f>IFERROR(__xludf.DUMMYFUNCTION("""COMPUTED_VALUE"""),"RODO")</f>
        <v>RODO</v>
      </c>
      <c r="S513" s="15" t="str">
        <f>IFERROR(__xludf.DUMMYFUNCTION("""COMPUTED_VALUE"""),"ITN")</f>
        <v>ITN</v>
      </c>
      <c r="T513" s="15" t="str">
        <f>IFERROR(__xludf.DUMMYFUNCTION("""COMPUTED_VALUE"""),"2")</f>
        <v>2</v>
      </c>
      <c r="U513" s="15" t="str">
        <f>IFERROR(__xludf.DUMMYFUNCTION("""COMPUTED_VALUE"""),"266806830 1305875 8177254 lojas compreveste(cg-02) trifil cpv 2")</f>
        <v>266806830 1305875 8177254 lojas compreveste(cg-02) trifil cpv 2</v>
      </c>
      <c r="V513" s="15" t="b">
        <f>IFERROR(__xludf.DUMMYFUNCTION("""COMPUTED_VALUE"""),FALSE)</f>
        <v>0</v>
      </c>
    </row>
    <row r="514">
      <c r="A514" s="19">
        <f>IFERROR(__xludf.DUMMYFUNCTION("""COMPUTED_VALUE"""),46304.0)</f>
        <v>46304</v>
      </c>
      <c r="B514" s="19">
        <f>IFERROR(__xludf.DUMMYFUNCTION("""COMPUTED_VALUE"""),46324.0)</f>
        <v>46324</v>
      </c>
      <c r="C514" s="15">
        <f>IFERROR(__xludf.DUMMYFUNCTION("""COMPUTED_VALUE"""),13.0)</f>
        <v>13</v>
      </c>
      <c r="D514" s="15" t="str">
        <f>IFERROR(__xludf.DUMMYFUNCTION("""COMPUTED_VALUE"""),"CJZ")</f>
        <v>CJZ</v>
      </c>
      <c r="E514" s="15" t="str">
        <f>IFERROR(__xludf.DUMMYFUNCTION("""COMPUTED_VALUE"""),"ANA PAULA DA GANA SOUSA")</f>
        <v>ANA PAULA DA GANA SOUSA</v>
      </c>
      <c r="F514" s="15" t="str">
        <f>IFERROR(__xludf.DUMMYFUNCTION("""COMPUTED_VALUE"""),"TRIFIL")</f>
        <v>TRIFIL</v>
      </c>
      <c r="G514" s="15" t="str">
        <f>IFERROR(__xludf.DUMMYFUNCTION("""COMPUTED_VALUE"""),"266806831")</f>
        <v>266806831</v>
      </c>
      <c r="H514" s="15" t="str">
        <f>IFERROR(__xludf.DUMMYFUNCTION("""COMPUTED_VALUE"""),"1305826")</f>
        <v>1305826</v>
      </c>
      <c r="I514" s="15" t="str">
        <f>IFERROR(__xludf.DUMMYFUNCTION("""COMPUTED_VALUE"""),"8177255")</f>
        <v>8177255</v>
      </c>
      <c r="J514" s="15" t="str">
        <f>IFERROR(__xludf.DUMMYFUNCTION("""COMPUTED_VALUE"""),"CIF")</f>
        <v>CIF</v>
      </c>
      <c r="K514" s="15" t="str">
        <f>IFERROR(__xludf.DUMMYFUNCTION("""COMPUTED_VALUE"""),"FSA-1")</f>
        <v>FSA-1</v>
      </c>
      <c r="L514" s="15" t="str">
        <f>IFERROR(__xludf.DUMMYFUNCTION("""COMPUTED_VALUE"""),"AUTORIZADO")</f>
        <v>AUTORIZADO</v>
      </c>
      <c r="M514" s="15" t="str">
        <f>IFERROR(__xludf.DUMMYFUNCTION("""COMPUTED_VALUE"""),"NA ORIGEM")</f>
        <v>NA ORIGEM</v>
      </c>
      <c r="N514" s="15" t="str">
        <f>IFERROR(__xludf.DUMMYFUNCTION("""COMPUTED_VALUE"""),"Antes Prazo")</f>
        <v>Antes Prazo</v>
      </c>
      <c r="O514" s="15" t="str">
        <f>IFERROR(__xludf.DUMMYFUNCTION("""COMPUTED_VALUE"""),"B2B")</f>
        <v>B2B</v>
      </c>
      <c r="P514" s="16">
        <f>IFERROR(__xludf.DUMMYFUNCTION("""COMPUTED_VALUE"""),71.9)</f>
        <v>71.9</v>
      </c>
      <c r="Q514" s="15">
        <f>IFERROR(__xludf.DUMMYFUNCTION("""COMPUTED_VALUE"""),1.0)</f>
        <v>1</v>
      </c>
      <c r="R514" s="15" t="str">
        <f>IFERROR(__xludf.DUMMYFUNCTION("""COMPUTED_VALUE"""),"RODO")</f>
        <v>RODO</v>
      </c>
      <c r="S514" s="15" t="str">
        <f>IFERROR(__xludf.DUMMYFUNCTION("""COMPUTED_VALUE"""),"ITN")</f>
        <v>ITN</v>
      </c>
      <c r="T514" s="15" t="str">
        <f>IFERROR(__xludf.DUMMYFUNCTION("""COMPUTED_VALUE"""),"4")</f>
        <v>4</v>
      </c>
      <c r="U514" s="15" t="str">
        <f>IFERROR(__xludf.DUMMYFUNCTION("""COMPUTED_VALUE"""),"266806831 1305826 8177255 ana paula da gana sousa trifil cjz 4")</f>
        <v>266806831 1305826 8177255 ana paula da gana sousa trifil cjz 4</v>
      </c>
      <c r="V514" s="15" t="b">
        <f>IFERROR(__xludf.DUMMYFUNCTION("""COMPUTED_VALUE"""),FALSE)</f>
        <v>0</v>
      </c>
    </row>
    <row r="515">
      <c r="A515" s="19">
        <f>IFERROR(__xludf.DUMMYFUNCTION("""COMPUTED_VALUE"""),46304.0)</f>
        <v>46304</v>
      </c>
      <c r="B515" s="19">
        <f>IFERROR(__xludf.DUMMYFUNCTION("""COMPUTED_VALUE"""),46316.0)</f>
        <v>46316</v>
      </c>
      <c r="C515" s="15">
        <f>IFERROR(__xludf.DUMMYFUNCTION("""COMPUTED_VALUE"""),7.0)</f>
        <v>7</v>
      </c>
      <c r="D515" s="15" t="str">
        <f>IFERROR(__xludf.DUMMYFUNCTION("""COMPUTED_VALUE"""),"NAT")</f>
        <v>NAT</v>
      </c>
      <c r="E515" s="15" t="str">
        <f>IFERROR(__xludf.DUMMYFUNCTION("""COMPUTED_VALUE"""),"LUPO NATAL SHOPPING")</f>
        <v>LUPO NATAL SHOPPING</v>
      </c>
      <c r="F515" s="15" t="str">
        <f>IFERROR(__xludf.DUMMYFUNCTION("""COMPUTED_VALUE"""),"TRIFIL")</f>
        <v>TRIFIL</v>
      </c>
      <c r="G515" s="15" t="str">
        <f>IFERROR(__xludf.DUMMYFUNCTION("""COMPUTED_VALUE"""),"266806832")</f>
        <v>266806832</v>
      </c>
      <c r="H515" s="15" t="str">
        <f>IFERROR(__xludf.DUMMYFUNCTION("""COMPUTED_VALUE"""),"1306199")</f>
        <v>1306199</v>
      </c>
      <c r="I515" s="15" t="str">
        <f>IFERROR(__xludf.DUMMYFUNCTION("""COMPUTED_VALUE"""),"8177164")</f>
        <v>8177164</v>
      </c>
      <c r="J515" s="15" t="str">
        <f>IFERROR(__xludf.DUMMYFUNCTION("""COMPUTED_VALUE"""),"CIF")</f>
        <v>CIF</v>
      </c>
      <c r="K515" s="15" t="str">
        <f>IFERROR(__xludf.DUMMYFUNCTION("""COMPUTED_VALUE"""),"FSA-1")</f>
        <v>FSA-1</v>
      </c>
      <c r="L515" s="15" t="str">
        <f>IFERROR(__xludf.DUMMYFUNCTION("""COMPUTED_VALUE"""),"AUTORIZADO")</f>
        <v>AUTORIZADO</v>
      </c>
      <c r="M515" s="15" t="str">
        <f>IFERROR(__xludf.DUMMYFUNCTION("""COMPUTED_VALUE"""),"NA ORIGEM")</f>
        <v>NA ORIGEM</v>
      </c>
      <c r="N515" s="15" t="str">
        <f>IFERROR(__xludf.DUMMYFUNCTION("""COMPUTED_VALUE"""),"Antes Prazo")</f>
        <v>Antes Prazo</v>
      </c>
      <c r="O515" s="15" t="str">
        <f>IFERROR(__xludf.DUMMYFUNCTION("""COMPUTED_VALUE"""),"B2B")</f>
        <v>B2B</v>
      </c>
      <c r="P515" s="16">
        <f>IFERROR(__xludf.DUMMYFUNCTION("""COMPUTED_VALUE"""),64.23)</f>
        <v>64.23</v>
      </c>
      <c r="Q515" s="15">
        <f>IFERROR(__xludf.DUMMYFUNCTION("""COMPUTED_VALUE"""),1.0)</f>
        <v>1</v>
      </c>
      <c r="R515" s="15" t="str">
        <f>IFERROR(__xludf.DUMMYFUNCTION("""COMPUTED_VALUE"""),"RODO")</f>
        <v>RODO</v>
      </c>
      <c r="S515" s="15" t="str">
        <f>IFERROR(__xludf.DUMMYFUNCTION("""COMPUTED_VALUE"""),"ITN")</f>
        <v>ITN</v>
      </c>
      <c r="T515" s="15" t="str">
        <f>IFERROR(__xludf.DUMMYFUNCTION("""COMPUTED_VALUE"""),"5")</f>
        <v>5</v>
      </c>
      <c r="U515" s="15" t="str">
        <f>IFERROR(__xludf.DUMMYFUNCTION("""COMPUTED_VALUE"""),"266806832 1306199 8177164 lupo natal shopping trifil nat 5")</f>
        <v>266806832 1306199 8177164 lupo natal shopping trifil nat 5</v>
      </c>
      <c r="V515" s="15" t="b">
        <f>IFERROR(__xludf.DUMMYFUNCTION("""COMPUTED_VALUE"""),FALSE)</f>
        <v>0</v>
      </c>
    </row>
    <row r="516">
      <c r="A516" s="19">
        <f>IFERROR(__xludf.DUMMYFUNCTION("""COMPUTED_VALUE"""),46304.0)</f>
        <v>46304</v>
      </c>
      <c r="B516" s="19">
        <f>IFERROR(__xludf.DUMMYFUNCTION("""COMPUTED_VALUE"""),46315.0)</f>
        <v>46315</v>
      </c>
      <c r="C516" s="15">
        <f>IFERROR(__xludf.DUMMYFUNCTION("""COMPUTED_VALUE"""),6.0)</f>
        <v>6</v>
      </c>
      <c r="D516" s="15" t="str">
        <f>IFERROR(__xludf.DUMMYFUNCTION("""COMPUTED_VALUE"""),"FOR")</f>
        <v>FOR</v>
      </c>
      <c r="E516" s="15" t="str">
        <f>IFERROR(__xludf.DUMMYFUNCTION("""COMPUTED_VALUE"""),"VIANNA REPRESENTACOES COMERCIAIS E CONSU")</f>
        <v>VIANNA REPRESENTACOES COMERCIAIS E CONSU</v>
      </c>
      <c r="F516" s="15" t="str">
        <f>IFERROR(__xludf.DUMMYFUNCTION("""COMPUTED_VALUE"""),"TRIFIL")</f>
        <v>TRIFIL</v>
      </c>
      <c r="G516" s="15" t="str">
        <f>IFERROR(__xludf.DUMMYFUNCTION("""COMPUTED_VALUE"""),"266806833")</f>
        <v>266806833</v>
      </c>
      <c r="H516" s="15" t="str">
        <f>IFERROR(__xludf.DUMMYFUNCTION("""COMPUTED_VALUE"""),"1304657")</f>
        <v>1304657</v>
      </c>
      <c r="I516" s="15" t="str">
        <f>IFERROR(__xludf.DUMMYFUNCTION("""COMPUTED_VALUE"""),"8177226")</f>
        <v>8177226</v>
      </c>
      <c r="J516" s="15" t="str">
        <f>IFERROR(__xludf.DUMMYFUNCTION("""COMPUTED_VALUE"""),"CIF")</f>
        <v>CIF</v>
      </c>
      <c r="K516" s="15" t="str">
        <f>IFERROR(__xludf.DUMMYFUNCTION("""COMPUTED_VALUE"""),"FSA-1")</f>
        <v>FSA-1</v>
      </c>
      <c r="L516" s="15" t="str">
        <f>IFERROR(__xludf.DUMMYFUNCTION("""COMPUTED_VALUE"""),"AUTORIZADO")</f>
        <v>AUTORIZADO</v>
      </c>
      <c r="M516" s="15" t="str">
        <f>IFERROR(__xludf.DUMMYFUNCTION("""COMPUTED_VALUE"""),"NA ORIGEM")</f>
        <v>NA ORIGEM</v>
      </c>
      <c r="N516" s="15" t="str">
        <f>IFERROR(__xludf.DUMMYFUNCTION("""COMPUTED_VALUE"""),"Antes Prazo")</f>
        <v>Antes Prazo</v>
      </c>
      <c r="O516" s="15" t="str">
        <f>IFERROR(__xludf.DUMMYFUNCTION("""COMPUTED_VALUE"""),"B2B")</f>
        <v>B2B</v>
      </c>
      <c r="P516" s="16">
        <f>IFERROR(__xludf.DUMMYFUNCTION("""COMPUTED_VALUE"""),56.53)</f>
        <v>56.53</v>
      </c>
      <c r="Q516" s="15">
        <f>IFERROR(__xludf.DUMMYFUNCTION("""COMPUTED_VALUE"""),1.0)</f>
        <v>1</v>
      </c>
      <c r="R516" s="15" t="str">
        <f>IFERROR(__xludf.DUMMYFUNCTION("""COMPUTED_VALUE"""),"RODO")</f>
        <v>RODO</v>
      </c>
      <c r="S516" s="15" t="str">
        <f>IFERROR(__xludf.DUMMYFUNCTION("""COMPUTED_VALUE"""),"ITN")</f>
        <v>ITN</v>
      </c>
      <c r="T516" s="15" t="str">
        <f>IFERROR(__xludf.DUMMYFUNCTION("""COMPUTED_VALUE"""),"9")</f>
        <v>9</v>
      </c>
      <c r="U516" s="15" t="str">
        <f>IFERROR(__xludf.DUMMYFUNCTION("""COMPUTED_VALUE"""),"266806833 1304657 8177226 vianna representacoes comerciais e consu trifil for 9")</f>
        <v>266806833 1304657 8177226 vianna representacoes comerciais e consu trifil for 9</v>
      </c>
      <c r="V516" s="15" t="b">
        <f>IFERROR(__xludf.DUMMYFUNCTION("""COMPUTED_VALUE"""),FALSE)</f>
        <v>0</v>
      </c>
    </row>
    <row r="517">
      <c r="A517" s="19">
        <f>IFERROR(__xludf.DUMMYFUNCTION("""COMPUTED_VALUE"""),46304.0)</f>
        <v>46304</v>
      </c>
      <c r="B517" s="19">
        <f>IFERROR(__xludf.DUMMYFUNCTION("""COMPUTED_VALUE"""),46315.0)</f>
        <v>46315</v>
      </c>
      <c r="C517" s="15">
        <f>IFERROR(__xludf.DUMMYFUNCTION("""COMPUTED_VALUE"""),6.0)</f>
        <v>6</v>
      </c>
      <c r="D517" s="15" t="str">
        <f>IFERROR(__xludf.DUMMYFUNCTION("""COMPUTED_VALUE"""),"FOR")</f>
        <v>FOR</v>
      </c>
      <c r="E517" s="15" t="str">
        <f>IFERROR(__xludf.DUMMYFUNCTION("""COMPUTED_VALUE"""),"LUPO")</f>
        <v>LUPO</v>
      </c>
      <c r="F517" s="15" t="str">
        <f>IFERROR(__xludf.DUMMYFUNCTION("""COMPUTED_VALUE"""),"TRIFIL")</f>
        <v>TRIFIL</v>
      </c>
      <c r="G517" s="15" t="str">
        <f>IFERROR(__xludf.DUMMYFUNCTION("""COMPUTED_VALUE"""),"266806834")</f>
        <v>266806834</v>
      </c>
      <c r="H517" s="15" t="str">
        <f>IFERROR(__xludf.DUMMYFUNCTION("""COMPUTED_VALUE"""),"1306236")</f>
        <v>1306236</v>
      </c>
      <c r="I517" s="15" t="str">
        <f>IFERROR(__xludf.DUMMYFUNCTION("""COMPUTED_VALUE"""),"8177116")</f>
        <v>8177116</v>
      </c>
      <c r="J517" s="15" t="str">
        <f>IFERROR(__xludf.DUMMYFUNCTION("""COMPUTED_VALUE"""),"CIF")</f>
        <v>CIF</v>
      </c>
      <c r="K517" s="15" t="str">
        <f>IFERROR(__xludf.DUMMYFUNCTION("""COMPUTED_VALUE"""),"FSA-1")</f>
        <v>FSA-1</v>
      </c>
      <c r="L517" s="15" t="str">
        <f>IFERROR(__xludf.DUMMYFUNCTION("""COMPUTED_VALUE"""),"AUTORIZADO")</f>
        <v>AUTORIZADO</v>
      </c>
      <c r="M517" s="15" t="str">
        <f>IFERROR(__xludf.DUMMYFUNCTION("""COMPUTED_VALUE"""),"NA ORIGEM")</f>
        <v>NA ORIGEM</v>
      </c>
      <c r="N517" s="15" t="str">
        <f>IFERROR(__xludf.DUMMYFUNCTION("""COMPUTED_VALUE"""),"Antes Prazo")</f>
        <v>Antes Prazo</v>
      </c>
      <c r="O517" s="15" t="str">
        <f>IFERROR(__xludf.DUMMYFUNCTION("""COMPUTED_VALUE"""),"B2B")</f>
        <v>B2B</v>
      </c>
      <c r="P517" s="16">
        <f>IFERROR(__xludf.DUMMYFUNCTION("""COMPUTED_VALUE"""),64.23)</f>
        <v>64.23</v>
      </c>
      <c r="Q517" s="15">
        <f>IFERROR(__xludf.DUMMYFUNCTION("""COMPUTED_VALUE"""),1.0)</f>
        <v>1</v>
      </c>
      <c r="R517" s="15" t="str">
        <f>IFERROR(__xludf.DUMMYFUNCTION("""COMPUTED_VALUE"""),"RODO")</f>
        <v>RODO</v>
      </c>
      <c r="S517" s="15" t="str">
        <f>IFERROR(__xludf.DUMMYFUNCTION("""COMPUTED_VALUE"""),"ITN")</f>
        <v>ITN</v>
      </c>
      <c r="T517" s="15" t="str">
        <f>IFERROR(__xludf.DUMMYFUNCTION("""COMPUTED_VALUE"""),"700")</f>
        <v>700</v>
      </c>
      <c r="U517" s="15" t="str">
        <f>IFERROR(__xludf.DUMMYFUNCTION("""COMPUTED_VALUE"""),"266806834 1306236 8177116 lupo trifil for 700")</f>
        <v>266806834 1306236 8177116 lupo trifil for 700</v>
      </c>
      <c r="V517" s="15" t="b">
        <f>IFERROR(__xludf.DUMMYFUNCTION("""COMPUTED_VALUE"""),FALSE)</f>
        <v>0</v>
      </c>
    </row>
    <row r="518">
      <c r="A518" s="19">
        <f>IFERROR(__xludf.DUMMYFUNCTION("""COMPUTED_VALUE"""),46304.0)</f>
        <v>46304</v>
      </c>
      <c r="B518" s="19">
        <f>IFERROR(__xludf.DUMMYFUNCTION("""COMPUTED_VALUE"""),46322.0)</f>
        <v>46322</v>
      </c>
      <c r="C518" s="15">
        <f>IFERROR(__xludf.DUMMYFUNCTION("""COMPUTED_VALUE"""),11.0)</f>
        <v>11</v>
      </c>
      <c r="D518" s="15" t="str">
        <f>IFERROR(__xludf.DUMMYFUNCTION("""COMPUTED_VALUE"""),"SBR")</f>
        <v>SBR</v>
      </c>
      <c r="E518" s="15" t="str">
        <f>IFERROR(__xludf.DUMMYFUNCTION("""COMPUTED_VALUE"""),"ROSANGELA RODRIGUES DE BRITO")</f>
        <v>ROSANGELA RODRIGUES DE BRITO</v>
      </c>
      <c r="F518" s="15" t="str">
        <f>IFERROR(__xludf.DUMMYFUNCTION("""COMPUTED_VALUE"""),"TRIFIL")</f>
        <v>TRIFIL</v>
      </c>
      <c r="G518" s="15" t="str">
        <f>IFERROR(__xludf.DUMMYFUNCTION("""COMPUTED_VALUE"""),"266806835")</f>
        <v>266806835</v>
      </c>
      <c r="H518" s="15" t="str">
        <f>IFERROR(__xludf.DUMMYFUNCTION("""COMPUTED_VALUE"""),"1305990")</f>
        <v>1305990</v>
      </c>
      <c r="I518" s="15" t="str">
        <f>IFERROR(__xludf.DUMMYFUNCTION("""COMPUTED_VALUE"""),"8177256")</f>
        <v>8177256</v>
      </c>
      <c r="J518" s="15" t="str">
        <f>IFERROR(__xludf.DUMMYFUNCTION("""COMPUTED_VALUE"""),"CIF")</f>
        <v>CIF</v>
      </c>
      <c r="K518" s="15" t="str">
        <f>IFERROR(__xludf.DUMMYFUNCTION("""COMPUTED_VALUE"""),"(sem célula)")</f>
        <v>(sem célula)</v>
      </c>
      <c r="L518" s="15" t="str">
        <f>IFERROR(__xludf.DUMMYFUNCTION("""COMPUTED_VALUE"""),"AUTORIZADO")</f>
        <v>AUTORIZADO</v>
      </c>
      <c r="M518" s="15" t="str">
        <f>IFERROR(__xludf.DUMMYFUNCTION("""COMPUTED_VALUE"""),"NA ORIGEM")</f>
        <v>NA ORIGEM</v>
      </c>
      <c r="N518" s="15" t="str">
        <f>IFERROR(__xludf.DUMMYFUNCTION("""COMPUTED_VALUE"""),"Antes Prazo")</f>
        <v>Antes Prazo</v>
      </c>
      <c r="O518" s="15" t="str">
        <f>IFERROR(__xludf.DUMMYFUNCTION("""COMPUTED_VALUE"""),"B2B")</f>
        <v>B2B</v>
      </c>
      <c r="P518" s="16">
        <f>IFERROR(__xludf.DUMMYFUNCTION("""COMPUTED_VALUE"""),71.9)</f>
        <v>71.9</v>
      </c>
      <c r="Q518" s="15">
        <f>IFERROR(__xludf.DUMMYFUNCTION("""COMPUTED_VALUE"""),1.0)</f>
        <v>1</v>
      </c>
      <c r="R518" s="15" t="str">
        <f>IFERROR(__xludf.DUMMYFUNCTION("""COMPUTED_VALUE"""),"RODO")</f>
        <v>RODO</v>
      </c>
      <c r="S518" s="15" t="str">
        <f>IFERROR(__xludf.DUMMYFUNCTION("""COMPUTED_VALUE"""),"ITN")</f>
        <v>ITN</v>
      </c>
      <c r="T518" s="15" t="str">
        <f>IFERROR(__xludf.DUMMYFUNCTION("""COMPUTED_VALUE"""),"101")</f>
        <v>101</v>
      </c>
      <c r="U518" s="15" t="str">
        <f>IFERROR(__xludf.DUMMYFUNCTION("""COMPUTED_VALUE"""),"266806835 1305990 8177256 rosangela rodrigues de brito trifil sbr 101")</f>
        <v>266806835 1305990 8177256 rosangela rodrigues de brito trifil sbr 101</v>
      </c>
      <c r="V518" s="15" t="b">
        <f>IFERROR(__xludf.DUMMYFUNCTION("""COMPUTED_VALUE"""),FALSE)</f>
        <v>0</v>
      </c>
    </row>
    <row r="519">
      <c r="A519" s="19">
        <f>IFERROR(__xludf.DUMMYFUNCTION("""COMPUTED_VALUE"""),46304.0)</f>
        <v>46304</v>
      </c>
      <c r="B519" s="19">
        <f>IFERROR(__xludf.DUMMYFUNCTION("""COMPUTED_VALUE"""),46321.0)</f>
        <v>46321</v>
      </c>
      <c r="C519" s="15">
        <f>IFERROR(__xludf.DUMMYFUNCTION("""COMPUTED_VALUE"""),10.0)</f>
        <v>10</v>
      </c>
      <c r="D519" s="15" t="str">
        <f>IFERROR(__xludf.DUMMYFUNCTION("""COMPUTED_VALUE"""),"FOR")</f>
        <v>FOR</v>
      </c>
      <c r="E519" s="15" t="str">
        <f>IFERROR(__xludf.DUMMYFUNCTION("""COMPUTED_VALUE"""),"EMANUEL DE SOUSA GADELHA MICROEMPRESA")</f>
        <v>EMANUEL DE SOUSA GADELHA MICROEMPRESA</v>
      </c>
      <c r="F519" s="15" t="str">
        <f>IFERROR(__xludf.DUMMYFUNCTION("""COMPUTED_VALUE"""),"TRIFIL")</f>
        <v>TRIFIL</v>
      </c>
      <c r="G519" s="15" t="str">
        <f>IFERROR(__xludf.DUMMYFUNCTION("""COMPUTED_VALUE"""),"266806836")</f>
        <v>266806836</v>
      </c>
      <c r="H519" s="15" t="str">
        <f>IFERROR(__xludf.DUMMYFUNCTION("""COMPUTED_VALUE"""),"1306028")</f>
        <v>1306028</v>
      </c>
      <c r="I519" s="15" t="str">
        <f>IFERROR(__xludf.DUMMYFUNCTION("""COMPUTED_VALUE"""),"8177196")</f>
        <v>8177196</v>
      </c>
      <c r="J519" s="15" t="str">
        <f>IFERROR(__xludf.DUMMYFUNCTION("""COMPUTED_VALUE"""),"CIF")</f>
        <v>CIF</v>
      </c>
      <c r="K519" s="15" t="str">
        <f>IFERROR(__xludf.DUMMYFUNCTION("""COMPUTED_VALUE"""),"FSA-1")</f>
        <v>FSA-1</v>
      </c>
      <c r="L519" s="15" t="str">
        <f>IFERROR(__xludf.DUMMYFUNCTION("""COMPUTED_VALUE"""),"AUTORIZADO")</f>
        <v>AUTORIZADO</v>
      </c>
      <c r="M519" s="15" t="str">
        <f>IFERROR(__xludf.DUMMYFUNCTION("""COMPUTED_VALUE"""),"NA ORIGEM")</f>
        <v>NA ORIGEM</v>
      </c>
      <c r="N519" s="15" t="str">
        <f>IFERROR(__xludf.DUMMYFUNCTION("""COMPUTED_VALUE"""),"Antes Prazo")</f>
        <v>Antes Prazo</v>
      </c>
      <c r="O519" s="15" t="str">
        <f>IFERROR(__xludf.DUMMYFUNCTION("""COMPUTED_VALUE"""),"B2B")</f>
        <v>B2B</v>
      </c>
      <c r="P519" s="16">
        <f>IFERROR(__xludf.DUMMYFUNCTION("""COMPUTED_VALUE"""),71.9)</f>
        <v>71.9</v>
      </c>
      <c r="Q519" s="15">
        <f>IFERROR(__xludf.DUMMYFUNCTION("""COMPUTED_VALUE"""),4.0)</f>
        <v>4</v>
      </c>
      <c r="R519" s="15" t="str">
        <f>IFERROR(__xludf.DUMMYFUNCTION("""COMPUTED_VALUE"""),"RODO")</f>
        <v>RODO</v>
      </c>
      <c r="S519" s="15" t="str">
        <f>IFERROR(__xludf.DUMMYFUNCTION("""COMPUTED_VALUE"""),"ITN")</f>
        <v>ITN</v>
      </c>
      <c r="T519" s="15" t="str">
        <f>IFERROR(__xludf.DUMMYFUNCTION("""COMPUTED_VALUE"""),"101")</f>
        <v>101</v>
      </c>
      <c r="U519" s="15" t="str">
        <f>IFERROR(__xludf.DUMMYFUNCTION("""COMPUTED_VALUE"""),"266806836 1306028 8177196 emanuel de sousa gadelha microempresa trifil for 101")</f>
        <v>266806836 1306028 8177196 emanuel de sousa gadelha microempresa trifil for 101</v>
      </c>
      <c r="V519" s="15" t="b">
        <f>IFERROR(__xludf.DUMMYFUNCTION("""COMPUTED_VALUE"""),FALSE)</f>
        <v>0</v>
      </c>
    </row>
    <row r="520">
      <c r="A520" s="19">
        <f>IFERROR(__xludf.DUMMYFUNCTION("""COMPUTED_VALUE"""),46304.0)</f>
        <v>46304</v>
      </c>
      <c r="B520" s="19">
        <f>IFERROR(__xludf.DUMMYFUNCTION("""COMPUTED_VALUE"""),46315.0)</f>
        <v>46315</v>
      </c>
      <c r="C520" s="15">
        <f>IFERROR(__xludf.DUMMYFUNCTION("""COMPUTED_VALUE"""),6.0)</f>
        <v>6</v>
      </c>
      <c r="D520" s="15" t="str">
        <f>IFERROR(__xludf.DUMMYFUNCTION("""COMPUTED_VALUE"""),"JDO")</f>
        <v>JDO</v>
      </c>
      <c r="E520" s="15" t="str">
        <f>IFERROR(__xludf.DUMMYFUNCTION("""COMPUTED_VALUE"""),"ALFREDO A. NETO REPRESENTACOES LTDA")</f>
        <v>ALFREDO A. NETO REPRESENTACOES LTDA</v>
      </c>
      <c r="F520" s="15" t="str">
        <f>IFERROR(__xludf.DUMMYFUNCTION("""COMPUTED_VALUE"""),"TRIFIL")</f>
        <v>TRIFIL</v>
      </c>
      <c r="G520" s="15" t="str">
        <f>IFERROR(__xludf.DUMMYFUNCTION("""COMPUTED_VALUE"""),"266806837")</f>
        <v>266806837</v>
      </c>
      <c r="H520" s="15" t="str">
        <f>IFERROR(__xludf.DUMMYFUNCTION("""COMPUTED_VALUE"""),"1304666")</f>
        <v>1304666</v>
      </c>
      <c r="I520" s="15" t="str">
        <f>IFERROR(__xludf.DUMMYFUNCTION("""COMPUTED_VALUE"""),"8177227")</f>
        <v>8177227</v>
      </c>
      <c r="J520" s="15" t="str">
        <f>IFERROR(__xludf.DUMMYFUNCTION("""COMPUTED_VALUE"""),"CIF")</f>
        <v>CIF</v>
      </c>
      <c r="K520" s="15" t="str">
        <f>IFERROR(__xludf.DUMMYFUNCTION("""COMPUTED_VALUE"""),"(sem célula)")</f>
        <v>(sem célula)</v>
      </c>
      <c r="L520" s="15" t="str">
        <f>IFERROR(__xludf.DUMMYFUNCTION("""COMPUTED_VALUE"""),"AUTORIZADO")</f>
        <v>AUTORIZADO</v>
      </c>
      <c r="M520" s="15" t="str">
        <f>IFERROR(__xludf.DUMMYFUNCTION("""COMPUTED_VALUE"""),"NA ORIGEM")</f>
        <v>NA ORIGEM</v>
      </c>
      <c r="N520" s="15" t="str">
        <f>IFERROR(__xludf.DUMMYFUNCTION("""COMPUTED_VALUE"""),"Antes Prazo")</f>
        <v>Antes Prazo</v>
      </c>
      <c r="O520" s="15" t="str">
        <f>IFERROR(__xludf.DUMMYFUNCTION("""COMPUTED_VALUE"""),"B2B")</f>
        <v>B2B</v>
      </c>
      <c r="P520" s="16">
        <f>IFERROR(__xludf.DUMMYFUNCTION("""COMPUTED_VALUE"""),51.54)</f>
        <v>51.54</v>
      </c>
      <c r="Q520" s="15">
        <f>IFERROR(__xludf.DUMMYFUNCTION("""COMPUTED_VALUE"""),1.0)</f>
        <v>1</v>
      </c>
      <c r="R520" s="15" t="str">
        <f>IFERROR(__xludf.DUMMYFUNCTION("""COMPUTED_VALUE"""),"RODO")</f>
        <v>RODO</v>
      </c>
      <c r="S520" s="15" t="str">
        <f>IFERROR(__xludf.DUMMYFUNCTION("""COMPUTED_VALUE"""),"ITN")</f>
        <v>ITN</v>
      </c>
      <c r="T520" s="15" t="str">
        <f>IFERROR(__xludf.DUMMYFUNCTION("""COMPUTED_VALUE"""),"3")</f>
        <v>3</v>
      </c>
      <c r="U520" s="15" t="str">
        <f>IFERROR(__xludf.DUMMYFUNCTION("""COMPUTED_VALUE"""),"266806837 1304666 8177227 alfredo a. neto representacoes ltda trifil jdo 3")</f>
        <v>266806837 1304666 8177227 alfredo a. neto representacoes ltda trifil jdo 3</v>
      </c>
      <c r="V520" s="15" t="b">
        <f>IFERROR(__xludf.DUMMYFUNCTION("""COMPUTED_VALUE"""),FALSE)</f>
        <v>0</v>
      </c>
    </row>
    <row r="521">
      <c r="A521" s="19">
        <f>IFERROR(__xludf.DUMMYFUNCTION("""COMPUTED_VALUE"""),46304.0)</f>
        <v>46304</v>
      </c>
      <c r="B521" s="19">
        <f>IFERROR(__xludf.DUMMYFUNCTION("""COMPUTED_VALUE"""),46315.0)</f>
        <v>46315</v>
      </c>
      <c r="C521" s="15">
        <f>IFERROR(__xludf.DUMMYFUNCTION("""COMPUTED_VALUE"""),6.0)</f>
        <v>6</v>
      </c>
      <c r="D521" s="15" t="str">
        <f>IFERROR(__xludf.DUMMYFUNCTION("""COMPUTED_VALUE"""),"JDO")</f>
        <v>JDO</v>
      </c>
      <c r="E521" s="15" t="str">
        <f>IFERROR(__xludf.DUMMYFUNCTION("""COMPUTED_VALUE"""),"ANTONIO BERNARDINO MOREIRA")</f>
        <v>ANTONIO BERNARDINO MOREIRA</v>
      </c>
      <c r="F521" s="15" t="str">
        <f>IFERROR(__xludf.DUMMYFUNCTION("""COMPUTED_VALUE"""),"TRIFIL")</f>
        <v>TRIFIL</v>
      </c>
      <c r="G521" s="15" t="str">
        <f>IFERROR(__xludf.DUMMYFUNCTION("""COMPUTED_VALUE"""),"266806838")</f>
        <v>266806838</v>
      </c>
      <c r="H521" s="15" t="str">
        <f>IFERROR(__xludf.DUMMYFUNCTION("""COMPUTED_VALUE"""),"1306126")</f>
        <v>1306126</v>
      </c>
      <c r="I521" s="15" t="str">
        <f>IFERROR(__xludf.DUMMYFUNCTION("""COMPUTED_VALUE"""),"8177197")</f>
        <v>8177197</v>
      </c>
      <c r="J521" s="15" t="str">
        <f>IFERROR(__xludf.DUMMYFUNCTION("""COMPUTED_VALUE"""),"CIF")</f>
        <v>CIF</v>
      </c>
      <c r="K521" s="15" t="str">
        <f>IFERROR(__xludf.DUMMYFUNCTION("""COMPUTED_VALUE"""),"FSA-1")</f>
        <v>FSA-1</v>
      </c>
      <c r="L521" s="15" t="str">
        <f>IFERROR(__xludf.DUMMYFUNCTION("""COMPUTED_VALUE"""),"AUTORIZADO")</f>
        <v>AUTORIZADO</v>
      </c>
      <c r="M521" s="15" t="str">
        <f>IFERROR(__xludf.DUMMYFUNCTION("""COMPUTED_VALUE"""),"NA ORIGEM")</f>
        <v>NA ORIGEM</v>
      </c>
      <c r="N521" s="15" t="str">
        <f>IFERROR(__xludf.DUMMYFUNCTION("""COMPUTED_VALUE"""),"Antes Prazo")</f>
        <v>Antes Prazo</v>
      </c>
      <c r="O521" s="15" t="str">
        <f>IFERROR(__xludf.DUMMYFUNCTION("""COMPUTED_VALUE"""),"B2B")</f>
        <v>B2B</v>
      </c>
      <c r="P521" s="16">
        <f>IFERROR(__xludf.DUMMYFUNCTION("""COMPUTED_VALUE"""),64.23)</f>
        <v>64.23</v>
      </c>
      <c r="Q521" s="15">
        <f>IFERROR(__xludf.DUMMYFUNCTION("""COMPUTED_VALUE"""),1.0)</f>
        <v>1</v>
      </c>
      <c r="R521" s="15" t="str">
        <f>IFERROR(__xludf.DUMMYFUNCTION("""COMPUTED_VALUE"""),"RODO")</f>
        <v>RODO</v>
      </c>
      <c r="S521" s="15" t="str">
        <f>IFERROR(__xludf.DUMMYFUNCTION("""COMPUTED_VALUE"""),"ITN")</f>
        <v>ITN</v>
      </c>
      <c r="T521" s="15" t="str">
        <f>IFERROR(__xludf.DUMMYFUNCTION("""COMPUTED_VALUE"""),"3")</f>
        <v>3</v>
      </c>
      <c r="U521" s="15" t="str">
        <f>IFERROR(__xludf.DUMMYFUNCTION("""COMPUTED_VALUE"""),"266806838 1306126 8177197 antonio bernardino moreira trifil jdo 3")</f>
        <v>266806838 1306126 8177197 antonio bernardino moreira trifil jdo 3</v>
      </c>
      <c r="V521" s="15" t="b">
        <f>IFERROR(__xludf.DUMMYFUNCTION("""COMPUTED_VALUE"""),FALSE)</f>
        <v>0</v>
      </c>
    </row>
    <row r="522">
      <c r="A522" s="19">
        <f>IFERROR(__xludf.DUMMYFUNCTION("""COMPUTED_VALUE"""),46304.0)</f>
        <v>46304</v>
      </c>
      <c r="B522" s="19">
        <f>IFERROR(__xludf.DUMMYFUNCTION("""COMPUTED_VALUE"""),46315.0)</f>
        <v>46315</v>
      </c>
      <c r="C522" s="15">
        <f>IFERROR(__xludf.DUMMYFUNCTION("""COMPUTED_VALUE"""),6.0)</f>
        <v>6</v>
      </c>
      <c r="D522" s="15" t="str">
        <f>IFERROR(__xludf.DUMMYFUNCTION("""COMPUTED_VALUE"""),"JDO")</f>
        <v>JDO</v>
      </c>
      <c r="E522" s="15" t="str">
        <f>IFERROR(__xludf.DUMMYFUNCTION("""COMPUTED_VALUE"""),"CASA DOS ESPORTES - CRATO")</f>
        <v>CASA DOS ESPORTES - CRATO</v>
      </c>
      <c r="F522" s="15" t="str">
        <f>IFERROR(__xludf.DUMMYFUNCTION("""COMPUTED_VALUE"""),"TRIFIL")</f>
        <v>TRIFIL</v>
      </c>
      <c r="G522" s="15" t="str">
        <f>IFERROR(__xludf.DUMMYFUNCTION("""COMPUTED_VALUE"""),"266806839")</f>
        <v>266806839</v>
      </c>
      <c r="H522" s="15" t="str">
        <f>IFERROR(__xludf.DUMMYFUNCTION("""COMPUTED_VALUE"""),"1306046")</f>
        <v>1306046</v>
      </c>
      <c r="I522" s="15" t="str">
        <f>IFERROR(__xludf.DUMMYFUNCTION("""COMPUTED_VALUE"""),"8177257")</f>
        <v>8177257</v>
      </c>
      <c r="J522" s="15" t="str">
        <f>IFERROR(__xludf.DUMMYFUNCTION("""COMPUTED_VALUE"""),"CIF")</f>
        <v>CIF</v>
      </c>
      <c r="K522" s="15" t="str">
        <f>IFERROR(__xludf.DUMMYFUNCTION("""COMPUTED_VALUE"""),"FSA-1")</f>
        <v>FSA-1</v>
      </c>
      <c r="L522" s="15" t="str">
        <f>IFERROR(__xludf.DUMMYFUNCTION("""COMPUTED_VALUE"""),"AUTORIZADO")</f>
        <v>AUTORIZADO</v>
      </c>
      <c r="M522" s="15" t="str">
        <f>IFERROR(__xludf.DUMMYFUNCTION("""COMPUTED_VALUE"""),"NA ORIGEM")</f>
        <v>NA ORIGEM</v>
      </c>
      <c r="N522" s="15" t="str">
        <f>IFERROR(__xludf.DUMMYFUNCTION("""COMPUTED_VALUE"""),"Antes Prazo")</f>
        <v>Antes Prazo</v>
      </c>
      <c r="O522" s="15" t="str">
        <f>IFERROR(__xludf.DUMMYFUNCTION("""COMPUTED_VALUE"""),"B2B")</f>
        <v>B2B</v>
      </c>
      <c r="P522" s="16">
        <f>IFERROR(__xludf.DUMMYFUNCTION("""COMPUTED_VALUE"""),64.23)</f>
        <v>64.23</v>
      </c>
      <c r="Q522" s="15">
        <f>IFERROR(__xludf.DUMMYFUNCTION("""COMPUTED_VALUE"""),1.0)</f>
        <v>1</v>
      </c>
      <c r="R522" s="15" t="str">
        <f>IFERROR(__xludf.DUMMYFUNCTION("""COMPUTED_VALUE"""),"RODO")</f>
        <v>RODO</v>
      </c>
      <c r="S522" s="15" t="str">
        <f>IFERROR(__xludf.DUMMYFUNCTION("""COMPUTED_VALUE"""),"ITN")</f>
        <v>ITN</v>
      </c>
      <c r="T522" s="15" t="str">
        <f>IFERROR(__xludf.DUMMYFUNCTION("""COMPUTED_VALUE"""),"3")</f>
        <v>3</v>
      </c>
      <c r="U522" s="15" t="str">
        <f>IFERROR(__xludf.DUMMYFUNCTION("""COMPUTED_VALUE"""),"266806839 1306046 8177257 casa dos esportes - crato trifil jdo 3")</f>
        <v>266806839 1306046 8177257 casa dos esportes - crato trifil jdo 3</v>
      </c>
      <c r="V522" s="15" t="b">
        <f>IFERROR(__xludf.DUMMYFUNCTION("""COMPUTED_VALUE"""),FALSE)</f>
        <v>0</v>
      </c>
    </row>
    <row r="523">
      <c r="A523" s="19">
        <f>IFERROR(__xludf.DUMMYFUNCTION("""COMPUTED_VALUE"""),46304.0)</f>
        <v>46304</v>
      </c>
      <c r="B523" s="19">
        <f>IFERROR(__xludf.DUMMYFUNCTION("""COMPUTED_VALUE"""),46335.0)</f>
        <v>46335</v>
      </c>
      <c r="C523" s="15">
        <f>IFERROR(__xludf.DUMMYFUNCTION("""COMPUTED_VALUE"""),18.0)</f>
        <v>18</v>
      </c>
      <c r="D523" s="15" t="str">
        <f>IFERROR(__xludf.DUMMYFUNCTION("""COMPUTED_VALUE"""),"THE")</f>
        <v>THE</v>
      </c>
      <c r="E523" s="15" t="str">
        <f>IFERROR(__xludf.DUMMYFUNCTION("""COMPUTED_VALUE"""),"Z M G DE ARAUJO")</f>
        <v>Z M G DE ARAUJO</v>
      </c>
      <c r="F523" s="15" t="str">
        <f>IFERROR(__xludf.DUMMYFUNCTION("""COMPUTED_VALUE"""),"TRIFIL")</f>
        <v>TRIFIL</v>
      </c>
      <c r="G523" s="15" t="str">
        <f>IFERROR(__xludf.DUMMYFUNCTION("""COMPUTED_VALUE"""),"266806840")</f>
        <v>266806840</v>
      </c>
      <c r="H523" s="15" t="str">
        <f>IFERROR(__xludf.DUMMYFUNCTION("""COMPUTED_VALUE"""),"1306224")</f>
        <v>1306224</v>
      </c>
      <c r="I523" s="15" t="str">
        <f>IFERROR(__xludf.DUMMYFUNCTION("""COMPUTED_VALUE"""),"8177296")</f>
        <v>8177296</v>
      </c>
      <c r="J523" s="15" t="str">
        <f>IFERROR(__xludf.DUMMYFUNCTION("""COMPUTED_VALUE"""),"CIF")</f>
        <v>CIF</v>
      </c>
      <c r="K523" s="15" t="str">
        <f>IFERROR(__xludf.DUMMYFUNCTION("""COMPUTED_VALUE"""),"SAO-1")</f>
        <v>SAO-1</v>
      </c>
      <c r="L523" s="15" t="str">
        <f>IFERROR(__xludf.DUMMYFUNCTION("""COMPUTED_VALUE"""),"AUTORIZADO")</f>
        <v>AUTORIZADO</v>
      </c>
      <c r="M523" s="15" t="str">
        <f>IFERROR(__xludf.DUMMYFUNCTION("""COMPUTED_VALUE"""),"NA ORIGEM")</f>
        <v>NA ORIGEM</v>
      </c>
      <c r="N523" s="15" t="str">
        <f>IFERROR(__xludf.DUMMYFUNCTION("""COMPUTED_VALUE"""),"Antes Prazo")</f>
        <v>Antes Prazo</v>
      </c>
      <c r="O523" s="15" t="str">
        <f>IFERROR(__xludf.DUMMYFUNCTION("""COMPUTED_VALUE"""),"B2B")</f>
        <v>B2B</v>
      </c>
      <c r="P523" s="16">
        <f>IFERROR(__xludf.DUMMYFUNCTION("""COMPUTED_VALUE"""),71.9)</f>
        <v>71.9</v>
      </c>
      <c r="Q523" s="15">
        <f>IFERROR(__xludf.DUMMYFUNCTION("""COMPUTED_VALUE"""),2.0)</f>
        <v>2</v>
      </c>
      <c r="R523" s="15" t="str">
        <f>IFERROR(__xludf.DUMMYFUNCTION("""COMPUTED_VALUE"""),"RODO")</f>
        <v>RODO</v>
      </c>
      <c r="S523" s="15" t="str">
        <f>IFERROR(__xludf.DUMMYFUNCTION("""COMPUTED_VALUE"""),"ITN")</f>
        <v>ITN</v>
      </c>
      <c r="T523" s="15" t="str">
        <f>IFERROR(__xludf.DUMMYFUNCTION("""COMPUTED_VALUE"""),"103")</f>
        <v>103</v>
      </c>
      <c r="U523" s="15" t="str">
        <f>IFERROR(__xludf.DUMMYFUNCTION("""COMPUTED_VALUE"""),"266806840 1306224 8177296 z m g de araujo trifil the 103")</f>
        <v>266806840 1306224 8177296 z m g de araujo trifil the 103</v>
      </c>
      <c r="V523" s="15" t="b">
        <f>IFERROR(__xludf.DUMMYFUNCTION("""COMPUTED_VALUE"""),FALSE)</f>
        <v>0</v>
      </c>
    </row>
    <row r="524">
      <c r="A524" s="19">
        <f>IFERROR(__xludf.DUMMYFUNCTION("""COMPUTED_VALUE"""),46304.0)</f>
        <v>46304</v>
      </c>
      <c r="B524" s="19">
        <f>IFERROR(__xludf.DUMMYFUNCTION("""COMPUTED_VALUE"""),46335.0)</f>
        <v>46335</v>
      </c>
      <c r="C524" s="15">
        <f>IFERROR(__xludf.DUMMYFUNCTION("""COMPUTED_VALUE"""),18.0)</f>
        <v>18</v>
      </c>
      <c r="D524" s="15" t="str">
        <f>IFERROR(__xludf.DUMMYFUNCTION("""COMPUTED_VALUE"""),"THE")</f>
        <v>THE</v>
      </c>
      <c r="E524" s="15" t="str">
        <f>IFERROR(__xludf.DUMMYFUNCTION("""COMPUTED_VALUE"""),"N. LIMA CORDEIRO")</f>
        <v>N. LIMA CORDEIRO</v>
      </c>
      <c r="F524" s="15" t="str">
        <f>IFERROR(__xludf.DUMMYFUNCTION("""COMPUTED_VALUE"""),"TRIFIL")</f>
        <v>TRIFIL</v>
      </c>
      <c r="G524" s="15" t="str">
        <f>IFERROR(__xludf.DUMMYFUNCTION("""COMPUTED_VALUE"""),"266806841")</f>
        <v>266806841</v>
      </c>
      <c r="H524" s="15" t="str">
        <f>IFERROR(__xludf.DUMMYFUNCTION("""COMPUTED_VALUE"""),"1306266")</f>
        <v>1306266</v>
      </c>
      <c r="I524" s="15" t="str">
        <f>IFERROR(__xludf.DUMMYFUNCTION("""COMPUTED_VALUE"""),"8177198")</f>
        <v>8177198</v>
      </c>
      <c r="J524" s="15" t="str">
        <f>IFERROR(__xludf.DUMMYFUNCTION("""COMPUTED_VALUE"""),"CIF")</f>
        <v>CIF</v>
      </c>
      <c r="K524" s="15" t="str">
        <f>IFERROR(__xludf.DUMMYFUNCTION("""COMPUTED_VALUE"""),"(sem célula)")</f>
        <v>(sem célula)</v>
      </c>
      <c r="L524" s="15" t="str">
        <f>IFERROR(__xludf.DUMMYFUNCTION("""COMPUTED_VALUE"""),"AUTORIZADO")</f>
        <v>AUTORIZADO</v>
      </c>
      <c r="M524" s="15" t="str">
        <f>IFERROR(__xludf.DUMMYFUNCTION("""COMPUTED_VALUE"""),"NA ORIGEM")</f>
        <v>NA ORIGEM</v>
      </c>
      <c r="N524" s="15" t="str">
        <f>IFERROR(__xludf.DUMMYFUNCTION("""COMPUTED_VALUE"""),"Antes Prazo")</f>
        <v>Antes Prazo</v>
      </c>
      <c r="O524" s="15" t="str">
        <f>IFERROR(__xludf.DUMMYFUNCTION("""COMPUTED_VALUE"""),"B2B")</f>
        <v>B2B</v>
      </c>
      <c r="P524" s="16">
        <f>IFERROR(__xludf.DUMMYFUNCTION("""COMPUTED_VALUE"""),71.9)</f>
        <v>71.9</v>
      </c>
      <c r="Q524" s="15">
        <f>IFERROR(__xludf.DUMMYFUNCTION("""COMPUTED_VALUE"""),1.0)</f>
        <v>1</v>
      </c>
      <c r="R524" s="15" t="str">
        <f>IFERROR(__xludf.DUMMYFUNCTION("""COMPUTED_VALUE"""),"RODO")</f>
        <v>RODO</v>
      </c>
      <c r="S524" s="15" t="str">
        <f>IFERROR(__xludf.DUMMYFUNCTION("""COMPUTED_VALUE"""),"ITN")</f>
        <v>ITN</v>
      </c>
      <c r="T524" s="15" t="str">
        <f>IFERROR(__xludf.DUMMYFUNCTION("""COMPUTED_VALUE"""),"108")</f>
        <v>108</v>
      </c>
      <c r="U524" s="15" t="str">
        <f>IFERROR(__xludf.DUMMYFUNCTION("""COMPUTED_VALUE"""),"266806841 1306266 8177198 n. lima cordeiro trifil the 108")</f>
        <v>266806841 1306266 8177198 n. lima cordeiro trifil the 108</v>
      </c>
      <c r="V524" s="15" t="b">
        <f>IFERROR(__xludf.DUMMYFUNCTION("""COMPUTED_VALUE"""),FALSE)</f>
        <v>0</v>
      </c>
    </row>
    <row r="525">
      <c r="A525" s="19">
        <f>IFERROR(__xludf.DUMMYFUNCTION("""COMPUTED_VALUE"""),46304.0)</f>
        <v>46304</v>
      </c>
      <c r="B525" s="19">
        <f>IFERROR(__xludf.DUMMYFUNCTION("""COMPUTED_VALUE"""),46324.0)</f>
        <v>46324</v>
      </c>
      <c r="C525" s="15">
        <f>IFERROR(__xludf.DUMMYFUNCTION("""COMPUTED_VALUE"""),13.0)</f>
        <v>13</v>
      </c>
      <c r="D525" s="15" t="str">
        <f>IFERROR(__xludf.DUMMYFUNCTION("""COMPUTED_VALUE"""),"PCS")</f>
        <v>PCS</v>
      </c>
      <c r="E525" s="15" t="str">
        <f>IFERROR(__xludf.DUMMYFUNCTION("""COMPUTED_VALUE"""),"G. P. E. SOUSA LTDA - 33556")</f>
        <v>G. P. E. SOUSA LTDA - 33556</v>
      </c>
      <c r="F525" s="15" t="str">
        <f>IFERROR(__xludf.DUMMYFUNCTION("""COMPUTED_VALUE"""),"TRIFIL")</f>
        <v>TRIFIL</v>
      </c>
      <c r="G525" s="15" t="str">
        <f>IFERROR(__xludf.DUMMYFUNCTION("""COMPUTED_VALUE"""),"266806842")</f>
        <v>266806842</v>
      </c>
      <c r="H525" s="15" t="str">
        <f>IFERROR(__xludf.DUMMYFUNCTION("""COMPUTED_VALUE"""),"1306184")</f>
        <v>1306184</v>
      </c>
      <c r="I525" s="15" t="str">
        <f>IFERROR(__xludf.DUMMYFUNCTION("""COMPUTED_VALUE"""),"8177165")</f>
        <v>8177165</v>
      </c>
      <c r="J525" s="15" t="str">
        <f>IFERROR(__xludf.DUMMYFUNCTION("""COMPUTED_VALUE"""),"CIF")</f>
        <v>CIF</v>
      </c>
      <c r="K525" s="15" t="str">
        <f>IFERROR(__xludf.DUMMYFUNCTION("""COMPUTED_VALUE"""),"FSA-1")</f>
        <v>FSA-1</v>
      </c>
      <c r="L525" s="15" t="str">
        <f>IFERROR(__xludf.DUMMYFUNCTION("""COMPUTED_VALUE"""),"AUTORIZADO")</f>
        <v>AUTORIZADO</v>
      </c>
      <c r="M525" s="15" t="str">
        <f>IFERROR(__xludf.DUMMYFUNCTION("""COMPUTED_VALUE"""),"NA ORIGEM")</f>
        <v>NA ORIGEM</v>
      </c>
      <c r="N525" s="15" t="str">
        <f>IFERROR(__xludf.DUMMYFUNCTION("""COMPUTED_VALUE"""),"Antes Prazo")</f>
        <v>Antes Prazo</v>
      </c>
      <c r="O525" s="15" t="str">
        <f>IFERROR(__xludf.DUMMYFUNCTION("""COMPUTED_VALUE"""),"B2B")</f>
        <v>B2B</v>
      </c>
      <c r="P525" s="16">
        <f>IFERROR(__xludf.DUMMYFUNCTION("""COMPUTED_VALUE"""),71.9)</f>
        <v>71.9</v>
      </c>
      <c r="Q525" s="15">
        <f>IFERROR(__xludf.DUMMYFUNCTION("""COMPUTED_VALUE"""),1.0)</f>
        <v>1</v>
      </c>
      <c r="R525" s="15" t="str">
        <f>IFERROR(__xludf.DUMMYFUNCTION("""COMPUTED_VALUE"""),"RODO")</f>
        <v>RODO</v>
      </c>
      <c r="S525" s="15" t="str">
        <f>IFERROR(__xludf.DUMMYFUNCTION("""COMPUTED_VALUE"""),"ITN")</f>
        <v>ITN</v>
      </c>
      <c r="T525" s="15" t="str">
        <f>IFERROR(__xludf.DUMMYFUNCTION("""COMPUTED_VALUE"""),"105")</f>
        <v>105</v>
      </c>
      <c r="U525" s="15" t="str">
        <f>IFERROR(__xludf.DUMMYFUNCTION("""COMPUTED_VALUE"""),"266806842 1306184 8177165 g. p. e. sousa ltda - 33556 trifil pcs 105")</f>
        <v>266806842 1306184 8177165 g. p. e. sousa ltda - 33556 trifil pcs 105</v>
      </c>
      <c r="V525" s="15" t="b">
        <f>IFERROR(__xludf.DUMMYFUNCTION("""COMPUTED_VALUE"""),FALSE)</f>
        <v>0</v>
      </c>
    </row>
    <row r="526">
      <c r="A526" s="19">
        <f>IFERROR(__xludf.DUMMYFUNCTION("""COMPUTED_VALUE"""),46304.0)</f>
        <v>46304</v>
      </c>
      <c r="B526" s="19">
        <f>IFERROR(__xludf.DUMMYFUNCTION("""COMPUTED_VALUE"""),46323.0)</f>
        <v>46323</v>
      </c>
      <c r="C526" s="15">
        <f>IFERROR(__xludf.DUMMYFUNCTION("""COMPUTED_VALUE"""),12.0)</f>
        <v>12</v>
      </c>
      <c r="D526" s="15" t="str">
        <f>IFERROR(__xludf.DUMMYFUNCTION("""COMPUTED_VALUE"""),"PCS")</f>
        <v>PCS</v>
      </c>
      <c r="E526" s="15" t="str">
        <f>IFERROR(__xludf.DUMMYFUNCTION("""COMPUTED_VALUE"""),"PAULO HENRIQUE ROCHA ME Cod: 28097")</f>
        <v>PAULO HENRIQUE ROCHA ME Cod: 28097</v>
      </c>
      <c r="F526" s="15" t="str">
        <f>IFERROR(__xludf.DUMMYFUNCTION("""COMPUTED_VALUE"""),"TRIFIL")</f>
        <v>TRIFIL</v>
      </c>
      <c r="G526" s="15" t="str">
        <f>IFERROR(__xludf.DUMMYFUNCTION("""COMPUTED_VALUE"""),"266806843")</f>
        <v>266806843</v>
      </c>
      <c r="H526" s="15" t="str">
        <f>IFERROR(__xludf.DUMMYFUNCTION("""COMPUTED_VALUE"""),"1306190")</f>
        <v>1306190</v>
      </c>
      <c r="I526" s="15" t="str">
        <f>IFERROR(__xludf.DUMMYFUNCTION("""COMPUTED_VALUE"""),"8177134")</f>
        <v>8177134</v>
      </c>
      <c r="J526" s="15" t="str">
        <f>IFERROR(__xludf.DUMMYFUNCTION("""COMPUTED_VALUE"""),"CIF")</f>
        <v>CIF</v>
      </c>
      <c r="K526" s="15" t="str">
        <f>IFERROR(__xludf.DUMMYFUNCTION("""COMPUTED_VALUE"""),"FSA-1")</f>
        <v>FSA-1</v>
      </c>
      <c r="L526" s="15" t="str">
        <f>IFERROR(__xludf.DUMMYFUNCTION("""COMPUTED_VALUE"""),"AUTORIZADO")</f>
        <v>AUTORIZADO</v>
      </c>
      <c r="M526" s="15" t="str">
        <f>IFERROR(__xludf.DUMMYFUNCTION("""COMPUTED_VALUE"""),"NA ORIGEM")</f>
        <v>NA ORIGEM</v>
      </c>
      <c r="N526" s="15" t="str">
        <f>IFERROR(__xludf.DUMMYFUNCTION("""COMPUTED_VALUE"""),"Antes Prazo")</f>
        <v>Antes Prazo</v>
      </c>
      <c r="O526" s="15" t="str">
        <f>IFERROR(__xludf.DUMMYFUNCTION("""COMPUTED_VALUE"""),"B2B")</f>
        <v>B2B</v>
      </c>
      <c r="P526" s="16">
        <f>IFERROR(__xludf.DUMMYFUNCTION("""COMPUTED_VALUE"""),71.9)</f>
        <v>71.9</v>
      </c>
      <c r="Q526" s="15">
        <f>IFERROR(__xludf.DUMMYFUNCTION("""COMPUTED_VALUE"""),1.0)</f>
        <v>1</v>
      </c>
      <c r="R526" s="15" t="str">
        <f>IFERROR(__xludf.DUMMYFUNCTION("""COMPUTED_VALUE"""),"RODO")</f>
        <v>RODO</v>
      </c>
      <c r="S526" s="15" t="str">
        <f>IFERROR(__xludf.DUMMYFUNCTION("""COMPUTED_VALUE"""),"ITN")</f>
        <v>ITN</v>
      </c>
      <c r="T526" s="15" t="str">
        <f>IFERROR(__xludf.DUMMYFUNCTION("""COMPUTED_VALUE"""),"105")</f>
        <v>105</v>
      </c>
      <c r="U526" s="15" t="str">
        <f>IFERROR(__xludf.DUMMYFUNCTION("""COMPUTED_VALUE"""),"266806843 1306190 8177134 paulo henrique rocha me cod: 28097 trifil pcs 105")</f>
        <v>266806843 1306190 8177134 paulo henrique rocha me cod: 28097 trifil pcs 105</v>
      </c>
      <c r="V526" s="15" t="b">
        <f>IFERROR(__xludf.DUMMYFUNCTION("""COMPUTED_VALUE"""),FALSE)</f>
        <v>0</v>
      </c>
    </row>
    <row r="527">
      <c r="A527" s="19">
        <f>IFERROR(__xludf.DUMMYFUNCTION("""COMPUTED_VALUE"""),46304.0)</f>
        <v>46304</v>
      </c>
      <c r="B527" s="19">
        <f>IFERROR(__xludf.DUMMYFUNCTION("""COMPUTED_VALUE"""),46323.0)</f>
        <v>46323</v>
      </c>
      <c r="C527" s="15">
        <f>IFERROR(__xludf.DUMMYFUNCTION("""COMPUTED_VALUE"""),12.0)</f>
        <v>12</v>
      </c>
      <c r="D527" s="15" t="str">
        <f>IFERROR(__xludf.DUMMYFUNCTION("""COMPUTED_VALUE"""),"PCS")</f>
        <v>PCS</v>
      </c>
      <c r="E527" s="15" t="str">
        <f>IFERROR(__xludf.DUMMYFUNCTION("""COMPUTED_VALUE"""),"MAGAZINE JANNAYNA")</f>
        <v>MAGAZINE JANNAYNA</v>
      </c>
      <c r="F527" s="15" t="str">
        <f>IFERROR(__xludf.DUMMYFUNCTION("""COMPUTED_VALUE"""),"TRIFIL")</f>
        <v>TRIFIL</v>
      </c>
      <c r="G527" s="15" t="str">
        <f>IFERROR(__xludf.DUMMYFUNCTION("""COMPUTED_VALUE"""),"266806844")</f>
        <v>266806844</v>
      </c>
      <c r="H527" s="15" t="str">
        <f>IFERROR(__xludf.DUMMYFUNCTION("""COMPUTED_VALUE"""),"1306241")</f>
        <v>1306241</v>
      </c>
      <c r="I527" s="15" t="str">
        <f>IFERROR(__xludf.DUMMYFUNCTION("""COMPUTED_VALUE"""),"8177199")</f>
        <v>8177199</v>
      </c>
      <c r="J527" s="15" t="str">
        <f>IFERROR(__xludf.DUMMYFUNCTION("""COMPUTED_VALUE"""),"CIF")</f>
        <v>CIF</v>
      </c>
      <c r="K527" s="15" t="str">
        <f>IFERROR(__xludf.DUMMYFUNCTION("""COMPUTED_VALUE"""),"FSA-1")</f>
        <v>FSA-1</v>
      </c>
      <c r="L527" s="15" t="str">
        <f>IFERROR(__xludf.DUMMYFUNCTION("""COMPUTED_VALUE"""),"AUTORIZADO")</f>
        <v>AUTORIZADO</v>
      </c>
      <c r="M527" s="15" t="str">
        <f>IFERROR(__xludf.DUMMYFUNCTION("""COMPUTED_VALUE"""),"NA ORIGEM")</f>
        <v>NA ORIGEM</v>
      </c>
      <c r="N527" s="15" t="str">
        <f>IFERROR(__xludf.DUMMYFUNCTION("""COMPUTED_VALUE"""),"Antes Prazo")</f>
        <v>Antes Prazo</v>
      </c>
      <c r="O527" s="15" t="str">
        <f>IFERROR(__xludf.DUMMYFUNCTION("""COMPUTED_VALUE"""),"B2B")</f>
        <v>B2B</v>
      </c>
      <c r="P527" s="16">
        <f>IFERROR(__xludf.DUMMYFUNCTION("""COMPUTED_VALUE"""),71.9)</f>
        <v>71.9</v>
      </c>
      <c r="Q527" s="15">
        <f>IFERROR(__xludf.DUMMYFUNCTION("""COMPUTED_VALUE"""),1.0)</f>
        <v>1</v>
      </c>
      <c r="R527" s="15" t="str">
        <f>IFERROR(__xludf.DUMMYFUNCTION("""COMPUTED_VALUE"""),"RODO")</f>
        <v>RODO</v>
      </c>
      <c r="S527" s="15" t="str">
        <f>IFERROR(__xludf.DUMMYFUNCTION("""COMPUTED_VALUE"""),"ITN")</f>
        <v>ITN</v>
      </c>
      <c r="T527" s="15" t="str">
        <f>IFERROR(__xludf.DUMMYFUNCTION("""COMPUTED_VALUE"""),"105")</f>
        <v>105</v>
      </c>
      <c r="U527" s="15" t="str">
        <f>IFERROR(__xludf.DUMMYFUNCTION("""COMPUTED_VALUE"""),"266806844 1306241 8177199 magazine jannayna trifil pcs 105")</f>
        <v>266806844 1306241 8177199 magazine jannayna trifil pcs 105</v>
      </c>
      <c r="V527" s="15" t="b">
        <f>IFERROR(__xludf.DUMMYFUNCTION("""COMPUTED_VALUE"""),FALSE)</f>
        <v>0</v>
      </c>
    </row>
    <row r="528">
      <c r="A528" s="19">
        <f>IFERROR(__xludf.DUMMYFUNCTION("""COMPUTED_VALUE"""),46304.0)</f>
        <v>46304</v>
      </c>
      <c r="B528" s="19">
        <f>IFERROR(__xludf.DUMMYFUNCTION("""COMPUTED_VALUE"""),46317.0)</f>
        <v>46317</v>
      </c>
      <c r="C528" s="15">
        <f>IFERROR(__xludf.DUMMYFUNCTION("""COMPUTED_VALUE"""),8.0)</f>
        <v>8</v>
      </c>
      <c r="D528" s="15" t="str">
        <f>IFERROR(__xludf.DUMMYFUNCTION("""COMPUTED_VALUE"""),"BTB")</f>
        <v>BTB</v>
      </c>
      <c r="E528" s="15" t="str">
        <f>IFERROR(__xludf.DUMMYFUNCTION("""COMPUTED_VALUE"""),"NSR Tositto Ltda - EPP")</f>
        <v>NSR Tositto Ltda - EPP</v>
      </c>
      <c r="F528" s="15" t="str">
        <f>IFERROR(__xludf.DUMMYFUNCTION("""COMPUTED_VALUE"""),"TRIFIL")</f>
        <v>TRIFIL</v>
      </c>
      <c r="G528" s="15" t="str">
        <f>IFERROR(__xludf.DUMMYFUNCTION("""COMPUTED_VALUE"""),"266806845")</f>
        <v>266806845</v>
      </c>
      <c r="H528" s="15" t="str">
        <f>IFERROR(__xludf.DUMMYFUNCTION("""COMPUTED_VALUE"""),"1305768")</f>
        <v>1305768</v>
      </c>
      <c r="I528" s="15" t="str">
        <f>IFERROR(__xludf.DUMMYFUNCTION("""COMPUTED_VALUE"""),"8177258")</f>
        <v>8177258</v>
      </c>
      <c r="J528" s="15" t="str">
        <f>IFERROR(__xludf.DUMMYFUNCTION("""COMPUTED_VALUE"""),"CIF")</f>
        <v>CIF</v>
      </c>
      <c r="K528" s="15" t="str">
        <f>IFERROR(__xludf.DUMMYFUNCTION("""COMPUTED_VALUE"""),"(sem célula)")</f>
        <v>(sem célula)</v>
      </c>
      <c r="L528" s="15" t="str">
        <f>IFERROR(__xludf.DUMMYFUNCTION("""COMPUTED_VALUE"""),"AUTORIZADO")</f>
        <v>AUTORIZADO</v>
      </c>
      <c r="M528" s="15" t="str">
        <f>IFERROR(__xludf.DUMMYFUNCTION("""COMPUTED_VALUE"""),"NA ORIGEM")</f>
        <v>NA ORIGEM</v>
      </c>
      <c r="N528" s="15" t="str">
        <f>IFERROR(__xludf.DUMMYFUNCTION("""COMPUTED_VALUE"""),"Antes Prazo")</f>
        <v>Antes Prazo</v>
      </c>
      <c r="O528" s="15" t="str">
        <f>IFERROR(__xludf.DUMMYFUNCTION("""COMPUTED_VALUE"""),"B2B")</f>
        <v>B2B</v>
      </c>
      <c r="P528" s="16">
        <f>IFERROR(__xludf.DUMMYFUNCTION("""COMPUTED_VALUE"""),45.49)</f>
        <v>45.49</v>
      </c>
      <c r="Q528" s="15">
        <f>IFERROR(__xludf.DUMMYFUNCTION("""COMPUTED_VALUE"""),1.0)</f>
        <v>1</v>
      </c>
      <c r="R528" s="15" t="str">
        <f>IFERROR(__xludf.DUMMYFUNCTION("""COMPUTED_VALUE"""),"RODO")</f>
        <v>RODO</v>
      </c>
      <c r="S528" s="15" t="str">
        <f>IFERROR(__xludf.DUMMYFUNCTION("""COMPUTED_VALUE"""),"ITN")</f>
        <v>ITN</v>
      </c>
      <c r="T528" s="15" t="str">
        <f>IFERROR(__xludf.DUMMYFUNCTION("""COMPUTED_VALUE"""),"642")</f>
        <v>642</v>
      </c>
      <c r="U528" s="15" t="str">
        <f>IFERROR(__xludf.DUMMYFUNCTION("""COMPUTED_VALUE"""),"266806845 1305768 8177258 nsr tositto ltda - epp trifil btb 642")</f>
        <v>266806845 1305768 8177258 nsr tositto ltda - epp trifil btb 642</v>
      </c>
      <c r="V528" s="15" t="b">
        <f>IFERROR(__xludf.DUMMYFUNCTION("""COMPUTED_VALUE"""),FALSE)</f>
        <v>0</v>
      </c>
    </row>
    <row r="529">
      <c r="A529" s="19">
        <f>IFERROR(__xludf.DUMMYFUNCTION("""COMPUTED_VALUE"""),46304.0)</f>
        <v>46304</v>
      </c>
      <c r="B529" s="19">
        <f>IFERROR(__xludf.DUMMYFUNCTION("""COMPUTED_VALUE"""),46317.0)</f>
        <v>46317</v>
      </c>
      <c r="C529" s="15">
        <f>IFERROR(__xludf.DUMMYFUNCTION("""COMPUTED_VALUE"""),8.0)</f>
        <v>8</v>
      </c>
      <c r="D529" s="15" t="str">
        <f>IFERROR(__xludf.DUMMYFUNCTION("""COMPUTED_VALUE"""),"BTB")</f>
        <v>BTB</v>
      </c>
      <c r="E529" s="15" t="str">
        <f>IFERROR(__xludf.DUMMYFUNCTION("""COMPUTED_VALUE"""),"VAREJO DOS ELETRONICOS LTDA")</f>
        <v>VAREJO DOS ELETRONICOS LTDA</v>
      </c>
      <c r="F529" s="15" t="str">
        <f>IFERROR(__xludf.DUMMYFUNCTION("""COMPUTED_VALUE"""),"TRIFIL")</f>
        <v>TRIFIL</v>
      </c>
      <c r="G529" s="15" t="str">
        <f>IFERROR(__xludf.DUMMYFUNCTION("""COMPUTED_VALUE"""),"266806846")</f>
        <v>266806846</v>
      </c>
      <c r="H529" s="15" t="str">
        <f>IFERROR(__xludf.DUMMYFUNCTION("""COMPUTED_VALUE"""),"1306092")</f>
        <v>1306092</v>
      </c>
      <c r="I529" s="15" t="str">
        <f>IFERROR(__xludf.DUMMYFUNCTION("""COMPUTED_VALUE"""),"8177135")</f>
        <v>8177135</v>
      </c>
      <c r="J529" s="15" t="str">
        <f>IFERROR(__xludf.DUMMYFUNCTION("""COMPUTED_VALUE"""),"CIF")</f>
        <v>CIF</v>
      </c>
      <c r="K529" s="15" t="str">
        <f>IFERROR(__xludf.DUMMYFUNCTION("""COMPUTED_VALUE"""),"SAO-1")</f>
        <v>SAO-1</v>
      </c>
      <c r="L529" s="15" t="str">
        <f>IFERROR(__xludf.DUMMYFUNCTION("""COMPUTED_VALUE"""),"AUTORIZADO")</f>
        <v>AUTORIZADO</v>
      </c>
      <c r="M529" s="15" t="str">
        <f>IFERROR(__xludf.DUMMYFUNCTION("""COMPUTED_VALUE"""),"NA ORIGEM")</f>
        <v>NA ORIGEM</v>
      </c>
      <c r="N529" s="15" t="str">
        <f>IFERROR(__xludf.DUMMYFUNCTION("""COMPUTED_VALUE"""),"Antes Prazo")</f>
        <v>Antes Prazo</v>
      </c>
      <c r="O529" s="15" t="str">
        <f>IFERROR(__xludf.DUMMYFUNCTION("""COMPUTED_VALUE"""),"B2B")</f>
        <v>B2B</v>
      </c>
      <c r="P529" s="16">
        <f>IFERROR(__xludf.DUMMYFUNCTION("""COMPUTED_VALUE"""),45.49)</f>
        <v>45.49</v>
      </c>
      <c r="Q529" s="15">
        <f>IFERROR(__xludf.DUMMYFUNCTION("""COMPUTED_VALUE"""),2.0)</f>
        <v>2</v>
      </c>
      <c r="R529" s="15" t="str">
        <f>IFERROR(__xludf.DUMMYFUNCTION("""COMPUTED_VALUE"""),"RODO")</f>
        <v>RODO</v>
      </c>
      <c r="S529" s="15" t="str">
        <f>IFERROR(__xludf.DUMMYFUNCTION("""COMPUTED_VALUE"""),"ITN")</f>
        <v>ITN</v>
      </c>
      <c r="T529" s="15" t="str">
        <f>IFERROR(__xludf.DUMMYFUNCTION("""COMPUTED_VALUE"""),"642")</f>
        <v>642</v>
      </c>
      <c r="U529" s="15" t="str">
        <f>IFERROR(__xludf.DUMMYFUNCTION("""COMPUTED_VALUE"""),"266806846 1306092 8177135 varejo dos eletronicos ltda trifil btb 642")</f>
        <v>266806846 1306092 8177135 varejo dos eletronicos ltda trifil btb 642</v>
      </c>
      <c r="V529" s="15" t="b">
        <f>IFERROR(__xludf.DUMMYFUNCTION("""COMPUTED_VALUE"""),FALSE)</f>
        <v>0</v>
      </c>
    </row>
    <row r="530">
      <c r="A530" s="19">
        <f>IFERROR(__xludf.DUMMYFUNCTION("""COMPUTED_VALUE"""),46304.0)</f>
        <v>46304</v>
      </c>
      <c r="B530" s="19">
        <f>IFERROR(__xludf.DUMMYFUNCTION("""COMPUTED_VALUE"""),46324.0)</f>
        <v>46324</v>
      </c>
      <c r="C530" s="15">
        <f>IFERROR(__xludf.DUMMYFUNCTION("""COMPUTED_VALUE"""),13.0)</f>
        <v>13</v>
      </c>
      <c r="D530" s="15" t="str">
        <f>IFERROR(__xludf.DUMMYFUNCTION("""COMPUTED_VALUE"""),"PCS")</f>
        <v>PCS</v>
      </c>
      <c r="E530" s="15" t="str">
        <f>IFERROR(__xludf.DUMMYFUNCTION("""COMPUTED_VALUE"""),"IVANHO DA SILVA ME - 4381")</f>
        <v>IVANHO DA SILVA ME - 4381</v>
      </c>
      <c r="F530" s="15" t="str">
        <f>IFERROR(__xludf.DUMMYFUNCTION("""COMPUTED_VALUE"""),"TRIFIL")</f>
        <v>TRIFIL</v>
      </c>
      <c r="G530" s="15" t="str">
        <f>IFERROR(__xludf.DUMMYFUNCTION("""COMPUTED_VALUE"""),"266806847")</f>
        <v>266806847</v>
      </c>
      <c r="H530" s="15" t="str">
        <f>IFERROR(__xludf.DUMMYFUNCTION("""COMPUTED_VALUE"""),"1306247")</f>
        <v>1306247</v>
      </c>
      <c r="I530" s="15" t="str">
        <f>IFERROR(__xludf.DUMMYFUNCTION("""COMPUTED_VALUE"""),"8177200")</f>
        <v>8177200</v>
      </c>
      <c r="J530" s="15" t="str">
        <f>IFERROR(__xludf.DUMMYFUNCTION("""COMPUTED_VALUE"""),"CIF")</f>
        <v>CIF</v>
      </c>
      <c r="K530" s="15" t="str">
        <f>IFERROR(__xludf.DUMMYFUNCTION("""COMPUTED_VALUE"""),"FSA-1")</f>
        <v>FSA-1</v>
      </c>
      <c r="L530" s="15" t="str">
        <f>IFERROR(__xludf.DUMMYFUNCTION("""COMPUTED_VALUE"""),"AUTORIZADO")</f>
        <v>AUTORIZADO</v>
      </c>
      <c r="M530" s="15" t="str">
        <f>IFERROR(__xludf.DUMMYFUNCTION("""COMPUTED_VALUE"""),"NA ORIGEM")</f>
        <v>NA ORIGEM</v>
      </c>
      <c r="N530" s="15" t="str">
        <f>IFERROR(__xludf.DUMMYFUNCTION("""COMPUTED_VALUE"""),"Antes Prazo")</f>
        <v>Antes Prazo</v>
      </c>
      <c r="O530" s="15" t="str">
        <f>IFERROR(__xludf.DUMMYFUNCTION("""COMPUTED_VALUE"""),"B2B")</f>
        <v>B2B</v>
      </c>
      <c r="P530" s="16">
        <f>IFERROR(__xludf.DUMMYFUNCTION("""COMPUTED_VALUE"""),71.9)</f>
        <v>71.9</v>
      </c>
      <c r="Q530" s="15">
        <f>IFERROR(__xludf.DUMMYFUNCTION("""COMPUTED_VALUE"""),1.0)</f>
        <v>1</v>
      </c>
      <c r="R530" s="15" t="str">
        <f>IFERROR(__xludf.DUMMYFUNCTION("""COMPUTED_VALUE"""),"RODO")</f>
        <v>RODO</v>
      </c>
      <c r="S530" s="15" t="str">
        <f>IFERROR(__xludf.DUMMYFUNCTION("""COMPUTED_VALUE"""),"ITN")</f>
        <v>ITN</v>
      </c>
      <c r="T530" s="15" t="str">
        <f>IFERROR(__xludf.DUMMYFUNCTION("""COMPUTED_VALUE"""),"108")</f>
        <v>108</v>
      </c>
      <c r="U530" s="15" t="str">
        <f>IFERROR(__xludf.DUMMYFUNCTION("""COMPUTED_VALUE"""),"266806847 1306247 8177200 ivanho da silva me - 4381 trifil pcs 108")</f>
        <v>266806847 1306247 8177200 ivanho da silva me - 4381 trifil pcs 108</v>
      </c>
      <c r="V530" s="15" t="b">
        <f>IFERROR(__xludf.DUMMYFUNCTION("""COMPUTED_VALUE"""),FALSE)</f>
        <v>0</v>
      </c>
    </row>
    <row r="531">
      <c r="A531" s="19">
        <f>IFERROR(__xludf.DUMMYFUNCTION("""COMPUTED_VALUE"""),46304.0)</f>
        <v>46304</v>
      </c>
      <c r="B531" s="19">
        <f>IFERROR(__xludf.DUMMYFUNCTION("""COMPUTED_VALUE"""),46325.0)</f>
        <v>46325</v>
      </c>
      <c r="C531" s="15">
        <f>IFERROR(__xludf.DUMMYFUNCTION("""COMPUTED_VALUE"""),14.0)</f>
        <v>14</v>
      </c>
      <c r="D531" s="15" t="str">
        <f>IFERROR(__xludf.DUMMYFUNCTION("""COMPUTED_VALUE"""),"FLB")</f>
        <v>FLB</v>
      </c>
      <c r="E531" s="15" t="str">
        <f>IFERROR(__xludf.DUMMYFUNCTION("""COMPUTED_VALUE"""),"M. DO CARMO MOREIRA RAMOS - ME")</f>
        <v>M. DO CARMO MOREIRA RAMOS - ME</v>
      </c>
      <c r="F531" s="15" t="str">
        <f>IFERROR(__xludf.DUMMYFUNCTION("""COMPUTED_VALUE"""),"TRIFIL")</f>
        <v>TRIFIL</v>
      </c>
      <c r="G531" s="15" t="str">
        <f>IFERROR(__xludf.DUMMYFUNCTION("""COMPUTED_VALUE"""),"266806848")</f>
        <v>266806848</v>
      </c>
      <c r="H531" s="15" t="str">
        <f>IFERROR(__xludf.DUMMYFUNCTION("""COMPUTED_VALUE"""),"1305925")</f>
        <v>1305925</v>
      </c>
      <c r="I531" s="15" t="str">
        <f>IFERROR(__xludf.DUMMYFUNCTION("""COMPUTED_VALUE"""),"8177259")</f>
        <v>8177259</v>
      </c>
      <c r="J531" s="15" t="str">
        <f>IFERROR(__xludf.DUMMYFUNCTION("""COMPUTED_VALUE"""),"CIF")</f>
        <v>CIF</v>
      </c>
      <c r="K531" s="15" t="str">
        <f>IFERROR(__xludf.DUMMYFUNCTION("""COMPUTED_VALUE"""),"FSA-1")</f>
        <v>FSA-1</v>
      </c>
      <c r="L531" s="15" t="str">
        <f>IFERROR(__xludf.DUMMYFUNCTION("""COMPUTED_VALUE"""),"AUTORIZADO")</f>
        <v>AUTORIZADO</v>
      </c>
      <c r="M531" s="15" t="str">
        <f>IFERROR(__xludf.DUMMYFUNCTION("""COMPUTED_VALUE"""),"NA ORIGEM")</f>
        <v>NA ORIGEM</v>
      </c>
      <c r="N531" s="15" t="str">
        <f>IFERROR(__xludf.DUMMYFUNCTION("""COMPUTED_VALUE"""),"Antes Prazo")</f>
        <v>Antes Prazo</v>
      </c>
      <c r="O531" s="15" t="str">
        <f>IFERROR(__xludf.DUMMYFUNCTION("""COMPUTED_VALUE"""),"B2B")</f>
        <v>B2B</v>
      </c>
      <c r="P531" s="16">
        <f>IFERROR(__xludf.DUMMYFUNCTION("""COMPUTED_VALUE"""),71.9)</f>
        <v>71.9</v>
      </c>
      <c r="Q531" s="15">
        <f>IFERROR(__xludf.DUMMYFUNCTION("""COMPUTED_VALUE"""),1.0)</f>
        <v>1</v>
      </c>
      <c r="R531" s="15" t="str">
        <f>IFERROR(__xludf.DUMMYFUNCTION("""COMPUTED_VALUE"""),"RODO")</f>
        <v>RODO</v>
      </c>
      <c r="S531" s="15" t="str">
        <f>IFERROR(__xludf.DUMMYFUNCTION("""COMPUTED_VALUE"""),"ITN")</f>
        <v>ITN</v>
      </c>
      <c r="T531" s="15" t="str">
        <f>IFERROR(__xludf.DUMMYFUNCTION("""COMPUTED_VALUE"""),"0101f")</f>
        <v>0101f</v>
      </c>
      <c r="U531" s="15" t="str">
        <f>IFERROR(__xludf.DUMMYFUNCTION("""COMPUTED_VALUE"""),"266806848 1305925 8177259 m. do carmo moreira ramos - me trifil flb 0101f")</f>
        <v>266806848 1305925 8177259 m. do carmo moreira ramos - me trifil flb 0101f</v>
      </c>
      <c r="V531" s="15" t="b">
        <f>IFERROR(__xludf.DUMMYFUNCTION("""COMPUTED_VALUE"""),FALSE)</f>
        <v>0</v>
      </c>
    </row>
    <row r="532">
      <c r="A532" s="19">
        <f>IFERROR(__xludf.DUMMYFUNCTION("""COMPUTED_VALUE"""),46304.0)</f>
        <v>46304</v>
      </c>
      <c r="B532" s="19">
        <f>IFERROR(__xludf.DUMMYFUNCTION("""COMPUTED_VALUE"""),46324.0)</f>
        <v>46324</v>
      </c>
      <c r="C532" s="15">
        <f>IFERROR(__xludf.DUMMYFUNCTION("""COMPUTED_VALUE"""),13.0)</f>
        <v>13</v>
      </c>
      <c r="D532" s="15" t="str">
        <f>IFERROR(__xludf.DUMMYFUNCTION("""COMPUTED_VALUE"""),"FLB")</f>
        <v>FLB</v>
      </c>
      <c r="E532" s="15" t="str">
        <f>IFERROR(__xludf.DUMMYFUNCTION("""COMPUTED_VALUE"""),"ALMEIDA ARAUJO E CIA LTDA - ME")</f>
        <v>ALMEIDA ARAUJO E CIA LTDA - ME</v>
      </c>
      <c r="F532" s="15" t="str">
        <f>IFERROR(__xludf.DUMMYFUNCTION("""COMPUTED_VALUE"""),"TRIFIL")</f>
        <v>TRIFIL</v>
      </c>
      <c r="G532" s="15" t="str">
        <f>IFERROR(__xludf.DUMMYFUNCTION("""COMPUTED_VALUE"""),"266806849")</f>
        <v>266806849</v>
      </c>
      <c r="H532" s="15" t="str">
        <f>IFERROR(__xludf.DUMMYFUNCTION("""COMPUTED_VALUE"""),"1305873")</f>
        <v>1305873</v>
      </c>
      <c r="I532" s="15" t="str">
        <f>IFERROR(__xludf.DUMMYFUNCTION("""COMPUTED_VALUE"""),"8177297")</f>
        <v>8177297</v>
      </c>
      <c r="J532" s="15" t="str">
        <f>IFERROR(__xludf.DUMMYFUNCTION("""COMPUTED_VALUE"""),"CIF")</f>
        <v>CIF</v>
      </c>
      <c r="K532" s="15" t="str">
        <f>IFERROR(__xludf.DUMMYFUNCTION("""COMPUTED_VALUE"""),"FSA-1")</f>
        <v>FSA-1</v>
      </c>
      <c r="L532" s="15" t="str">
        <f>IFERROR(__xludf.DUMMYFUNCTION("""COMPUTED_VALUE"""),"AUTORIZADO")</f>
        <v>AUTORIZADO</v>
      </c>
      <c r="M532" s="15" t="str">
        <f>IFERROR(__xludf.DUMMYFUNCTION("""COMPUTED_VALUE"""),"NA ORIGEM")</f>
        <v>NA ORIGEM</v>
      </c>
      <c r="N532" s="15" t="str">
        <f>IFERROR(__xludf.DUMMYFUNCTION("""COMPUTED_VALUE"""),"Antes Prazo")</f>
        <v>Antes Prazo</v>
      </c>
      <c r="O532" s="15" t="str">
        <f>IFERROR(__xludf.DUMMYFUNCTION("""COMPUTED_VALUE"""),"B2B")</f>
        <v>B2B</v>
      </c>
      <c r="P532" s="16">
        <f>IFERROR(__xludf.DUMMYFUNCTION("""COMPUTED_VALUE"""),71.9)</f>
        <v>71.9</v>
      </c>
      <c r="Q532" s="15">
        <f>IFERROR(__xludf.DUMMYFUNCTION("""COMPUTED_VALUE"""),1.0)</f>
        <v>1</v>
      </c>
      <c r="R532" s="15" t="str">
        <f>IFERROR(__xludf.DUMMYFUNCTION("""COMPUTED_VALUE"""),"RODO")</f>
        <v>RODO</v>
      </c>
      <c r="S532" s="15" t="str">
        <f>IFERROR(__xludf.DUMMYFUNCTION("""COMPUTED_VALUE"""),"ITN")</f>
        <v>ITN</v>
      </c>
      <c r="T532" s="15" t="str">
        <f>IFERROR(__xludf.DUMMYFUNCTION("""COMPUTED_VALUE"""),"0102f")</f>
        <v>0102f</v>
      </c>
      <c r="U532" s="15" t="str">
        <f>IFERROR(__xludf.DUMMYFUNCTION("""COMPUTED_VALUE"""),"266806849 1305873 8177297 almeida araujo e cia ltda - me trifil flb 0102f")</f>
        <v>266806849 1305873 8177297 almeida araujo e cia ltda - me trifil flb 0102f</v>
      </c>
      <c r="V532" s="15" t="b">
        <f>IFERROR(__xludf.DUMMYFUNCTION("""COMPUTED_VALUE"""),FALSE)</f>
        <v>0</v>
      </c>
    </row>
    <row r="533">
      <c r="A533" s="19">
        <f>IFERROR(__xludf.DUMMYFUNCTION("""COMPUTED_VALUE"""),46304.0)</f>
        <v>46304</v>
      </c>
      <c r="B533" s="19">
        <f>IFERROR(__xludf.DUMMYFUNCTION("""COMPUTED_VALUE"""),46336.0)</f>
        <v>46336</v>
      </c>
      <c r="C533" s="15">
        <f>IFERROR(__xludf.DUMMYFUNCTION("""COMPUTED_VALUE"""),20.0)</f>
        <v>20</v>
      </c>
      <c r="D533" s="15" t="str">
        <f>IFERROR(__xludf.DUMMYFUNCTION("""COMPUTED_VALUE"""),"SIN")</f>
        <v>SIN</v>
      </c>
      <c r="E533" s="15" t="str">
        <f>IFERROR(__xludf.DUMMYFUNCTION("""COMPUTED_VALUE"""),"VITORIA CALCADOS LTDA")</f>
        <v>VITORIA CALCADOS LTDA</v>
      </c>
      <c r="F533" s="15" t="str">
        <f>IFERROR(__xludf.DUMMYFUNCTION("""COMPUTED_VALUE"""),"TRIFIL")</f>
        <v>TRIFIL</v>
      </c>
      <c r="G533" s="15" t="str">
        <f>IFERROR(__xludf.DUMMYFUNCTION("""COMPUTED_VALUE"""),"266806851")</f>
        <v>266806851</v>
      </c>
      <c r="H533" s="15" t="str">
        <f>IFERROR(__xludf.DUMMYFUNCTION("""COMPUTED_VALUE"""),"1306153")</f>
        <v>1306153</v>
      </c>
      <c r="I533" s="15" t="str">
        <f>IFERROR(__xludf.DUMMYFUNCTION("""COMPUTED_VALUE"""),"8177166")</f>
        <v>8177166</v>
      </c>
      <c r="J533" s="15" t="str">
        <f>IFERROR(__xludf.DUMMYFUNCTION("""COMPUTED_VALUE"""),"CIF")</f>
        <v>CIF</v>
      </c>
      <c r="K533" s="15" t="str">
        <f>IFERROR(__xludf.DUMMYFUNCTION("""COMPUTED_VALUE"""),"FSA-1")</f>
        <v>FSA-1</v>
      </c>
      <c r="L533" s="15" t="str">
        <f>IFERROR(__xludf.DUMMYFUNCTION("""COMPUTED_VALUE"""),"AUTORIZADO")</f>
        <v>AUTORIZADO</v>
      </c>
      <c r="M533" s="15" t="str">
        <f>IFERROR(__xludf.DUMMYFUNCTION("""COMPUTED_VALUE"""),"NA ORIGEM")</f>
        <v>NA ORIGEM</v>
      </c>
      <c r="N533" s="15" t="str">
        <f>IFERROR(__xludf.DUMMYFUNCTION("""COMPUTED_VALUE"""),"Antes Prazo")</f>
        <v>Antes Prazo</v>
      </c>
      <c r="O533" s="15" t="str">
        <f>IFERROR(__xludf.DUMMYFUNCTION("""COMPUTED_VALUE"""),"B2B")</f>
        <v>B2B</v>
      </c>
      <c r="P533" s="16">
        <f>IFERROR(__xludf.DUMMYFUNCTION("""COMPUTED_VALUE"""),71.9)</f>
        <v>71.9</v>
      </c>
      <c r="Q533" s="15">
        <f>IFERROR(__xludf.DUMMYFUNCTION("""COMPUTED_VALUE"""),1.0)</f>
        <v>1</v>
      </c>
      <c r="R533" s="15" t="str">
        <f>IFERROR(__xludf.DUMMYFUNCTION("""COMPUTED_VALUE"""),"RODO")</f>
        <v>RODO</v>
      </c>
      <c r="S533" s="15" t="str">
        <f>IFERROR(__xludf.DUMMYFUNCTION("""COMPUTED_VALUE"""),"ITN")</f>
        <v>ITN</v>
      </c>
      <c r="T533" s="15" t="str">
        <f>IFERROR(__xludf.DUMMYFUNCTION("""COMPUTED_VALUE"""),"105")</f>
        <v>105</v>
      </c>
      <c r="U533" s="15" t="str">
        <f>IFERROR(__xludf.DUMMYFUNCTION("""COMPUTED_VALUE"""),"266806851 1306153 8177166 vitoria calcados ltda trifil sin 105")</f>
        <v>266806851 1306153 8177166 vitoria calcados ltda trifil sin 105</v>
      </c>
      <c r="V533" s="15" t="b">
        <f>IFERROR(__xludf.DUMMYFUNCTION("""COMPUTED_VALUE"""),FALSE)</f>
        <v>0</v>
      </c>
    </row>
    <row r="534">
      <c r="A534" s="19">
        <f>IFERROR(__xludf.DUMMYFUNCTION("""COMPUTED_VALUE"""),46304.0)</f>
        <v>46304</v>
      </c>
      <c r="B534" s="19">
        <f>IFERROR(__xludf.DUMMYFUNCTION("""COMPUTED_VALUE"""),46330.0)</f>
        <v>46330</v>
      </c>
      <c r="C534" s="15">
        <f>IFERROR(__xludf.DUMMYFUNCTION("""COMPUTED_VALUE"""),15.0)</f>
        <v>15</v>
      </c>
      <c r="D534" s="15" t="str">
        <f>IFERROR(__xludf.DUMMYFUNCTION("""COMPUTED_VALUE"""),"IMP")</f>
        <v>IMP</v>
      </c>
      <c r="E534" s="15" t="str">
        <f>IFERROR(__xludf.DUMMYFUNCTION("""COMPUTED_VALUE"""),"53 217 210 DEUSIRENE NONATA ROCHA")</f>
        <v>53 217 210 DEUSIRENE NONATA ROCHA</v>
      </c>
      <c r="F534" s="15" t="str">
        <f>IFERROR(__xludf.DUMMYFUNCTION("""COMPUTED_VALUE"""),"TRIFIL")</f>
        <v>TRIFIL</v>
      </c>
      <c r="G534" s="15" t="str">
        <f>IFERROR(__xludf.DUMMYFUNCTION("""COMPUTED_VALUE"""),"266806852")</f>
        <v>266806852</v>
      </c>
      <c r="H534" s="15" t="str">
        <f>IFERROR(__xludf.DUMMYFUNCTION("""COMPUTED_VALUE"""),"1306044")</f>
        <v>1306044</v>
      </c>
      <c r="I534" s="15" t="str">
        <f>IFERROR(__xludf.DUMMYFUNCTION("""COMPUTED_VALUE"""),"8177201")</f>
        <v>8177201</v>
      </c>
      <c r="J534" s="15" t="str">
        <f>IFERROR(__xludf.DUMMYFUNCTION("""COMPUTED_VALUE"""),"CIF")</f>
        <v>CIF</v>
      </c>
      <c r="K534" s="15" t="str">
        <f>IFERROR(__xludf.DUMMYFUNCTION("""COMPUTED_VALUE"""),"(sem célula)")</f>
        <v>(sem célula)</v>
      </c>
      <c r="L534" s="15" t="str">
        <f>IFERROR(__xludf.DUMMYFUNCTION("""COMPUTED_VALUE"""),"AUTORIZADO")</f>
        <v>AUTORIZADO</v>
      </c>
      <c r="M534" s="15" t="str">
        <f>IFERROR(__xludf.DUMMYFUNCTION("""COMPUTED_VALUE"""),"NA ORIGEM")</f>
        <v>NA ORIGEM</v>
      </c>
      <c r="N534" s="15" t="str">
        <f>IFERROR(__xludf.DUMMYFUNCTION("""COMPUTED_VALUE"""),"Antes Prazo")</f>
        <v>Antes Prazo</v>
      </c>
      <c r="O534" s="15" t="str">
        <f>IFERROR(__xludf.DUMMYFUNCTION("""COMPUTED_VALUE"""),"B2B")</f>
        <v>B2B</v>
      </c>
      <c r="P534" s="16">
        <f>IFERROR(__xludf.DUMMYFUNCTION("""COMPUTED_VALUE"""),71.9)</f>
        <v>71.9</v>
      </c>
      <c r="Q534" s="15">
        <f>IFERROR(__xludf.DUMMYFUNCTION("""COMPUTED_VALUE"""),1.0)</f>
        <v>1</v>
      </c>
      <c r="R534" s="15" t="str">
        <f>IFERROR(__xludf.DUMMYFUNCTION("""COMPUTED_VALUE"""),"RODO")</f>
        <v>RODO</v>
      </c>
      <c r="S534" s="15" t="str">
        <f>IFERROR(__xludf.DUMMYFUNCTION("""COMPUTED_VALUE"""),"ITN")</f>
        <v>ITN</v>
      </c>
      <c r="T534" s="15" t="str">
        <f>IFERROR(__xludf.DUMMYFUNCTION("""COMPUTED_VALUE"""),"400")</f>
        <v>400</v>
      </c>
      <c r="U534" s="15" t="str">
        <f>IFERROR(__xludf.DUMMYFUNCTION("""COMPUTED_VALUE"""),"266806852 1306044 8177201 53 217 210 deusirene nonata rocha trifil imp 400")</f>
        <v>266806852 1306044 8177201 53 217 210 deusirene nonata rocha trifil imp 400</v>
      </c>
      <c r="V534" s="15" t="b">
        <f>IFERROR(__xludf.DUMMYFUNCTION("""COMPUTED_VALUE"""),FALSE)</f>
        <v>0</v>
      </c>
    </row>
    <row r="535">
      <c r="A535" s="19">
        <f>IFERROR(__xludf.DUMMYFUNCTION("""COMPUTED_VALUE"""),46304.0)</f>
        <v>46304</v>
      </c>
      <c r="B535" s="19">
        <f>IFERROR(__xludf.DUMMYFUNCTION("""COMPUTED_VALUE"""),46317.0)</f>
        <v>46317</v>
      </c>
      <c r="C535" s="15">
        <f>IFERROR(__xludf.DUMMYFUNCTION("""COMPUTED_VALUE"""),8.0)</f>
        <v>8</v>
      </c>
      <c r="D535" s="15" t="str">
        <f>IFERROR(__xludf.DUMMYFUNCTION("""COMPUTED_VALUE"""),"BTB")</f>
        <v>BTB</v>
      </c>
      <c r="E535" s="15" t="str">
        <f>IFERROR(__xludf.DUMMYFUNCTION("""COMPUTED_VALUE"""),"LOJAO ITAPEVI COMERCIO DE CONFS LTDA")</f>
        <v>LOJAO ITAPEVI COMERCIO DE CONFS LTDA</v>
      </c>
      <c r="F535" s="15" t="str">
        <f>IFERROR(__xludf.DUMMYFUNCTION("""COMPUTED_VALUE"""),"TRIFIL")</f>
        <v>TRIFIL</v>
      </c>
      <c r="G535" s="15" t="str">
        <f>IFERROR(__xludf.DUMMYFUNCTION("""COMPUTED_VALUE"""),"266806854")</f>
        <v>266806854</v>
      </c>
      <c r="H535" s="15" t="str">
        <f>IFERROR(__xludf.DUMMYFUNCTION("""COMPUTED_VALUE"""),"1305895")</f>
        <v>1305895</v>
      </c>
      <c r="I535" s="15" t="str">
        <f>IFERROR(__xludf.DUMMYFUNCTION("""COMPUTED_VALUE"""),"8177260")</f>
        <v>8177260</v>
      </c>
      <c r="J535" s="15" t="str">
        <f>IFERROR(__xludf.DUMMYFUNCTION("""COMPUTED_VALUE"""),"CIF")</f>
        <v>CIF</v>
      </c>
      <c r="K535" s="15" t="str">
        <f>IFERROR(__xludf.DUMMYFUNCTION("""COMPUTED_VALUE"""),"(sem célula)")</f>
        <v>(sem célula)</v>
      </c>
      <c r="L535" s="15" t="str">
        <f>IFERROR(__xludf.DUMMYFUNCTION("""COMPUTED_VALUE"""),"AUTORIZADO")</f>
        <v>AUTORIZADO</v>
      </c>
      <c r="M535" s="15" t="str">
        <f>IFERROR(__xludf.DUMMYFUNCTION("""COMPUTED_VALUE"""),"NA ORIGEM")</f>
        <v>NA ORIGEM</v>
      </c>
      <c r="N535" s="15" t="str">
        <f>IFERROR(__xludf.DUMMYFUNCTION("""COMPUTED_VALUE"""),"Antes Prazo")</f>
        <v>Antes Prazo</v>
      </c>
      <c r="O535" s="15" t="str">
        <f>IFERROR(__xludf.DUMMYFUNCTION("""COMPUTED_VALUE"""),"B2B")</f>
        <v>B2B</v>
      </c>
      <c r="P535" s="16">
        <f>IFERROR(__xludf.DUMMYFUNCTION("""COMPUTED_VALUE"""),45.49)</f>
        <v>45.49</v>
      </c>
      <c r="Q535" s="15">
        <f>IFERROR(__xludf.DUMMYFUNCTION("""COMPUTED_VALUE"""),1.0)</f>
        <v>1</v>
      </c>
      <c r="R535" s="15" t="str">
        <f>IFERROR(__xludf.DUMMYFUNCTION("""COMPUTED_VALUE"""),"RODO")</f>
        <v>RODO</v>
      </c>
      <c r="S535" s="15" t="str">
        <f>IFERROR(__xludf.DUMMYFUNCTION("""COMPUTED_VALUE"""),"ITN")</f>
        <v>ITN</v>
      </c>
      <c r="T535" s="15" t="str">
        <f>IFERROR(__xludf.DUMMYFUNCTION("""COMPUTED_VALUE"""),"652")</f>
        <v>652</v>
      </c>
      <c r="U535" s="15" t="str">
        <f>IFERROR(__xludf.DUMMYFUNCTION("""COMPUTED_VALUE"""),"266806854 1305895 8177260 lojao itapevi comercio de confs ltda trifil btb 652")</f>
        <v>266806854 1305895 8177260 lojao itapevi comercio de confs ltda trifil btb 652</v>
      </c>
      <c r="V535" s="15" t="b">
        <f>IFERROR(__xludf.DUMMYFUNCTION("""COMPUTED_VALUE"""),FALSE)</f>
        <v>0</v>
      </c>
    </row>
    <row r="536">
      <c r="A536" s="19">
        <f>IFERROR(__xludf.DUMMYFUNCTION("""COMPUTED_VALUE"""),46304.0)</f>
        <v>46304</v>
      </c>
      <c r="B536" s="19">
        <f>IFERROR(__xludf.DUMMYFUNCTION("""COMPUTED_VALUE"""),46330.0)</f>
        <v>46330</v>
      </c>
      <c r="C536" s="15">
        <f>IFERROR(__xludf.DUMMYFUNCTION("""COMPUTED_VALUE"""),16.0)</f>
        <v>16</v>
      </c>
      <c r="D536" s="15" t="str">
        <f>IFERROR(__xludf.DUMMYFUNCTION("""COMPUTED_VALUE"""),"BEL")</f>
        <v>BEL</v>
      </c>
      <c r="E536" s="15" t="str">
        <f>IFERROR(__xludf.DUMMYFUNCTION("""COMPUTED_VALUE"""),"V.R.DE OLIVEIRA-ME(0001036338)")</f>
        <v>V.R.DE OLIVEIRA-ME(0001036338)</v>
      </c>
      <c r="F536" s="15" t="str">
        <f>IFERROR(__xludf.DUMMYFUNCTION("""COMPUTED_VALUE"""),"TRIFIL")</f>
        <v>TRIFIL</v>
      </c>
      <c r="G536" s="15" t="str">
        <f>IFERROR(__xludf.DUMMYFUNCTION("""COMPUTED_VALUE"""),"266806856")</f>
        <v>266806856</v>
      </c>
      <c r="H536" s="15" t="str">
        <f>IFERROR(__xludf.DUMMYFUNCTION("""COMPUTED_VALUE"""),"1306149")</f>
        <v>1306149</v>
      </c>
      <c r="I536" s="15" t="str">
        <f>IFERROR(__xludf.DUMMYFUNCTION("""COMPUTED_VALUE"""),"8177326")</f>
        <v>8177326</v>
      </c>
      <c r="J536" s="15" t="str">
        <f>IFERROR(__xludf.DUMMYFUNCTION("""COMPUTED_VALUE"""),"CIF")</f>
        <v>CIF</v>
      </c>
      <c r="K536" s="15" t="str">
        <f>IFERROR(__xludf.DUMMYFUNCTION("""COMPUTED_VALUE"""),"FSA-1")</f>
        <v>FSA-1</v>
      </c>
      <c r="L536" s="15" t="str">
        <f>IFERROR(__xludf.DUMMYFUNCTION("""COMPUTED_VALUE"""),"AUTORIZADO")</f>
        <v>AUTORIZADO</v>
      </c>
      <c r="M536" s="15" t="str">
        <f>IFERROR(__xludf.DUMMYFUNCTION("""COMPUTED_VALUE"""),"NA ORIGEM")</f>
        <v>NA ORIGEM</v>
      </c>
      <c r="N536" s="15" t="str">
        <f>IFERROR(__xludf.DUMMYFUNCTION("""COMPUTED_VALUE"""),"Antes Prazo")</f>
        <v>Antes Prazo</v>
      </c>
      <c r="O536" s="15" t="str">
        <f>IFERROR(__xludf.DUMMYFUNCTION("""COMPUTED_VALUE"""),"B2B")</f>
        <v>B2B</v>
      </c>
      <c r="P536" s="16">
        <f>IFERROR(__xludf.DUMMYFUNCTION("""COMPUTED_VALUE"""),71.87)</f>
        <v>71.87</v>
      </c>
      <c r="Q536" s="15">
        <f>IFERROR(__xludf.DUMMYFUNCTION("""COMPUTED_VALUE"""),1.0)</f>
        <v>1</v>
      </c>
      <c r="R536" s="15" t="str">
        <f>IFERROR(__xludf.DUMMYFUNCTION("""COMPUTED_VALUE"""),"RODO")</f>
        <v>RODO</v>
      </c>
      <c r="S536" s="15" t="str">
        <f>IFERROR(__xludf.DUMMYFUNCTION("""COMPUTED_VALUE"""),"ITN")</f>
        <v>ITN</v>
      </c>
      <c r="T536" s="15" t="str">
        <f>IFERROR(__xludf.DUMMYFUNCTION("""COMPUTED_VALUE"""),"300")</f>
        <v>300</v>
      </c>
      <c r="U536" s="15" t="str">
        <f>IFERROR(__xludf.DUMMYFUNCTION("""COMPUTED_VALUE"""),"266806856 1306149 8177326 v.r.de oliveira-me(0001036338) trifil bel 300")</f>
        <v>266806856 1306149 8177326 v.r.de oliveira-me(0001036338) trifil bel 300</v>
      </c>
      <c r="V536" s="15" t="b">
        <f>IFERROR(__xludf.DUMMYFUNCTION("""COMPUTED_VALUE"""),FALSE)</f>
        <v>0</v>
      </c>
    </row>
    <row r="537">
      <c r="A537" s="19">
        <f>IFERROR(__xludf.DUMMYFUNCTION("""COMPUTED_VALUE"""),46304.0)</f>
        <v>46304</v>
      </c>
      <c r="B537" s="19">
        <f>IFERROR(__xludf.DUMMYFUNCTION("""COMPUTED_VALUE"""),46331.0)</f>
        <v>46331</v>
      </c>
      <c r="C537" s="15">
        <f>IFERROR(__xludf.DUMMYFUNCTION("""COMPUTED_VALUE"""),17.0)</f>
        <v>17</v>
      </c>
      <c r="D537" s="15" t="str">
        <f>IFERROR(__xludf.DUMMYFUNCTION("""COMPUTED_VALUE"""),"MT1")</f>
        <v>MT1</v>
      </c>
      <c r="E537" s="15" t="str">
        <f>IFERROR(__xludf.DUMMYFUNCTION("""COMPUTED_VALUE"""),"R NONATO DE OLIVEIRA ME")</f>
        <v>R NONATO DE OLIVEIRA ME</v>
      </c>
      <c r="F537" s="15" t="str">
        <f>IFERROR(__xludf.DUMMYFUNCTION("""COMPUTED_VALUE"""),"TRIFIL")</f>
        <v>TRIFIL</v>
      </c>
      <c r="G537" s="15" t="str">
        <f>IFERROR(__xludf.DUMMYFUNCTION("""COMPUTED_VALUE"""),"266806858")</f>
        <v>266806858</v>
      </c>
      <c r="H537" s="15" t="str">
        <f>IFERROR(__xludf.DUMMYFUNCTION("""COMPUTED_VALUE"""),"1305690")</f>
        <v>1305690</v>
      </c>
      <c r="I537" s="15" t="str">
        <f>IFERROR(__xludf.DUMMYFUNCTION("""COMPUTED_VALUE"""),"8177298")</f>
        <v>8177298</v>
      </c>
      <c r="J537" s="15" t="str">
        <f>IFERROR(__xludf.DUMMYFUNCTION("""COMPUTED_VALUE"""),"CIF")</f>
        <v>CIF</v>
      </c>
      <c r="K537" s="15" t="str">
        <f>IFERROR(__xludf.DUMMYFUNCTION("""COMPUTED_VALUE"""),"(sem célula)")</f>
        <v>(sem célula)</v>
      </c>
      <c r="L537" s="15" t="str">
        <f>IFERROR(__xludf.DUMMYFUNCTION("""COMPUTED_VALUE"""),"AUTORIZADO")</f>
        <v>AUTORIZADO</v>
      </c>
      <c r="M537" s="15" t="str">
        <f>IFERROR(__xludf.DUMMYFUNCTION("""COMPUTED_VALUE"""),"NA ORIGEM")</f>
        <v>NA ORIGEM</v>
      </c>
      <c r="N537" s="15" t="str">
        <f>IFERROR(__xludf.DUMMYFUNCTION("""COMPUTED_VALUE"""),"Antes Prazo")</f>
        <v>Antes Prazo</v>
      </c>
      <c r="O537" s="15" t="str">
        <f>IFERROR(__xludf.DUMMYFUNCTION("""COMPUTED_VALUE"""),"B2B")</f>
        <v>B2B</v>
      </c>
      <c r="P537" s="16">
        <f>IFERROR(__xludf.DUMMYFUNCTION("""COMPUTED_VALUE"""),71.87)</f>
        <v>71.87</v>
      </c>
      <c r="Q537" s="15">
        <f>IFERROR(__xludf.DUMMYFUNCTION("""COMPUTED_VALUE"""),1.0)</f>
        <v>1</v>
      </c>
      <c r="R537" s="15" t="str">
        <f>IFERROR(__xludf.DUMMYFUNCTION("""COMPUTED_VALUE"""),"RODO")</f>
        <v>RODO</v>
      </c>
      <c r="S537" s="15" t="str">
        <f>IFERROR(__xludf.DUMMYFUNCTION("""COMPUTED_VALUE"""),"ITN")</f>
        <v>ITN</v>
      </c>
      <c r="T537" s="15" t="str">
        <f>IFERROR(__xludf.DUMMYFUNCTION("""COMPUTED_VALUE"""),"600")</f>
        <v>600</v>
      </c>
      <c r="U537" s="15" t="str">
        <f>IFERROR(__xludf.DUMMYFUNCTION("""COMPUTED_VALUE"""),"266806858 1305690 8177298 r nonato de oliveira me trifil mt1 600")</f>
        <v>266806858 1305690 8177298 r nonato de oliveira me trifil mt1 600</v>
      </c>
      <c r="V537" s="15" t="b">
        <f>IFERROR(__xludf.DUMMYFUNCTION("""COMPUTED_VALUE"""),FALSE)</f>
        <v>0</v>
      </c>
    </row>
    <row r="538">
      <c r="A538" s="19">
        <f>IFERROR(__xludf.DUMMYFUNCTION("""COMPUTED_VALUE"""),46304.0)</f>
        <v>46304</v>
      </c>
      <c r="B538" s="19">
        <f>IFERROR(__xludf.DUMMYFUNCTION("""COMPUTED_VALUE"""),46336.0)</f>
        <v>46336</v>
      </c>
      <c r="C538" s="15">
        <f>IFERROR(__xludf.DUMMYFUNCTION("""COMPUTED_VALUE"""),20.0)</f>
        <v>20</v>
      </c>
      <c r="D538" s="15" t="str">
        <f>IFERROR(__xludf.DUMMYFUNCTION("""COMPUTED_VALUE"""),"NBL")</f>
        <v>NBL</v>
      </c>
      <c r="E538" s="15" t="str">
        <f>IFERROR(__xludf.DUMMYFUNCTION("""COMPUTED_VALUE"""),"ATALAIA CONFECCOES")</f>
        <v>ATALAIA CONFECCOES</v>
      </c>
      <c r="F538" s="15" t="str">
        <f>IFERROR(__xludf.DUMMYFUNCTION("""COMPUTED_VALUE"""),"TRIFIL")</f>
        <v>TRIFIL</v>
      </c>
      <c r="G538" s="15" t="str">
        <f>IFERROR(__xludf.DUMMYFUNCTION("""COMPUTED_VALUE"""),"266806860")</f>
        <v>266806860</v>
      </c>
      <c r="H538" s="15" t="str">
        <f>IFERROR(__xludf.DUMMYFUNCTION("""COMPUTED_VALUE"""),"1306249")</f>
        <v>1306249</v>
      </c>
      <c r="I538" s="15" t="str">
        <f>IFERROR(__xludf.DUMMYFUNCTION("""COMPUTED_VALUE"""),"8177167")</f>
        <v>8177167</v>
      </c>
      <c r="J538" s="15" t="str">
        <f>IFERROR(__xludf.DUMMYFUNCTION("""COMPUTED_VALUE"""),"CIF")</f>
        <v>CIF</v>
      </c>
      <c r="K538" s="15" t="str">
        <f>IFERROR(__xludf.DUMMYFUNCTION("""COMPUTED_VALUE"""),"FSA-1")</f>
        <v>FSA-1</v>
      </c>
      <c r="L538" s="15" t="str">
        <f>IFERROR(__xludf.DUMMYFUNCTION("""COMPUTED_VALUE"""),"AUTORIZADO")</f>
        <v>AUTORIZADO</v>
      </c>
      <c r="M538" s="15" t="str">
        <f>IFERROR(__xludf.DUMMYFUNCTION("""COMPUTED_VALUE"""),"NA ORIGEM")</f>
        <v>NA ORIGEM</v>
      </c>
      <c r="N538" s="15" t="str">
        <f>IFERROR(__xludf.DUMMYFUNCTION("""COMPUTED_VALUE"""),"Antes Prazo")</f>
        <v>Antes Prazo</v>
      </c>
      <c r="O538" s="15" t="str">
        <f>IFERROR(__xludf.DUMMYFUNCTION("""COMPUTED_VALUE"""),"B2B")</f>
        <v>B2B</v>
      </c>
      <c r="P538" s="16">
        <f>IFERROR(__xludf.DUMMYFUNCTION("""COMPUTED_VALUE"""),169.36)</f>
        <v>169.36</v>
      </c>
      <c r="Q538" s="15">
        <f>IFERROR(__xludf.DUMMYFUNCTION("""COMPUTED_VALUE"""),1.0)</f>
        <v>1</v>
      </c>
      <c r="R538" s="15" t="str">
        <f>IFERROR(__xludf.DUMMYFUNCTION("""COMPUTED_VALUE"""),"RODO")</f>
        <v>RODO</v>
      </c>
      <c r="S538" s="15" t="str">
        <f>IFERROR(__xludf.DUMMYFUNCTION("""COMPUTED_VALUE"""),"ITN")</f>
        <v>ITN</v>
      </c>
      <c r="T538" s="15" t="str">
        <f>IFERROR(__xludf.DUMMYFUNCTION("""COMPUTED_VALUE"""),"400")</f>
        <v>400</v>
      </c>
      <c r="U538" s="15" t="str">
        <f>IFERROR(__xludf.DUMMYFUNCTION("""COMPUTED_VALUE"""),"266806860 1306249 8177167 atalaia confeccoes trifil nbl 400")</f>
        <v>266806860 1306249 8177167 atalaia confeccoes trifil nbl 400</v>
      </c>
      <c r="V538" s="15" t="b">
        <f>IFERROR(__xludf.DUMMYFUNCTION("""COMPUTED_VALUE"""),FALSE)</f>
        <v>0</v>
      </c>
    </row>
    <row r="539">
      <c r="A539" s="19">
        <f>IFERROR(__xludf.DUMMYFUNCTION("""COMPUTED_VALUE"""),46304.0)</f>
        <v>46304</v>
      </c>
      <c r="B539" s="19">
        <f>IFERROR(__xludf.DUMMYFUNCTION("""COMPUTED_VALUE"""),46332.0)</f>
        <v>46332</v>
      </c>
      <c r="C539" s="15">
        <f>IFERROR(__xludf.DUMMYFUNCTION("""COMPUTED_VALUE"""),18.0)</f>
        <v>18</v>
      </c>
      <c r="D539" s="15" t="str">
        <f>IFERROR(__xludf.DUMMYFUNCTION("""COMPUTED_VALUE"""),"TUR")</f>
        <v>TUR</v>
      </c>
      <c r="E539" s="15" t="str">
        <f>IFERROR(__xludf.DUMMYFUNCTION("""COMPUTED_VALUE"""),"M. C. FEITOZA &amp; CIA LTDA - ME(0001059328")</f>
        <v>M. C. FEITOZA &amp; CIA LTDA - ME(0001059328</v>
      </c>
      <c r="F539" s="15" t="str">
        <f>IFERROR(__xludf.DUMMYFUNCTION("""COMPUTED_VALUE"""),"TRIFIL")</f>
        <v>TRIFIL</v>
      </c>
      <c r="G539" s="15" t="str">
        <f>IFERROR(__xludf.DUMMYFUNCTION("""COMPUTED_VALUE"""),"266806862")</f>
        <v>266806862</v>
      </c>
      <c r="H539" s="15" t="str">
        <f>IFERROR(__xludf.DUMMYFUNCTION("""COMPUTED_VALUE"""),"1305993")</f>
        <v>1305993</v>
      </c>
      <c r="I539" s="15" t="str">
        <f>IFERROR(__xludf.DUMMYFUNCTION("""COMPUTED_VALUE"""),"8177261")</f>
        <v>8177261</v>
      </c>
      <c r="J539" s="15" t="str">
        <f>IFERROR(__xludf.DUMMYFUNCTION("""COMPUTED_VALUE"""),"CIF")</f>
        <v>CIF</v>
      </c>
      <c r="K539" s="15" t="str">
        <f>IFERROR(__xludf.DUMMYFUNCTION("""COMPUTED_VALUE"""),"FSA-1")</f>
        <v>FSA-1</v>
      </c>
      <c r="L539" s="15" t="str">
        <f>IFERROR(__xludf.DUMMYFUNCTION("""COMPUTED_VALUE"""),"AUTORIZADO")</f>
        <v>AUTORIZADO</v>
      </c>
      <c r="M539" s="15" t="str">
        <f>IFERROR(__xludf.DUMMYFUNCTION("""COMPUTED_VALUE"""),"NA ORIGEM")</f>
        <v>NA ORIGEM</v>
      </c>
      <c r="N539" s="15" t="str">
        <f>IFERROR(__xludf.DUMMYFUNCTION("""COMPUTED_VALUE"""),"Antes Prazo")</f>
        <v>Antes Prazo</v>
      </c>
      <c r="O539" s="15" t="str">
        <f>IFERROR(__xludf.DUMMYFUNCTION("""COMPUTED_VALUE"""),"B2B")</f>
        <v>B2B</v>
      </c>
      <c r="P539" s="16">
        <f>IFERROR(__xludf.DUMMYFUNCTION("""COMPUTED_VALUE"""),71.87)</f>
        <v>71.87</v>
      </c>
      <c r="Q539" s="15">
        <f>IFERROR(__xludf.DUMMYFUNCTION("""COMPUTED_VALUE"""),1.0)</f>
        <v>1</v>
      </c>
      <c r="R539" s="15" t="str">
        <f>IFERROR(__xludf.DUMMYFUNCTION("""COMPUTED_VALUE"""),"RODO")</f>
        <v>RODO</v>
      </c>
      <c r="S539" s="15" t="str">
        <f>IFERROR(__xludf.DUMMYFUNCTION("""COMPUTED_VALUE"""),"ITN")</f>
        <v>ITN</v>
      </c>
      <c r="T539" s="15" t="str">
        <f>IFERROR(__xludf.DUMMYFUNCTION("""COMPUTED_VALUE"""),"510")</f>
        <v>510</v>
      </c>
      <c r="U539" s="15" t="str">
        <f>IFERROR(__xludf.DUMMYFUNCTION("""COMPUTED_VALUE"""),"266806862 1305993 8177261 m. c. feitoza &amp; cia ltda - me(0001059328 trifil tur 510")</f>
        <v>266806862 1305993 8177261 m. c. feitoza &amp; cia ltda - me(0001059328 trifil tur 510</v>
      </c>
      <c r="V539" s="15" t="b">
        <f>IFERROR(__xludf.DUMMYFUNCTION("""COMPUTED_VALUE"""),FALSE)</f>
        <v>0</v>
      </c>
    </row>
    <row r="540">
      <c r="A540" s="19">
        <f>IFERROR(__xludf.DUMMYFUNCTION("""COMPUTED_VALUE"""),46304.0)</f>
        <v>46304</v>
      </c>
      <c r="B540" s="19">
        <f>IFERROR(__xludf.DUMMYFUNCTION("""COMPUTED_VALUE"""),46322.0)</f>
        <v>46322</v>
      </c>
      <c r="C540" s="15">
        <f>IFERROR(__xludf.DUMMYFUNCTION("""COMPUTED_VALUE"""),11.0)</f>
        <v>11</v>
      </c>
      <c r="D540" s="15" t="str">
        <f>IFERROR(__xludf.DUMMYFUNCTION("""COMPUTED_VALUE"""),"TUR")</f>
        <v>TUR</v>
      </c>
      <c r="E540" s="15" t="str">
        <f>IFERROR(__xludf.DUMMYFUNCTION("""COMPUTED_VALUE"""),"BOLA DE OURO")</f>
        <v>BOLA DE OURO</v>
      </c>
      <c r="F540" s="15" t="str">
        <f>IFERROR(__xludf.DUMMYFUNCTION("""COMPUTED_VALUE"""),"TRIFIL")</f>
        <v>TRIFIL</v>
      </c>
      <c r="G540" s="15" t="str">
        <f>IFERROR(__xludf.DUMMYFUNCTION("""COMPUTED_VALUE"""),"266806864")</f>
        <v>266806864</v>
      </c>
      <c r="H540" s="15" t="str">
        <f>IFERROR(__xludf.DUMMYFUNCTION("""COMPUTED_VALUE"""),"1306004")</f>
        <v>1306004</v>
      </c>
      <c r="I540" s="15" t="str">
        <f>IFERROR(__xludf.DUMMYFUNCTION("""COMPUTED_VALUE"""),"8177228")</f>
        <v>8177228</v>
      </c>
      <c r="J540" s="15" t="str">
        <f>IFERROR(__xludf.DUMMYFUNCTION("""COMPUTED_VALUE"""),"CIF")</f>
        <v>CIF</v>
      </c>
      <c r="K540" s="15" t="str">
        <f>IFERROR(__xludf.DUMMYFUNCTION("""COMPUTED_VALUE"""),"FSA-1")</f>
        <v>FSA-1</v>
      </c>
      <c r="L540" s="15" t="str">
        <f>IFERROR(__xludf.DUMMYFUNCTION("""COMPUTED_VALUE"""),"AUTORIZADO")</f>
        <v>AUTORIZADO</v>
      </c>
      <c r="M540" s="15" t="str">
        <f>IFERROR(__xludf.DUMMYFUNCTION("""COMPUTED_VALUE"""),"NA ORIGEM")</f>
        <v>NA ORIGEM</v>
      </c>
      <c r="N540" s="15" t="str">
        <f>IFERROR(__xludf.DUMMYFUNCTION("""COMPUTED_VALUE"""),"Antes Prazo")</f>
        <v>Antes Prazo</v>
      </c>
      <c r="O540" s="15" t="str">
        <f>IFERROR(__xludf.DUMMYFUNCTION("""COMPUTED_VALUE"""),"B2B")</f>
        <v>B2B</v>
      </c>
      <c r="P540" s="16">
        <f>IFERROR(__xludf.DUMMYFUNCTION("""COMPUTED_VALUE"""),71.87)</f>
        <v>71.87</v>
      </c>
      <c r="Q540" s="15">
        <f>IFERROR(__xludf.DUMMYFUNCTION("""COMPUTED_VALUE"""),1.0)</f>
        <v>1</v>
      </c>
      <c r="R540" s="15" t="str">
        <f>IFERROR(__xludf.DUMMYFUNCTION("""COMPUTED_VALUE"""),"RODO")</f>
        <v>RODO</v>
      </c>
      <c r="S540" s="15" t="str">
        <f>IFERROR(__xludf.DUMMYFUNCTION("""COMPUTED_VALUE"""),"ITN")</f>
        <v>ITN</v>
      </c>
      <c r="T540" s="15" t="str">
        <f>IFERROR(__xludf.DUMMYFUNCTION("""COMPUTED_VALUE"""),"800")</f>
        <v>800</v>
      </c>
      <c r="U540" s="15" t="str">
        <f>IFERROR(__xludf.DUMMYFUNCTION("""COMPUTED_VALUE"""),"266806864 1306004 8177228 bola de ouro trifil tur 800")</f>
        <v>266806864 1306004 8177228 bola de ouro trifil tur 800</v>
      </c>
      <c r="V540" s="15" t="b">
        <f>IFERROR(__xludf.DUMMYFUNCTION("""COMPUTED_VALUE"""),FALSE)</f>
        <v>0</v>
      </c>
    </row>
    <row r="541">
      <c r="A541" s="19">
        <f>IFERROR(__xludf.DUMMYFUNCTION("""COMPUTED_VALUE"""),46304.0)</f>
        <v>46304</v>
      </c>
      <c r="B541" s="19">
        <f>IFERROR(__xludf.DUMMYFUNCTION("""COMPUTED_VALUE"""),46329.0)</f>
        <v>46329</v>
      </c>
      <c r="C541" s="15">
        <f>IFERROR(__xludf.DUMMYFUNCTION("""COMPUTED_VALUE"""),15.0)</f>
        <v>15</v>
      </c>
      <c r="D541" s="15" t="str">
        <f>IFERROR(__xludf.DUMMYFUNCTION("""COMPUTED_VALUE"""),"TUR")</f>
        <v>TUR</v>
      </c>
      <c r="E541" s="15" t="str">
        <f>IFERROR(__xludf.DUMMYFUNCTION("""COMPUTED_VALUE"""),"LOJAS MARISSOL ARTIGOS DO VESTUARIO EIRE")</f>
        <v>LOJAS MARISSOL ARTIGOS DO VESTUARIO EIRE</v>
      </c>
      <c r="F541" s="15" t="str">
        <f>IFERROR(__xludf.DUMMYFUNCTION("""COMPUTED_VALUE"""),"TRIFIL")</f>
        <v>TRIFIL</v>
      </c>
      <c r="G541" s="15" t="str">
        <f>IFERROR(__xludf.DUMMYFUNCTION("""COMPUTED_VALUE"""),"266806866")</f>
        <v>266806866</v>
      </c>
      <c r="H541" s="15" t="str">
        <f>IFERROR(__xludf.DUMMYFUNCTION("""COMPUTED_VALUE"""),"1306246")</f>
        <v>1306246</v>
      </c>
      <c r="I541" s="15" t="str">
        <f>IFERROR(__xludf.DUMMYFUNCTION("""COMPUTED_VALUE"""),"8177117")</f>
        <v>8177117</v>
      </c>
      <c r="J541" s="15" t="str">
        <f>IFERROR(__xludf.DUMMYFUNCTION("""COMPUTED_VALUE"""),"CIF")</f>
        <v>CIF</v>
      </c>
      <c r="K541" s="15" t="str">
        <f>IFERROR(__xludf.DUMMYFUNCTION("""COMPUTED_VALUE"""),"FSA-1")</f>
        <v>FSA-1</v>
      </c>
      <c r="L541" s="15" t="str">
        <f>IFERROR(__xludf.DUMMYFUNCTION("""COMPUTED_VALUE"""),"AUTORIZADO")</f>
        <v>AUTORIZADO</v>
      </c>
      <c r="M541" s="15" t="str">
        <f>IFERROR(__xludf.DUMMYFUNCTION("""COMPUTED_VALUE"""),"NA ORIGEM")</f>
        <v>NA ORIGEM</v>
      </c>
      <c r="N541" s="15" t="str">
        <f>IFERROR(__xludf.DUMMYFUNCTION("""COMPUTED_VALUE"""),"Antes Prazo")</f>
        <v>Antes Prazo</v>
      </c>
      <c r="O541" s="15" t="str">
        <f>IFERROR(__xludf.DUMMYFUNCTION("""COMPUTED_VALUE"""),"B2B")</f>
        <v>B2B</v>
      </c>
      <c r="P541" s="16">
        <f>IFERROR(__xludf.DUMMYFUNCTION("""COMPUTED_VALUE"""),71.87)</f>
        <v>71.87</v>
      </c>
      <c r="Q541" s="15">
        <f>IFERROR(__xludf.DUMMYFUNCTION("""COMPUTED_VALUE"""),1.0)</f>
        <v>1</v>
      </c>
      <c r="R541" s="15" t="str">
        <f>IFERROR(__xludf.DUMMYFUNCTION("""COMPUTED_VALUE"""),"RODO")</f>
        <v>RODO</v>
      </c>
      <c r="S541" s="15" t="str">
        <f>IFERROR(__xludf.DUMMYFUNCTION("""COMPUTED_VALUE"""),"ITN")</f>
        <v>ITN</v>
      </c>
      <c r="T541" s="15" t="str">
        <f>IFERROR(__xludf.DUMMYFUNCTION("""COMPUTED_VALUE"""),"800")</f>
        <v>800</v>
      </c>
      <c r="U541" s="15" t="str">
        <f>IFERROR(__xludf.DUMMYFUNCTION("""COMPUTED_VALUE"""),"266806866 1306246 8177117 lojas marissol artigos do vestuario eire trifil tur 800")</f>
        <v>266806866 1306246 8177117 lojas marissol artigos do vestuario eire trifil tur 800</v>
      </c>
      <c r="V541" s="15" t="b">
        <f>IFERROR(__xludf.DUMMYFUNCTION("""COMPUTED_VALUE"""),FALSE)</f>
        <v>0</v>
      </c>
    </row>
    <row r="542">
      <c r="A542" s="19">
        <f>IFERROR(__xludf.DUMMYFUNCTION("""COMPUTED_VALUE"""),46304.0)</f>
        <v>46304</v>
      </c>
      <c r="B542" s="19">
        <f>IFERROR(__xludf.DUMMYFUNCTION("""COMPUTED_VALUE"""),46331.0)</f>
        <v>46331</v>
      </c>
      <c r="C542" s="15">
        <f>IFERROR(__xludf.DUMMYFUNCTION("""COMPUTED_VALUE"""),17.0)</f>
        <v>17</v>
      </c>
      <c r="D542" s="15" t="str">
        <f>IFERROR(__xludf.DUMMYFUNCTION("""COMPUTED_VALUE"""),"TUR")</f>
        <v>TUR</v>
      </c>
      <c r="E542" s="15" t="str">
        <f>IFERROR(__xludf.DUMMYFUNCTION("""COMPUTED_VALUE"""),"LOJAS RAMAR")</f>
        <v>LOJAS RAMAR</v>
      </c>
      <c r="F542" s="15" t="str">
        <f>IFERROR(__xludf.DUMMYFUNCTION("""COMPUTED_VALUE"""),"TRIFIL")</f>
        <v>TRIFIL</v>
      </c>
      <c r="G542" s="15" t="str">
        <f>IFERROR(__xludf.DUMMYFUNCTION("""COMPUTED_VALUE"""),"266806868")</f>
        <v>266806868</v>
      </c>
      <c r="H542" s="15" t="str">
        <f>IFERROR(__xludf.DUMMYFUNCTION("""COMPUTED_VALUE"""),"1306090")</f>
        <v>1306090</v>
      </c>
      <c r="I542" s="15" t="str">
        <f>IFERROR(__xludf.DUMMYFUNCTION("""COMPUTED_VALUE"""),"8177136")</f>
        <v>8177136</v>
      </c>
      <c r="J542" s="15" t="str">
        <f>IFERROR(__xludf.DUMMYFUNCTION("""COMPUTED_VALUE"""),"CIF")</f>
        <v>CIF</v>
      </c>
      <c r="K542" s="15" t="str">
        <f>IFERROR(__xludf.DUMMYFUNCTION("""COMPUTED_VALUE"""),"FSA-1")</f>
        <v>FSA-1</v>
      </c>
      <c r="L542" s="15" t="str">
        <f>IFERROR(__xludf.DUMMYFUNCTION("""COMPUTED_VALUE"""),"AUTORIZADO")</f>
        <v>AUTORIZADO</v>
      </c>
      <c r="M542" s="15" t="str">
        <f>IFERROR(__xludf.DUMMYFUNCTION("""COMPUTED_VALUE"""),"NA ORIGEM")</f>
        <v>NA ORIGEM</v>
      </c>
      <c r="N542" s="15" t="str">
        <f>IFERROR(__xludf.DUMMYFUNCTION("""COMPUTED_VALUE"""),"Antes Prazo")</f>
        <v>Antes Prazo</v>
      </c>
      <c r="O542" s="15" t="str">
        <f>IFERROR(__xludf.DUMMYFUNCTION("""COMPUTED_VALUE"""),"B2B")</f>
        <v>B2B</v>
      </c>
      <c r="P542" s="16">
        <f>IFERROR(__xludf.DUMMYFUNCTION("""COMPUTED_VALUE"""),71.87)</f>
        <v>71.87</v>
      </c>
      <c r="Q542" s="15">
        <f>IFERROR(__xludf.DUMMYFUNCTION("""COMPUTED_VALUE"""),1.0)</f>
        <v>1</v>
      </c>
      <c r="R542" s="15" t="str">
        <f>IFERROR(__xludf.DUMMYFUNCTION("""COMPUTED_VALUE"""),"RODO")</f>
        <v>RODO</v>
      </c>
      <c r="S542" s="15" t="str">
        <f>IFERROR(__xludf.DUMMYFUNCTION("""COMPUTED_VALUE"""),"ITN")</f>
        <v>ITN</v>
      </c>
      <c r="T542" s="15" t="str">
        <f>IFERROR(__xludf.DUMMYFUNCTION("""COMPUTED_VALUE"""),"800")</f>
        <v>800</v>
      </c>
      <c r="U542" s="15" t="str">
        <f>IFERROR(__xludf.DUMMYFUNCTION("""COMPUTED_VALUE"""),"266806868 1306090 8177136 lojas ramar trifil tur 800")</f>
        <v>266806868 1306090 8177136 lojas ramar trifil tur 800</v>
      </c>
      <c r="V542" s="15" t="b">
        <f>IFERROR(__xludf.DUMMYFUNCTION("""COMPUTED_VALUE"""),FALSE)</f>
        <v>0</v>
      </c>
    </row>
    <row r="543">
      <c r="A543" s="19">
        <f>IFERROR(__xludf.DUMMYFUNCTION("""COMPUTED_VALUE"""),46304.0)</f>
        <v>46304</v>
      </c>
      <c r="B543" s="19">
        <f>IFERROR(__xludf.DUMMYFUNCTION("""COMPUTED_VALUE"""),46331.0)</f>
        <v>46331</v>
      </c>
      <c r="C543" s="15">
        <f>IFERROR(__xludf.DUMMYFUNCTION("""COMPUTED_VALUE"""),17.0)</f>
        <v>17</v>
      </c>
      <c r="D543" s="15" t="str">
        <f>IFERROR(__xludf.DUMMYFUNCTION("""COMPUTED_VALUE"""),"TUR")</f>
        <v>TUR</v>
      </c>
      <c r="E543" s="15" t="str">
        <f>IFERROR(__xludf.DUMMYFUNCTION("""COMPUTED_VALUE"""),"H. B. PEREIRA &amp; CIA LTDA ME(0001005609)")</f>
        <v>H. B. PEREIRA &amp; CIA LTDA ME(0001005609)</v>
      </c>
      <c r="F543" s="15" t="str">
        <f>IFERROR(__xludf.DUMMYFUNCTION("""COMPUTED_VALUE"""),"TRIFIL")</f>
        <v>TRIFIL</v>
      </c>
      <c r="G543" s="15" t="str">
        <f>IFERROR(__xludf.DUMMYFUNCTION("""COMPUTED_VALUE"""),"266806869")</f>
        <v>266806869</v>
      </c>
      <c r="H543" s="15" t="str">
        <f>IFERROR(__xludf.DUMMYFUNCTION("""COMPUTED_VALUE"""),"1305983")</f>
        <v>1305983</v>
      </c>
      <c r="I543" s="15" t="str">
        <f>IFERROR(__xludf.DUMMYFUNCTION("""COMPUTED_VALUE"""),"8177352")</f>
        <v>8177352</v>
      </c>
      <c r="J543" s="15" t="str">
        <f>IFERROR(__xludf.DUMMYFUNCTION("""COMPUTED_VALUE"""),"CIF")</f>
        <v>CIF</v>
      </c>
      <c r="K543" s="15" t="str">
        <f>IFERROR(__xludf.DUMMYFUNCTION("""COMPUTED_VALUE"""),"FSA-1")</f>
        <v>FSA-1</v>
      </c>
      <c r="L543" s="15" t="str">
        <f>IFERROR(__xludf.DUMMYFUNCTION("""COMPUTED_VALUE"""),"AUTORIZADO")</f>
        <v>AUTORIZADO</v>
      </c>
      <c r="M543" s="15" t="str">
        <f>IFERROR(__xludf.DUMMYFUNCTION("""COMPUTED_VALUE"""),"NA ORIGEM")</f>
        <v>NA ORIGEM</v>
      </c>
      <c r="N543" s="15" t="str">
        <f>IFERROR(__xludf.DUMMYFUNCTION("""COMPUTED_VALUE"""),"Antes Prazo")</f>
        <v>Antes Prazo</v>
      </c>
      <c r="O543" s="15" t="str">
        <f>IFERROR(__xludf.DUMMYFUNCTION("""COMPUTED_VALUE"""),"B2B")</f>
        <v>B2B</v>
      </c>
      <c r="P543" s="16">
        <f>IFERROR(__xludf.DUMMYFUNCTION("""COMPUTED_VALUE"""),71.87)</f>
        <v>71.87</v>
      </c>
      <c r="Q543" s="15">
        <f>IFERROR(__xludf.DUMMYFUNCTION("""COMPUTED_VALUE"""),3.0)</f>
        <v>3</v>
      </c>
      <c r="R543" s="15" t="str">
        <f>IFERROR(__xludf.DUMMYFUNCTION("""COMPUTED_VALUE"""),"RODO")</f>
        <v>RODO</v>
      </c>
      <c r="S543" s="15" t="str">
        <f>IFERROR(__xludf.DUMMYFUNCTION("""COMPUTED_VALUE"""),"ITN")</f>
        <v>ITN</v>
      </c>
      <c r="T543" s="15" t="str">
        <f>IFERROR(__xludf.DUMMYFUNCTION("""COMPUTED_VALUE"""),"800")</f>
        <v>800</v>
      </c>
      <c r="U543" s="15" t="str">
        <f>IFERROR(__xludf.DUMMYFUNCTION("""COMPUTED_VALUE"""),"266806869 1305983 8177352 h. b. pereira &amp; cia ltda me(0001005609) trifil tur 800")</f>
        <v>266806869 1305983 8177352 h. b. pereira &amp; cia ltda me(0001005609) trifil tur 800</v>
      </c>
      <c r="V543" s="15" t="b">
        <f>IFERROR(__xludf.DUMMYFUNCTION("""COMPUTED_VALUE"""),FALSE)</f>
        <v>0</v>
      </c>
    </row>
    <row r="544">
      <c r="A544" s="19">
        <f>IFERROR(__xludf.DUMMYFUNCTION("""COMPUTED_VALUE"""),46304.0)</f>
        <v>46304</v>
      </c>
      <c r="B544" s="19">
        <f>IFERROR(__xludf.DUMMYFUNCTION("""COMPUTED_VALUE"""),46331.0)</f>
        <v>46331</v>
      </c>
      <c r="C544" s="15">
        <f>IFERROR(__xludf.DUMMYFUNCTION("""COMPUTED_VALUE"""),17.0)</f>
        <v>17</v>
      </c>
      <c r="D544" s="15" t="str">
        <f>IFERROR(__xludf.DUMMYFUNCTION("""COMPUTED_VALUE"""),"TUR")</f>
        <v>TUR</v>
      </c>
      <c r="E544" s="15" t="str">
        <f>IFERROR(__xludf.DUMMYFUNCTION("""COMPUTED_VALUE"""),"JACUNDA MAGAZINE SPORTS LTDA")</f>
        <v>JACUNDA MAGAZINE SPORTS LTDA</v>
      </c>
      <c r="F544" s="15" t="str">
        <f>IFERROR(__xludf.DUMMYFUNCTION("""COMPUTED_VALUE"""),"TRIFIL")</f>
        <v>TRIFIL</v>
      </c>
      <c r="G544" s="15" t="str">
        <f>IFERROR(__xludf.DUMMYFUNCTION("""COMPUTED_VALUE"""),"266806871")</f>
        <v>266806871</v>
      </c>
      <c r="H544" s="15" t="str">
        <f>IFERROR(__xludf.DUMMYFUNCTION("""COMPUTED_VALUE"""),"1305989")</f>
        <v>1305989</v>
      </c>
      <c r="I544" s="15" t="str">
        <f>IFERROR(__xludf.DUMMYFUNCTION("""COMPUTED_VALUE"""),"8177353")</f>
        <v>8177353</v>
      </c>
      <c r="J544" s="15" t="str">
        <f>IFERROR(__xludf.DUMMYFUNCTION("""COMPUTED_VALUE"""),"CIF")</f>
        <v>CIF</v>
      </c>
      <c r="K544" s="15" t="str">
        <f>IFERROR(__xludf.DUMMYFUNCTION("""COMPUTED_VALUE"""),"FSA-1")</f>
        <v>FSA-1</v>
      </c>
      <c r="L544" s="15" t="str">
        <f>IFERROR(__xludf.DUMMYFUNCTION("""COMPUTED_VALUE"""),"AUTORIZADO")</f>
        <v>AUTORIZADO</v>
      </c>
      <c r="M544" s="15" t="str">
        <f>IFERROR(__xludf.DUMMYFUNCTION("""COMPUTED_VALUE"""),"NA ORIGEM")</f>
        <v>NA ORIGEM</v>
      </c>
      <c r="N544" s="15" t="str">
        <f>IFERROR(__xludf.DUMMYFUNCTION("""COMPUTED_VALUE"""),"Antes Prazo")</f>
        <v>Antes Prazo</v>
      </c>
      <c r="O544" s="15" t="str">
        <f>IFERROR(__xludf.DUMMYFUNCTION("""COMPUTED_VALUE"""),"B2B")</f>
        <v>B2B</v>
      </c>
      <c r="P544" s="16">
        <f>IFERROR(__xludf.DUMMYFUNCTION("""COMPUTED_VALUE"""),71.87)</f>
        <v>71.87</v>
      </c>
      <c r="Q544" s="15">
        <f>IFERROR(__xludf.DUMMYFUNCTION("""COMPUTED_VALUE"""),1.0)</f>
        <v>1</v>
      </c>
      <c r="R544" s="15" t="str">
        <f>IFERROR(__xludf.DUMMYFUNCTION("""COMPUTED_VALUE"""),"RODO")</f>
        <v>RODO</v>
      </c>
      <c r="S544" s="15" t="str">
        <f>IFERROR(__xludf.DUMMYFUNCTION("""COMPUTED_VALUE"""),"ITN")</f>
        <v>ITN</v>
      </c>
      <c r="T544" s="15" t="str">
        <f>IFERROR(__xludf.DUMMYFUNCTION("""COMPUTED_VALUE"""),"600")</f>
        <v>600</v>
      </c>
      <c r="U544" s="15" t="str">
        <f>IFERROR(__xludf.DUMMYFUNCTION("""COMPUTED_VALUE"""),"266806871 1305989 8177353 jacunda magazine sports ltda trifil tur 600")</f>
        <v>266806871 1305989 8177353 jacunda magazine sports ltda trifil tur 600</v>
      </c>
      <c r="V544" s="15" t="b">
        <f>IFERROR(__xludf.DUMMYFUNCTION("""COMPUTED_VALUE"""),FALSE)</f>
        <v>0</v>
      </c>
    </row>
    <row r="545">
      <c r="A545" s="19">
        <f>IFERROR(__xludf.DUMMYFUNCTION("""COMPUTED_VALUE"""),46304.0)</f>
        <v>46304</v>
      </c>
      <c r="B545" s="19">
        <f>IFERROR(__xludf.DUMMYFUNCTION("""COMPUTED_VALUE"""),46359.0)</f>
        <v>46359</v>
      </c>
      <c r="C545" s="15">
        <f>IFERROR(__xludf.DUMMYFUNCTION("""COMPUTED_VALUE"""),36.0)</f>
        <v>36</v>
      </c>
      <c r="D545" s="15" t="str">
        <f>IFERROR(__xludf.DUMMYFUNCTION("""COMPUTED_VALUE"""),"BVB")</f>
        <v>BVB</v>
      </c>
      <c r="E545" s="15" t="str">
        <f>IFERROR(__xludf.DUMMYFUNCTION("""COMPUTED_VALUE"""),"ADALGISA DE JESUS RIBEIRO ME")</f>
        <v>ADALGISA DE JESUS RIBEIRO ME</v>
      </c>
      <c r="F545" s="15" t="str">
        <f>IFERROR(__xludf.DUMMYFUNCTION("""COMPUTED_VALUE"""),"TRIFIL")</f>
        <v>TRIFIL</v>
      </c>
      <c r="G545" s="15" t="str">
        <f>IFERROR(__xludf.DUMMYFUNCTION("""COMPUTED_VALUE"""),"266806873")</f>
        <v>266806873</v>
      </c>
      <c r="H545" s="15" t="str">
        <f>IFERROR(__xludf.DUMMYFUNCTION("""COMPUTED_VALUE"""),"1306167")</f>
        <v>1306167</v>
      </c>
      <c r="I545" s="15" t="str">
        <f>IFERROR(__xludf.DUMMYFUNCTION("""COMPUTED_VALUE"""),"8177168")</f>
        <v>8177168</v>
      </c>
      <c r="J545" s="15" t="str">
        <f>IFERROR(__xludf.DUMMYFUNCTION("""COMPUTED_VALUE"""),"CIF")</f>
        <v>CIF</v>
      </c>
      <c r="K545" s="15" t="str">
        <f>IFERROR(__xludf.DUMMYFUNCTION("""COMPUTED_VALUE"""),"(sem célula)")</f>
        <v>(sem célula)</v>
      </c>
      <c r="L545" s="15" t="str">
        <f>IFERROR(__xludf.DUMMYFUNCTION("""COMPUTED_VALUE"""),"AUTORIZADO")</f>
        <v>AUTORIZADO</v>
      </c>
      <c r="M545" s="15" t="str">
        <f>IFERROR(__xludf.DUMMYFUNCTION("""COMPUTED_VALUE"""),"NA ORIGEM")</f>
        <v>NA ORIGEM</v>
      </c>
      <c r="N545" s="15" t="str">
        <f>IFERROR(__xludf.DUMMYFUNCTION("""COMPUTED_VALUE"""),"Antes Prazo")</f>
        <v>Antes Prazo</v>
      </c>
      <c r="O545" s="15" t="str">
        <f>IFERROR(__xludf.DUMMYFUNCTION("""COMPUTED_VALUE"""),"B2B")</f>
        <v>B2B</v>
      </c>
      <c r="P545" s="16">
        <f>IFERROR(__xludf.DUMMYFUNCTION("""COMPUTED_VALUE"""),118.27)</f>
        <v>118.27</v>
      </c>
      <c r="Q545" s="15">
        <f>IFERROR(__xludf.DUMMYFUNCTION("""COMPUTED_VALUE"""),1.0)</f>
        <v>1</v>
      </c>
      <c r="R545" s="15" t="str">
        <f>IFERROR(__xludf.DUMMYFUNCTION("""COMPUTED_VALUE"""),"RODO")</f>
        <v>RODO</v>
      </c>
      <c r="S545" s="15" t="str">
        <f>IFERROR(__xludf.DUMMYFUNCTION("""COMPUTED_VALUE"""),"ITN")</f>
        <v>ITN</v>
      </c>
      <c r="T545" s="15" t="str">
        <f>IFERROR(__xludf.DUMMYFUNCTION("""COMPUTED_VALUE"""),"103")</f>
        <v>103</v>
      </c>
      <c r="U545" s="15" t="str">
        <f>IFERROR(__xludf.DUMMYFUNCTION("""COMPUTED_VALUE"""),"266806873 1306167 8177168 adalgisa de jesus ribeiro me trifil bvb 103")</f>
        <v>266806873 1306167 8177168 adalgisa de jesus ribeiro me trifil bvb 103</v>
      </c>
      <c r="V545" s="15" t="b">
        <f>IFERROR(__xludf.DUMMYFUNCTION("""COMPUTED_VALUE"""),FALSE)</f>
        <v>0</v>
      </c>
    </row>
    <row r="546">
      <c r="A546" s="19">
        <f>IFERROR(__xludf.DUMMYFUNCTION("""COMPUTED_VALUE"""),46304.0)</f>
        <v>46304</v>
      </c>
      <c r="B546" s="19">
        <f>IFERROR(__xludf.DUMMYFUNCTION("""COMPUTED_VALUE"""),46360.0)</f>
        <v>46360</v>
      </c>
      <c r="C546" s="15">
        <f>IFERROR(__xludf.DUMMYFUNCTION("""COMPUTED_VALUE"""),37.0)</f>
        <v>37</v>
      </c>
      <c r="D546" s="15" t="str">
        <f>IFERROR(__xludf.DUMMYFUNCTION("""COMPUTED_VALUE"""),"BVB")</f>
        <v>BVB</v>
      </c>
      <c r="E546" s="15" t="str">
        <f>IFERROR(__xludf.DUMMYFUNCTION("""COMPUTED_VALUE"""),"J A COMERCIO VAREJISTA DE CONF LTDA")</f>
        <v>J A COMERCIO VAREJISTA DE CONF LTDA</v>
      </c>
      <c r="F546" s="15" t="str">
        <f>IFERROR(__xludf.DUMMYFUNCTION("""COMPUTED_VALUE"""),"TRIFIL")</f>
        <v>TRIFIL</v>
      </c>
      <c r="G546" s="15" t="str">
        <f>IFERROR(__xludf.DUMMYFUNCTION("""COMPUTED_VALUE"""),"266806875")</f>
        <v>266806875</v>
      </c>
      <c r="H546" s="15" t="str">
        <f>IFERROR(__xludf.DUMMYFUNCTION("""COMPUTED_VALUE"""),"1305955")</f>
        <v>1305955</v>
      </c>
      <c r="I546" s="15" t="str">
        <f>IFERROR(__xludf.DUMMYFUNCTION("""COMPUTED_VALUE"""),"8177262")</f>
        <v>8177262</v>
      </c>
      <c r="J546" s="15" t="str">
        <f>IFERROR(__xludf.DUMMYFUNCTION("""COMPUTED_VALUE"""),"CIF")</f>
        <v>CIF</v>
      </c>
      <c r="K546" s="15" t="str">
        <f>IFERROR(__xludf.DUMMYFUNCTION("""COMPUTED_VALUE"""),"(sem célula)")</f>
        <v>(sem célula)</v>
      </c>
      <c r="L546" s="15" t="str">
        <f>IFERROR(__xludf.DUMMYFUNCTION("""COMPUTED_VALUE"""),"AUTORIZADO")</f>
        <v>AUTORIZADO</v>
      </c>
      <c r="M546" s="15" t="str">
        <f>IFERROR(__xludf.DUMMYFUNCTION("""COMPUTED_VALUE"""),"NA ORIGEM")</f>
        <v>NA ORIGEM</v>
      </c>
      <c r="N546" s="15" t="str">
        <f>IFERROR(__xludf.DUMMYFUNCTION("""COMPUTED_VALUE"""),"Antes Prazo")</f>
        <v>Antes Prazo</v>
      </c>
      <c r="O546" s="15" t="str">
        <f>IFERROR(__xludf.DUMMYFUNCTION("""COMPUTED_VALUE"""),"B2B")</f>
        <v>B2B</v>
      </c>
      <c r="P546" s="16">
        <f>IFERROR(__xludf.DUMMYFUNCTION("""COMPUTED_VALUE"""),264.02)</f>
        <v>264.02</v>
      </c>
      <c r="Q546" s="15">
        <f>IFERROR(__xludf.DUMMYFUNCTION("""COMPUTED_VALUE"""),1.0)</f>
        <v>1</v>
      </c>
      <c r="R546" s="15" t="str">
        <f>IFERROR(__xludf.DUMMYFUNCTION("""COMPUTED_VALUE"""),"RODO")</f>
        <v>RODO</v>
      </c>
      <c r="S546" s="15" t="str">
        <f>IFERROR(__xludf.DUMMYFUNCTION("""COMPUTED_VALUE"""),"ITN")</f>
        <v>ITN</v>
      </c>
      <c r="T546" s="15" t="str">
        <f>IFERROR(__xludf.DUMMYFUNCTION("""COMPUTED_VALUE"""),"103")</f>
        <v>103</v>
      </c>
      <c r="U546" s="15" t="str">
        <f>IFERROR(__xludf.DUMMYFUNCTION("""COMPUTED_VALUE"""),"266806875 1305955 8177262 j a comercio varejista de conf ltda trifil bvb 103")</f>
        <v>266806875 1305955 8177262 j a comercio varejista de conf ltda trifil bvb 103</v>
      </c>
      <c r="V546" s="15" t="b">
        <f>IFERROR(__xludf.DUMMYFUNCTION("""COMPUTED_VALUE"""),FALSE)</f>
        <v>0</v>
      </c>
    </row>
    <row r="547">
      <c r="A547" s="19">
        <f>IFERROR(__xludf.DUMMYFUNCTION("""COMPUTED_VALUE"""),46304.0)</f>
        <v>46304</v>
      </c>
      <c r="B547" s="19">
        <f>IFERROR(__xludf.DUMMYFUNCTION("""COMPUTED_VALUE"""),46363.0)</f>
        <v>46363</v>
      </c>
      <c r="C547" s="15">
        <f>IFERROR(__xludf.DUMMYFUNCTION("""COMPUTED_VALUE"""),38.0)</f>
        <v>38</v>
      </c>
      <c r="D547" s="15" t="str">
        <f>IFERROR(__xludf.DUMMYFUNCTION("""COMPUTED_VALUE"""),"BVB")</f>
        <v>BVB</v>
      </c>
      <c r="E547" s="15" t="str">
        <f>IFERROR(__xludf.DUMMYFUNCTION("""COMPUTED_VALUE"""),"R. A. Siqueira ME")</f>
        <v>R. A. Siqueira ME</v>
      </c>
      <c r="F547" s="15" t="str">
        <f>IFERROR(__xludf.DUMMYFUNCTION("""COMPUTED_VALUE"""),"TRIFIL")</f>
        <v>TRIFIL</v>
      </c>
      <c r="G547" s="15" t="str">
        <f>IFERROR(__xludf.DUMMYFUNCTION("""COMPUTED_VALUE"""),"266806877")</f>
        <v>266806877</v>
      </c>
      <c r="H547" s="15" t="str">
        <f>IFERROR(__xludf.DUMMYFUNCTION("""COMPUTED_VALUE"""),"1305970")</f>
        <v>1305970</v>
      </c>
      <c r="I547" s="15" t="str">
        <f>IFERROR(__xludf.DUMMYFUNCTION("""COMPUTED_VALUE"""),"8177229")</f>
        <v>8177229</v>
      </c>
      <c r="J547" s="15" t="str">
        <f>IFERROR(__xludf.DUMMYFUNCTION("""COMPUTED_VALUE"""),"CIF")</f>
        <v>CIF</v>
      </c>
      <c r="K547" s="15" t="str">
        <f>IFERROR(__xludf.DUMMYFUNCTION("""COMPUTED_VALUE"""),"(sem célula)")</f>
        <v>(sem célula)</v>
      </c>
      <c r="L547" s="15" t="str">
        <f>IFERROR(__xludf.DUMMYFUNCTION("""COMPUTED_VALUE"""),"AUTORIZADO")</f>
        <v>AUTORIZADO</v>
      </c>
      <c r="M547" s="15" t="str">
        <f>IFERROR(__xludf.DUMMYFUNCTION("""COMPUTED_VALUE"""),"NA ORIGEM")</f>
        <v>NA ORIGEM</v>
      </c>
      <c r="N547" s="15" t="str">
        <f>IFERROR(__xludf.DUMMYFUNCTION("""COMPUTED_VALUE"""),"Antes Prazo")</f>
        <v>Antes Prazo</v>
      </c>
      <c r="O547" s="15" t="str">
        <f>IFERROR(__xludf.DUMMYFUNCTION("""COMPUTED_VALUE"""),"B2B")</f>
        <v>B2B</v>
      </c>
      <c r="P547" s="16">
        <f>IFERROR(__xludf.DUMMYFUNCTION("""COMPUTED_VALUE"""),264.02)</f>
        <v>264.02</v>
      </c>
      <c r="Q547" s="15">
        <f>IFERROR(__xludf.DUMMYFUNCTION("""COMPUTED_VALUE"""),1.0)</f>
        <v>1</v>
      </c>
      <c r="R547" s="15" t="str">
        <f>IFERROR(__xludf.DUMMYFUNCTION("""COMPUTED_VALUE"""),"RODO")</f>
        <v>RODO</v>
      </c>
      <c r="S547" s="15" t="str">
        <f>IFERROR(__xludf.DUMMYFUNCTION("""COMPUTED_VALUE"""),"ITN")</f>
        <v>ITN</v>
      </c>
      <c r="T547" s="15" t="str">
        <f>IFERROR(__xludf.DUMMYFUNCTION("""COMPUTED_VALUE"""),"103")</f>
        <v>103</v>
      </c>
      <c r="U547" s="15" t="str">
        <f>IFERROR(__xludf.DUMMYFUNCTION("""COMPUTED_VALUE"""),"266806877 1305970 8177229 r. a. siqueira me trifil bvb 103")</f>
        <v>266806877 1305970 8177229 r. a. siqueira me trifil bvb 103</v>
      </c>
      <c r="V547" s="15" t="b">
        <f>IFERROR(__xludf.DUMMYFUNCTION("""COMPUTED_VALUE"""),FALSE)</f>
        <v>0</v>
      </c>
    </row>
    <row r="548">
      <c r="A548" s="19">
        <f>IFERROR(__xludf.DUMMYFUNCTION("""COMPUTED_VALUE"""),46304.0)</f>
        <v>46304</v>
      </c>
      <c r="B548" s="19">
        <f>IFERROR(__xludf.DUMMYFUNCTION("""COMPUTED_VALUE"""),46353.0)</f>
        <v>46353</v>
      </c>
      <c r="C548" s="15">
        <f>IFERROR(__xludf.DUMMYFUNCTION("""COMPUTED_VALUE"""),32.0)</f>
        <v>32</v>
      </c>
      <c r="D548" s="15" t="str">
        <f>IFERROR(__xludf.DUMMYFUNCTION("""COMPUTED_VALUE"""),"RBR")</f>
        <v>RBR</v>
      </c>
      <c r="E548" s="15" t="str">
        <f>IFERROR(__xludf.DUMMYFUNCTION("""COMPUTED_VALUE"""),"INACIO CALCADOS E CONFECCOES LTDA- EPP")</f>
        <v>INACIO CALCADOS E CONFECCOES LTDA- EPP</v>
      </c>
      <c r="F548" s="15" t="str">
        <f>IFERROR(__xludf.DUMMYFUNCTION("""COMPUTED_VALUE"""),"TRIFIL")</f>
        <v>TRIFIL</v>
      </c>
      <c r="G548" s="15" t="str">
        <f>IFERROR(__xludf.DUMMYFUNCTION("""COMPUTED_VALUE"""),"266806879")</f>
        <v>266806879</v>
      </c>
      <c r="H548" s="15" t="str">
        <f>IFERROR(__xludf.DUMMYFUNCTION("""COMPUTED_VALUE"""),"1305812")</f>
        <v>1305812</v>
      </c>
      <c r="I548" s="15" t="str">
        <f>IFERROR(__xludf.DUMMYFUNCTION("""COMPUTED_VALUE"""),"8177299")</f>
        <v>8177299</v>
      </c>
      <c r="J548" s="15" t="str">
        <f>IFERROR(__xludf.DUMMYFUNCTION("""COMPUTED_VALUE"""),"CIF")</f>
        <v>CIF</v>
      </c>
      <c r="K548" s="15" t="str">
        <f>IFERROR(__xludf.DUMMYFUNCTION("""COMPUTED_VALUE"""),"(sem célula)")</f>
        <v>(sem célula)</v>
      </c>
      <c r="L548" s="15" t="str">
        <f>IFERROR(__xludf.DUMMYFUNCTION("""COMPUTED_VALUE"""),"AUTORIZADO")</f>
        <v>AUTORIZADO</v>
      </c>
      <c r="M548" s="15" t="str">
        <f>IFERROR(__xludf.DUMMYFUNCTION("""COMPUTED_VALUE"""),"NA ORIGEM")</f>
        <v>NA ORIGEM</v>
      </c>
      <c r="N548" s="15" t="str">
        <f>IFERROR(__xludf.DUMMYFUNCTION("""COMPUTED_VALUE"""),"Antes Prazo")</f>
        <v>Antes Prazo</v>
      </c>
      <c r="O548" s="15" t="str">
        <f>IFERROR(__xludf.DUMMYFUNCTION("""COMPUTED_VALUE"""),"B2B")</f>
        <v>B2B</v>
      </c>
      <c r="P548" s="16">
        <f>IFERROR(__xludf.DUMMYFUNCTION("""COMPUTED_VALUE"""),118.27)</f>
        <v>118.27</v>
      </c>
      <c r="Q548" s="15">
        <f>IFERROR(__xludf.DUMMYFUNCTION("""COMPUTED_VALUE"""),1.0)</f>
        <v>1</v>
      </c>
      <c r="R548" s="15" t="str">
        <f>IFERROR(__xludf.DUMMYFUNCTION("""COMPUTED_VALUE"""),"RODO")</f>
        <v>RODO</v>
      </c>
      <c r="S548" s="15" t="str">
        <f>IFERROR(__xludf.DUMMYFUNCTION("""COMPUTED_VALUE"""),"ITN")</f>
        <v>ITN</v>
      </c>
      <c r="T548" s="15" t="str">
        <f>IFERROR(__xludf.DUMMYFUNCTION("""COMPUTED_VALUE"""),"1")</f>
        <v>1</v>
      </c>
      <c r="U548" s="15" t="str">
        <f>IFERROR(__xludf.DUMMYFUNCTION("""COMPUTED_VALUE"""),"266806879 1305812 8177299 inacio calcados e confeccoes ltda- epp trifil rbr 1")</f>
        <v>266806879 1305812 8177299 inacio calcados e confeccoes ltda- epp trifil rbr 1</v>
      </c>
      <c r="V548" s="15" t="b">
        <f>IFERROR(__xludf.DUMMYFUNCTION("""COMPUTED_VALUE"""),FALSE)</f>
        <v>0</v>
      </c>
    </row>
    <row r="549">
      <c r="A549" s="19">
        <f>IFERROR(__xludf.DUMMYFUNCTION("""COMPUTED_VALUE"""),46304.0)</f>
        <v>46304</v>
      </c>
      <c r="B549" s="19">
        <f>IFERROR(__xludf.DUMMYFUNCTION("""COMPUTED_VALUE"""),46353.0)</f>
        <v>46353</v>
      </c>
      <c r="C549" s="15">
        <f>IFERROR(__xludf.DUMMYFUNCTION("""COMPUTED_VALUE"""),32.0)</f>
        <v>32</v>
      </c>
      <c r="D549" s="15" t="str">
        <f>IFERROR(__xludf.DUMMYFUNCTION("""COMPUTED_VALUE"""),"RBR")</f>
        <v>RBR</v>
      </c>
      <c r="E549" s="15" t="str">
        <f>IFERROR(__xludf.DUMMYFUNCTION("""COMPUTED_VALUE"""),"INACIO CALCADOS E CONFECCOES LTDA")</f>
        <v>INACIO CALCADOS E CONFECCOES LTDA</v>
      </c>
      <c r="F549" s="15" t="str">
        <f>IFERROR(__xludf.DUMMYFUNCTION("""COMPUTED_VALUE"""),"TRIFIL")</f>
        <v>TRIFIL</v>
      </c>
      <c r="G549" s="15" t="str">
        <f>IFERROR(__xludf.DUMMYFUNCTION("""COMPUTED_VALUE"""),"266806881")</f>
        <v>266806881</v>
      </c>
      <c r="H549" s="15" t="str">
        <f>IFERROR(__xludf.DUMMYFUNCTION("""COMPUTED_VALUE"""),"1305814")</f>
        <v>1305814</v>
      </c>
      <c r="I549" s="15" t="str">
        <f>IFERROR(__xludf.DUMMYFUNCTION("""COMPUTED_VALUE"""),"8177300")</f>
        <v>8177300</v>
      </c>
      <c r="J549" s="15" t="str">
        <f>IFERROR(__xludf.DUMMYFUNCTION("""COMPUTED_VALUE"""),"CIF")</f>
        <v>CIF</v>
      </c>
      <c r="K549" s="15" t="str">
        <f>IFERROR(__xludf.DUMMYFUNCTION("""COMPUTED_VALUE"""),"(sem célula)")</f>
        <v>(sem célula)</v>
      </c>
      <c r="L549" s="15" t="str">
        <f>IFERROR(__xludf.DUMMYFUNCTION("""COMPUTED_VALUE"""),"AUTORIZADO")</f>
        <v>AUTORIZADO</v>
      </c>
      <c r="M549" s="15" t="str">
        <f>IFERROR(__xludf.DUMMYFUNCTION("""COMPUTED_VALUE"""),"NA ORIGEM")</f>
        <v>NA ORIGEM</v>
      </c>
      <c r="N549" s="15" t="str">
        <f>IFERROR(__xludf.DUMMYFUNCTION("""COMPUTED_VALUE"""),"Antes Prazo")</f>
        <v>Antes Prazo</v>
      </c>
      <c r="O549" s="15" t="str">
        <f>IFERROR(__xludf.DUMMYFUNCTION("""COMPUTED_VALUE"""),"B2B")</f>
        <v>B2B</v>
      </c>
      <c r="P549" s="16">
        <f>IFERROR(__xludf.DUMMYFUNCTION("""COMPUTED_VALUE"""),118.27)</f>
        <v>118.27</v>
      </c>
      <c r="Q549" s="15">
        <f>IFERROR(__xludf.DUMMYFUNCTION("""COMPUTED_VALUE"""),1.0)</f>
        <v>1</v>
      </c>
      <c r="R549" s="15" t="str">
        <f>IFERROR(__xludf.DUMMYFUNCTION("""COMPUTED_VALUE"""),"RODO")</f>
        <v>RODO</v>
      </c>
      <c r="S549" s="15" t="str">
        <f>IFERROR(__xludf.DUMMYFUNCTION("""COMPUTED_VALUE"""),"ITN")</f>
        <v>ITN</v>
      </c>
      <c r="T549" s="15" t="str">
        <f>IFERROR(__xludf.DUMMYFUNCTION("""COMPUTED_VALUE"""),"1")</f>
        <v>1</v>
      </c>
      <c r="U549" s="15" t="str">
        <f>IFERROR(__xludf.DUMMYFUNCTION("""COMPUTED_VALUE"""),"266806881 1305814 8177300 inacio calcados e confeccoes ltda trifil rbr 1")</f>
        <v>266806881 1305814 8177300 inacio calcados e confeccoes ltda trifil rbr 1</v>
      </c>
      <c r="V549" s="15" t="b">
        <f>IFERROR(__xludf.DUMMYFUNCTION("""COMPUTED_VALUE"""),FALSE)</f>
        <v>0</v>
      </c>
    </row>
    <row r="550">
      <c r="A550" s="19">
        <f>IFERROR(__xludf.DUMMYFUNCTION("""COMPUTED_VALUE"""),46304.0)</f>
        <v>46304</v>
      </c>
      <c r="B550" s="19">
        <f>IFERROR(__xludf.DUMMYFUNCTION("""COMPUTED_VALUE"""),46353.0)</f>
        <v>46353</v>
      </c>
      <c r="C550" s="15">
        <f>IFERROR(__xludf.DUMMYFUNCTION("""COMPUTED_VALUE"""),32.0)</f>
        <v>32</v>
      </c>
      <c r="D550" s="15" t="str">
        <f>IFERROR(__xludf.DUMMYFUNCTION("""COMPUTED_VALUE"""),"RBR")</f>
        <v>RBR</v>
      </c>
      <c r="E550" s="15" t="str">
        <f>IFERROR(__xludf.DUMMYFUNCTION("""COMPUTED_VALUE"""),"INACIO CALCADOS E CONFECCOES LTDA- EPP")</f>
        <v>INACIO CALCADOS E CONFECCOES LTDA- EPP</v>
      </c>
      <c r="F550" s="15" t="str">
        <f>IFERROR(__xludf.DUMMYFUNCTION("""COMPUTED_VALUE"""),"TRIFIL")</f>
        <v>TRIFIL</v>
      </c>
      <c r="G550" s="15" t="str">
        <f>IFERROR(__xludf.DUMMYFUNCTION("""COMPUTED_VALUE"""),"266806883")</f>
        <v>266806883</v>
      </c>
      <c r="H550" s="15" t="str">
        <f>IFERROR(__xludf.DUMMYFUNCTION("""COMPUTED_VALUE"""),"1305813")</f>
        <v>1305813</v>
      </c>
      <c r="I550" s="15" t="str">
        <f>IFERROR(__xludf.DUMMYFUNCTION("""COMPUTED_VALUE"""),"8177301")</f>
        <v>8177301</v>
      </c>
      <c r="J550" s="15" t="str">
        <f>IFERROR(__xludf.DUMMYFUNCTION("""COMPUTED_VALUE"""),"CIF")</f>
        <v>CIF</v>
      </c>
      <c r="K550" s="15" t="str">
        <f>IFERROR(__xludf.DUMMYFUNCTION("""COMPUTED_VALUE"""),"(sem célula)")</f>
        <v>(sem célula)</v>
      </c>
      <c r="L550" s="15" t="str">
        <f>IFERROR(__xludf.DUMMYFUNCTION("""COMPUTED_VALUE"""),"AUTORIZADO")</f>
        <v>AUTORIZADO</v>
      </c>
      <c r="M550" s="15" t="str">
        <f>IFERROR(__xludf.DUMMYFUNCTION("""COMPUTED_VALUE"""),"NA ORIGEM")</f>
        <v>NA ORIGEM</v>
      </c>
      <c r="N550" s="15" t="str">
        <f>IFERROR(__xludf.DUMMYFUNCTION("""COMPUTED_VALUE"""),"Antes Prazo")</f>
        <v>Antes Prazo</v>
      </c>
      <c r="O550" s="15" t="str">
        <f>IFERROR(__xludf.DUMMYFUNCTION("""COMPUTED_VALUE"""),"B2B")</f>
        <v>B2B</v>
      </c>
      <c r="P550" s="16">
        <f>IFERROR(__xludf.DUMMYFUNCTION("""COMPUTED_VALUE"""),118.27)</f>
        <v>118.27</v>
      </c>
      <c r="Q550" s="15">
        <f>IFERROR(__xludf.DUMMYFUNCTION("""COMPUTED_VALUE"""),1.0)</f>
        <v>1</v>
      </c>
      <c r="R550" s="15" t="str">
        <f>IFERROR(__xludf.DUMMYFUNCTION("""COMPUTED_VALUE"""),"RODO")</f>
        <v>RODO</v>
      </c>
      <c r="S550" s="15" t="str">
        <f>IFERROR(__xludf.DUMMYFUNCTION("""COMPUTED_VALUE"""),"ITN")</f>
        <v>ITN</v>
      </c>
      <c r="T550" s="15" t="str">
        <f>IFERROR(__xludf.DUMMYFUNCTION("""COMPUTED_VALUE"""),"1")</f>
        <v>1</v>
      </c>
      <c r="U550" s="15" t="str">
        <f>IFERROR(__xludf.DUMMYFUNCTION("""COMPUTED_VALUE"""),"266806883 1305813 8177301 inacio calcados e confeccoes ltda- epp trifil rbr 1")</f>
        <v>266806883 1305813 8177301 inacio calcados e confeccoes ltda- epp trifil rbr 1</v>
      </c>
      <c r="V550" s="15" t="b">
        <f>IFERROR(__xludf.DUMMYFUNCTION("""COMPUTED_VALUE"""),FALSE)</f>
        <v>0</v>
      </c>
    </row>
    <row r="551">
      <c r="A551" s="19">
        <f>IFERROR(__xludf.DUMMYFUNCTION("""COMPUTED_VALUE"""),46304.0)</f>
        <v>46304</v>
      </c>
      <c r="B551" s="19">
        <f>IFERROR(__xludf.DUMMYFUNCTION("""COMPUTED_VALUE"""),46316.0)</f>
        <v>46316</v>
      </c>
      <c r="C551" s="15">
        <f>IFERROR(__xludf.DUMMYFUNCTION("""COMPUTED_VALUE"""),7.0)</f>
        <v>7</v>
      </c>
      <c r="D551" s="15" t="str">
        <f>IFERROR(__xludf.DUMMYFUNCTION("""COMPUTED_VALUE"""),"BSB")</f>
        <v>BSB</v>
      </c>
      <c r="E551" s="15" t="str">
        <f>IFERROR(__xludf.DUMMYFUNCTION("""COMPUTED_VALUE"""),"SCALA ROCHA")</f>
        <v>SCALA ROCHA</v>
      </c>
      <c r="F551" s="15" t="str">
        <f>IFERROR(__xludf.DUMMYFUNCTION("""COMPUTED_VALUE"""),"TRIFIL")</f>
        <v>TRIFIL</v>
      </c>
      <c r="G551" s="15" t="str">
        <f>IFERROR(__xludf.DUMMYFUNCTION("""COMPUTED_VALUE"""),"266806885")</f>
        <v>266806885</v>
      </c>
      <c r="H551" s="15" t="str">
        <f>IFERROR(__xludf.DUMMYFUNCTION("""COMPUTED_VALUE"""),"1306064")</f>
        <v>1306064</v>
      </c>
      <c r="I551" s="15" t="str">
        <f>IFERROR(__xludf.DUMMYFUNCTION("""COMPUTED_VALUE"""),"8177263")</f>
        <v>8177263</v>
      </c>
      <c r="J551" s="15" t="str">
        <f>IFERROR(__xludf.DUMMYFUNCTION("""COMPUTED_VALUE"""),"CIF")</f>
        <v>CIF</v>
      </c>
      <c r="K551" s="15" t="str">
        <f>IFERROR(__xludf.DUMMYFUNCTION("""COMPUTED_VALUE"""),"(sem célula)")</f>
        <v>(sem célula)</v>
      </c>
      <c r="L551" s="15" t="str">
        <f>IFERROR(__xludf.DUMMYFUNCTION("""COMPUTED_VALUE"""),"AUTORIZADO")</f>
        <v>AUTORIZADO</v>
      </c>
      <c r="M551" s="15" t="str">
        <f>IFERROR(__xludf.DUMMYFUNCTION("""COMPUTED_VALUE"""),"NA ORIGEM")</f>
        <v>NA ORIGEM</v>
      </c>
      <c r="N551" s="15" t="str">
        <f>IFERROR(__xludf.DUMMYFUNCTION("""COMPUTED_VALUE"""),"Antes Prazo")</f>
        <v>Antes Prazo</v>
      </c>
      <c r="O551" s="15" t="str">
        <f>IFERROR(__xludf.DUMMYFUNCTION("""COMPUTED_VALUE"""),"B2B")</f>
        <v>B2B</v>
      </c>
      <c r="P551" s="16">
        <f>IFERROR(__xludf.DUMMYFUNCTION("""COMPUTED_VALUE"""),51.54)</f>
        <v>51.54</v>
      </c>
      <c r="Q551" s="15">
        <f>IFERROR(__xludf.DUMMYFUNCTION("""COMPUTED_VALUE"""),1.0)</f>
        <v>1</v>
      </c>
      <c r="R551" s="15" t="str">
        <f>IFERROR(__xludf.DUMMYFUNCTION("""COMPUTED_VALUE"""),"RODO")</f>
        <v>RODO</v>
      </c>
      <c r="S551" s="15" t="str">
        <f>IFERROR(__xludf.DUMMYFUNCTION("""COMPUTED_VALUE"""),"ITN")</f>
        <v>ITN</v>
      </c>
      <c r="T551" s="15" t="str">
        <f>IFERROR(__xludf.DUMMYFUNCTION("""COMPUTED_VALUE"""),"3")</f>
        <v>3</v>
      </c>
      <c r="U551" s="15" t="str">
        <f>IFERROR(__xludf.DUMMYFUNCTION("""COMPUTED_VALUE"""),"266806885 1306064 8177263 scala rocha trifil bsb 3")</f>
        <v>266806885 1306064 8177263 scala rocha trifil bsb 3</v>
      </c>
      <c r="V551" s="15" t="b">
        <f>IFERROR(__xludf.DUMMYFUNCTION("""COMPUTED_VALUE"""),FALSE)</f>
        <v>0</v>
      </c>
    </row>
    <row r="552">
      <c r="A552" s="19">
        <f>IFERROR(__xludf.DUMMYFUNCTION("""COMPUTED_VALUE"""),46304.0)</f>
        <v>46304</v>
      </c>
      <c r="B552" s="19">
        <f>IFERROR(__xludf.DUMMYFUNCTION("""COMPUTED_VALUE"""),46316.0)</f>
        <v>46316</v>
      </c>
      <c r="C552" s="15">
        <f>IFERROR(__xludf.DUMMYFUNCTION("""COMPUTED_VALUE"""),7.0)</f>
        <v>7</v>
      </c>
      <c r="D552" s="15" t="str">
        <f>IFERROR(__xludf.DUMMYFUNCTION("""COMPUTED_VALUE"""),"GRU")</f>
        <v>GRU</v>
      </c>
      <c r="E552" s="15" t="str">
        <f>IFERROR(__xludf.DUMMYFUNCTION("""COMPUTED_VALUE"""),"E. DA SILVA TEIXEIRA VESTUARIOS - ME")</f>
        <v>E. DA SILVA TEIXEIRA VESTUARIOS - ME</v>
      </c>
      <c r="F552" s="15" t="str">
        <f>IFERROR(__xludf.DUMMYFUNCTION("""COMPUTED_VALUE"""),"TRIFIL")</f>
        <v>TRIFIL</v>
      </c>
      <c r="G552" s="15" t="str">
        <f>IFERROR(__xludf.DUMMYFUNCTION("""COMPUTED_VALUE"""),"266806887")</f>
        <v>266806887</v>
      </c>
      <c r="H552" s="15" t="str">
        <f>IFERROR(__xludf.DUMMYFUNCTION("""COMPUTED_VALUE"""),"1306168")</f>
        <v>1306168</v>
      </c>
      <c r="I552" s="15" t="str">
        <f>IFERROR(__xludf.DUMMYFUNCTION("""COMPUTED_VALUE"""),"8177264")</f>
        <v>8177264</v>
      </c>
      <c r="J552" s="15" t="str">
        <f>IFERROR(__xludf.DUMMYFUNCTION("""COMPUTED_VALUE"""),"CIF")</f>
        <v>CIF</v>
      </c>
      <c r="K552" s="15" t="str">
        <f>IFERROR(__xludf.DUMMYFUNCTION("""COMPUTED_VALUE"""),"(sem célula)")</f>
        <v>(sem célula)</v>
      </c>
      <c r="L552" s="15" t="str">
        <f>IFERROR(__xludf.DUMMYFUNCTION("""COMPUTED_VALUE"""),"AUTORIZADO")</f>
        <v>AUTORIZADO</v>
      </c>
      <c r="M552" s="15" t="str">
        <f>IFERROR(__xludf.DUMMYFUNCTION("""COMPUTED_VALUE"""),"NA ORIGEM")</f>
        <v>NA ORIGEM</v>
      </c>
      <c r="N552" s="15" t="str">
        <f>IFERROR(__xludf.DUMMYFUNCTION("""COMPUTED_VALUE"""),"Antes Prazo")</f>
        <v>Antes Prazo</v>
      </c>
      <c r="O552" s="15" t="str">
        <f>IFERROR(__xludf.DUMMYFUNCTION("""COMPUTED_VALUE"""),"B2B")</f>
        <v>B2B</v>
      </c>
      <c r="P552" s="16">
        <f>IFERROR(__xludf.DUMMYFUNCTION("""COMPUTED_VALUE"""),45.49)</f>
        <v>45.49</v>
      </c>
      <c r="Q552" s="15">
        <f>IFERROR(__xludf.DUMMYFUNCTION("""COMPUTED_VALUE"""),1.0)</f>
        <v>1</v>
      </c>
      <c r="R552" s="15" t="str">
        <f>IFERROR(__xludf.DUMMYFUNCTION("""COMPUTED_VALUE"""),"RODO")</f>
        <v>RODO</v>
      </c>
      <c r="S552" s="15" t="str">
        <f>IFERROR(__xludf.DUMMYFUNCTION("""COMPUTED_VALUE"""),"ITN")</f>
        <v>ITN</v>
      </c>
      <c r="T552" s="15" t="str">
        <f>IFERROR(__xludf.DUMMYFUNCTION("""COMPUTED_VALUE"""),"2701")</f>
        <v>2701</v>
      </c>
      <c r="U552" s="15" t="str">
        <f>IFERROR(__xludf.DUMMYFUNCTION("""COMPUTED_VALUE"""),"266806887 1306168 8177264 e. da silva teixeira vestuarios - me trifil gru 2701")</f>
        <v>266806887 1306168 8177264 e. da silva teixeira vestuarios - me trifil gru 2701</v>
      </c>
      <c r="V552" s="15" t="b">
        <f>IFERROR(__xludf.DUMMYFUNCTION("""COMPUTED_VALUE"""),FALSE)</f>
        <v>0</v>
      </c>
    </row>
    <row r="553">
      <c r="A553" s="19">
        <f>IFERROR(__xludf.DUMMYFUNCTION("""COMPUTED_VALUE"""),46304.0)</f>
        <v>46304</v>
      </c>
      <c r="B553" s="19">
        <f>IFERROR(__xludf.DUMMYFUNCTION("""COMPUTED_VALUE"""),46316.0)</f>
        <v>46316</v>
      </c>
      <c r="C553" s="15">
        <f>IFERROR(__xludf.DUMMYFUNCTION("""COMPUTED_VALUE"""),7.0)</f>
        <v>7</v>
      </c>
      <c r="D553" s="15" t="str">
        <f>IFERROR(__xludf.DUMMYFUNCTION("""COMPUTED_VALUE"""),"BSB")</f>
        <v>BSB</v>
      </c>
      <c r="E553" s="15" t="str">
        <f>IFERROR(__xludf.DUMMYFUNCTION("""COMPUTED_VALUE"""),"MARIA JOSE DE JESUS BARCELOS")</f>
        <v>MARIA JOSE DE JESUS BARCELOS</v>
      </c>
      <c r="F553" s="15" t="str">
        <f>IFERROR(__xludf.DUMMYFUNCTION("""COMPUTED_VALUE"""),"TRIFIL")</f>
        <v>TRIFIL</v>
      </c>
      <c r="G553" s="15" t="str">
        <f>IFERROR(__xludf.DUMMYFUNCTION("""COMPUTED_VALUE"""),"266806889")</f>
        <v>266806889</v>
      </c>
      <c r="H553" s="15" t="str">
        <f>IFERROR(__xludf.DUMMYFUNCTION("""COMPUTED_VALUE"""),"1306005")</f>
        <v>1306005</v>
      </c>
      <c r="I553" s="15" t="str">
        <f>IFERROR(__xludf.DUMMYFUNCTION("""COMPUTED_VALUE"""),"8177327")</f>
        <v>8177327</v>
      </c>
      <c r="J553" s="15" t="str">
        <f>IFERROR(__xludf.DUMMYFUNCTION("""COMPUTED_VALUE"""),"CIF")</f>
        <v>CIF</v>
      </c>
      <c r="K553" s="15" t="str">
        <f>IFERROR(__xludf.DUMMYFUNCTION("""COMPUTED_VALUE"""),"SAO-1")</f>
        <v>SAO-1</v>
      </c>
      <c r="L553" s="15" t="str">
        <f>IFERROR(__xludf.DUMMYFUNCTION("""COMPUTED_VALUE"""),"AUTORIZADO")</f>
        <v>AUTORIZADO</v>
      </c>
      <c r="M553" s="15" t="str">
        <f>IFERROR(__xludf.DUMMYFUNCTION("""COMPUTED_VALUE"""),"NA ORIGEM")</f>
        <v>NA ORIGEM</v>
      </c>
      <c r="N553" s="15" t="str">
        <f>IFERROR(__xludf.DUMMYFUNCTION("""COMPUTED_VALUE"""),"Antes Prazo")</f>
        <v>Antes Prazo</v>
      </c>
      <c r="O553" s="15" t="str">
        <f>IFERROR(__xludf.DUMMYFUNCTION("""COMPUTED_VALUE"""),"B2B")</f>
        <v>B2B</v>
      </c>
      <c r="P553" s="16">
        <f>IFERROR(__xludf.DUMMYFUNCTION("""COMPUTED_VALUE"""),51.54)</f>
        <v>51.54</v>
      </c>
      <c r="Q553" s="15">
        <f>IFERROR(__xludf.DUMMYFUNCTION("""COMPUTED_VALUE"""),1.0)</f>
        <v>1</v>
      </c>
      <c r="R553" s="15" t="str">
        <f>IFERROR(__xludf.DUMMYFUNCTION("""COMPUTED_VALUE"""),"RODO")</f>
        <v>RODO</v>
      </c>
      <c r="S553" s="15" t="str">
        <f>IFERROR(__xludf.DUMMYFUNCTION("""COMPUTED_VALUE"""),"ITN")</f>
        <v>ITN</v>
      </c>
      <c r="T553" s="15" t="str">
        <f>IFERROR(__xludf.DUMMYFUNCTION("""COMPUTED_VALUE"""),"3")</f>
        <v>3</v>
      </c>
      <c r="U553" s="15" t="str">
        <f>IFERROR(__xludf.DUMMYFUNCTION("""COMPUTED_VALUE"""),"266806889 1306005 8177327 maria jose de jesus barcelos trifil bsb 3")</f>
        <v>266806889 1306005 8177327 maria jose de jesus barcelos trifil bsb 3</v>
      </c>
      <c r="V553" s="15" t="b">
        <f>IFERROR(__xludf.DUMMYFUNCTION("""COMPUTED_VALUE"""),FALSE)</f>
        <v>0</v>
      </c>
    </row>
    <row r="554">
      <c r="A554" s="19">
        <f>IFERROR(__xludf.DUMMYFUNCTION("""COMPUTED_VALUE"""),46304.0)</f>
        <v>46304</v>
      </c>
      <c r="B554" s="19">
        <f>IFERROR(__xludf.DUMMYFUNCTION("""COMPUTED_VALUE"""),46316.0)</f>
        <v>46316</v>
      </c>
      <c r="C554" s="15">
        <f>IFERROR(__xludf.DUMMYFUNCTION("""COMPUTED_VALUE"""),7.0)</f>
        <v>7</v>
      </c>
      <c r="D554" s="15" t="str">
        <f>IFERROR(__xludf.DUMMYFUNCTION("""COMPUTED_VALUE"""),"BSB")</f>
        <v>BSB</v>
      </c>
      <c r="E554" s="15" t="str">
        <f>IFERROR(__xludf.DUMMYFUNCTION("""COMPUTED_VALUE"""),"LUPO JK")</f>
        <v>LUPO JK</v>
      </c>
      <c r="F554" s="15" t="str">
        <f>IFERROR(__xludf.DUMMYFUNCTION("""COMPUTED_VALUE"""),"TRIFIL")</f>
        <v>TRIFIL</v>
      </c>
      <c r="G554" s="15" t="str">
        <f>IFERROR(__xludf.DUMMYFUNCTION("""COMPUTED_VALUE"""),"266806891")</f>
        <v>266806891</v>
      </c>
      <c r="H554" s="15" t="str">
        <f>IFERROR(__xludf.DUMMYFUNCTION("""COMPUTED_VALUE"""),"1306150")</f>
        <v>1306150</v>
      </c>
      <c r="I554" s="15" t="str">
        <f>IFERROR(__xludf.DUMMYFUNCTION("""COMPUTED_VALUE"""),"8177230")</f>
        <v>8177230</v>
      </c>
      <c r="J554" s="15" t="str">
        <f>IFERROR(__xludf.DUMMYFUNCTION("""COMPUTED_VALUE"""),"CIF")</f>
        <v>CIF</v>
      </c>
      <c r="K554" s="15" t="str">
        <f>IFERROR(__xludf.DUMMYFUNCTION("""COMPUTED_VALUE"""),"(sem célula)")</f>
        <v>(sem célula)</v>
      </c>
      <c r="L554" s="15" t="str">
        <f>IFERROR(__xludf.DUMMYFUNCTION("""COMPUTED_VALUE"""),"AUTORIZADO")</f>
        <v>AUTORIZADO</v>
      </c>
      <c r="M554" s="15" t="str">
        <f>IFERROR(__xludf.DUMMYFUNCTION("""COMPUTED_VALUE"""),"NA ORIGEM")</f>
        <v>NA ORIGEM</v>
      </c>
      <c r="N554" s="15" t="str">
        <f>IFERROR(__xludf.DUMMYFUNCTION("""COMPUTED_VALUE"""),"Antes Prazo")</f>
        <v>Antes Prazo</v>
      </c>
      <c r="O554" s="15" t="str">
        <f>IFERROR(__xludf.DUMMYFUNCTION("""COMPUTED_VALUE"""),"B2B")</f>
        <v>B2B</v>
      </c>
      <c r="P554" s="16">
        <f>IFERROR(__xludf.DUMMYFUNCTION("""COMPUTED_VALUE"""),51.54)</f>
        <v>51.54</v>
      </c>
      <c r="Q554" s="15">
        <f>IFERROR(__xludf.DUMMYFUNCTION("""COMPUTED_VALUE"""),1.0)</f>
        <v>1</v>
      </c>
      <c r="R554" s="15" t="str">
        <f>IFERROR(__xludf.DUMMYFUNCTION("""COMPUTED_VALUE"""),"RODO")</f>
        <v>RODO</v>
      </c>
      <c r="S554" s="15" t="str">
        <f>IFERROR(__xludf.DUMMYFUNCTION("""COMPUTED_VALUE"""),"ITN")</f>
        <v>ITN</v>
      </c>
      <c r="T554" s="15" t="str">
        <f>IFERROR(__xludf.DUMMYFUNCTION("""COMPUTED_VALUE"""),"21")</f>
        <v>21</v>
      </c>
      <c r="U554" s="15" t="str">
        <f>IFERROR(__xludf.DUMMYFUNCTION("""COMPUTED_VALUE"""),"266806891 1306150 8177230 lupo jk trifil bsb 21")</f>
        <v>266806891 1306150 8177230 lupo jk trifil bsb 21</v>
      </c>
      <c r="V554" s="15" t="b">
        <f>IFERROR(__xludf.DUMMYFUNCTION("""COMPUTED_VALUE"""),FALSE)</f>
        <v>0</v>
      </c>
    </row>
    <row r="555">
      <c r="A555" s="19">
        <f>IFERROR(__xludf.DUMMYFUNCTION("""COMPUTED_VALUE"""),46304.0)</f>
        <v>46304</v>
      </c>
      <c r="B555" s="19">
        <f>IFERROR(__xludf.DUMMYFUNCTION("""COMPUTED_VALUE"""),46316.0)</f>
        <v>46316</v>
      </c>
      <c r="C555" s="15">
        <f>IFERROR(__xludf.DUMMYFUNCTION("""COMPUTED_VALUE"""),7.0)</f>
        <v>7</v>
      </c>
      <c r="D555" s="15" t="str">
        <f>IFERROR(__xludf.DUMMYFUNCTION("""COMPUTED_VALUE"""),"BSB")</f>
        <v>BSB</v>
      </c>
      <c r="E555" s="15" t="str">
        <f>IFERROR(__xludf.DUMMYFUNCTION("""COMPUTED_VALUE"""),"LUZIANE DA SILVA SATELIS 91761433172")</f>
        <v>LUZIANE DA SILVA SATELIS 91761433172</v>
      </c>
      <c r="F555" s="15" t="str">
        <f>IFERROR(__xludf.DUMMYFUNCTION("""COMPUTED_VALUE"""),"TRIFIL")</f>
        <v>TRIFIL</v>
      </c>
      <c r="G555" s="15" t="str">
        <f>IFERROR(__xludf.DUMMYFUNCTION("""COMPUTED_VALUE"""),"266806893")</f>
        <v>266806893</v>
      </c>
      <c r="H555" s="15" t="str">
        <f>IFERROR(__xludf.DUMMYFUNCTION("""COMPUTED_VALUE"""),"1306220")</f>
        <v>1306220</v>
      </c>
      <c r="I555" s="15" t="str">
        <f>IFERROR(__xludf.DUMMYFUNCTION("""COMPUTED_VALUE"""),"8177202")</f>
        <v>8177202</v>
      </c>
      <c r="J555" s="15" t="str">
        <f>IFERROR(__xludf.DUMMYFUNCTION("""COMPUTED_VALUE"""),"CIF")</f>
        <v>CIF</v>
      </c>
      <c r="K555" s="15" t="str">
        <f>IFERROR(__xludf.DUMMYFUNCTION("""COMPUTED_VALUE"""),"(sem célula)")</f>
        <v>(sem célula)</v>
      </c>
      <c r="L555" s="15" t="str">
        <f>IFERROR(__xludf.DUMMYFUNCTION("""COMPUTED_VALUE"""),"AUTORIZADO")</f>
        <v>AUTORIZADO</v>
      </c>
      <c r="M555" s="15" t="str">
        <f>IFERROR(__xludf.DUMMYFUNCTION("""COMPUTED_VALUE"""),"NA ORIGEM")</f>
        <v>NA ORIGEM</v>
      </c>
      <c r="N555" s="15" t="str">
        <f>IFERROR(__xludf.DUMMYFUNCTION("""COMPUTED_VALUE"""),"Antes Prazo")</f>
        <v>Antes Prazo</v>
      </c>
      <c r="O555" s="15" t="str">
        <f>IFERROR(__xludf.DUMMYFUNCTION("""COMPUTED_VALUE"""),"B2B")</f>
        <v>B2B</v>
      </c>
      <c r="P555" s="16">
        <f>IFERROR(__xludf.DUMMYFUNCTION("""COMPUTED_VALUE"""),51.54)</f>
        <v>51.54</v>
      </c>
      <c r="Q555" s="15">
        <f>IFERROR(__xludf.DUMMYFUNCTION("""COMPUTED_VALUE"""),1.0)</f>
        <v>1</v>
      </c>
      <c r="R555" s="15" t="str">
        <f>IFERROR(__xludf.DUMMYFUNCTION("""COMPUTED_VALUE"""),"RODO")</f>
        <v>RODO</v>
      </c>
      <c r="S555" s="15" t="str">
        <f>IFERROR(__xludf.DUMMYFUNCTION("""COMPUTED_VALUE"""),"ITN")</f>
        <v>ITN</v>
      </c>
      <c r="T555" s="15" t="str">
        <f>IFERROR(__xludf.DUMMYFUNCTION("""COMPUTED_VALUE"""),"21")</f>
        <v>21</v>
      </c>
      <c r="U555" s="15" t="str">
        <f>IFERROR(__xludf.DUMMYFUNCTION("""COMPUTED_VALUE"""),"266806893 1306220 8177202 luziane da silva satelis 91761433172 trifil bsb 21")</f>
        <v>266806893 1306220 8177202 luziane da silva satelis 91761433172 trifil bsb 21</v>
      </c>
      <c r="V555" s="15" t="b">
        <f>IFERROR(__xludf.DUMMYFUNCTION("""COMPUTED_VALUE"""),FALSE)</f>
        <v>0</v>
      </c>
    </row>
    <row r="556">
      <c r="A556" s="19">
        <f>IFERROR(__xludf.DUMMYFUNCTION("""COMPUTED_VALUE"""),46304.0)</f>
        <v>46304</v>
      </c>
      <c r="B556" s="19">
        <f>IFERROR(__xludf.DUMMYFUNCTION("""COMPUTED_VALUE"""),46316.0)</f>
        <v>46316</v>
      </c>
      <c r="C556" s="15">
        <f>IFERROR(__xludf.DUMMYFUNCTION("""COMPUTED_VALUE"""),7.0)</f>
        <v>7</v>
      </c>
      <c r="D556" s="15" t="str">
        <f>IFERROR(__xludf.DUMMYFUNCTION("""COMPUTED_VALUE"""),"BB2")</f>
        <v>BB2</v>
      </c>
      <c r="E556" s="15" t="str">
        <f>IFERROR(__xludf.DUMMYFUNCTION("""COMPUTED_VALUE"""),"TATTU CALCADOS LTDA")</f>
        <v>TATTU CALCADOS LTDA</v>
      </c>
      <c r="F556" s="15" t="str">
        <f>IFERROR(__xludf.DUMMYFUNCTION("""COMPUTED_VALUE"""),"TRIFIL")</f>
        <v>TRIFIL</v>
      </c>
      <c r="G556" s="15" t="str">
        <f>IFERROR(__xludf.DUMMYFUNCTION("""COMPUTED_VALUE"""),"266806895")</f>
        <v>266806895</v>
      </c>
      <c r="H556" s="15" t="str">
        <f>IFERROR(__xludf.DUMMYFUNCTION("""COMPUTED_VALUE"""),"1306285")</f>
        <v>1306285</v>
      </c>
      <c r="I556" s="15" t="str">
        <f>IFERROR(__xludf.DUMMYFUNCTION("""COMPUTED_VALUE"""),"8177354")</f>
        <v>8177354</v>
      </c>
      <c r="J556" s="15" t="str">
        <f>IFERROR(__xludf.DUMMYFUNCTION("""COMPUTED_VALUE"""),"CIF")</f>
        <v>CIF</v>
      </c>
      <c r="K556" s="15" t="str">
        <f>IFERROR(__xludf.DUMMYFUNCTION("""COMPUTED_VALUE"""),"SAO-1")</f>
        <v>SAO-1</v>
      </c>
      <c r="L556" s="15" t="str">
        <f>IFERROR(__xludf.DUMMYFUNCTION("""COMPUTED_VALUE"""),"AUTORIZADO")</f>
        <v>AUTORIZADO</v>
      </c>
      <c r="M556" s="15" t="str">
        <f>IFERROR(__xludf.DUMMYFUNCTION("""COMPUTED_VALUE"""),"NA ORIGEM")</f>
        <v>NA ORIGEM</v>
      </c>
      <c r="N556" s="15" t="str">
        <f>IFERROR(__xludf.DUMMYFUNCTION("""COMPUTED_VALUE"""),"Antes Prazo")</f>
        <v>Antes Prazo</v>
      </c>
      <c r="O556" s="15" t="str">
        <f>IFERROR(__xludf.DUMMYFUNCTION("""COMPUTED_VALUE"""),"B2B")</f>
        <v>B2B</v>
      </c>
      <c r="P556" s="16">
        <f>IFERROR(__xludf.DUMMYFUNCTION("""COMPUTED_VALUE"""),152.41)</f>
        <v>152.41</v>
      </c>
      <c r="Q556" s="15">
        <f>IFERROR(__xludf.DUMMYFUNCTION("""COMPUTED_VALUE"""),9.0)</f>
        <v>9</v>
      </c>
      <c r="R556" s="15" t="str">
        <f>IFERROR(__xludf.DUMMYFUNCTION("""COMPUTED_VALUE"""),"RODO")</f>
        <v>RODO</v>
      </c>
      <c r="S556" s="15" t="str">
        <f>IFERROR(__xludf.DUMMYFUNCTION("""COMPUTED_VALUE"""),"ITN")</f>
        <v>ITN</v>
      </c>
      <c r="T556" s="15" t="str">
        <f>IFERROR(__xludf.DUMMYFUNCTION("""COMPUTED_VALUE"""),"23")</f>
        <v>23</v>
      </c>
      <c r="U556" s="15" t="str">
        <f>IFERROR(__xludf.DUMMYFUNCTION("""COMPUTED_VALUE"""),"266806895 1306285 8177354 tattu calcados ltda trifil bb2 23")</f>
        <v>266806895 1306285 8177354 tattu calcados ltda trifil bb2 23</v>
      </c>
      <c r="V556" s="15" t="b">
        <f>IFERROR(__xludf.DUMMYFUNCTION("""COMPUTED_VALUE"""),FALSE)</f>
        <v>0</v>
      </c>
    </row>
    <row r="557">
      <c r="A557" s="19">
        <f>IFERROR(__xludf.DUMMYFUNCTION("""COMPUTED_VALUE"""),46304.0)</f>
        <v>46304</v>
      </c>
      <c r="B557" s="19">
        <f>IFERROR(__xludf.DUMMYFUNCTION("""COMPUTED_VALUE"""),46323.0)</f>
        <v>46323</v>
      </c>
      <c r="C557" s="15">
        <f>IFERROR(__xludf.DUMMYFUNCTION("""COMPUTED_VALUE"""),12.0)</f>
        <v>12</v>
      </c>
      <c r="D557" s="15" t="str">
        <f>IFERROR(__xludf.DUMMYFUNCTION("""COMPUTED_VALUE"""),"BB2")</f>
        <v>BB2</v>
      </c>
      <c r="E557" s="15" t="str">
        <f>IFERROR(__xludf.DUMMYFUNCTION("""COMPUTED_VALUE"""),"MANIA CALCADOS")</f>
        <v>MANIA CALCADOS</v>
      </c>
      <c r="F557" s="15" t="str">
        <f>IFERROR(__xludf.DUMMYFUNCTION("""COMPUTED_VALUE"""),"TRIFIL")</f>
        <v>TRIFIL</v>
      </c>
      <c r="G557" s="15" t="str">
        <f>IFERROR(__xludf.DUMMYFUNCTION("""COMPUTED_VALUE"""),"266806897")</f>
        <v>266806897</v>
      </c>
      <c r="H557" s="15" t="str">
        <f>IFERROR(__xludf.DUMMYFUNCTION("""COMPUTED_VALUE"""),"1306118")</f>
        <v>1306118</v>
      </c>
      <c r="I557" s="15" t="str">
        <f>IFERROR(__xludf.DUMMYFUNCTION("""COMPUTED_VALUE"""),"8177328")</f>
        <v>8177328</v>
      </c>
      <c r="J557" s="15" t="str">
        <f>IFERROR(__xludf.DUMMYFUNCTION("""COMPUTED_VALUE"""),"CIF")</f>
        <v>CIF</v>
      </c>
      <c r="K557" s="15" t="str">
        <f>IFERROR(__xludf.DUMMYFUNCTION("""COMPUTED_VALUE"""),"SAO-1")</f>
        <v>SAO-1</v>
      </c>
      <c r="L557" s="15" t="str">
        <f>IFERROR(__xludf.DUMMYFUNCTION("""COMPUTED_VALUE"""),"AUTORIZADO")</f>
        <v>AUTORIZADO</v>
      </c>
      <c r="M557" s="15" t="str">
        <f>IFERROR(__xludf.DUMMYFUNCTION("""COMPUTED_VALUE"""),"NA ORIGEM")</f>
        <v>NA ORIGEM</v>
      </c>
      <c r="N557" s="15" t="str">
        <f>IFERROR(__xludf.DUMMYFUNCTION("""COMPUTED_VALUE"""),"Antes Prazo")</f>
        <v>Antes Prazo</v>
      </c>
      <c r="O557" s="15" t="str">
        <f>IFERROR(__xludf.DUMMYFUNCTION("""COMPUTED_VALUE"""),"B2B")</f>
        <v>B2B</v>
      </c>
      <c r="P557" s="16">
        <f>IFERROR(__xludf.DUMMYFUNCTION("""COMPUTED_VALUE"""),153.74)</f>
        <v>153.74</v>
      </c>
      <c r="Q557" s="15">
        <f>IFERROR(__xludf.DUMMYFUNCTION("""COMPUTED_VALUE"""),7.0)</f>
        <v>7</v>
      </c>
      <c r="R557" s="15" t="str">
        <f>IFERROR(__xludf.DUMMYFUNCTION("""COMPUTED_VALUE"""),"RODO")</f>
        <v>RODO</v>
      </c>
      <c r="S557" s="15" t="str">
        <f>IFERROR(__xludf.DUMMYFUNCTION("""COMPUTED_VALUE"""),"ITN")</f>
        <v>ITN</v>
      </c>
      <c r="T557" s="15" t="str">
        <f>IFERROR(__xludf.DUMMYFUNCTION("""COMPUTED_VALUE"""),"27")</f>
        <v>27</v>
      </c>
      <c r="U557" s="15" t="str">
        <f>IFERROR(__xludf.DUMMYFUNCTION("""COMPUTED_VALUE"""),"266806897 1306118 8177328 mania calcados trifil bb2 27")</f>
        <v>266806897 1306118 8177328 mania calcados trifil bb2 27</v>
      </c>
      <c r="V557" s="15" t="b">
        <f>IFERROR(__xludf.DUMMYFUNCTION("""COMPUTED_VALUE"""),FALSE)</f>
        <v>0</v>
      </c>
    </row>
    <row r="558">
      <c r="A558" s="19">
        <f>IFERROR(__xludf.DUMMYFUNCTION("""COMPUTED_VALUE"""),46304.0)</f>
        <v>46304</v>
      </c>
      <c r="B558" s="19">
        <f>IFERROR(__xludf.DUMMYFUNCTION("""COMPUTED_VALUE"""),46321.0)</f>
        <v>46321</v>
      </c>
      <c r="C558" s="15">
        <f>IFERROR(__xludf.DUMMYFUNCTION("""COMPUTED_VALUE"""),10.0)</f>
        <v>10</v>
      </c>
      <c r="D558" s="15" t="str">
        <f>IFERROR(__xludf.DUMMYFUNCTION("""COMPUTED_VALUE"""),"BB2")</f>
        <v>BB2</v>
      </c>
      <c r="E558" s="15" t="str">
        <f>IFERROR(__xludf.DUMMYFUNCTION("""COMPUTED_VALUE"""),"MANIA CALCADOS LTDA")</f>
        <v>MANIA CALCADOS LTDA</v>
      </c>
      <c r="F558" s="15" t="str">
        <f>IFERROR(__xludf.DUMMYFUNCTION("""COMPUTED_VALUE"""),"TRIFIL")</f>
        <v>TRIFIL</v>
      </c>
      <c r="G558" s="15" t="str">
        <f>IFERROR(__xludf.DUMMYFUNCTION("""COMPUTED_VALUE"""),"266806898")</f>
        <v>266806898</v>
      </c>
      <c r="H558" s="15" t="str">
        <f>IFERROR(__xludf.DUMMYFUNCTION("""COMPUTED_VALUE"""),"1306120")</f>
        <v>1306120</v>
      </c>
      <c r="I558" s="15" t="str">
        <f>IFERROR(__xludf.DUMMYFUNCTION("""COMPUTED_VALUE"""),"8177329")</f>
        <v>8177329</v>
      </c>
      <c r="J558" s="15" t="str">
        <f>IFERROR(__xludf.DUMMYFUNCTION("""COMPUTED_VALUE"""),"CIF")</f>
        <v>CIF</v>
      </c>
      <c r="K558" s="15" t="str">
        <f>IFERROR(__xludf.DUMMYFUNCTION("""COMPUTED_VALUE"""),"SAO-1")</f>
        <v>SAO-1</v>
      </c>
      <c r="L558" s="15" t="str">
        <f>IFERROR(__xludf.DUMMYFUNCTION("""COMPUTED_VALUE"""),"AUTORIZADO")</f>
        <v>AUTORIZADO</v>
      </c>
      <c r="M558" s="15" t="str">
        <f>IFERROR(__xludf.DUMMYFUNCTION("""COMPUTED_VALUE"""),"NA ORIGEM")</f>
        <v>NA ORIGEM</v>
      </c>
      <c r="N558" s="15" t="str">
        <f>IFERROR(__xludf.DUMMYFUNCTION("""COMPUTED_VALUE"""),"Antes Prazo")</f>
        <v>Antes Prazo</v>
      </c>
      <c r="O558" s="15" t="str">
        <f>IFERROR(__xludf.DUMMYFUNCTION("""COMPUTED_VALUE"""),"B2B")</f>
        <v>B2B</v>
      </c>
      <c r="P558" s="16">
        <f>IFERROR(__xludf.DUMMYFUNCTION("""COMPUTED_VALUE"""),173.58)</f>
        <v>173.58</v>
      </c>
      <c r="Q558" s="15">
        <f>IFERROR(__xludf.DUMMYFUNCTION("""COMPUTED_VALUE"""),8.0)</f>
        <v>8</v>
      </c>
      <c r="R558" s="15" t="str">
        <f>IFERROR(__xludf.DUMMYFUNCTION("""COMPUTED_VALUE"""),"RODO")</f>
        <v>RODO</v>
      </c>
      <c r="S558" s="15" t="str">
        <f>IFERROR(__xludf.DUMMYFUNCTION("""COMPUTED_VALUE"""),"ITN")</f>
        <v>ITN</v>
      </c>
      <c r="T558" s="15" t="str">
        <f>IFERROR(__xludf.DUMMYFUNCTION("""COMPUTED_VALUE"""),"26")</f>
        <v>26</v>
      </c>
      <c r="U558" s="15" t="str">
        <f>IFERROR(__xludf.DUMMYFUNCTION("""COMPUTED_VALUE"""),"266806898 1306120 8177329 mania calcados ltda trifil bb2 26")</f>
        <v>266806898 1306120 8177329 mania calcados ltda trifil bb2 26</v>
      </c>
      <c r="V558" s="15" t="b">
        <f>IFERROR(__xludf.DUMMYFUNCTION("""COMPUTED_VALUE"""),FALSE)</f>
        <v>0</v>
      </c>
    </row>
    <row r="559">
      <c r="A559" s="19">
        <f>IFERROR(__xludf.DUMMYFUNCTION("""COMPUTED_VALUE"""),46304.0)</f>
        <v>46304</v>
      </c>
      <c r="B559" s="19">
        <f>IFERROR(__xludf.DUMMYFUNCTION("""COMPUTED_VALUE"""),46321.0)</f>
        <v>46321</v>
      </c>
      <c r="C559" s="15">
        <f>IFERROR(__xludf.DUMMYFUNCTION("""COMPUTED_VALUE"""),10.0)</f>
        <v>10</v>
      </c>
      <c r="D559" s="15" t="str">
        <f>IFERROR(__xludf.DUMMYFUNCTION("""COMPUTED_VALUE"""),"BB2")</f>
        <v>BB2</v>
      </c>
      <c r="E559" s="15" t="str">
        <f>IFERROR(__xludf.DUMMYFUNCTION("""COMPUTED_VALUE"""),"HUDSON RAUSY ALBUQUERQUE DA SILVA")</f>
        <v>HUDSON RAUSY ALBUQUERQUE DA SILVA</v>
      </c>
      <c r="F559" s="15" t="str">
        <f>IFERROR(__xludf.DUMMYFUNCTION("""COMPUTED_VALUE"""),"TRIFIL")</f>
        <v>TRIFIL</v>
      </c>
      <c r="G559" s="15" t="str">
        <f>IFERROR(__xludf.DUMMYFUNCTION("""COMPUTED_VALUE"""),"266806900")</f>
        <v>266806900</v>
      </c>
      <c r="H559" s="15" t="str">
        <f>IFERROR(__xludf.DUMMYFUNCTION("""COMPUTED_VALUE"""),"1306130")</f>
        <v>1306130</v>
      </c>
      <c r="I559" s="15" t="str">
        <f>IFERROR(__xludf.DUMMYFUNCTION("""COMPUTED_VALUE"""),"8177330")</f>
        <v>8177330</v>
      </c>
      <c r="J559" s="15" t="str">
        <f>IFERROR(__xludf.DUMMYFUNCTION("""COMPUTED_VALUE"""),"CIF")</f>
        <v>CIF</v>
      </c>
      <c r="K559" s="15" t="str">
        <f>IFERROR(__xludf.DUMMYFUNCTION("""COMPUTED_VALUE"""),"SAO-1")</f>
        <v>SAO-1</v>
      </c>
      <c r="L559" s="15" t="str">
        <f>IFERROR(__xludf.DUMMYFUNCTION("""COMPUTED_VALUE"""),"AUTORIZADO")</f>
        <v>AUTORIZADO</v>
      </c>
      <c r="M559" s="15" t="str">
        <f>IFERROR(__xludf.DUMMYFUNCTION("""COMPUTED_VALUE"""),"NA ORIGEM")</f>
        <v>NA ORIGEM</v>
      </c>
      <c r="N559" s="15" t="str">
        <f>IFERROR(__xludf.DUMMYFUNCTION("""COMPUTED_VALUE"""),"Antes Prazo")</f>
        <v>Antes Prazo</v>
      </c>
      <c r="O559" s="15" t="str">
        <f>IFERROR(__xludf.DUMMYFUNCTION("""COMPUTED_VALUE"""),"B2B")</f>
        <v>B2B</v>
      </c>
      <c r="P559" s="16">
        <f>IFERROR(__xludf.DUMMYFUNCTION("""COMPUTED_VALUE"""),63.12)</f>
        <v>63.12</v>
      </c>
      <c r="Q559" s="15">
        <f>IFERROR(__xludf.DUMMYFUNCTION("""COMPUTED_VALUE"""),1.0)</f>
        <v>1</v>
      </c>
      <c r="R559" s="15" t="str">
        <f>IFERROR(__xludf.DUMMYFUNCTION("""COMPUTED_VALUE"""),"RODO")</f>
        <v>RODO</v>
      </c>
      <c r="S559" s="15" t="str">
        <f>IFERROR(__xludf.DUMMYFUNCTION("""COMPUTED_VALUE"""),"ITN")</f>
        <v>ITN</v>
      </c>
      <c r="T559" s="15" t="str">
        <f>IFERROR(__xludf.DUMMYFUNCTION("""COMPUTED_VALUE"""),"26")</f>
        <v>26</v>
      </c>
      <c r="U559" s="15" t="str">
        <f>IFERROR(__xludf.DUMMYFUNCTION("""COMPUTED_VALUE"""),"266806900 1306130 8177330 hudson rausy albuquerque da silva trifil bb2 26")</f>
        <v>266806900 1306130 8177330 hudson rausy albuquerque da silva trifil bb2 26</v>
      </c>
      <c r="V559" s="15" t="b">
        <f>IFERROR(__xludf.DUMMYFUNCTION("""COMPUTED_VALUE"""),FALSE)</f>
        <v>0</v>
      </c>
    </row>
    <row r="560">
      <c r="A560" s="19">
        <f>IFERROR(__xludf.DUMMYFUNCTION("""COMPUTED_VALUE"""),46304.0)</f>
        <v>46304</v>
      </c>
      <c r="B560" s="19">
        <f>IFERROR(__xludf.DUMMYFUNCTION("""COMPUTED_VALUE"""),46318.0)</f>
        <v>46318</v>
      </c>
      <c r="C560" s="15">
        <f>IFERROR(__xludf.DUMMYFUNCTION("""COMPUTED_VALUE"""),9.0)</f>
        <v>9</v>
      </c>
      <c r="D560" s="15" t="str">
        <f>IFERROR(__xludf.DUMMYFUNCTION("""COMPUTED_VALUE"""),"BSB")</f>
        <v>BSB</v>
      </c>
      <c r="E560" s="15" t="str">
        <f>IFERROR(__xludf.DUMMYFUNCTION("""COMPUTED_VALUE"""),"SCALA")</f>
        <v>SCALA</v>
      </c>
      <c r="F560" s="15" t="str">
        <f>IFERROR(__xludf.DUMMYFUNCTION("""COMPUTED_VALUE"""),"TRIFIL")</f>
        <v>TRIFIL</v>
      </c>
      <c r="G560" s="15" t="str">
        <f>IFERROR(__xludf.DUMMYFUNCTION("""COMPUTED_VALUE"""),"266806901")</f>
        <v>266806901</v>
      </c>
      <c r="H560" s="15" t="str">
        <f>IFERROR(__xludf.DUMMYFUNCTION("""COMPUTED_VALUE"""),"1306175")</f>
        <v>1306175</v>
      </c>
      <c r="I560" s="15" t="str">
        <f>IFERROR(__xludf.DUMMYFUNCTION("""COMPUTED_VALUE"""),"8177118")</f>
        <v>8177118</v>
      </c>
      <c r="J560" s="15" t="str">
        <f>IFERROR(__xludf.DUMMYFUNCTION("""COMPUTED_VALUE"""),"CIF")</f>
        <v>CIF</v>
      </c>
      <c r="K560" s="15" t="str">
        <f>IFERROR(__xludf.DUMMYFUNCTION("""COMPUTED_VALUE"""),"(sem célula)")</f>
        <v>(sem célula)</v>
      </c>
      <c r="L560" s="15" t="str">
        <f>IFERROR(__xludf.DUMMYFUNCTION("""COMPUTED_VALUE"""),"AUTORIZADO")</f>
        <v>AUTORIZADO</v>
      </c>
      <c r="M560" s="15" t="str">
        <f>IFERROR(__xludf.DUMMYFUNCTION("""COMPUTED_VALUE"""),"NA ORIGEM")</f>
        <v>NA ORIGEM</v>
      </c>
      <c r="N560" s="15" t="str">
        <f>IFERROR(__xludf.DUMMYFUNCTION("""COMPUTED_VALUE"""),"Antes Prazo")</f>
        <v>Antes Prazo</v>
      </c>
      <c r="O560" s="15" t="str">
        <f>IFERROR(__xludf.DUMMYFUNCTION("""COMPUTED_VALUE"""),"B2B")</f>
        <v>B2B</v>
      </c>
      <c r="P560" s="16">
        <f>IFERROR(__xludf.DUMMYFUNCTION("""COMPUTED_VALUE"""),63.12)</f>
        <v>63.12</v>
      </c>
      <c r="Q560" s="15">
        <f>IFERROR(__xludf.DUMMYFUNCTION("""COMPUTED_VALUE"""),1.0)</f>
        <v>1</v>
      </c>
      <c r="R560" s="15" t="str">
        <f>IFERROR(__xludf.DUMMYFUNCTION("""COMPUTED_VALUE"""),"RODO")</f>
        <v>RODO</v>
      </c>
      <c r="S560" s="15" t="str">
        <f>IFERROR(__xludf.DUMMYFUNCTION("""COMPUTED_VALUE"""),"ITN")</f>
        <v>ITN</v>
      </c>
      <c r="T560" s="15" t="str">
        <f>IFERROR(__xludf.DUMMYFUNCTION("""COMPUTED_VALUE"""),"18")</f>
        <v>18</v>
      </c>
      <c r="U560" s="15" t="str">
        <f>IFERROR(__xludf.DUMMYFUNCTION("""COMPUTED_VALUE"""),"266806901 1306175 8177118 scala trifil bsb 18")</f>
        <v>266806901 1306175 8177118 scala trifil bsb 18</v>
      </c>
      <c r="V560" s="15" t="b">
        <f>IFERROR(__xludf.DUMMYFUNCTION("""COMPUTED_VALUE"""),FALSE)</f>
        <v>0</v>
      </c>
    </row>
    <row r="561">
      <c r="A561" s="19">
        <f>IFERROR(__xludf.DUMMYFUNCTION("""COMPUTED_VALUE"""),46304.0)</f>
        <v>46304</v>
      </c>
      <c r="B561" s="19">
        <f>IFERROR(__xludf.DUMMYFUNCTION("""COMPUTED_VALUE"""),46321.0)</f>
        <v>46321</v>
      </c>
      <c r="C561" s="15">
        <f>IFERROR(__xludf.DUMMYFUNCTION("""COMPUTED_VALUE"""),10.0)</f>
        <v>10</v>
      </c>
      <c r="D561" s="15" t="str">
        <f>IFERROR(__xludf.DUMMYFUNCTION("""COMPUTED_VALUE"""),"IGO")</f>
        <v>IGO</v>
      </c>
      <c r="E561" s="15" t="str">
        <f>IFERROR(__xludf.DUMMYFUNCTION("""COMPUTED_VALUE"""),"J.G MARQUES CALCADOS LTDA ME")</f>
        <v>J.G MARQUES CALCADOS LTDA ME</v>
      </c>
      <c r="F561" s="15" t="str">
        <f>IFERROR(__xludf.DUMMYFUNCTION("""COMPUTED_VALUE"""),"TRIFIL")</f>
        <v>TRIFIL</v>
      </c>
      <c r="G561" s="15" t="str">
        <f>IFERROR(__xludf.DUMMYFUNCTION("""COMPUTED_VALUE"""),"266806903")</f>
        <v>266806903</v>
      </c>
      <c r="H561" s="15" t="str">
        <f>IFERROR(__xludf.DUMMYFUNCTION("""COMPUTED_VALUE"""),"1306112")</f>
        <v>1306112</v>
      </c>
      <c r="I561" s="15" t="str">
        <f>IFERROR(__xludf.DUMMYFUNCTION("""COMPUTED_VALUE"""),"8177137")</f>
        <v>8177137</v>
      </c>
      <c r="J561" s="15" t="str">
        <f>IFERROR(__xludf.DUMMYFUNCTION("""COMPUTED_VALUE"""),"CIF")</f>
        <v>CIF</v>
      </c>
      <c r="K561" s="15" t="str">
        <f>IFERROR(__xludf.DUMMYFUNCTION("""COMPUTED_VALUE"""),"SAO-1")</f>
        <v>SAO-1</v>
      </c>
      <c r="L561" s="15" t="str">
        <f>IFERROR(__xludf.DUMMYFUNCTION("""COMPUTED_VALUE"""),"AUTORIZADO")</f>
        <v>AUTORIZADO</v>
      </c>
      <c r="M561" s="15" t="str">
        <f>IFERROR(__xludf.DUMMYFUNCTION("""COMPUTED_VALUE"""),"NA ORIGEM")</f>
        <v>NA ORIGEM</v>
      </c>
      <c r="N561" s="15" t="str">
        <f>IFERROR(__xludf.DUMMYFUNCTION("""COMPUTED_VALUE"""),"Antes Prazo")</f>
        <v>Antes Prazo</v>
      </c>
      <c r="O561" s="15" t="str">
        <f>IFERROR(__xludf.DUMMYFUNCTION("""COMPUTED_VALUE"""),"B2B")</f>
        <v>B2B</v>
      </c>
      <c r="P561" s="16">
        <f>IFERROR(__xludf.DUMMYFUNCTION("""COMPUTED_VALUE"""),63.12)</f>
        <v>63.12</v>
      </c>
      <c r="Q561" s="15">
        <f>IFERROR(__xludf.DUMMYFUNCTION("""COMPUTED_VALUE"""),1.0)</f>
        <v>1</v>
      </c>
      <c r="R561" s="15" t="str">
        <f>IFERROR(__xludf.DUMMYFUNCTION("""COMPUTED_VALUE"""),"RODO")</f>
        <v>RODO</v>
      </c>
      <c r="S561" s="15" t="str">
        <f>IFERROR(__xludf.DUMMYFUNCTION("""COMPUTED_VALUE"""),"ITN")</f>
        <v>ITN</v>
      </c>
      <c r="T561" s="15" t="str">
        <f>IFERROR(__xludf.DUMMYFUNCTION("""COMPUTED_VALUE"""),"31")</f>
        <v>31</v>
      </c>
      <c r="U561" s="15" t="str">
        <f>IFERROR(__xludf.DUMMYFUNCTION("""COMPUTED_VALUE"""),"266806903 1306112 8177137 j.g marques calcados ltda me trifil igo 31")</f>
        <v>266806903 1306112 8177137 j.g marques calcados ltda me trifil igo 31</v>
      </c>
      <c r="V561" s="15" t="b">
        <f>IFERROR(__xludf.DUMMYFUNCTION("""COMPUTED_VALUE"""),FALSE)</f>
        <v>0</v>
      </c>
    </row>
    <row r="562">
      <c r="A562" s="19">
        <f>IFERROR(__xludf.DUMMYFUNCTION("""COMPUTED_VALUE"""),46304.0)</f>
        <v>46304</v>
      </c>
      <c r="B562" s="19">
        <f>IFERROR(__xludf.DUMMYFUNCTION("""COMPUTED_VALUE"""),46322.0)</f>
        <v>46322</v>
      </c>
      <c r="C562" s="15">
        <f>IFERROR(__xludf.DUMMYFUNCTION("""COMPUTED_VALUE"""),11.0)</f>
        <v>11</v>
      </c>
      <c r="D562" s="15" t="str">
        <f>IFERROR(__xludf.DUMMYFUNCTION("""COMPUTED_VALUE"""),"IGO")</f>
        <v>IGO</v>
      </c>
      <c r="E562" s="15" t="str">
        <f>IFERROR(__xludf.DUMMYFUNCTION("""COMPUTED_VALUE"""),"ESPACO CALCADOS LTDA")</f>
        <v>ESPACO CALCADOS LTDA</v>
      </c>
      <c r="F562" s="15" t="str">
        <f>IFERROR(__xludf.DUMMYFUNCTION("""COMPUTED_VALUE"""),"TRIFIL")</f>
        <v>TRIFIL</v>
      </c>
      <c r="G562" s="15" t="str">
        <f>IFERROR(__xludf.DUMMYFUNCTION("""COMPUTED_VALUE"""),"266806906")</f>
        <v>266806906</v>
      </c>
      <c r="H562" s="15" t="str">
        <f>IFERROR(__xludf.DUMMYFUNCTION("""COMPUTED_VALUE"""),"1305998")</f>
        <v>1305998</v>
      </c>
      <c r="I562" s="15" t="str">
        <f>IFERROR(__xludf.DUMMYFUNCTION("""COMPUTED_VALUE"""),"8177265")</f>
        <v>8177265</v>
      </c>
      <c r="J562" s="15" t="str">
        <f>IFERROR(__xludf.DUMMYFUNCTION("""COMPUTED_VALUE"""),"CIF")</f>
        <v>CIF</v>
      </c>
      <c r="K562" s="15" t="str">
        <f>IFERROR(__xludf.DUMMYFUNCTION("""COMPUTED_VALUE"""),"(sem célula)")</f>
        <v>(sem célula)</v>
      </c>
      <c r="L562" s="15" t="str">
        <f>IFERROR(__xludf.DUMMYFUNCTION("""COMPUTED_VALUE"""),"AUTORIZADO")</f>
        <v>AUTORIZADO</v>
      </c>
      <c r="M562" s="15" t="str">
        <f>IFERROR(__xludf.DUMMYFUNCTION("""COMPUTED_VALUE"""),"NA ORIGEM")</f>
        <v>NA ORIGEM</v>
      </c>
      <c r="N562" s="15" t="str">
        <f>IFERROR(__xludf.DUMMYFUNCTION("""COMPUTED_VALUE"""),"Antes Prazo")</f>
        <v>Antes Prazo</v>
      </c>
      <c r="O562" s="15" t="str">
        <f>IFERROR(__xludf.DUMMYFUNCTION("""COMPUTED_VALUE"""),"B2B")</f>
        <v>B2B</v>
      </c>
      <c r="P562" s="16">
        <f>IFERROR(__xludf.DUMMYFUNCTION("""COMPUTED_VALUE"""),63.12)</f>
        <v>63.12</v>
      </c>
      <c r="Q562" s="15">
        <f>IFERROR(__xludf.DUMMYFUNCTION("""COMPUTED_VALUE"""),1.0)</f>
        <v>1</v>
      </c>
      <c r="R562" s="15" t="str">
        <f>IFERROR(__xludf.DUMMYFUNCTION("""COMPUTED_VALUE"""),"RODO")</f>
        <v>RODO</v>
      </c>
      <c r="S562" s="15" t="str">
        <f>IFERROR(__xludf.DUMMYFUNCTION("""COMPUTED_VALUE"""),"ITN")</f>
        <v>ITN</v>
      </c>
      <c r="T562" s="15" t="str">
        <f>IFERROR(__xludf.DUMMYFUNCTION("""COMPUTED_VALUE"""),"300")</f>
        <v>300</v>
      </c>
      <c r="U562" s="15" t="str">
        <f>IFERROR(__xludf.DUMMYFUNCTION("""COMPUTED_VALUE"""),"266806906 1305998 8177265 espaco calcados ltda trifil igo 300")</f>
        <v>266806906 1305998 8177265 espaco calcados ltda trifil igo 300</v>
      </c>
      <c r="V562" s="15" t="b">
        <f>IFERROR(__xludf.DUMMYFUNCTION("""COMPUTED_VALUE"""),FALSE)</f>
        <v>0</v>
      </c>
    </row>
    <row r="563">
      <c r="A563" s="19">
        <f>IFERROR(__xludf.DUMMYFUNCTION("""COMPUTED_VALUE"""),46304.0)</f>
        <v>46304</v>
      </c>
      <c r="B563" s="19">
        <f>IFERROR(__xludf.DUMMYFUNCTION("""COMPUTED_VALUE"""),46322.0)</f>
        <v>46322</v>
      </c>
      <c r="C563" s="15">
        <f>IFERROR(__xludf.DUMMYFUNCTION("""COMPUTED_VALUE"""),11.0)</f>
        <v>11</v>
      </c>
      <c r="D563" s="15" t="str">
        <f>IFERROR(__xludf.DUMMYFUNCTION("""COMPUTED_VALUE"""),"IGO")</f>
        <v>IGO</v>
      </c>
      <c r="E563" s="15" t="str">
        <f>IFERROR(__xludf.DUMMYFUNCTION("""COMPUTED_VALUE"""),"MUNDIAL CONFECCOES POSSE LTDA ME")</f>
        <v>MUNDIAL CONFECCOES POSSE LTDA ME</v>
      </c>
      <c r="F563" s="15" t="str">
        <f>IFERROR(__xludf.DUMMYFUNCTION("""COMPUTED_VALUE"""),"TRIFIL")</f>
        <v>TRIFIL</v>
      </c>
      <c r="G563" s="15" t="str">
        <f>IFERROR(__xludf.DUMMYFUNCTION("""COMPUTED_VALUE"""),"266806908")</f>
        <v>266806908</v>
      </c>
      <c r="H563" s="15" t="str">
        <f>IFERROR(__xludf.DUMMYFUNCTION("""COMPUTED_VALUE"""),"1306259")</f>
        <v>1306259</v>
      </c>
      <c r="I563" s="15" t="str">
        <f>IFERROR(__xludf.DUMMYFUNCTION("""COMPUTED_VALUE"""),"8177355")</f>
        <v>8177355</v>
      </c>
      <c r="J563" s="15" t="str">
        <f>IFERROR(__xludf.DUMMYFUNCTION("""COMPUTED_VALUE"""),"CIF")</f>
        <v>CIF</v>
      </c>
      <c r="K563" s="15" t="str">
        <f>IFERROR(__xludf.DUMMYFUNCTION("""COMPUTED_VALUE"""),"SAO-1")</f>
        <v>SAO-1</v>
      </c>
      <c r="L563" s="15" t="str">
        <f>IFERROR(__xludf.DUMMYFUNCTION("""COMPUTED_VALUE"""),"AUTORIZADO")</f>
        <v>AUTORIZADO</v>
      </c>
      <c r="M563" s="15" t="str">
        <f>IFERROR(__xludf.DUMMYFUNCTION("""COMPUTED_VALUE"""),"NA ORIGEM")</f>
        <v>NA ORIGEM</v>
      </c>
      <c r="N563" s="15" t="str">
        <f>IFERROR(__xludf.DUMMYFUNCTION("""COMPUTED_VALUE"""),"Antes Prazo")</f>
        <v>Antes Prazo</v>
      </c>
      <c r="O563" s="15" t="str">
        <f>IFERROR(__xludf.DUMMYFUNCTION("""COMPUTED_VALUE"""),"B2B")</f>
        <v>B2B</v>
      </c>
      <c r="P563" s="16">
        <f>IFERROR(__xludf.DUMMYFUNCTION("""COMPUTED_VALUE"""),63.12)</f>
        <v>63.12</v>
      </c>
      <c r="Q563" s="15">
        <f>IFERROR(__xludf.DUMMYFUNCTION("""COMPUTED_VALUE"""),1.0)</f>
        <v>1</v>
      </c>
      <c r="R563" s="15" t="str">
        <f>IFERROR(__xludf.DUMMYFUNCTION("""COMPUTED_VALUE"""),"RODO")</f>
        <v>RODO</v>
      </c>
      <c r="S563" s="15" t="str">
        <f>IFERROR(__xludf.DUMMYFUNCTION("""COMPUTED_VALUE"""),"ITN")</f>
        <v>ITN</v>
      </c>
      <c r="T563" s="15" t="str">
        <f>IFERROR(__xludf.DUMMYFUNCTION("""COMPUTED_VALUE"""),"300")</f>
        <v>300</v>
      </c>
      <c r="U563" s="15" t="str">
        <f>IFERROR(__xludf.DUMMYFUNCTION("""COMPUTED_VALUE"""),"266806908 1306259 8177355 mundial confeccoes posse ltda me trifil igo 300")</f>
        <v>266806908 1306259 8177355 mundial confeccoes posse ltda me trifil igo 300</v>
      </c>
      <c r="V563" s="15" t="b">
        <f>IFERROR(__xludf.DUMMYFUNCTION("""COMPUTED_VALUE"""),FALSE)</f>
        <v>0</v>
      </c>
    </row>
    <row r="564">
      <c r="A564" s="19">
        <f>IFERROR(__xludf.DUMMYFUNCTION("""COMPUTED_VALUE"""),46304.0)</f>
        <v>46304</v>
      </c>
      <c r="B564" s="19">
        <f>IFERROR(__xludf.DUMMYFUNCTION("""COMPUTED_VALUE"""),46316.0)</f>
        <v>46316</v>
      </c>
      <c r="C564" s="15">
        <f>IFERROR(__xludf.DUMMYFUNCTION("""COMPUTED_VALUE"""),7.0)</f>
        <v>7</v>
      </c>
      <c r="D564" s="15" t="str">
        <f>IFERROR(__xludf.DUMMYFUNCTION("""COMPUTED_VALUE"""),"GYN")</f>
        <v>GYN</v>
      </c>
      <c r="E564" s="15" t="str">
        <f>IFERROR(__xludf.DUMMYFUNCTION("""COMPUTED_VALUE"""),"MODELLE SE LINGERIES FUNCIONAIS LTDA")</f>
        <v>MODELLE SE LINGERIES FUNCIONAIS LTDA</v>
      </c>
      <c r="F564" s="15" t="str">
        <f>IFERROR(__xludf.DUMMYFUNCTION("""COMPUTED_VALUE"""),"TRIFIL")</f>
        <v>TRIFIL</v>
      </c>
      <c r="G564" s="15" t="str">
        <f>IFERROR(__xludf.DUMMYFUNCTION("""COMPUTED_VALUE"""),"266806909")</f>
        <v>266806909</v>
      </c>
      <c r="H564" s="15" t="str">
        <f>IFERROR(__xludf.DUMMYFUNCTION("""COMPUTED_VALUE"""),"1305996")</f>
        <v>1305996</v>
      </c>
      <c r="I564" s="15" t="str">
        <f>IFERROR(__xludf.DUMMYFUNCTION("""COMPUTED_VALUE"""),"8177203")</f>
        <v>8177203</v>
      </c>
      <c r="J564" s="15" t="str">
        <f>IFERROR(__xludf.DUMMYFUNCTION("""COMPUTED_VALUE"""),"CIF")</f>
        <v>CIF</v>
      </c>
      <c r="K564" s="15" t="str">
        <f>IFERROR(__xludf.DUMMYFUNCTION("""COMPUTED_VALUE"""),"SAO-1")</f>
        <v>SAO-1</v>
      </c>
      <c r="L564" s="15" t="str">
        <f>IFERROR(__xludf.DUMMYFUNCTION("""COMPUTED_VALUE"""),"AUTORIZADO")</f>
        <v>AUTORIZADO</v>
      </c>
      <c r="M564" s="15" t="str">
        <f>IFERROR(__xludf.DUMMYFUNCTION("""COMPUTED_VALUE"""),"NA ORIGEM")</f>
        <v>NA ORIGEM</v>
      </c>
      <c r="N564" s="15" t="str">
        <f>IFERROR(__xludf.DUMMYFUNCTION("""COMPUTED_VALUE"""),"Antes Prazo")</f>
        <v>Antes Prazo</v>
      </c>
      <c r="O564" s="15" t="str">
        <f>IFERROR(__xludf.DUMMYFUNCTION("""COMPUTED_VALUE"""),"B2B")</f>
        <v>B2B</v>
      </c>
      <c r="P564" s="16">
        <f>IFERROR(__xludf.DUMMYFUNCTION("""COMPUTED_VALUE"""),56.59)</f>
        <v>56.59</v>
      </c>
      <c r="Q564" s="15">
        <f>IFERROR(__xludf.DUMMYFUNCTION("""COMPUTED_VALUE"""),4.0)</f>
        <v>4</v>
      </c>
      <c r="R564" s="15" t="str">
        <f>IFERROR(__xludf.DUMMYFUNCTION("""COMPUTED_VALUE"""),"RODO")</f>
        <v>RODO</v>
      </c>
      <c r="S564" s="15" t="str">
        <f>IFERROR(__xludf.DUMMYFUNCTION("""COMPUTED_VALUE"""),"ITN")</f>
        <v>ITN</v>
      </c>
      <c r="T564" s="15" t="str">
        <f>IFERROR(__xludf.DUMMYFUNCTION("""COMPUTED_VALUE"""),"5")</f>
        <v>5</v>
      </c>
      <c r="U564" s="15" t="str">
        <f>IFERROR(__xludf.DUMMYFUNCTION("""COMPUTED_VALUE"""),"266806909 1305996 8177203 modelle se lingeries funcionais ltda trifil gyn 5")</f>
        <v>266806909 1305996 8177203 modelle se lingeries funcionais ltda trifil gyn 5</v>
      </c>
      <c r="V564" s="15" t="b">
        <f>IFERROR(__xludf.DUMMYFUNCTION("""COMPUTED_VALUE"""),FALSE)</f>
        <v>0</v>
      </c>
    </row>
    <row r="565">
      <c r="A565" s="19">
        <f>IFERROR(__xludf.DUMMYFUNCTION("""COMPUTED_VALUE"""),46304.0)</f>
        <v>46304</v>
      </c>
      <c r="B565" s="19">
        <f>IFERROR(__xludf.DUMMYFUNCTION("""COMPUTED_VALUE"""),46316.0)</f>
        <v>46316</v>
      </c>
      <c r="C565" s="15">
        <f>IFERROR(__xludf.DUMMYFUNCTION("""COMPUTED_VALUE"""),7.0)</f>
        <v>7</v>
      </c>
      <c r="D565" s="15" t="str">
        <f>IFERROR(__xludf.DUMMYFUNCTION("""COMPUTED_VALUE"""),"GYN")</f>
        <v>GYN</v>
      </c>
      <c r="E565" s="15" t="str">
        <f>IFERROR(__xludf.DUMMYFUNCTION("""COMPUTED_VALUE"""),"TECIDOS UNIVERSO LTDA - EPP")</f>
        <v>TECIDOS UNIVERSO LTDA - EPP</v>
      </c>
      <c r="F565" s="15" t="str">
        <f>IFERROR(__xludf.DUMMYFUNCTION("""COMPUTED_VALUE"""),"TRIFIL")</f>
        <v>TRIFIL</v>
      </c>
      <c r="G565" s="15" t="str">
        <f>IFERROR(__xludf.DUMMYFUNCTION("""COMPUTED_VALUE"""),"266806911")</f>
        <v>266806911</v>
      </c>
      <c r="H565" s="15" t="str">
        <f>IFERROR(__xludf.DUMMYFUNCTION("""COMPUTED_VALUE"""),"1305842")</f>
        <v>1305842</v>
      </c>
      <c r="I565" s="15" t="str">
        <f>IFERROR(__xludf.DUMMYFUNCTION("""COMPUTED_VALUE"""),"8177266")</f>
        <v>8177266</v>
      </c>
      <c r="J565" s="15" t="str">
        <f>IFERROR(__xludf.DUMMYFUNCTION("""COMPUTED_VALUE"""),"CIF")</f>
        <v>CIF</v>
      </c>
      <c r="K565" s="15" t="str">
        <f>IFERROR(__xludf.DUMMYFUNCTION("""COMPUTED_VALUE"""),"(sem célula)")</f>
        <v>(sem célula)</v>
      </c>
      <c r="L565" s="15" t="str">
        <f>IFERROR(__xludf.DUMMYFUNCTION("""COMPUTED_VALUE"""),"AUTORIZADO")</f>
        <v>AUTORIZADO</v>
      </c>
      <c r="M565" s="15" t="str">
        <f>IFERROR(__xludf.DUMMYFUNCTION("""COMPUTED_VALUE"""),"NA ORIGEM")</f>
        <v>NA ORIGEM</v>
      </c>
      <c r="N565" s="15" t="str">
        <f>IFERROR(__xludf.DUMMYFUNCTION("""COMPUTED_VALUE"""),"Antes Prazo")</f>
        <v>Antes Prazo</v>
      </c>
      <c r="O565" s="15" t="str">
        <f>IFERROR(__xludf.DUMMYFUNCTION("""COMPUTED_VALUE"""),"B2B")</f>
        <v>B2B</v>
      </c>
      <c r="P565" s="16">
        <f>IFERROR(__xludf.DUMMYFUNCTION("""COMPUTED_VALUE"""),56.59)</f>
        <v>56.59</v>
      </c>
      <c r="Q565" s="15">
        <f>IFERROR(__xludf.DUMMYFUNCTION("""COMPUTED_VALUE"""),1.0)</f>
        <v>1</v>
      </c>
      <c r="R565" s="15" t="str">
        <f>IFERROR(__xludf.DUMMYFUNCTION("""COMPUTED_VALUE"""),"RODO")</f>
        <v>RODO</v>
      </c>
      <c r="S565" s="15" t="str">
        <f>IFERROR(__xludf.DUMMYFUNCTION("""COMPUTED_VALUE"""),"ITN")</f>
        <v>ITN</v>
      </c>
      <c r="T565" s="15" t="str">
        <f>IFERROR(__xludf.DUMMYFUNCTION("""COMPUTED_VALUE"""),"8")</f>
        <v>8</v>
      </c>
      <c r="U565" s="15" t="str">
        <f>IFERROR(__xludf.DUMMYFUNCTION("""COMPUTED_VALUE"""),"266806911 1305842 8177266 tecidos universo ltda - epp trifil gyn 8")</f>
        <v>266806911 1305842 8177266 tecidos universo ltda - epp trifil gyn 8</v>
      </c>
      <c r="V565" s="15" t="b">
        <f>IFERROR(__xludf.DUMMYFUNCTION("""COMPUTED_VALUE"""),FALSE)</f>
        <v>0</v>
      </c>
    </row>
    <row r="566">
      <c r="A566" s="19">
        <f>IFERROR(__xludf.DUMMYFUNCTION("""COMPUTED_VALUE"""),46304.0)</f>
        <v>46304</v>
      </c>
      <c r="B566" s="19">
        <f>IFERROR(__xludf.DUMMYFUNCTION("""COMPUTED_VALUE"""),46316.0)</f>
        <v>46316</v>
      </c>
      <c r="C566" s="15">
        <f>IFERROR(__xludf.DUMMYFUNCTION("""COMPUTED_VALUE"""),7.0)</f>
        <v>7</v>
      </c>
      <c r="D566" s="15" t="str">
        <f>IFERROR(__xludf.DUMMYFUNCTION("""COMPUTED_VALUE"""),"GYN")</f>
        <v>GYN</v>
      </c>
      <c r="E566" s="15" t="str">
        <f>IFERROR(__xludf.DUMMYFUNCTION("""COMPUTED_VALUE"""),"GRANDE RIO COMERCIAL DE CONFECCOES")</f>
        <v>GRANDE RIO COMERCIAL DE CONFECCOES</v>
      </c>
      <c r="F566" s="15" t="str">
        <f>IFERROR(__xludf.DUMMYFUNCTION("""COMPUTED_VALUE"""),"TRIFIL")</f>
        <v>TRIFIL</v>
      </c>
      <c r="G566" s="15" t="str">
        <f>IFERROR(__xludf.DUMMYFUNCTION("""COMPUTED_VALUE"""),"266806913")</f>
        <v>266806913</v>
      </c>
      <c r="H566" s="15" t="str">
        <f>IFERROR(__xludf.DUMMYFUNCTION("""COMPUTED_VALUE"""),"1305968")</f>
        <v>1305968</v>
      </c>
      <c r="I566" s="15" t="str">
        <f>IFERROR(__xludf.DUMMYFUNCTION("""COMPUTED_VALUE"""),"8177231")</f>
        <v>8177231</v>
      </c>
      <c r="J566" s="15" t="str">
        <f>IFERROR(__xludf.DUMMYFUNCTION("""COMPUTED_VALUE"""),"CIF")</f>
        <v>CIF</v>
      </c>
      <c r="K566" s="15" t="str">
        <f>IFERROR(__xludf.DUMMYFUNCTION("""COMPUTED_VALUE"""),"(sem célula)")</f>
        <v>(sem célula)</v>
      </c>
      <c r="L566" s="15" t="str">
        <f>IFERROR(__xludf.DUMMYFUNCTION("""COMPUTED_VALUE"""),"AUTORIZADO")</f>
        <v>AUTORIZADO</v>
      </c>
      <c r="M566" s="15" t="str">
        <f>IFERROR(__xludf.DUMMYFUNCTION("""COMPUTED_VALUE"""),"NA ORIGEM")</f>
        <v>NA ORIGEM</v>
      </c>
      <c r="N566" s="15" t="str">
        <f>IFERROR(__xludf.DUMMYFUNCTION("""COMPUTED_VALUE"""),"Antes Prazo")</f>
        <v>Antes Prazo</v>
      </c>
      <c r="O566" s="15" t="str">
        <f>IFERROR(__xludf.DUMMYFUNCTION("""COMPUTED_VALUE"""),"B2B")</f>
        <v>B2B</v>
      </c>
      <c r="P566" s="16">
        <f>IFERROR(__xludf.DUMMYFUNCTION("""COMPUTED_VALUE"""),56.59)</f>
        <v>56.59</v>
      </c>
      <c r="Q566" s="15">
        <f>IFERROR(__xludf.DUMMYFUNCTION("""COMPUTED_VALUE"""),1.0)</f>
        <v>1</v>
      </c>
      <c r="R566" s="15" t="str">
        <f>IFERROR(__xludf.DUMMYFUNCTION("""COMPUTED_VALUE"""),"RODO")</f>
        <v>RODO</v>
      </c>
      <c r="S566" s="15" t="str">
        <f>IFERROR(__xludf.DUMMYFUNCTION("""COMPUTED_VALUE"""),"ITN")</f>
        <v>ITN</v>
      </c>
      <c r="T566" s="15" t="str">
        <f>IFERROR(__xludf.DUMMYFUNCTION("""COMPUTED_VALUE"""),"14")</f>
        <v>14</v>
      </c>
      <c r="U566" s="15" t="str">
        <f>IFERROR(__xludf.DUMMYFUNCTION("""COMPUTED_VALUE"""),"266806913 1305968 8177231 grande rio comercial de confeccoes trifil gyn 14")</f>
        <v>266806913 1305968 8177231 grande rio comercial de confeccoes trifil gyn 14</v>
      </c>
      <c r="V566" s="15" t="b">
        <f>IFERROR(__xludf.DUMMYFUNCTION("""COMPUTED_VALUE"""),FALSE)</f>
        <v>0</v>
      </c>
    </row>
    <row r="567">
      <c r="A567" s="19">
        <f>IFERROR(__xludf.DUMMYFUNCTION("""COMPUTED_VALUE"""),46304.0)</f>
        <v>46304</v>
      </c>
      <c r="B567" s="19">
        <f>IFERROR(__xludf.DUMMYFUNCTION("""COMPUTED_VALUE"""),46321.0)</f>
        <v>46321</v>
      </c>
      <c r="C567" s="15">
        <f>IFERROR(__xludf.DUMMYFUNCTION("""COMPUTED_VALUE"""),10.0)</f>
        <v>10</v>
      </c>
      <c r="D567" s="15" t="str">
        <f>IFERROR(__xludf.DUMMYFUNCTION("""COMPUTED_VALUE"""),"ITG")</f>
        <v>ITG</v>
      </c>
      <c r="E567" s="15" t="str">
        <f>IFERROR(__xludf.DUMMYFUNCTION("""COMPUTED_VALUE"""),"ROSEMEIRE APARECIDA DE REZENDE(000100218")</f>
        <v>ROSEMEIRE APARECIDA DE REZENDE(000100218</v>
      </c>
      <c r="F567" s="15" t="str">
        <f>IFERROR(__xludf.DUMMYFUNCTION("""COMPUTED_VALUE"""),"TRIFIL")</f>
        <v>TRIFIL</v>
      </c>
      <c r="G567" s="15" t="str">
        <f>IFERROR(__xludf.DUMMYFUNCTION("""COMPUTED_VALUE"""),"266806915")</f>
        <v>266806915</v>
      </c>
      <c r="H567" s="15" t="str">
        <f>IFERROR(__xludf.DUMMYFUNCTION("""COMPUTED_VALUE"""),"1306201")</f>
        <v>1306201</v>
      </c>
      <c r="I567" s="15" t="str">
        <f>IFERROR(__xludf.DUMMYFUNCTION("""COMPUTED_VALUE"""),"8177331")</f>
        <v>8177331</v>
      </c>
      <c r="J567" s="15" t="str">
        <f>IFERROR(__xludf.DUMMYFUNCTION("""COMPUTED_VALUE"""),"CIF")</f>
        <v>CIF</v>
      </c>
      <c r="K567" s="15" t="str">
        <f>IFERROR(__xludf.DUMMYFUNCTION("""COMPUTED_VALUE"""),"(sem célula)")</f>
        <v>(sem célula)</v>
      </c>
      <c r="L567" s="15" t="str">
        <f>IFERROR(__xludf.DUMMYFUNCTION("""COMPUTED_VALUE"""),"AUTORIZADO")</f>
        <v>AUTORIZADO</v>
      </c>
      <c r="M567" s="15" t="str">
        <f>IFERROR(__xludf.DUMMYFUNCTION("""COMPUTED_VALUE"""),"NA ORIGEM")</f>
        <v>NA ORIGEM</v>
      </c>
      <c r="N567" s="15" t="str">
        <f>IFERROR(__xludf.DUMMYFUNCTION("""COMPUTED_VALUE"""),"Antes Prazo")</f>
        <v>Antes Prazo</v>
      </c>
      <c r="O567" s="15" t="str">
        <f>IFERROR(__xludf.DUMMYFUNCTION("""COMPUTED_VALUE"""),"B2B")</f>
        <v>B2B</v>
      </c>
      <c r="P567" s="16">
        <f>IFERROR(__xludf.DUMMYFUNCTION("""COMPUTED_VALUE"""),63.12)</f>
        <v>63.12</v>
      </c>
      <c r="Q567" s="15">
        <f>IFERROR(__xludf.DUMMYFUNCTION("""COMPUTED_VALUE"""),1.0)</f>
        <v>1</v>
      </c>
      <c r="R567" s="15" t="str">
        <f>IFERROR(__xludf.DUMMYFUNCTION("""COMPUTED_VALUE"""),"RODO")</f>
        <v>RODO</v>
      </c>
      <c r="S567" s="15" t="str">
        <f>IFERROR(__xludf.DUMMYFUNCTION("""COMPUTED_VALUE"""),"ITN")</f>
        <v>ITN</v>
      </c>
      <c r="T567" s="15" t="str">
        <f>IFERROR(__xludf.DUMMYFUNCTION("""COMPUTED_VALUE"""),"102")</f>
        <v>102</v>
      </c>
      <c r="U567" s="15" t="str">
        <f>IFERROR(__xludf.DUMMYFUNCTION("""COMPUTED_VALUE"""),"266806915 1306201 8177331 rosemeire aparecida de rezende(000100218 trifil itg 102")</f>
        <v>266806915 1306201 8177331 rosemeire aparecida de rezende(000100218 trifil itg 102</v>
      </c>
      <c r="V567" s="15" t="b">
        <f>IFERROR(__xludf.DUMMYFUNCTION("""COMPUTED_VALUE"""),FALSE)</f>
        <v>0</v>
      </c>
    </row>
    <row r="568">
      <c r="A568" s="19">
        <f>IFERROR(__xludf.DUMMYFUNCTION("""COMPUTED_VALUE"""),46304.0)</f>
        <v>46304</v>
      </c>
      <c r="B568" s="19">
        <f>IFERROR(__xludf.DUMMYFUNCTION("""COMPUTED_VALUE"""),46318.0)</f>
        <v>46318</v>
      </c>
      <c r="C568" s="15">
        <f>IFERROR(__xludf.DUMMYFUNCTION("""COMPUTED_VALUE"""),9.0)</f>
        <v>9</v>
      </c>
      <c r="D568" s="15" t="str">
        <f>IFERROR(__xludf.DUMMYFUNCTION("""COMPUTED_VALUE"""),"IGO")</f>
        <v>IGO</v>
      </c>
      <c r="E568" s="15" t="str">
        <f>IFERROR(__xludf.DUMMYFUNCTION("""COMPUTED_VALUE"""),"STEFANI E SILVA LTDA")</f>
        <v>STEFANI E SILVA LTDA</v>
      </c>
      <c r="F568" s="15" t="str">
        <f>IFERROR(__xludf.DUMMYFUNCTION("""COMPUTED_VALUE"""),"TRIFIL")</f>
        <v>TRIFIL</v>
      </c>
      <c r="G568" s="15" t="str">
        <f>IFERROR(__xludf.DUMMYFUNCTION("""COMPUTED_VALUE"""),"266806917")</f>
        <v>266806917</v>
      </c>
      <c r="H568" s="15" t="str">
        <f>IFERROR(__xludf.DUMMYFUNCTION("""COMPUTED_VALUE"""),"1306213")</f>
        <v>1306213</v>
      </c>
      <c r="I568" s="15" t="str">
        <f>IFERROR(__xludf.DUMMYFUNCTION("""COMPUTED_VALUE"""),"8177169")</f>
        <v>8177169</v>
      </c>
      <c r="J568" s="15" t="str">
        <f>IFERROR(__xludf.DUMMYFUNCTION("""COMPUTED_VALUE"""),"CIF")</f>
        <v>CIF</v>
      </c>
      <c r="K568" s="15" t="str">
        <f>IFERROR(__xludf.DUMMYFUNCTION("""COMPUTED_VALUE"""),"(sem célula)")</f>
        <v>(sem célula)</v>
      </c>
      <c r="L568" s="15" t="str">
        <f>IFERROR(__xludf.DUMMYFUNCTION("""COMPUTED_VALUE"""),"AUTORIZADO")</f>
        <v>AUTORIZADO</v>
      </c>
      <c r="M568" s="15" t="str">
        <f>IFERROR(__xludf.DUMMYFUNCTION("""COMPUTED_VALUE"""),"NA ORIGEM")</f>
        <v>NA ORIGEM</v>
      </c>
      <c r="N568" s="15" t="str">
        <f>IFERROR(__xludf.DUMMYFUNCTION("""COMPUTED_VALUE"""),"Antes Prazo")</f>
        <v>Antes Prazo</v>
      </c>
      <c r="O568" s="15" t="str">
        <f>IFERROR(__xludf.DUMMYFUNCTION("""COMPUTED_VALUE"""),"B2B")</f>
        <v>B2B</v>
      </c>
      <c r="P568" s="16">
        <f>IFERROR(__xludf.DUMMYFUNCTION("""COMPUTED_VALUE"""),56.59)</f>
        <v>56.59</v>
      </c>
      <c r="Q568" s="15">
        <f>IFERROR(__xludf.DUMMYFUNCTION("""COMPUTED_VALUE"""),1.0)</f>
        <v>1</v>
      </c>
      <c r="R568" s="15" t="str">
        <f>IFERROR(__xludf.DUMMYFUNCTION("""COMPUTED_VALUE"""),"RODO")</f>
        <v>RODO</v>
      </c>
      <c r="S568" s="15" t="str">
        <f>IFERROR(__xludf.DUMMYFUNCTION("""COMPUTED_VALUE"""),"ITN")</f>
        <v>ITN</v>
      </c>
      <c r="T568" s="15" t="str">
        <f>IFERROR(__xludf.DUMMYFUNCTION("""COMPUTED_VALUE"""),"320")</f>
        <v>320</v>
      </c>
      <c r="U568" s="15" t="str">
        <f>IFERROR(__xludf.DUMMYFUNCTION("""COMPUTED_VALUE"""),"266806917 1306213 8177169 stefani e silva ltda trifil igo 320")</f>
        <v>266806917 1306213 8177169 stefani e silva ltda trifil igo 320</v>
      </c>
      <c r="V568" s="15" t="b">
        <f>IFERROR(__xludf.DUMMYFUNCTION("""COMPUTED_VALUE"""),FALSE)</f>
        <v>0</v>
      </c>
    </row>
    <row r="569">
      <c r="A569" s="19">
        <f>IFERROR(__xludf.DUMMYFUNCTION("""COMPUTED_VALUE"""),46304.0)</f>
        <v>46304</v>
      </c>
      <c r="B569" s="19">
        <f>IFERROR(__xludf.DUMMYFUNCTION("""COMPUTED_VALUE"""),46318.0)</f>
        <v>46318</v>
      </c>
      <c r="C569" s="15">
        <f>IFERROR(__xludf.DUMMYFUNCTION("""COMPUTED_VALUE"""),9.0)</f>
        <v>9</v>
      </c>
      <c r="D569" s="15" t="str">
        <f>IFERROR(__xludf.DUMMYFUNCTION("""COMPUTED_VALUE"""),"IGO")</f>
        <v>IGO</v>
      </c>
      <c r="E569" s="15" t="str">
        <f>IFERROR(__xludf.DUMMYFUNCTION("""COMPUTED_VALUE"""),"ANA JULIA MODA INTIMA")</f>
        <v>ANA JULIA MODA INTIMA</v>
      </c>
      <c r="F569" s="15" t="str">
        <f>IFERROR(__xludf.DUMMYFUNCTION("""COMPUTED_VALUE"""),"TRIFIL")</f>
        <v>TRIFIL</v>
      </c>
      <c r="G569" s="15" t="str">
        <f>IFERROR(__xludf.DUMMYFUNCTION("""COMPUTED_VALUE"""),"266806919")</f>
        <v>266806919</v>
      </c>
      <c r="H569" s="15" t="str">
        <f>IFERROR(__xludf.DUMMYFUNCTION("""COMPUTED_VALUE"""),"1305977")</f>
        <v>1305977</v>
      </c>
      <c r="I569" s="15" t="str">
        <f>IFERROR(__xludf.DUMMYFUNCTION("""COMPUTED_VALUE"""),"8177356")</f>
        <v>8177356</v>
      </c>
      <c r="J569" s="15" t="str">
        <f>IFERROR(__xludf.DUMMYFUNCTION("""COMPUTED_VALUE"""),"CIF")</f>
        <v>CIF</v>
      </c>
      <c r="K569" s="15" t="str">
        <f>IFERROR(__xludf.DUMMYFUNCTION("""COMPUTED_VALUE"""),"SAO-1")</f>
        <v>SAO-1</v>
      </c>
      <c r="L569" s="15" t="str">
        <f>IFERROR(__xludf.DUMMYFUNCTION("""COMPUTED_VALUE"""),"AUTORIZADO")</f>
        <v>AUTORIZADO</v>
      </c>
      <c r="M569" s="15" t="str">
        <f>IFERROR(__xludf.DUMMYFUNCTION("""COMPUTED_VALUE"""),"NA ORIGEM")</f>
        <v>NA ORIGEM</v>
      </c>
      <c r="N569" s="15" t="str">
        <f>IFERROR(__xludf.DUMMYFUNCTION("""COMPUTED_VALUE"""),"Antes Prazo")</f>
        <v>Antes Prazo</v>
      </c>
      <c r="O569" s="15" t="str">
        <f>IFERROR(__xludf.DUMMYFUNCTION("""COMPUTED_VALUE"""),"B2B")</f>
        <v>B2B</v>
      </c>
      <c r="P569" s="16">
        <f>IFERROR(__xludf.DUMMYFUNCTION("""COMPUTED_VALUE"""),63.12)</f>
        <v>63.12</v>
      </c>
      <c r="Q569" s="15">
        <f>IFERROR(__xludf.DUMMYFUNCTION("""COMPUTED_VALUE"""),2.0)</f>
        <v>2</v>
      </c>
      <c r="R569" s="15" t="str">
        <f>IFERROR(__xludf.DUMMYFUNCTION("""COMPUTED_VALUE"""),"RODO")</f>
        <v>RODO</v>
      </c>
      <c r="S569" s="15" t="str">
        <f>IFERROR(__xludf.DUMMYFUNCTION("""COMPUTED_VALUE"""),"ITN")</f>
        <v>ITN</v>
      </c>
      <c r="T569" s="15" t="str">
        <f>IFERROR(__xludf.DUMMYFUNCTION("""COMPUTED_VALUE"""),"330")</f>
        <v>330</v>
      </c>
      <c r="U569" s="15" t="str">
        <f>IFERROR(__xludf.DUMMYFUNCTION("""COMPUTED_VALUE"""),"266806919 1305977 8177356 ana julia moda intima trifil igo 330")</f>
        <v>266806919 1305977 8177356 ana julia moda intima trifil igo 330</v>
      </c>
      <c r="V569" s="15" t="b">
        <f>IFERROR(__xludf.DUMMYFUNCTION("""COMPUTED_VALUE"""),FALSE)</f>
        <v>0</v>
      </c>
    </row>
    <row r="570">
      <c r="A570" s="19">
        <f>IFERROR(__xludf.DUMMYFUNCTION("""COMPUTED_VALUE"""),46304.0)</f>
        <v>46304</v>
      </c>
      <c r="B570" s="19">
        <f>IFERROR(__xludf.DUMMYFUNCTION("""COMPUTED_VALUE"""),46322.0)</f>
        <v>46322</v>
      </c>
      <c r="C570" s="15">
        <f>IFERROR(__xludf.DUMMYFUNCTION("""COMPUTED_VALUE"""),11.0)</f>
        <v>11</v>
      </c>
      <c r="D570" s="15" t="str">
        <f>IFERROR(__xludf.DUMMYFUNCTION("""COMPUTED_VALUE"""),"RVD")</f>
        <v>RVD</v>
      </c>
      <c r="E570" s="15" t="str">
        <f>IFERROR(__xludf.DUMMYFUNCTION("""COMPUTED_VALUE"""),"SONHO MEU")</f>
        <v>SONHO MEU</v>
      </c>
      <c r="F570" s="15" t="str">
        <f>IFERROR(__xludf.DUMMYFUNCTION("""COMPUTED_VALUE"""),"TRIFIL")</f>
        <v>TRIFIL</v>
      </c>
      <c r="G570" s="15" t="str">
        <f>IFERROR(__xludf.DUMMYFUNCTION("""COMPUTED_VALUE"""),"266806921")</f>
        <v>266806921</v>
      </c>
      <c r="H570" s="15" t="str">
        <f>IFERROR(__xludf.DUMMYFUNCTION("""COMPUTED_VALUE"""),"1306193")</f>
        <v>1306193</v>
      </c>
      <c r="I570" s="15" t="str">
        <f>IFERROR(__xludf.DUMMYFUNCTION("""COMPUTED_VALUE"""),"8177170")</f>
        <v>8177170</v>
      </c>
      <c r="J570" s="15" t="str">
        <f>IFERROR(__xludf.DUMMYFUNCTION("""COMPUTED_VALUE"""),"CIF")</f>
        <v>CIF</v>
      </c>
      <c r="K570" s="15" t="str">
        <f>IFERROR(__xludf.DUMMYFUNCTION("""COMPUTED_VALUE"""),"(sem célula)")</f>
        <v>(sem célula)</v>
      </c>
      <c r="L570" s="15" t="str">
        <f>IFERROR(__xludf.DUMMYFUNCTION("""COMPUTED_VALUE"""),"AUTORIZADO")</f>
        <v>AUTORIZADO</v>
      </c>
      <c r="M570" s="15" t="str">
        <f>IFERROR(__xludf.DUMMYFUNCTION("""COMPUTED_VALUE"""),"NA ORIGEM")</f>
        <v>NA ORIGEM</v>
      </c>
      <c r="N570" s="15" t="str">
        <f>IFERROR(__xludf.DUMMYFUNCTION("""COMPUTED_VALUE"""),"Antes Prazo")</f>
        <v>Antes Prazo</v>
      </c>
      <c r="O570" s="15" t="str">
        <f>IFERROR(__xludf.DUMMYFUNCTION("""COMPUTED_VALUE"""),"B2B")</f>
        <v>B2B</v>
      </c>
      <c r="P570" s="16">
        <f>IFERROR(__xludf.DUMMYFUNCTION("""COMPUTED_VALUE"""),63.12)</f>
        <v>63.12</v>
      </c>
      <c r="Q570" s="15">
        <f>IFERROR(__xludf.DUMMYFUNCTION("""COMPUTED_VALUE"""),1.0)</f>
        <v>1</v>
      </c>
      <c r="R570" s="15" t="str">
        <f>IFERROR(__xludf.DUMMYFUNCTION("""COMPUTED_VALUE"""),"RODO")</f>
        <v>RODO</v>
      </c>
      <c r="S570" s="15" t="str">
        <f>IFERROR(__xludf.DUMMYFUNCTION("""COMPUTED_VALUE"""),"ITN")</f>
        <v>ITN</v>
      </c>
      <c r="T570" s="15" t="str">
        <f>IFERROR(__xludf.DUMMYFUNCTION("""COMPUTED_VALUE"""),"102")</f>
        <v>102</v>
      </c>
      <c r="U570" s="15" t="str">
        <f>IFERROR(__xludf.DUMMYFUNCTION("""COMPUTED_VALUE"""),"266806921 1306193 8177170 sonho meu trifil rvd 102")</f>
        <v>266806921 1306193 8177170 sonho meu trifil rvd 102</v>
      </c>
      <c r="V570" s="15" t="b">
        <f>IFERROR(__xludf.DUMMYFUNCTION("""COMPUTED_VALUE"""),FALSE)</f>
        <v>0</v>
      </c>
    </row>
    <row r="571">
      <c r="A571" s="19">
        <f>IFERROR(__xludf.DUMMYFUNCTION("""COMPUTED_VALUE"""),46304.0)</f>
        <v>46304</v>
      </c>
      <c r="B571" s="19">
        <f>IFERROR(__xludf.DUMMYFUNCTION("""COMPUTED_VALUE"""),46317.0)</f>
        <v>46317</v>
      </c>
      <c r="C571" s="15">
        <f>IFERROR(__xludf.DUMMYFUNCTION("""COMPUTED_VALUE"""),8.0)</f>
        <v>8</v>
      </c>
      <c r="D571" s="15" t="str">
        <f>IFERROR(__xludf.DUMMYFUNCTION("""COMPUTED_VALUE"""),"RVD")</f>
        <v>RVD</v>
      </c>
      <c r="E571" s="15" t="str">
        <f>IFERROR(__xludf.DUMMYFUNCTION("""COMPUTED_VALUE"""),"WILLAGE SHOPPING RIO VERDE")</f>
        <v>WILLAGE SHOPPING RIO VERDE</v>
      </c>
      <c r="F571" s="15" t="str">
        <f>IFERROR(__xludf.DUMMYFUNCTION("""COMPUTED_VALUE"""),"TRIFIL")</f>
        <v>TRIFIL</v>
      </c>
      <c r="G571" s="15" t="str">
        <f>IFERROR(__xludf.DUMMYFUNCTION("""COMPUTED_VALUE"""),"266806923")</f>
        <v>266806923</v>
      </c>
      <c r="H571" s="15" t="str">
        <f>IFERROR(__xludf.DUMMYFUNCTION("""COMPUTED_VALUE"""),"1306298")</f>
        <v>1306298</v>
      </c>
      <c r="I571" s="15" t="str">
        <f>IFERROR(__xludf.DUMMYFUNCTION("""COMPUTED_VALUE"""),"8177119")</f>
        <v>8177119</v>
      </c>
      <c r="J571" s="15" t="str">
        <f>IFERROR(__xludf.DUMMYFUNCTION("""COMPUTED_VALUE"""),"CIF")</f>
        <v>CIF</v>
      </c>
      <c r="K571" s="15" t="str">
        <f>IFERROR(__xludf.DUMMYFUNCTION("""COMPUTED_VALUE"""),"(sem célula)")</f>
        <v>(sem célula)</v>
      </c>
      <c r="L571" s="15" t="str">
        <f>IFERROR(__xludf.DUMMYFUNCTION("""COMPUTED_VALUE"""),"AUTORIZADO")</f>
        <v>AUTORIZADO</v>
      </c>
      <c r="M571" s="15" t="str">
        <f>IFERROR(__xludf.DUMMYFUNCTION("""COMPUTED_VALUE"""),"NA ORIGEM")</f>
        <v>NA ORIGEM</v>
      </c>
      <c r="N571" s="15" t="str">
        <f>IFERROR(__xludf.DUMMYFUNCTION("""COMPUTED_VALUE"""),"Antes Prazo")</f>
        <v>Antes Prazo</v>
      </c>
      <c r="O571" s="15" t="str">
        <f>IFERROR(__xludf.DUMMYFUNCTION("""COMPUTED_VALUE"""),"B2B")</f>
        <v>B2B</v>
      </c>
      <c r="P571" s="16">
        <f>IFERROR(__xludf.DUMMYFUNCTION("""COMPUTED_VALUE"""),64.23)</f>
        <v>64.23</v>
      </c>
      <c r="Q571" s="15">
        <f>IFERROR(__xludf.DUMMYFUNCTION("""COMPUTED_VALUE"""),1.0)</f>
        <v>1</v>
      </c>
      <c r="R571" s="15" t="str">
        <f>IFERROR(__xludf.DUMMYFUNCTION("""COMPUTED_VALUE"""),"RODO")</f>
        <v>RODO</v>
      </c>
      <c r="S571" s="15" t="str">
        <f>IFERROR(__xludf.DUMMYFUNCTION("""COMPUTED_VALUE"""),"ITN")</f>
        <v>ITN</v>
      </c>
      <c r="T571" s="15" t="str">
        <f>IFERROR(__xludf.DUMMYFUNCTION("""COMPUTED_VALUE"""),"5")</f>
        <v>5</v>
      </c>
      <c r="U571" s="15" t="str">
        <f>IFERROR(__xludf.DUMMYFUNCTION("""COMPUTED_VALUE"""),"266806923 1306298 8177119 willage shopping rio verde trifil rvd 5")</f>
        <v>266806923 1306298 8177119 willage shopping rio verde trifil rvd 5</v>
      </c>
      <c r="V571" s="15" t="b">
        <f>IFERROR(__xludf.DUMMYFUNCTION("""COMPUTED_VALUE"""),FALSE)</f>
        <v>0</v>
      </c>
    </row>
    <row r="572">
      <c r="A572" s="19">
        <f>IFERROR(__xludf.DUMMYFUNCTION("""COMPUTED_VALUE"""),46304.0)</f>
        <v>46304</v>
      </c>
      <c r="B572" s="19">
        <f>IFERROR(__xludf.DUMMYFUNCTION("""COMPUTED_VALUE"""),46351.0)</f>
        <v>46351</v>
      </c>
      <c r="C572" s="15">
        <f>IFERROR(__xludf.DUMMYFUNCTION("""COMPUTED_VALUE"""),30.0)</f>
        <v>30</v>
      </c>
      <c r="D572" s="15" t="str">
        <f>IFERROR(__xludf.DUMMYFUNCTION("""COMPUTED_VALUE"""),"PVH")</f>
        <v>PVH</v>
      </c>
      <c r="E572" s="15" t="str">
        <f>IFERROR(__xludf.DUMMYFUNCTION("""COMPUTED_VALUE"""),"ELY CONFECCOES")</f>
        <v>ELY CONFECCOES</v>
      </c>
      <c r="F572" s="15" t="str">
        <f>IFERROR(__xludf.DUMMYFUNCTION("""COMPUTED_VALUE"""),"TRIFIL")</f>
        <v>TRIFIL</v>
      </c>
      <c r="G572" s="15" t="str">
        <f>IFERROR(__xludf.DUMMYFUNCTION("""COMPUTED_VALUE"""),"266806925")</f>
        <v>266806925</v>
      </c>
      <c r="H572" s="15" t="str">
        <f>IFERROR(__xludf.DUMMYFUNCTION("""COMPUTED_VALUE"""),"1306032")</f>
        <v>1306032</v>
      </c>
      <c r="I572" s="15" t="str">
        <f>IFERROR(__xludf.DUMMYFUNCTION("""COMPUTED_VALUE"""),"8177232")</f>
        <v>8177232</v>
      </c>
      <c r="J572" s="15" t="str">
        <f>IFERROR(__xludf.DUMMYFUNCTION("""COMPUTED_VALUE"""),"CIF")</f>
        <v>CIF</v>
      </c>
      <c r="K572" s="15" t="str">
        <f>IFERROR(__xludf.DUMMYFUNCTION("""COMPUTED_VALUE"""),"SAO-1")</f>
        <v>SAO-1</v>
      </c>
      <c r="L572" s="15" t="str">
        <f>IFERROR(__xludf.DUMMYFUNCTION("""COMPUTED_VALUE"""),"AUTORIZADO")</f>
        <v>AUTORIZADO</v>
      </c>
      <c r="M572" s="15" t="str">
        <f>IFERROR(__xludf.DUMMYFUNCTION("""COMPUTED_VALUE"""),"NA ORIGEM")</f>
        <v>NA ORIGEM</v>
      </c>
      <c r="N572" s="15" t="str">
        <f>IFERROR(__xludf.DUMMYFUNCTION("""COMPUTED_VALUE"""),"Antes Prazo")</f>
        <v>Antes Prazo</v>
      </c>
      <c r="O572" s="15" t="str">
        <f>IFERROR(__xludf.DUMMYFUNCTION("""COMPUTED_VALUE"""),"B2B")</f>
        <v>B2B</v>
      </c>
      <c r="P572" s="16">
        <f>IFERROR(__xludf.DUMMYFUNCTION("""COMPUTED_VALUE"""),119.2)</f>
        <v>119.2</v>
      </c>
      <c r="Q572" s="15">
        <f>IFERROR(__xludf.DUMMYFUNCTION("""COMPUTED_VALUE"""),3.0)</f>
        <v>3</v>
      </c>
      <c r="R572" s="15" t="str">
        <f>IFERROR(__xludf.DUMMYFUNCTION("""COMPUTED_VALUE"""),"RODO")</f>
        <v>RODO</v>
      </c>
      <c r="S572" s="15" t="str">
        <f>IFERROR(__xludf.DUMMYFUNCTION("""COMPUTED_VALUE"""),"ITN")</f>
        <v>ITN</v>
      </c>
      <c r="T572" s="15" t="str">
        <f>IFERROR(__xludf.DUMMYFUNCTION("""COMPUTED_VALUE"""),"1")</f>
        <v>1</v>
      </c>
      <c r="U572" s="15" t="str">
        <f>IFERROR(__xludf.DUMMYFUNCTION("""COMPUTED_VALUE"""),"266806925 1306032 8177232 ely confeccoes trifil pvh 1")</f>
        <v>266806925 1306032 8177232 ely confeccoes trifil pvh 1</v>
      </c>
      <c r="V572" s="15" t="b">
        <f>IFERROR(__xludf.DUMMYFUNCTION("""COMPUTED_VALUE"""),FALSE)</f>
        <v>0</v>
      </c>
    </row>
    <row r="573">
      <c r="A573" s="19">
        <f>IFERROR(__xludf.DUMMYFUNCTION("""COMPUTED_VALUE"""),46304.0)</f>
        <v>46304</v>
      </c>
      <c r="B573" s="19">
        <f>IFERROR(__xludf.DUMMYFUNCTION("""COMPUTED_VALUE"""),46350.0)</f>
        <v>46350</v>
      </c>
      <c r="C573" s="15">
        <f>IFERROR(__xludf.DUMMYFUNCTION("""COMPUTED_VALUE"""),29.0)</f>
        <v>29</v>
      </c>
      <c r="D573" s="15" t="str">
        <f>IFERROR(__xludf.DUMMYFUNCTION("""COMPUTED_VALUE"""),"JPR")</f>
        <v>JPR</v>
      </c>
      <c r="E573" s="15" t="str">
        <f>IFERROR(__xludf.DUMMYFUNCTION("""COMPUTED_VALUE"""),"S M M MERA ME")</f>
        <v>S M M MERA ME</v>
      </c>
      <c r="F573" s="15" t="str">
        <f>IFERROR(__xludf.DUMMYFUNCTION("""COMPUTED_VALUE"""),"TRIFIL")</f>
        <v>TRIFIL</v>
      </c>
      <c r="G573" s="15" t="str">
        <f>IFERROR(__xludf.DUMMYFUNCTION("""COMPUTED_VALUE"""),"266806927")</f>
        <v>266806927</v>
      </c>
      <c r="H573" s="15" t="str">
        <f>IFERROR(__xludf.DUMMYFUNCTION("""COMPUTED_VALUE"""),"1306096")</f>
        <v>1306096</v>
      </c>
      <c r="I573" s="15" t="str">
        <f>IFERROR(__xludf.DUMMYFUNCTION("""COMPUTED_VALUE"""),"8177138")</f>
        <v>8177138</v>
      </c>
      <c r="J573" s="15" t="str">
        <f>IFERROR(__xludf.DUMMYFUNCTION("""COMPUTED_VALUE"""),"CIF")</f>
        <v>CIF</v>
      </c>
      <c r="K573" s="15" t="str">
        <f>IFERROR(__xludf.DUMMYFUNCTION("""COMPUTED_VALUE"""),"SAO-1")</f>
        <v>SAO-1</v>
      </c>
      <c r="L573" s="15" t="str">
        <f>IFERROR(__xludf.DUMMYFUNCTION("""COMPUTED_VALUE"""),"AUTORIZADO")</f>
        <v>AUTORIZADO</v>
      </c>
      <c r="M573" s="15" t="str">
        <f>IFERROR(__xludf.DUMMYFUNCTION("""COMPUTED_VALUE"""),"NA ORIGEM")</f>
        <v>NA ORIGEM</v>
      </c>
      <c r="N573" s="15" t="str">
        <f>IFERROR(__xludf.DUMMYFUNCTION("""COMPUTED_VALUE"""),"Antes Prazo")</f>
        <v>Antes Prazo</v>
      </c>
      <c r="O573" s="15" t="str">
        <f>IFERROR(__xludf.DUMMYFUNCTION("""COMPUTED_VALUE"""),"B2B")</f>
        <v>B2B</v>
      </c>
      <c r="P573" s="16">
        <f>IFERROR(__xludf.DUMMYFUNCTION("""COMPUTED_VALUE"""),119.2)</f>
        <v>119.2</v>
      </c>
      <c r="Q573" s="15">
        <f>IFERROR(__xludf.DUMMYFUNCTION("""COMPUTED_VALUE"""),2.0)</f>
        <v>2</v>
      </c>
      <c r="R573" s="15" t="str">
        <f>IFERROR(__xludf.DUMMYFUNCTION("""COMPUTED_VALUE"""),"RODO")</f>
        <v>RODO</v>
      </c>
      <c r="S573" s="15" t="str">
        <f>IFERROR(__xludf.DUMMYFUNCTION("""COMPUTED_VALUE"""),"ITN")</f>
        <v>ITN</v>
      </c>
      <c r="T573" s="15" t="str">
        <f>IFERROR(__xludf.DUMMYFUNCTION("""COMPUTED_VALUE"""),"1")</f>
        <v>1</v>
      </c>
      <c r="U573" s="15" t="str">
        <f>IFERROR(__xludf.DUMMYFUNCTION("""COMPUTED_VALUE"""),"266806927 1306096 8177138 s m m mera me trifil jpr 1")</f>
        <v>266806927 1306096 8177138 s m m mera me trifil jpr 1</v>
      </c>
      <c r="V573" s="15" t="b">
        <f>IFERROR(__xludf.DUMMYFUNCTION("""COMPUTED_VALUE"""),FALSE)</f>
        <v>0</v>
      </c>
    </row>
    <row r="574">
      <c r="A574" s="19">
        <f>IFERROR(__xludf.DUMMYFUNCTION("""COMPUTED_VALUE"""),46304.0)</f>
        <v>46304</v>
      </c>
      <c r="B574" s="19">
        <f>IFERROR(__xludf.DUMMYFUNCTION("""COMPUTED_VALUE"""),46337.0)</f>
        <v>46337</v>
      </c>
      <c r="C574" s="15">
        <f>IFERROR(__xludf.DUMMYFUNCTION("""COMPUTED_VALUE"""),21.0)</f>
        <v>21</v>
      </c>
      <c r="D574" s="15" t="str">
        <f>IFERROR(__xludf.DUMMYFUNCTION("""COMPUTED_VALUE"""),"JPR")</f>
        <v>JPR</v>
      </c>
      <c r="E574" s="15" t="str">
        <f>IFERROR(__xludf.DUMMYFUNCTION("""COMPUTED_VALUE"""),"AMERICANA ARIQUEMES LTDA ME")</f>
        <v>AMERICANA ARIQUEMES LTDA ME</v>
      </c>
      <c r="F574" s="15" t="str">
        <f>IFERROR(__xludf.DUMMYFUNCTION("""COMPUTED_VALUE"""),"TRIFIL")</f>
        <v>TRIFIL</v>
      </c>
      <c r="G574" s="15" t="str">
        <f>IFERROR(__xludf.DUMMYFUNCTION("""COMPUTED_VALUE"""),"266806929")</f>
        <v>266806929</v>
      </c>
      <c r="H574" s="15" t="str">
        <f>IFERROR(__xludf.DUMMYFUNCTION("""COMPUTED_VALUE"""),"1306178")</f>
        <v>1306178</v>
      </c>
      <c r="I574" s="15" t="str">
        <f>IFERROR(__xludf.DUMMYFUNCTION("""COMPUTED_VALUE"""),"8177204")</f>
        <v>8177204</v>
      </c>
      <c r="J574" s="15" t="str">
        <f>IFERROR(__xludf.DUMMYFUNCTION("""COMPUTED_VALUE"""),"CIF")</f>
        <v>CIF</v>
      </c>
      <c r="K574" s="15" t="str">
        <f>IFERROR(__xludf.DUMMYFUNCTION("""COMPUTED_VALUE"""),"(sem célula)")</f>
        <v>(sem célula)</v>
      </c>
      <c r="L574" s="15" t="str">
        <f>IFERROR(__xludf.DUMMYFUNCTION("""COMPUTED_VALUE"""),"AUTORIZADO")</f>
        <v>AUTORIZADO</v>
      </c>
      <c r="M574" s="15" t="str">
        <f>IFERROR(__xludf.DUMMYFUNCTION("""COMPUTED_VALUE"""),"NA ORIGEM")</f>
        <v>NA ORIGEM</v>
      </c>
      <c r="N574" s="15" t="str">
        <f>IFERROR(__xludf.DUMMYFUNCTION("""COMPUTED_VALUE"""),"Antes Prazo")</f>
        <v>Antes Prazo</v>
      </c>
      <c r="O574" s="15" t="str">
        <f>IFERROR(__xludf.DUMMYFUNCTION("""COMPUTED_VALUE"""),"B2B")</f>
        <v>B2B</v>
      </c>
      <c r="P574" s="16">
        <f>IFERROR(__xludf.DUMMYFUNCTION("""COMPUTED_VALUE"""),119.2)</f>
        <v>119.2</v>
      </c>
      <c r="Q574" s="15">
        <f>IFERROR(__xludf.DUMMYFUNCTION("""COMPUTED_VALUE"""),1.0)</f>
        <v>1</v>
      </c>
      <c r="R574" s="15" t="str">
        <f>IFERROR(__xludf.DUMMYFUNCTION("""COMPUTED_VALUE"""),"RODO")</f>
        <v>RODO</v>
      </c>
      <c r="S574" s="15" t="str">
        <f>IFERROR(__xludf.DUMMYFUNCTION("""COMPUTED_VALUE"""),"ITN")</f>
        <v>ITN</v>
      </c>
      <c r="T574" s="15" t="str">
        <f>IFERROR(__xludf.DUMMYFUNCTION("""COMPUTED_VALUE"""),"1")</f>
        <v>1</v>
      </c>
      <c r="U574" s="15" t="str">
        <f>IFERROR(__xludf.DUMMYFUNCTION("""COMPUTED_VALUE"""),"266806929 1306178 8177204 americana ariquemes ltda me trifil jpr 1")</f>
        <v>266806929 1306178 8177204 americana ariquemes ltda me trifil jpr 1</v>
      </c>
      <c r="V574" s="15" t="b">
        <f>IFERROR(__xludf.DUMMYFUNCTION("""COMPUTED_VALUE"""),FALSE)</f>
        <v>0</v>
      </c>
    </row>
    <row r="575">
      <c r="A575" s="19">
        <f>IFERROR(__xludf.DUMMYFUNCTION("""COMPUTED_VALUE"""),46304.0)</f>
        <v>46304</v>
      </c>
      <c r="B575" s="19">
        <f>IFERROR(__xludf.DUMMYFUNCTION("""COMPUTED_VALUE"""),46337.0)</f>
        <v>46337</v>
      </c>
      <c r="C575" s="15">
        <f>IFERROR(__xludf.DUMMYFUNCTION("""COMPUTED_VALUE"""),21.0)</f>
        <v>21</v>
      </c>
      <c r="D575" s="15" t="str">
        <f>IFERROR(__xludf.DUMMYFUNCTION("""COMPUTED_VALUE"""),"JPR")</f>
        <v>JPR</v>
      </c>
      <c r="E575" s="15" t="str">
        <f>IFERROR(__xludf.DUMMYFUNCTION("""COMPUTED_VALUE"""),"BRILHANTE E FERRAZ LTDA")</f>
        <v>BRILHANTE E FERRAZ LTDA</v>
      </c>
      <c r="F575" s="15" t="str">
        <f>IFERROR(__xludf.DUMMYFUNCTION("""COMPUTED_VALUE"""),"TRIFIL")</f>
        <v>TRIFIL</v>
      </c>
      <c r="G575" s="15" t="str">
        <f>IFERROR(__xludf.DUMMYFUNCTION("""COMPUTED_VALUE"""),"266806931")</f>
        <v>266806931</v>
      </c>
      <c r="H575" s="15" t="str">
        <f>IFERROR(__xludf.DUMMYFUNCTION("""COMPUTED_VALUE"""),"1306135")</f>
        <v>1306135</v>
      </c>
      <c r="I575" s="15" t="str">
        <f>IFERROR(__xludf.DUMMYFUNCTION("""COMPUTED_VALUE"""),"8177267")</f>
        <v>8177267</v>
      </c>
      <c r="J575" s="15" t="str">
        <f>IFERROR(__xludf.DUMMYFUNCTION("""COMPUTED_VALUE"""),"CIF")</f>
        <v>CIF</v>
      </c>
      <c r="K575" s="15" t="str">
        <f>IFERROR(__xludf.DUMMYFUNCTION("""COMPUTED_VALUE"""),"SAO-1")</f>
        <v>SAO-1</v>
      </c>
      <c r="L575" s="15" t="str">
        <f>IFERROR(__xludf.DUMMYFUNCTION("""COMPUTED_VALUE"""),"AUTORIZADO")</f>
        <v>AUTORIZADO</v>
      </c>
      <c r="M575" s="15" t="str">
        <f>IFERROR(__xludf.DUMMYFUNCTION("""COMPUTED_VALUE"""),"NA ORIGEM")</f>
        <v>NA ORIGEM</v>
      </c>
      <c r="N575" s="15" t="str">
        <f>IFERROR(__xludf.DUMMYFUNCTION("""COMPUTED_VALUE"""),"Antes Prazo")</f>
        <v>Antes Prazo</v>
      </c>
      <c r="O575" s="15" t="str">
        <f>IFERROR(__xludf.DUMMYFUNCTION("""COMPUTED_VALUE"""),"B2B")</f>
        <v>B2B</v>
      </c>
      <c r="P575" s="16">
        <f>IFERROR(__xludf.DUMMYFUNCTION("""COMPUTED_VALUE"""),119.2)</f>
        <v>119.2</v>
      </c>
      <c r="Q575" s="15">
        <f>IFERROR(__xludf.DUMMYFUNCTION("""COMPUTED_VALUE"""),1.0)</f>
        <v>1</v>
      </c>
      <c r="R575" s="15" t="str">
        <f>IFERROR(__xludf.DUMMYFUNCTION("""COMPUTED_VALUE"""),"RODO")</f>
        <v>RODO</v>
      </c>
      <c r="S575" s="15" t="str">
        <f>IFERROR(__xludf.DUMMYFUNCTION("""COMPUTED_VALUE"""),"ITN")</f>
        <v>ITN</v>
      </c>
      <c r="T575" s="15" t="str">
        <f>IFERROR(__xludf.DUMMYFUNCTION("""COMPUTED_VALUE"""),"1")</f>
        <v>1</v>
      </c>
      <c r="U575" s="15" t="str">
        <f>IFERROR(__xludf.DUMMYFUNCTION("""COMPUTED_VALUE"""),"266806931 1306135 8177267 brilhante e ferraz ltda trifil jpr 1")</f>
        <v>266806931 1306135 8177267 brilhante e ferraz ltda trifil jpr 1</v>
      </c>
      <c r="V575" s="15" t="b">
        <f>IFERROR(__xludf.DUMMYFUNCTION("""COMPUTED_VALUE"""),FALSE)</f>
        <v>0</v>
      </c>
    </row>
    <row r="576">
      <c r="A576" s="19">
        <f>IFERROR(__xludf.DUMMYFUNCTION("""COMPUTED_VALUE"""),46304.0)</f>
        <v>46304</v>
      </c>
      <c r="B576" s="19">
        <f>IFERROR(__xludf.DUMMYFUNCTION("""COMPUTED_VALUE"""),46337.0)</f>
        <v>46337</v>
      </c>
      <c r="C576" s="15">
        <f>IFERROR(__xludf.DUMMYFUNCTION("""COMPUTED_VALUE"""),21.0)</f>
        <v>21</v>
      </c>
      <c r="D576" s="15" t="str">
        <f>IFERROR(__xludf.DUMMYFUNCTION("""COMPUTED_VALUE"""),"JPR")</f>
        <v>JPR</v>
      </c>
      <c r="E576" s="15" t="str">
        <f>IFERROR(__xludf.DUMMYFUNCTION("""COMPUTED_VALUE"""),"BEL CONFECCOES")</f>
        <v>BEL CONFECCOES</v>
      </c>
      <c r="F576" s="15" t="str">
        <f>IFERROR(__xludf.DUMMYFUNCTION("""COMPUTED_VALUE"""),"TRIFIL")</f>
        <v>TRIFIL</v>
      </c>
      <c r="G576" s="15" t="str">
        <f>IFERROR(__xludf.DUMMYFUNCTION("""COMPUTED_VALUE"""),"266806933")</f>
        <v>266806933</v>
      </c>
      <c r="H576" s="15" t="str">
        <f>IFERROR(__xludf.DUMMYFUNCTION("""COMPUTED_VALUE"""),"1306097, 1306198")</f>
        <v>1306097, 1306198</v>
      </c>
      <c r="I576" s="15" t="str">
        <f>IFERROR(__xludf.DUMMYFUNCTION("""COMPUTED_VALUE"""),"8177357")</f>
        <v>8177357</v>
      </c>
      <c r="J576" s="15" t="str">
        <f>IFERROR(__xludf.DUMMYFUNCTION("""COMPUTED_VALUE"""),"CIF")</f>
        <v>CIF</v>
      </c>
      <c r="K576" s="15" t="str">
        <f>IFERROR(__xludf.DUMMYFUNCTION("""COMPUTED_VALUE"""),"SAO-1")</f>
        <v>SAO-1</v>
      </c>
      <c r="L576" s="15" t="str">
        <f>IFERROR(__xludf.DUMMYFUNCTION("""COMPUTED_VALUE"""),"AUTORIZADO")</f>
        <v>AUTORIZADO</v>
      </c>
      <c r="M576" s="15" t="str">
        <f>IFERROR(__xludf.DUMMYFUNCTION("""COMPUTED_VALUE"""),"NA ORIGEM")</f>
        <v>NA ORIGEM</v>
      </c>
      <c r="N576" s="15" t="str">
        <f>IFERROR(__xludf.DUMMYFUNCTION("""COMPUTED_VALUE"""),"Antes Prazo")</f>
        <v>Antes Prazo</v>
      </c>
      <c r="O576" s="15" t="str">
        <f>IFERROR(__xludf.DUMMYFUNCTION("""COMPUTED_VALUE"""),"B2B")</f>
        <v>B2B</v>
      </c>
      <c r="P576" s="16">
        <f>IFERROR(__xludf.DUMMYFUNCTION("""COMPUTED_VALUE"""),136.28)</f>
        <v>136.28</v>
      </c>
      <c r="Q576" s="15">
        <f>IFERROR(__xludf.DUMMYFUNCTION("""COMPUTED_VALUE"""),7.0)</f>
        <v>7</v>
      </c>
      <c r="R576" s="15" t="str">
        <f>IFERROR(__xludf.DUMMYFUNCTION("""COMPUTED_VALUE"""),"RODO")</f>
        <v>RODO</v>
      </c>
      <c r="S576" s="15" t="str">
        <f>IFERROR(__xludf.DUMMYFUNCTION("""COMPUTED_VALUE"""),"ITN")</f>
        <v>ITN</v>
      </c>
      <c r="T576" s="15" t="str">
        <f>IFERROR(__xludf.DUMMYFUNCTION("""COMPUTED_VALUE"""),"1")</f>
        <v>1</v>
      </c>
      <c r="U576" s="15" t="str">
        <f>IFERROR(__xludf.DUMMYFUNCTION("""COMPUTED_VALUE"""),"266806933 1306097, 1306198 8177357 bel confeccoes trifil jpr 1")</f>
        <v>266806933 1306097, 1306198 8177357 bel confeccoes trifil jpr 1</v>
      </c>
      <c r="V576" s="15" t="b">
        <f>IFERROR(__xludf.DUMMYFUNCTION("""COMPUTED_VALUE"""),FALSE)</f>
        <v>0</v>
      </c>
    </row>
    <row r="577">
      <c r="A577" s="19">
        <f>IFERROR(__xludf.DUMMYFUNCTION("""COMPUTED_VALUE"""),46304.0)</f>
        <v>46304</v>
      </c>
      <c r="B577" s="19">
        <f>IFERROR(__xludf.DUMMYFUNCTION("""COMPUTED_VALUE"""),46337.0)</f>
        <v>46337</v>
      </c>
      <c r="C577" s="15">
        <f>IFERROR(__xludf.DUMMYFUNCTION("""COMPUTED_VALUE"""),21.0)</f>
        <v>21</v>
      </c>
      <c r="D577" s="15" t="str">
        <f>IFERROR(__xludf.DUMMYFUNCTION("""COMPUTED_VALUE"""),"JPR")</f>
        <v>JPR</v>
      </c>
      <c r="E577" s="15" t="str">
        <f>IFERROR(__xludf.DUMMYFUNCTION("""COMPUTED_VALUE"""),"GLOBO COMERCIO DE CONFECCOES LTDA")</f>
        <v>GLOBO COMERCIO DE CONFECCOES LTDA</v>
      </c>
      <c r="F577" s="15" t="str">
        <f>IFERROR(__xludf.DUMMYFUNCTION("""COMPUTED_VALUE"""),"TRIFIL")</f>
        <v>TRIFIL</v>
      </c>
      <c r="G577" s="15" t="str">
        <f>IFERROR(__xludf.DUMMYFUNCTION("""COMPUTED_VALUE"""),"266806935")</f>
        <v>266806935</v>
      </c>
      <c r="H577" s="15" t="str">
        <f>IFERROR(__xludf.DUMMYFUNCTION("""COMPUTED_VALUE"""),"1305921")</f>
        <v>1305921</v>
      </c>
      <c r="I577" s="15" t="str">
        <f>IFERROR(__xludf.DUMMYFUNCTION("""COMPUTED_VALUE"""),"8177268")</f>
        <v>8177268</v>
      </c>
      <c r="J577" s="15" t="str">
        <f>IFERROR(__xludf.DUMMYFUNCTION("""COMPUTED_VALUE"""),"CIF")</f>
        <v>CIF</v>
      </c>
      <c r="K577" s="15" t="str">
        <f>IFERROR(__xludf.DUMMYFUNCTION("""COMPUTED_VALUE"""),"(sem célula)")</f>
        <v>(sem célula)</v>
      </c>
      <c r="L577" s="15" t="str">
        <f>IFERROR(__xludf.DUMMYFUNCTION("""COMPUTED_VALUE"""),"AUTORIZADO")</f>
        <v>AUTORIZADO</v>
      </c>
      <c r="M577" s="15" t="str">
        <f>IFERROR(__xludf.DUMMYFUNCTION("""COMPUTED_VALUE"""),"NA ORIGEM")</f>
        <v>NA ORIGEM</v>
      </c>
      <c r="N577" s="15" t="str">
        <f>IFERROR(__xludf.DUMMYFUNCTION("""COMPUTED_VALUE"""),"Antes Prazo")</f>
        <v>Antes Prazo</v>
      </c>
      <c r="O577" s="15" t="str">
        <f>IFERROR(__xludf.DUMMYFUNCTION("""COMPUTED_VALUE"""),"B2B")</f>
        <v>B2B</v>
      </c>
      <c r="P577" s="16">
        <f>IFERROR(__xludf.DUMMYFUNCTION("""COMPUTED_VALUE"""),119.2)</f>
        <v>119.2</v>
      </c>
      <c r="Q577" s="15">
        <f>IFERROR(__xludf.DUMMYFUNCTION("""COMPUTED_VALUE"""),1.0)</f>
        <v>1</v>
      </c>
      <c r="R577" s="15" t="str">
        <f>IFERROR(__xludf.DUMMYFUNCTION("""COMPUTED_VALUE"""),"RODO")</f>
        <v>RODO</v>
      </c>
      <c r="S577" s="15" t="str">
        <f>IFERROR(__xludf.DUMMYFUNCTION("""COMPUTED_VALUE"""),"ITN")</f>
        <v>ITN</v>
      </c>
      <c r="T577" s="15" t="str">
        <f>IFERROR(__xludf.DUMMYFUNCTION("""COMPUTED_VALUE"""),"1")</f>
        <v>1</v>
      </c>
      <c r="U577" s="15" t="str">
        <f>IFERROR(__xludf.DUMMYFUNCTION("""COMPUTED_VALUE"""),"266806935 1305921 8177268 globo comercio de confeccoes ltda trifil jpr 1")</f>
        <v>266806935 1305921 8177268 globo comercio de confeccoes ltda trifil jpr 1</v>
      </c>
      <c r="V577" s="15" t="b">
        <f>IFERROR(__xludf.DUMMYFUNCTION("""COMPUTED_VALUE"""),FALSE)</f>
        <v>0</v>
      </c>
    </row>
    <row r="578">
      <c r="A578" s="19">
        <f>IFERROR(__xludf.DUMMYFUNCTION("""COMPUTED_VALUE"""),46304.0)</f>
        <v>46304</v>
      </c>
      <c r="B578" s="19">
        <f>IFERROR(__xludf.DUMMYFUNCTION("""COMPUTED_VALUE"""),46330.0)</f>
        <v>46330</v>
      </c>
      <c r="C578" s="15">
        <f>IFERROR(__xludf.DUMMYFUNCTION("""COMPUTED_VALUE"""),16.0)</f>
        <v>16</v>
      </c>
      <c r="D578" s="15" t="str">
        <f>IFERROR(__xludf.DUMMYFUNCTION("""COMPUTED_VALUE"""),"PMW")</f>
        <v>PMW</v>
      </c>
      <c r="E578" s="15" t="str">
        <f>IFERROR(__xludf.DUMMYFUNCTION("""COMPUTED_VALUE"""),"RODRIGUES RODRIGUES E MARANHAO LTDA")</f>
        <v>RODRIGUES RODRIGUES E MARANHAO LTDA</v>
      </c>
      <c r="F578" s="15" t="str">
        <f>IFERROR(__xludf.DUMMYFUNCTION("""COMPUTED_VALUE"""),"TRIFIL")</f>
        <v>TRIFIL</v>
      </c>
      <c r="G578" s="15" t="str">
        <f>IFERROR(__xludf.DUMMYFUNCTION("""COMPUTED_VALUE"""),"266806937")</f>
        <v>266806937</v>
      </c>
      <c r="H578" s="15" t="str">
        <f>IFERROR(__xludf.DUMMYFUNCTION("""COMPUTED_VALUE"""),"1306029")</f>
        <v>1306029</v>
      </c>
      <c r="I578" s="15" t="str">
        <f>IFERROR(__xludf.DUMMYFUNCTION("""COMPUTED_VALUE"""),"8177358")</f>
        <v>8177358</v>
      </c>
      <c r="J578" s="15" t="str">
        <f>IFERROR(__xludf.DUMMYFUNCTION("""COMPUTED_VALUE"""),"CIF")</f>
        <v>CIF</v>
      </c>
      <c r="K578" s="15" t="str">
        <f>IFERROR(__xludf.DUMMYFUNCTION("""COMPUTED_VALUE"""),"(sem célula)")</f>
        <v>(sem célula)</v>
      </c>
      <c r="L578" s="15" t="str">
        <f>IFERROR(__xludf.DUMMYFUNCTION("""COMPUTED_VALUE"""),"AUTORIZADO")</f>
        <v>AUTORIZADO</v>
      </c>
      <c r="M578" s="15" t="str">
        <f>IFERROR(__xludf.DUMMYFUNCTION("""COMPUTED_VALUE"""),"NA ORIGEM")</f>
        <v>NA ORIGEM</v>
      </c>
      <c r="N578" s="15" t="str">
        <f>IFERROR(__xludf.DUMMYFUNCTION("""COMPUTED_VALUE"""),"Antes Prazo")</f>
        <v>Antes Prazo</v>
      </c>
      <c r="O578" s="15" t="str">
        <f>IFERROR(__xludf.DUMMYFUNCTION("""COMPUTED_VALUE"""),"B2B")</f>
        <v>B2B</v>
      </c>
      <c r="P578" s="16">
        <f>IFERROR(__xludf.DUMMYFUNCTION("""COMPUTED_VALUE"""),56.59)</f>
        <v>56.59</v>
      </c>
      <c r="Q578" s="15">
        <f>IFERROR(__xludf.DUMMYFUNCTION("""COMPUTED_VALUE"""),1.0)</f>
        <v>1</v>
      </c>
      <c r="R578" s="15" t="str">
        <f>IFERROR(__xludf.DUMMYFUNCTION("""COMPUTED_VALUE"""),"RODO")</f>
        <v>RODO</v>
      </c>
      <c r="S578" s="15" t="str">
        <f>IFERROR(__xludf.DUMMYFUNCTION("""COMPUTED_VALUE"""),"ITN")</f>
        <v>ITN</v>
      </c>
      <c r="T578" s="15" t="str">
        <f>IFERROR(__xludf.DUMMYFUNCTION("""COMPUTED_VALUE"""),"109")</f>
        <v>109</v>
      </c>
      <c r="U578" s="15" t="str">
        <f>IFERROR(__xludf.DUMMYFUNCTION("""COMPUTED_VALUE"""),"266806937 1306029 8177358 rodrigues rodrigues e maranhao ltda trifil pmw 109")</f>
        <v>266806937 1306029 8177358 rodrigues rodrigues e maranhao ltda trifil pmw 109</v>
      </c>
      <c r="V578" s="15" t="b">
        <f>IFERROR(__xludf.DUMMYFUNCTION("""COMPUTED_VALUE"""),FALSE)</f>
        <v>0</v>
      </c>
    </row>
    <row r="579">
      <c r="A579" s="19">
        <f>IFERROR(__xludf.DUMMYFUNCTION("""COMPUTED_VALUE"""),46304.0)</f>
        <v>46304</v>
      </c>
      <c r="B579" s="19">
        <f>IFERROR(__xludf.DUMMYFUNCTION("""COMPUTED_VALUE"""),46330.0)</f>
        <v>46330</v>
      </c>
      <c r="C579" s="15">
        <f>IFERROR(__xludf.DUMMYFUNCTION("""COMPUTED_VALUE"""),16.0)</f>
        <v>16</v>
      </c>
      <c r="D579" s="15" t="str">
        <f>IFERROR(__xludf.DUMMYFUNCTION("""COMPUTED_VALUE"""),"PMW")</f>
        <v>PMW</v>
      </c>
      <c r="E579" s="15" t="str">
        <f>IFERROR(__xludf.DUMMYFUNCTION("""COMPUTED_VALUE"""),"002307-SEBASTIANA DE ALMEIDA BORGES ME")</f>
        <v>002307-SEBASTIANA DE ALMEIDA BORGES ME</v>
      </c>
      <c r="F579" s="15" t="str">
        <f>IFERROR(__xludf.DUMMYFUNCTION("""COMPUTED_VALUE"""),"TRIFIL")</f>
        <v>TRIFIL</v>
      </c>
      <c r="G579" s="15" t="str">
        <f>IFERROR(__xludf.DUMMYFUNCTION("""COMPUTED_VALUE"""),"266806939")</f>
        <v>266806939</v>
      </c>
      <c r="H579" s="15" t="str">
        <f>IFERROR(__xludf.DUMMYFUNCTION("""COMPUTED_VALUE"""),"1306177")</f>
        <v>1306177</v>
      </c>
      <c r="I579" s="15" t="str">
        <f>IFERROR(__xludf.DUMMYFUNCTION("""COMPUTED_VALUE"""),"8177120")</f>
        <v>8177120</v>
      </c>
      <c r="J579" s="15" t="str">
        <f>IFERROR(__xludf.DUMMYFUNCTION("""COMPUTED_VALUE"""),"CIF")</f>
        <v>CIF</v>
      </c>
      <c r="K579" s="15" t="str">
        <f>IFERROR(__xludf.DUMMYFUNCTION("""COMPUTED_VALUE"""),"(sem célula)")</f>
        <v>(sem célula)</v>
      </c>
      <c r="L579" s="15" t="str">
        <f>IFERROR(__xludf.DUMMYFUNCTION("""COMPUTED_VALUE"""),"AUTORIZADO")</f>
        <v>AUTORIZADO</v>
      </c>
      <c r="M579" s="15" t="str">
        <f>IFERROR(__xludf.DUMMYFUNCTION("""COMPUTED_VALUE"""),"NA ORIGEM")</f>
        <v>NA ORIGEM</v>
      </c>
      <c r="N579" s="15" t="str">
        <f>IFERROR(__xludf.DUMMYFUNCTION("""COMPUTED_VALUE"""),"Antes Prazo")</f>
        <v>Antes Prazo</v>
      </c>
      <c r="O579" s="15" t="str">
        <f>IFERROR(__xludf.DUMMYFUNCTION("""COMPUTED_VALUE"""),"B2B")</f>
        <v>B2B</v>
      </c>
      <c r="P579" s="16">
        <f>IFERROR(__xludf.DUMMYFUNCTION("""COMPUTED_VALUE"""),63.12)</f>
        <v>63.12</v>
      </c>
      <c r="Q579" s="15">
        <f>IFERROR(__xludf.DUMMYFUNCTION("""COMPUTED_VALUE"""),1.0)</f>
        <v>1</v>
      </c>
      <c r="R579" s="15" t="str">
        <f>IFERROR(__xludf.DUMMYFUNCTION("""COMPUTED_VALUE"""),"RODO")</f>
        <v>RODO</v>
      </c>
      <c r="S579" s="15" t="str">
        <f>IFERROR(__xludf.DUMMYFUNCTION("""COMPUTED_VALUE"""),"ITN")</f>
        <v>ITN</v>
      </c>
      <c r="T579" s="15" t="str">
        <f>IFERROR(__xludf.DUMMYFUNCTION("""COMPUTED_VALUE"""),"104")</f>
        <v>104</v>
      </c>
      <c r="U579" s="15" t="str">
        <f>IFERROR(__xludf.DUMMYFUNCTION("""COMPUTED_VALUE"""),"266806939 1306177 8177120 002307-sebastiana de almeida borges me trifil pmw 104")</f>
        <v>266806939 1306177 8177120 002307-sebastiana de almeida borges me trifil pmw 104</v>
      </c>
      <c r="V579" s="15" t="b">
        <f>IFERROR(__xludf.DUMMYFUNCTION("""COMPUTED_VALUE"""),FALSE)</f>
        <v>0</v>
      </c>
    </row>
    <row r="580">
      <c r="A580" s="19">
        <f>IFERROR(__xludf.DUMMYFUNCTION("""COMPUTED_VALUE"""),46304.0)</f>
        <v>46304</v>
      </c>
      <c r="B580" s="19">
        <f>IFERROR(__xludf.DUMMYFUNCTION("""COMPUTED_VALUE"""),46325.0)</f>
        <v>46325</v>
      </c>
      <c r="C580" s="15">
        <f>IFERROR(__xludf.DUMMYFUNCTION("""COMPUTED_VALUE"""),14.0)</f>
        <v>14</v>
      </c>
      <c r="D580" s="15" t="str">
        <f>IFERROR(__xludf.DUMMYFUNCTION("""COMPUTED_VALUE"""),"AUX")</f>
        <v>AUX</v>
      </c>
      <c r="E580" s="15" t="str">
        <f>IFERROR(__xludf.DUMMYFUNCTION("""COMPUTED_VALUE"""),"LU MODAS CONFECCOES LTDA ME - 3999")</f>
        <v>LU MODAS CONFECCOES LTDA ME - 3999</v>
      </c>
      <c r="F580" s="15" t="str">
        <f>IFERROR(__xludf.DUMMYFUNCTION("""COMPUTED_VALUE"""),"TRIFIL")</f>
        <v>TRIFIL</v>
      </c>
      <c r="G580" s="15" t="str">
        <f>IFERROR(__xludf.DUMMYFUNCTION("""COMPUTED_VALUE"""),"266806941")</f>
        <v>266806941</v>
      </c>
      <c r="H580" s="15" t="str">
        <f>IFERROR(__xludf.DUMMYFUNCTION("""COMPUTED_VALUE"""),"1306209")</f>
        <v>1306209</v>
      </c>
      <c r="I580" s="15" t="str">
        <f>IFERROR(__xludf.DUMMYFUNCTION("""COMPUTED_VALUE"""),"8177121")</f>
        <v>8177121</v>
      </c>
      <c r="J580" s="15" t="str">
        <f>IFERROR(__xludf.DUMMYFUNCTION("""COMPUTED_VALUE"""),"CIF")</f>
        <v>CIF</v>
      </c>
      <c r="K580" s="15" t="str">
        <f>IFERROR(__xludf.DUMMYFUNCTION("""COMPUTED_VALUE"""),"(sem célula)")</f>
        <v>(sem célula)</v>
      </c>
      <c r="L580" s="15" t="str">
        <f>IFERROR(__xludf.DUMMYFUNCTION("""COMPUTED_VALUE"""),"AUTORIZADO")</f>
        <v>AUTORIZADO</v>
      </c>
      <c r="M580" s="15" t="str">
        <f>IFERROR(__xludf.DUMMYFUNCTION("""COMPUTED_VALUE"""),"NA ORIGEM")</f>
        <v>NA ORIGEM</v>
      </c>
      <c r="N580" s="15" t="str">
        <f>IFERROR(__xludf.DUMMYFUNCTION("""COMPUTED_VALUE"""),"Antes Prazo")</f>
        <v>Antes Prazo</v>
      </c>
      <c r="O580" s="15" t="str">
        <f>IFERROR(__xludf.DUMMYFUNCTION("""COMPUTED_VALUE"""),"B2B")</f>
        <v>B2B</v>
      </c>
      <c r="P580" s="16">
        <f>IFERROR(__xludf.DUMMYFUNCTION("""COMPUTED_VALUE"""),63.12)</f>
        <v>63.12</v>
      </c>
      <c r="Q580" s="15">
        <f>IFERROR(__xludf.DUMMYFUNCTION("""COMPUTED_VALUE"""),1.0)</f>
        <v>1</v>
      </c>
      <c r="R580" s="15" t="str">
        <f>IFERROR(__xludf.DUMMYFUNCTION("""COMPUTED_VALUE"""),"RODO")</f>
        <v>RODO</v>
      </c>
      <c r="S580" s="15" t="str">
        <f>IFERROR(__xludf.DUMMYFUNCTION("""COMPUTED_VALUE"""),"ITN")</f>
        <v>ITN</v>
      </c>
      <c r="T580" s="15" t="str">
        <f>IFERROR(__xludf.DUMMYFUNCTION("""COMPUTED_VALUE"""),"103")</f>
        <v>103</v>
      </c>
      <c r="U580" s="15" t="str">
        <f>IFERROR(__xludf.DUMMYFUNCTION("""COMPUTED_VALUE"""),"266806941 1306209 8177121 lu modas confeccoes ltda me - 3999 trifil aux 103")</f>
        <v>266806941 1306209 8177121 lu modas confeccoes ltda me - 3999 trifil aux 103</v>
      </c>
      <c r="V580" s="15" t="b">
        <f>IFERROR(__xludf.DUMMYFUNCTION("""COMPUTED_VALUE"""),FALSE)</f>
        <v>0</v>
      </c>
    </row>
    <row r="581">
      <c r="A581" s="19">
        <f>IFERROR(__xludf.DUMMYFUNCTION("""COMPUTED_VALUE"""),46304.0)</f>
        <v>46304</v>
      </c>
      <c r="B581" s="19">
        <f>IFERROR(__xludf.DUMMYFUNCTION("""COMPUTED_VALUE"""),46317.0)</f>
        <v>46317</v>
      </c>
      <c r="C581" s="15">
        <f>IFERROR(__xludf.DUMMYFUNCTION("""COMPUTED_VALUE"""),8.0)</f>
        <v>8</v>
      </c>
      <c r="D581" s="15" t="str">
        <f>IFERROR(__xludf.DUMMYFUNCTION("""COMPUTED_VALUE"""),"CGB")</f>
        <v>CGB</v>
      </c>
      <c r="E581" s="15" t="str">
        <f>IFERROR(__xludf.DUMMYFUNCTION("""COMPUTED_VALUE"""),"JO FITNESS VESTUARIO LTDA")</f>
        <v>JO FITNESS VESTUARIO LTDA</v>
      </c>
      <c r="F581" s="15" t="str">
        <f>IFERROR(__xludf.DUMMYFUNCTION("""COMPUTED_VALUE"""),"TRIFIL")</f>
        <v>TRIFIL</v>
      </c>
      <c r="G581" s="15" t="str">
        <f>IFERROR(__xludf.DUMMYFUNCTION("""COMPUTED_VALUE"""),"266806942")</f>
        <v>266806942</v>
      </c>
      <c r="H581" s="15" t="str">
        <f>IFERROR(__xludf.DUMMYFUNCTION("""COMPUTED_VALUE"""),"1306188")</f>
        <v>1306188</v>
      </c>
      <c r="I581" s="15" t="str">
        <f>IFERROR(__xludf.DUMMYFUNCTION("""COMPUTED_VALUE"""),"8177122")</f>
        <v>8177122</v>
      </c>
      <c r="J581" s="15" t="str">
        <f>IFERROR(__xludf.DUMMYFUNCTION("""COMPUTED_VALUE"""),"CIF")</f>
        <v>CIF</v>
      </c>
      <c r="K581" s="15" t="str">
        <f>IFERROR(__xludf.DUMMYFUNCTION("""COMPUTED_VALUE"""),"(sem célula)")</f>
        <v>(sem célula)</v>
      </c>
      <c r="L581" s="15" t="str">
        <f>IFERROR(__xludf.DUMMYFUNCTION("""COMPUTED_VALUE"""),"AUTORIZADO")</f>
        <v>AUTORIZADO</v>
      </c>
      <c r="M581" s="15" t="str">
        <f>IFERROR(__xludf.DUMMYFUNCTION("""COMPUTED_VALUE"""),"NA ORIGEM")</f>
        <v>NA ORIGEM</v>
      </c>
      <c r="N581" s="15" t="str">
        <f>IFERROR(__xludf.DUMMYFUNCTION("""COMPUTED_VALUE"""),"Antes Prazo")</f>
        <v>Antes Prazo</v>
      </c>
      <c r="O581" s="15" t="str">
        <f>IFERROR(__xludf.DUMMYFUNCTION("""COMPUTED_VALUE"""),"B2B")</f>
        <v>B2B</v>
      </c>
      <c r="P581" s="16">
        <f>IFERROR(__xludf.DUMMYFUNCTION("""COMPUTED_VALUE"""),60.94)</f>
        <v>60.94</v>
      </c>
      <c r="Q581" s="15">
        <f>IFERROR(__xludf.DUMMYFUNCTION("""COMPUTED_VALUE"""),1.0)</f>
        <v>1</v>
      </c>
      <c r="R581" s="15" t="str">
        <f>IFERROR(__xludf.DUMMYFUNCTION("""COMPUTED_VALUE"""),"RODO")</f>
        <v>RODO</v>
      </c>
      <c r="S581" s="15" t="str">
        <f>IFERROR(__xludf.DUMMYFUNCTION("""COMPUTED_VALUE"""),"ITN")</f>
        <v>ITN</v>
      </c>
      <c r="T581" s="15" t="str">
        <f>IFERROR(__xludf.DUMMYFUNCTION("""COMPUTED_VALUE"""),"3")</f>
        <v>3</v>
      </c>
      <c r="U581" s="15" t="str">
        <f>IFERROR(__xludf.DUMMYFUNCTION("""COMPUTED_VALUE"""),"266806942 1306188 8177122 jo fitness vestuario ltda trifil cgb 3")</f>
        <v>266806942 1306188 8177122 jo fitness vestuario ltda trifil cgb 3</v>
      </c>
      <c r="V581" s="15" t="b">
        <f>IFERROR(__xludf.DUMMYFUNCTION("""COMPUTED_VALUE"""),FALSE)</f>
        <v>0</v>
      </c>
    </row>
    <row r="582">
      <c r="A582" s="19">
        <f>IFERROR(__xludf.DUMMYFUNCTION("""COMPUTED_VALUE"""),46304.0)</f>
        <v>46304</v>
      </c>
      <c r="B582" s="19">
        <f>IFERROR(__xludf.DUMMYFUNCTION("""COMPUTED_VALUE"""),46317.0)</f>
        <v>46317</v>
      </c>
      <c r="C582" s="15">
        <f>IFERROR(__xludf.DUMMYFUNCTION("""COMPUTED_VALUE"""),8.0)</f>
        <v>8</v>
      </c>
      <c r="D582" s="15" t="str">
        <f>IFERROR(__xludf.DUMMYFUNCTION("""COMPUTED_VALUE"""),"CGB")</f>
        <v>CGB</v>
      </c>
      <c r="E582" s="15" t="str">
        <f>IFERROR(__xludf.DUMMYFUNCTION("""COMPUTED_VALUE"""),"FERNANDES ARTIGOS DO VESTUARIO LTDA")</f>
        <v>FERNANDES ARTIGOS DO VESTUARIO LTDA</v>
      </c>
      <c r="F582" s="15" t="str">
        <f>IFERROR(__xludf.DUMMYFUNCTION("""COMPUTED_VALUE"""),"TRIFIL")</f>
        <v>TRIFIL</v>
      </c>
      <c r="G582" s="15" t="str">
        <f>IFERROR(__xludf.DUMMYFUNCTION("""COMPUTED_VALUE"""),"266806944")</f>
        <v>266806944</v>
      </c>
      <c r="H582" s="15" t="str">
        <f>IFERROR(__xludf.DUMMYFUNCTION("""COMPUTED_VALUE"""),"1305798")</f>
        <v>1305798</v>
      </c>
      <c r="I582" s="15" t="str">
        <f>IFERROR(__xludf.DUMMYFUNCTION("""COMPUTED_VALUE"""),"8177302")</f>
        <v>8177302</v>
      </c>
      <c r="J582" s="15" t="str">
        <f>IFERROR(__xludf.DUMMYFUNCTION("""COMPUTED_VALUE"""),"CIF")</f>
        <v>CIF</v>
      </c>
      <c r="K582" s="15" t="str">
        <f>IFERROR(__xludf.DUMMYFUNCTION("""COMPUTED_VALUE"""),"(sem célula)")</f>
        <v>(sem célula)</v>
      </c>
      <c r="L582" s="15" t="str">
        <f>IFERROR(__xludf.DUMMYFUNCTION("""COMPUTED_VALUE"""),"AUTORIZADO")</f>
        <v>AUTORIZADO</v>
      </c>
      <c r="M582" s="15" t="str">
        <f>IFERROR(__xludf.DUMMYFUNCTION("""COMPUTED_VALUE"""),"NA ORIGEM")</f>
        <v>NA ORIGEM</v>
      </c>
      <c r="N582" s="15" t="str">
        <f>IFERROR(__xludf.DUMMYFUNCTION("""COMPUTED_VALUE"""),"Antes Prazo")</f>
        <v>Antes Prazo</v>
      </c>
      <c r="O582" s="15" t="str">
        <f>IFERROR(__xludf.DUMMYFUNCTION("""COMPUTED_VALUE"""),"B2B")</f>
        <v>B2B</v>
      </c>
      <c r="P582" s="16">
        <f>IFERROR(__xludf.DUMMYFUNCTION("""COMPUTED_VALUE"""),60.94)</f>
        <v>60.94</v>
      </c>
      <c r="Q582" s="15">
        <f>IFERROR(__xludf.DUMMYFUNCTION("""COMPUTED_VALUE"""),1.0)</f>
        <v>1</v>
      </c>
      <c r="R582" s="15" t="str">
        <f>IFERROR(__xludf.DUMMYFUNCTION("""COMPUTED_VALUE"""),"RODO")</f>
        <v>RODO</v>
      </c>
      <c r="S582" s="15" t="str">
        <f>IFERROR(__xludf.DUMMYFUNCTION("""COMPUTED_VALUE"""),"ITN")</f>
        <v>ITN</v>
      </c>
      <c r="T582" s="15" t="str">
        <f>IFERROR(__xludf.DUMMYFUNCTION("""COMPUTED_VALUE"""),"2")</f>
        <v>2</v>
      </c>
      <c r="U582" s="15" t="str">
        <f>IFERROR(__xludf.DUMMYFUNCTION("""COMPUTED_VALUE"""),"266806944 1305798 8177302 fernandes artigos do vestuario ltda trifil cgb 2")</f>
        <v>266806944 1305798 8177302 fernandes artigos do vestuario ltda trifil cgb 2</v>
      </c>
      <c r="V582" s="15" t="b">
        <f>IFERROR(__xludf.DUMMYFUNCTION("""COMPUTED_VALUE"""),FALSE)</f>
        <v>0</v>
      </c>
    </row>
    <row r="583">
      <c r="A583" s="19">
        <f>IFERROR(__xludf.DUMMYFUNCTION("""COMPUTED_VALUE"""),46304.0)</f>
        <v>46304</v>
      </c>
      <c r="B583" s="19">
        <f>IFERROR(__xludf.DUMMYFUNCTION("""COMPUTED_VALUE"""),46321.0)</f>
        <v>46321</v>
      </c>
      <c r="C583" s="15">
        <f>IFERROR(__xludf.DUMMYFUNCTION("""COMPUTED_VALUE"""),10.0)</f>
        <v>10</v>
      </c>
      <c r="D583" s="15" t="str">
        <f>IFERROR(__xludf.DUMMYFUNCTION("""COMPUTED_VALUE"""),"MT1")</f>
        <v>MT1</v>
      </c>
      <c r="E583" s="15" t="str">
        <f>IFERROR(__xludf.DUMMYFUNCTION("""COMPUTED_VALUE"""),"JCM ARTIGOS DO VESTUARIO EIRELI ME")</f>
        <v>JCM ARTIGOS DO VESTUARIO EIRELI ME</v>
      </c>
      <c r="F583" s="15" t="str">
        <f>IFERROR(__xludf.DUMMYFUNCTION("""COMPUTED_VALUE"""),"TRIFIL")</f>
        <v>TRIFIL</v>
      </c>
      <c r="G583" s="15" t="str">
        <f>IFERROR(__xludf.DUMMYFUNCTION("""COMPUTED_VALUE"""),"266806946")</f>
        <v>266806946</v>
      </c>
      <c r="H583" s="15" t="str">
        <f>IFERROR(__xludf.DUMMYFUNCTION("""COMPUTED_VALUE"""),"1306187")</f>
        <v>1306187</v>
      </c>
      <c r="I583" s="15" t="str">
        <f>IFERROR(__xludf.DUMMYFUNCTION("""COMPUTED_VALUE"""),"8177171")</f>
        <v>8177171</v>
      </c>
      <c r="J583" s="15" t="str">
        <f>IFERROR(__xludf.DUMMYFUNCTION("""COMPUTED_VALUE"""),"CIF")</f>
        <v>CIF</v>
      </c>
      <c r="K583" s="15" t="str">
        <f>IFERROR(__xludf.DUMMYFUNCTION("""COMPUTED_VALUE"""),"(sem célula)")</f>
        <v>(sem célula)</v>
      </c>
      <c r="L583" s="15" t="str">
        <f>IFERROR(__xludf.DUMMYFUNCTION("""COMPUTED_VALUE"""),"AUTORIZADO")</f>
        <v>AUTORIZADO</v>
      </c>
      <c r="M583" s="15" t="str">
        <f>IFERROR(__xludf.DUMMYFUNCTION("""COMPUTED_VALUE"""),"NA ORIGEM")</f>
        <v>NA ORIGEM</v>
      </c>
      <c r="N583" s="15" t="str">
        <f>IFERROR(__xludf.DUMMYFUNCTION("""COMPUTED_VALUE"""),"Antes Prazo")</f>
        <v>Antes Prazo</v>
      </c>
      <c r="O583" s="15" t="str">
        <f>IFERROR(__xludf.DUMMYFUNCTION("""COMPUTED_VALUE"""),"B2B")</f>
        <v>B2B</v>
      </c>
      <c r="P583" s="16">
        <f>IFERROR(__xludf.DUMMYFUNCTION("""COMPUTED_VALUE"""),68.09)</f>
        <v>68.09</v>
      </c>
      <c r="Q583" s="15">
        <f>IFERROR(__xludf.DUMMYFUNCTION("""COMPUTED_VALUE"""),1.0)</f>
        <v>1</v>
      </c>
      <c r="R583" s="15" t="str">
        <f>IFERROR(__xludf.DUMMYFUNCTION("""COMPUTED_VALUE"""),"RODO")</f>
        <v>RODO</v>
      </c>
      <c r="S583" s="15" t="str">
        <f>IFERROR(__xludf.DUMMYFUNCTION("""COMPUTED_VALUE"""),"ITN")</f>
        <v>ITN</v>
      </c>
      <c r="T583" s="15" t="str">
        <f>IFERROR(__xludf.DUMMYFUNCTION("""COMPUTED_VALUE"""),"409")</f>
        <v>409</v>
      </c>
      <c r="U583" s="15" t="str">
        <f>IFERROR(__xludf.DUMMYFUNCTION("""COMPUTED_VALUE"""),"266806946 1306187 8177171 jcm artigos do vestuario eireli me trifil mt1 409")</f>
        <v>266806946 1306187 8177171 jcm artigos do vestuario eireli me trifil mt1 409</v>
      </c>
      <c r="V583" s="15" t="b">
        <f>IFERROR(__xludf.DUMMYFUNCTION("""COMPUTED_VALUE"""),FALSE)</f>
        <v>0</v>
      </c>
    </row>
    <row r="584">
      <c r="A584" s="19">
        <f>IFERROR(__xludf.DUMMYFUNCTION("""COMPUTED_VALUE"""),46304.0)</f>
        <v>46304</v>
      </c>
      <c r="B584" s="19">
        <f>IFERROR(__xludf.DUMMYFUNCTION("""COMPUTED_VALUE"""),46335.0)</f>
        <v>46335</v>
      </c>
      <c r="C584" s="15">
        <f>IFERROR(__xludf.DUMMYFUNCTION("""COMPUTED_VALUE"""),19.0)</f>
        <v>19</v>
      </c>
      <c r="D584" s="15" t="str">
        <f>IFERROR(__xludf.DUMMYFUNCTION("""COMPUTED_VALUE"""),"MT2")</f>
        <v>MT2</v>
      </c>
      <c r="E584" s="15" t="str">
        <f>IFERROR(__xludf.DUMMYFUNCTION("""COMPUTED_VALUE"""),"MAX CALCADOS LTDA")</f>
        <v>MAX CALCADOS LTDA</v>
      </c>
      <c r="F584" s="15" t="str">
        <f>IFERROR(__xludf.DUMMYFUNCTION("""COMPUTED_VALUE"""),"TRIFIL")</f>
        <v>TRIFIL</v>
      </c>
      <c r="G584" s="15" t="str">
        <f>IFERROR(__xludf.DUMMYFUNCTION("""COMPUTED_VALUE"""),"266806948")</f>
        <v>266806948</v>
      </c>
      <c r="H584" s="15" t="str">
        <f>IFERROR(__xludf.DUMMYFUNCTION("""COMPUTED_VALUE"""),"1306129")</f>
        <v>1306129</v>
      </c>
      <c r="I584" s="15" t="str">
        <f>IFERROR(__xludf.DUMMYFUNCTION("""COMPUTED_VALUE"""),"0")</f>
        <v>0</v>
      </c>
      <c r="J584" s="15" t="str">
        <f>IFERROR(__xludf.DUMMYFUNCTION("""COMPUTED_VALUE"""),"CIF")</f>
        <v>CIF</v>
      </c>
      <c r="K584" s="15" t="str">
        <f>IFERROR(__xludf.DUMMYFUNCTION("""COMPUTED_VALUE"""),"(sem célula)")</f>
        <v>(sem célula)</v>
      </c>
      <c r="L584" s="15" t="str">
        <f>IFERROR(__xludf.DUMMYFUNCTION("""COMPUTED_VALUE"""),"SEM CT-E")</f>
        <v>SEM CT-E</v>
      </c>
      <c r="M584" s="15" t="str">
        <f>IFERROR(__xludf.DUMMYFUNCTION("""COMPUTED_VALUE"""),"NA ORIGEM")</f>
        <v>NA ORIGEM</v>
      </c>
      <c r="N584" s="15" t="str">
        <f>IFERROR(__xludf.DUMMYFUNCTION("""COMPUTED_VALUE"""),"Antes Prazo")</f>
        <v>Antes Prazo</v>
      </c>
      <c r="O584" s="15" t="str">
        <f>IFERROR(__xludf.DUMMYFUNCTION("""COMPUTED_VALUE"""),"B2B")</f>
        <v>B2B</v>
      </c>
      <c r="P584" s="16">
        <f>IFERROR(__xludf.DUMMYFUNCTION("""COMPUTED_VALUE"""),68.09)</f>
        <v>68.09</v>
      </c>
      <c r="Q584" s="15">
        <f>IFERROR(__xludf.DUMMYFUNCTION("""COMPUTED_VALUE"""),1.0)</f>
        <v>1</v>
      </c>
      <c r="R584" s="15" t="str">
        <f>IFERROR(__xludf.DUMMYFUNCTION("""COMPUTED_VALUE"""),"RODO")</f>
        <v>RODO</v>
      </c>
      <c r="S584" s="15" t="str">
        <f>IFERROR(__xludf.DUMMYFUNCTION("""COMPUTED_VALUE"""),"ITN")</f>
        <v>ITN</v>
      </c>
      <c r="T584" s="15" t="str">
        <f>IFERROR(__xludf.DUMMYFUNCTION("""COMPUTED_VALUE"""),"101")</f>
        <v>101</v>
      </c>
      <c r="U584" s="15" t="str">
        <f>IFERROR(__xludf.DUMMYFUNCTION("""COMPUTED_VALUE"""),"266806948 1306129 0 max calcados ltda trifil mt2 101")</f>
        <v>266806948 1306129 0 max calcados ltda trifil mt2 101</v>
      </c>
      <c r="V584" s="15" t="b">
        <f>IFERROR(__xludf.DUMMYFUNCTION("""COMPUTED_VALUE"""),FALSE)</f>
        <v>0</v>
      </c>
    </row>
    <row r="585">
      <c r="A585" s="19">
        <f>IFERROR(__xludf.DUMMYFUNCTION("""COMPUTED_VALUE"""),46304.0)</f>
        <v>46304</v>
      </c>
      <c r="B585" s="19">
        <f>IFERROR(__xludf.DUMMYFUNCTION("""COMPUTED_VALUE"""),46325.0)</f>
        <v>46325</v>
      </c>
      <c r="C585" s="15">
        <f>IFERROR(__xludf.DUMMYFUNCTION("""COMPUTED_VALUE"""),14.0)</f>
        <v>14</v>
      </c>
      <c r="D585" s="15" t="str">
        <f>IFERROR(__xludf.DUMMYFUNCTION("""COMPUTED_VALUE"""),"MT3")</f>
        <v>MT3</v>
      </c>
      <c r="E585" s="15" t="str">
        <f>IFERROR(__xludf.DUMMYFUNCTION("""COMPUTED_VALUE"""),"GLAMOUR")</f>
        <v>GLAMOUR</v>
      </c>
      <c r="F585" s="15" t="str">
        <f>IFERROR(__xludf.DUMMYFUNCTION("""COMPUTED_VALUE"""),"TRIFIL")</f>
        <v>TRIFIL</v>
      </c>
      <c r="G585" s="15" t="str">
        <f>IFERROR(__xludf.DUMMYFUNCTION("""COMPUTED_VALUE"""),"266806950")</f>
        <v>266806950</v>
      </c>
      <c r="H585" s="15" t="str">
        <f>IFERROR(__xludf.DUMMYFUNCTION("""COMPUTED_VALUE"""),"1306326")</f>
        <v>1306326</v>
      </c>
      <c r="I585" s="15" t="str">
        <f>IFERROR(__xludf.DUMMYFUNCTION("""COMPUTED_VALUE"""),"8177172")</f>
        <v>8177172</v>
      </c>
      <c r="J585" s="15" t="str">
        <f>IFERROR(__xludf.DUMMYFUNCTION("""COMPUTED_VALUE"""),"CIF")</f>
        <v>CIF</v>
      </c>
      <c r="K585" s="15" t="str">
        <f>IFERROR(__xludf.DUMMYFUNCTION("""COMPUTED_VALUE"""),"(sem célula)")</f>
        <v>(sem célula)</v>
      </c>
      <c r="L585" s="15" t="str">
        <f>IFERROR(__xludf.DUMMYFUNCTION("""COMPUTED_VALUE"""),"AUTORIZADO")</f>
        <v>AUTORIZADO</v>
      </c>
      <c r="M585" s="15" t="str">
        <f>IFERROR(__xludf.DUMMYFUNCTION("""COMPUTED_VALUE"""),"NA ORIGEM")</f>
        <v>NA ORIGEM</v>
      </c>
      <c r="N585" s="15" t="str">
        <f>IFERROR(__xludf.DUMMYFUNCTION("""COMPUTED_VALUE"""),"Antes Prazo")</f>
        <v>Antes Prazo</v>
      </c>
      <c r="O585" s="15" t="str">
        <f>IFERROR(__xludf.DUMMYFUNCTION("""COMPUTED_VALUE"""),"B2B")</f>
        <v>B2B</v>
      </c>
      <c r="P585" s="16">
        <f>IFERROR(__xludf.DUMMYFUNCTION("""COMPUTED_VALUE"""),68.09)</f>
        <v>68.09</v>
      </c>
      <c r="Q585" s="15">
        <f>IFERROR(__xludf.DUMMYFUNCTION("""COMPUTED_VALUE"""),1.0)</f>
        <v>1</v>
      </c>
      <c r="R585" s="15" t="str">
        <f>IFERROR(__xludf.DUMMYFUNCTION("""COMPUTED_VALUE"""),"RODO")</f>
        <v>RODO</v>
      </c>
      <c r="S585" s="15" t="str">
        <f>IFERROR(__xludf.DUMMYFUNCTION("""COMPUTED_VALUE"""),"ITN")</f>
        <v>ITN</v>
      </c>
      <c r="T585" s="15" t="str">
        <f>IFERROR(__xludf.DUMMYFUNCTION("""COMPUTED_VALUE"""),"100")</f>
        <v>100</v>
      </c>
      <c r="U585" s="15" t="str">
        <f>IFERROR(__xludf.DUMMYFUNCTION("""COMPUTED_VALUE"""),"266806950 1306326 8177172 glamour trifil mt3 100")</f>
        <v>266806950 1306326 8177172 glamour trifil mt3 100</v>
      </c>
      <c r="V585" s="15" t="b">
        <f>IFERROR(__xludf.DUMMYFUNCTION("""COMPUTED_VALUE"""),FALSE)</f>
        <v>0</v>
      </c>
    </row>
    <row r="586">
      <c r="A586" s="19">
        <f>IFERROR(__xludf.DUMMYFUNCTION("""COMPUTED_VALUE"""),46304.0)</f>
        <v>46304</v>
      </c>
      <c r="B586" s="19">
        <f>IFERROR(__xludf.DUMMYFUNCTION("""COMPUTED_VALUE"""),46323.0)</f>
        <v>46323</v>
      </c>
      <c r="C586" s="15">
        <f>IFERROR(__xludf.DUMMYFUNCTION("""COMPUTED_VALUE"""),12.0)</f>
        <v>12</v>
      </c>
      <c r="D586" s="15" t="str">
        <f>IFERROR(__xludf.DUMMYFUNCTION("""COMPUTED_VALUE"""),"MSS")</f>
        <v>MSS</v>
      </c>
      <c r="E586" s="15" t="str">
        <f>IFERROR(__xludf.DUMMYFUNCTION("""COMPUTED_VALUE"""),"LOJAS CENTAURO")</f>
        <v>LOJAS CENTAURO</v>
      </c>
      <c r="F586" s="15" t="str">
        <f>IFERROR(__xludf.DUMMYFUNCTION("""COMPUTED_VALUE"""),"TRIFIL")</f>
        <v>TRIFIL</v>
      </c>
      <c r="G586" s="15" t="str">
        <f>IFERROR(__xludf.DUMMYFUNCTION("""COMPUTED_VALUE"""),"266806952")</f>
        <v>266806952</v>
      </c>
      <c r="H586" s="15" t="str">
        <f>IFERROR(__xludf.DUMMYFUNCTION("""COMPUTED_VALUE"""),"1306125")</f>
        <v>1306125</v>
      </c>
      <c r="I586" s="15" t="str">
        <f>IFERROR(__xludf.DUMMYFUNCTION("""COMPUTED_VALUE"""),"8177332")</f>
        <v>8177332</v>
      </c>
      <c r="J586" s="15" t="str">
        <f>IFERROR(__xludf.DUMMYFUNCTION("""COMPUTED_VALUE"""),"CIF")</f>
        <v>CIF</v>
      </c>
      <c r="K586" s="15" t="str">
        <f>IFERROR(__xludf.DUMMYFUNCTION("""COMPUTED_VALUE"""),"SAO-1")</f>
        <v>SAO-1</v>
      </c>
      <c r="L586" s="15" t="str">
        <f>IFERROR(__xludf.DUMMYFUNCTION("""COMPUTED_VALUE"""),"AUTORIZADO")</f>
        <v>AUTORIZADO</v>
      </c>
      <c r="M586" s="15" t="str">
        <f>IFERROR(__xludf.DUMMYFUNCTION("""COMPUTED_VALUE"""),"NA ORIGEM")</f>
        <v>NA ORIGEM</v>
      </c>
      <c r="N586" s="15" t="str">
        <f>IFERROR(__xludf.DUMMYFUNCTION("""COMPUTED_VALUE"""),"Antes Prazo")</f>
        <v>Antes Prazo</v>
      </c>
      <c r="O586" s="15" t="str">
        <f>IFERROR(__xludf.DUMMYFUNCTION("""COMPUTED_VALUE"""),"B2B")</f>
        <v>B2B</v>
      </c>
      <c r="P586" s="16">
        <f>IFERROR(__xludf.DUMMYFUNCTION("""COMPUTED_VALUE"""),68.09)</f>
        <v>68.09</v>
      </c>
      <c r="Q586" s="15">
        <f>IFERROR(__xludf.DUMMYFUNCTION("""COMPUTED_VALUE"""),1.0)</f>
        <v>1</v>
      </c>
      <c r="R586" s="15" t="str">
        <f>IFERROR(__xludf.DUMMYFUNCTION("""COMPUTED_VALUE"""),"RODO")</f>
        <v>RODO</v>
      </c>
      <c r="S586" s="15" t="str">
        <f>IFERROR(__xludf.DUMMYFUNCTION("""COMPUTED_VALUE"""),"ITN")</f>
        <v>ITN</v>
      </c>
      <c r="T586" s="15" t="str">
        <f>IFERROR(__xludf.DUMMYFUNCTION("""COMPUTED_VALUE"""),"501")</f>
        <v>501</v>
      </c>
      <c r="U586" s="15" t="str">
        <f>IFERROR(__xludf.DUMMYFUNCTION("""COMPUTED_VALUE"""),"266806952 1306125 8177332 lojas centauro trifil mss 501")</f>
        <v>266806952 1306125 8177332 lojas centauro trifil mss 501</v>
      </c>
      <c r="V586" s="15" t="b">
        <f>IFERROR(__xludf.DUMMYFUNCTION("""COMPUTED_VALUE"""),FALSE)</f>
        <v>0</v>
      </c>
    </row>
    <row r="587">
      <c r="A587" s="19">
        <f>IFERROR(__xludf.DUMMYFUNCTION("""COMPUTED_VALUE"""),46304.0)</f>
        <v>46304</v>
      </c>
      <c r="B587" s="19">
        <f>IFERROR(__xludf.DUMMYFUNCTION("""COMPUTED_VALUE"""),46323.0)</f>
        <v>46323</v>
      </c>
      <c r="C587" s="15">
        <f>IFERROR(__xludf.DUMMYFUNCTION("""COMPUTED_VALUE"""),12.0)</f>
        <v>12</v>
      </c>
      <c r="D587" s="15" t="str">
        <f>IFERROR(__xludf.DUMMYFUNCTION("""COMPUTED_VALUE"""),"MSS")</f>
        <v>MSS</v>
      </c>
      <c r="E587" s="15" t="str">
        <f>IFERROR(__xludf.DUMMYFUNCTION("""COMPUTED_VALUE"""),"IMPULSE MODA INTIMA E FITNESS LTDA")</f>
        <v>IMPULSE MODA INTIMA E FITNESS LTDA</v>
      </c>
      <c r="F587" s="15" t="str">
        <f>IFERROR(__xludf.DUMMYFUNCTION("""COMPUTED_VALUE"""),"TRIFIL")</f>
        <v>TRIFIL</v>
      </c>
      <c r="G587" s="15" t="str">
        <f>IFERROR(__xludf.DUMMYFUNCTION("""COMPUTED_VALUE"""),"266806954")</f>
        <v>266806954</v>
      </c>
      <c r="H587" s="15" t="str">
        <f>IFERROR(__xludf.DUMMYFUNCTION("""COMPUTED_VALUE"""),"1305833")</f>
        <v>1305833</v>
      </c>
      <c r="I587" s="15" t="str">
        <f>IFERROR(__xludf.DUMMYFUNCTION("""COMPUTED_VALUE"""),"8177303")</f>
        <v>8177303</v>
      </c>
      <c r="J587" s="15" t="str">
        <f>IFERROR(__xludf.DUMMYFUNCTION("""COMPUTED_VALUE"""),"CIF")</f>
        <v>CIF</v>
      </c>
      <c r="K587" s="15" t="str">
        <f>IFERROR(__xludf.DUMMYFUNCTION("""COMPUTED_VALUE"""),"(sem célula)")</f>
        <v>(sem célula)</v>
      </c>
      <c r="L587" s="15" t="str">
        <f>IFERROR(__xludf.DUMMYFUNCTION("""COMPUTED_VALUE"""),"AUTORIZADO")</f>
        <v>AUTORIZADO</v>
      </c>
      <c r="M587" s="15" t="str">
        <f>IFERROR(__xludf.DUMMYFUNCTION("""COMPUTED_VALUE"""),"NA ORIGEM")</f>
        <v>NA ORIGEM</v>
      </c>
      <c r="N587" s="15" t="str">
        <f>IFERROR(__xludf.DUMMYFUNCTION("""COMPUTED_VALUE"""),"Antes Prazo")</f>
        <v>Antes Prazo</v>
      </c>
      <c r="O587" s="15" t="str">
        <f>IFERROR(__xludf.DUMMYFUNCTION("""COMPUTED_VALUE"""),"B2B")</f>
        <v>B2B</v>
      </c>
      <c r="P587" s="16">
        <f>IFERROR(__xludf.DUMMYFUNCTION("""COMPUTED_VALUE"""),68.09)</f>
        <v>68.09</v>
      </c>
      <c r="Q587" s="15">
        <f>IFERROR(__xludf.DUMMYFUNCTION("""COMPUTED_VALUE"""),1.0)</f>
        <v>1</v>
      </c>
      <c r="R587" s="15" t="str">
        <f>IFERROR(__xludf.DUMMYFUNCTION("""COMPUTED_VALUE"""),"RODO")</f>
        <v>RODO</v>
      </c>
      <c r="S587" s="15" t="str">
        <f>IFERROR(__xludf.DUMMYFUNCTION("""COMPUTED_VALUE"""),"ITN")</f>
        <v>ITN</v>
      </c>
      <c r="T587" s="15" t="str">
        <f>IFERROR(__xludf.DUMMYFUNCTION("""COMPUTED_VALUE"""),"501")</f>
        <v>501</v>
      </c>
      <c r="U587" s="15" t="str">
        <f>IFERROR(__xludf.DUMMYFUNCTION("""COMPUTED_VALUE"""),"266806954 1305833 8177303 impulse moda intima e fitness ltda trifil mss 501")</f>
        <v>266806954 1305833 8177303 impulse moda intima e fitness ltda trifil mss 501</v>
      </c>
      <c r="V587" s="15" t="b">
        <f>IFERROR(__xludf.DUMMYFUNCTION("""COMPUTED_VALUE"""),FALSE)</f>
        <v>0</v>
      </c>
    </row>
    <row r="588">
      <c r="A588" s="19">
        <f>IFERROR(__xludf.DUMMYFUNCTION("""COMPUTED_VALUE"""),46304.0)</f>
        <v>46304</v>
      </c>
      <c r="B588" s="19">
        <f>IFERROR(__xludf.DUMMYFUNCTION("""COMPUTED_VALUE"""),46316.0)</f>
        <v>46316</v>
      </c>
      <c r="C588" s="15">
        <f>IFERROR(__xludf.DUMMYFUNCTION("""COMPUTED_VALUE"""),7.0)</f>
        <v>7</v>
      </c>
      <c r="D588" s="15" t="str">
        <f>IFERROR(__xludf.DUMMYFUNCTION("""COMPUTED_VALUE"""),"CWB")</f>
        <v>CWB</v>
      </c>
      <c r="E588" s="15" t="str">
        <f>IFERROR(__xludf.DUMMYFUNCTION("""COMPUTED_VALUE"""),"GIOTI CALCADOS LTDA")</f>
        <v>GIOTI CALCADOS LTDA</v>
      </c>
      <c r="F588" s="15" t="str">
        <f>IFERROR(__xludf.DUMMYFUNCTION("""COMPUTED_VALUE"""),"TRIFIL")</f>
        <v>TRIFIL</v>
      </c>
      <c r="G588" s="15" t="str">
        <f>IFERROR(__xludf.DUMMYFUNCTION("""COMPUTED_VALUE"""),"266806956")</f>
        <v>266806956</v>
      </c>
      <c r="H588" s="15" t="str">
        <f>IFERROR(__xludf.DUMMYFUNCTION("""COMPUTED_VALUE"""),"1306179")</f>
        <v>1306179</v>
      </c>
      <c r="I588" s="15" t="str">
        <f>IFERROR(__xludf.DUMMYFUNCTION("""COMPUTED_VALUE"""),"8177173")</f>
        <v>8177173</v>
      </c>
      <c r="J588" s="15" t="str">
        <f>IFERROR(__xludf.DUMMYFUNCTION("""COMPUTED_VALUE"""),"CIF")</f>
        <v>CIF</v>
      </c>
      <c r="K588" s="15" t="str">
        <f>IFERROR(__xludf.DUMMYFUNCTION("""COMPUTED_VALUE"""),"FSA-1")</f>
        <v>FSA-1</v>
      </c>
      <c r="L588" s="15" t="str">
        <f>IFERROR(__xludf.DUMMYFUNCTION("""COMPUTED_VALUE"""),"AUTORIZADO")</f>
        <v>AUTORIZADO</v>
      </c>
      <c r="M588" s="15" t="str">
        <f>IFERROR(__xludf.DUMMYFUNCTION("""COMPUTED_VALUE"""),"NA ORIGEM")</f>
        <v>NA ORIGEM</v>
      </c>
      <c r="N588" s="15" t="str">
        <f>IFERROR(__xludf.DUMMYFUNCTION("""COMPUTED_VALUE"""),"Antes Prazo")</f>
        <v>Antes Prazo</v>
      </c>
      <c r="O588" s="15" t="str">
        <f>IFERROR(__xludf.DUMMYFUNCTION("""COMPUTED_VALUE"""),"B2B")</f>
        <v>B2B</v>
      </c>
      <c r="P588" s="16">
        <f>IFERROR(__xludf.DUMMYFUNCTION("""COMPUTED_VALUE"""),47.89)</f>
        <v>47.89</v>
      </c>
      <c r="Q588" s="15">
        <f>IFERROR(__xludf.DUMMYFUNCTION("""COMPUTED_VALUE"""),1.0)</f>
        <v>1</v>
      </c>
      <c r="R588" s="15" t="str">
        <f>IFERROR(__xludf.DUMMYFUNCTION("""COMPUTED_VALUE"""),"RODO")</f>
        <v>RODO</v>
      </c>
      <c r="S588" s="15" t="str">
        <f>IFERROR(__xludf.DUMMYFUNCTION("""COMPUTED_VALUE"""),"ITN")</f>
        <v>ITN</v>
      </c>
      <c r="T588" s="15" t="str">
        <f>IFERROR(__xludf.DUMMYFUNCTION("""COMPUTED_VALUE"""),"20")</f>
        <v>20</v>
      </c>
      <c r="U588" s="15" t="str">
        <f>IFERROR(__xludf.DUMMYFUNCTION("""COMPUTED_VALUE"""),"266806956 1306179 8177173 gioti calcados ltda trifil cwb 20")</f>
        <v>266806956 1306179 8177173 gioti calcados ltda trifil cwb 20</v>
      </c>
      <c r="V588" s="15" t="b">
        <f>IFERROR(__xludf.DUMMYFUNCTION("""COMPUTED_VALUE"""),FALSE)</f>
        <v>0</v>
      </c>
    </row>
    <row r="589">
      <c r="A589" s="19">
        <f>IFERROR(__xludf.DUMMYFUNCTION("""COMPUTED_VALUE"""),46304.0)</f>
        <v>46304</v>
      </c>
      <c r="B589" s="19">
        <f>IFERROR(__xludf.DUMMYFUNCTION("""COMPUTED_VALUE"""),46316.0)</f>
        <v>46316</v>
      </c>
      <c r="C589" s="15">
        <f>IFERROR(__xludf.DUMMYFUNCTION("""COMPUTED_VALUE"""),7.0)</f>
        <v>7</v>
      </c>
      <c r="D589" s="15" t="str">
        <f>IFERROR(__xludf.DUMMYFUNCTION("""COMPUTED_VALUE"""),"CWB")</f>
        <v>CWB</v>
      </c>
      <c r="E589" s="15" t="str">
        <f>IFERROR(__xludf.DUMMYFUNCTION("""COMPUTED_VALUE"""),"JOSE DESZAUNET FILHO CIA LTDA")</f>
        <v>JOSE DESZAUNET FILHO CIA LTDA</v>
      </c>
      <c r="F589" s="15" t="str">
        <f>IFERROR(__xludf.DUMMYFUNCTION("""COMPUTED_VALUE"""),"TRIFIL")</f>
        <v>TRIFIL</v>
      </c>
      <c r="G589" s="15" t="str">
        <f>IFERROR(__xludf.DUMMYFUNCTION("""COMPUTED_VALUE"""),"266806958")</f>
        <v>266806958</v>
      </c>
      <c r="H589" s="15" t="str">
        <f>IFERROR(__xludf.DUMMYFUNCTION("""COMPUTED_VALUE"""),"1306142")</f>
        <v>1306142</v>
      </c>
      <c r="I589" s="15" t="str">
        <f>IFERROR(__xludf.DUMMYFUNCTION("""COMPUTED_VALUE"""),"8177139")</f>
        <v>8177139</v>
      </c>
      <c r="J589" s="15" t="str">
        <f>IFERROR(__xludf.DUMMYFUNCTION("""COMPUTED_VALUE"""),"CIF")</f>
        <v>CIF</v>
      </c>
      <c r="K589" s="15" t="str">
        <f>IFERROR(__xludf.DUMMYFUNCTION("""COMPUTED_VALUE"""),"FSA-1")</f>
        <v>FSA-1</v>
      </c>
      <c r="L589" s="15" t="str">
        <f>IFERROR(__xludf.DUMMYFUNCTION("""COMPUTED_VALUE"""),"AUTORIZADO")</f>
        <v>AUTORIZADO</v>
      </c>
      <c r="M589" s="15" t="str">
        <f>IFERROR(__xludf.DUMMYFUNCTION("""COMPUTED_VALUE"""),"NA ORIGEM")</f>
        <v>NA ORIGEM</v>
      </c>
      <c r="N589" s="15" t="str">
        <f>IFERROR(__xludf.DUMMYFUNCTION("""COMPUTED_VALUE"""),"Antes Prazo")</f>
        <v>Antes Prazo</v>
      </c>
      <c r="O589" s="15" t="str">
        <f>IFERROR(__xludf.DUMMYFUNCTION("""COMPUTED_VALUE"""),"B2B")</f>
        <v>B2B</v>
      </c>
      <c r="P589" s="16">
        <f>IFERROR(__xludf.DUMMYFUNCTION("""COMPUTED_VALUE"""),47.89)</f>
        <v>47.89</v>
      </c>
      <c r="Q589" s="15">
        <f>IFERROR(__xludf.DUMMYFUNCTION("""COMPUTED_VALUE"""),1.0)</f>
        <v>1</v>
      </c>
      <c r="R589" s="15" t="str">
        <f>IFERROR(__xludf.DUMMYFUNCTION("""COMPUTED_VALUE"""),"RODO")</f>
        <v>RODO</v>
      </c>
      <c r="S589" s="15" t="str">
        <f>IFERROR(__xludf.DUMMYFUNCTION("""COMPUTED_VALUE"""),"ITN")</f>
        <v>ITN</v>
      </c>
      <c r="T589" s="15" t="str">
        <f>IFERROR(__xludf.DUMMYFUNCTION("""COMPUTED_VALUE"""),"25")</f>
        <v>25</v>
      </c>
      <c r="U589" s="15" t="str">
        <f>IFERROR(__xludf.DUMMYFUNCTION("""COMPUTED_VALUE"""),"266806958 1306142 8177139 jose deszaunet filho cia ltda trifil cwb 25")</f>
        <v>266806958 1306142 8177139 jose deszaunet filho cia ltda trifil cwb 25</v>
      </c>
      <c r="V589" s="15" t="b">
        <f>IFERROR(__xludf.DUMMYFUNCTION("""COMPUTED_VALUE"""),FALSE)</f>
        <v>0</v>
      </c>
    </row>
    <row r="590">
      <c r="A590" s="19">
        <f>IFERROR(__xludf.DUMMYFUNCTION("""COMPUTED_VALUE"""),46304.0)</f>
        <v>46304</v>
      </c>
      <c r="B590" s="19">
        <f>IFERROR(__xludf.DUMMYFUNCTION("""COMPUTED_VALUE"""),46316.0)</f>
        <v>46316</v>
      </c>
      <c r="C590" s="15">
        <f>IFERROR(__xludf.DUMMYFUNCTION("""COMPUTED_VALUE"""),7.0)</f>
        <v>7</v>
      </c>
      <c r="D590" s="15" t="str">
        <f>IFERROR(__xludf.DUMMYFUNCTION("""COMPUTED_VALUE"""),"CWB")</f>
        <v>CWB</v>
      </c>
      <c r="E590" s="15" t="str">
        <f>IFERROR(__xludf.DUMMYFUNCTION("""COMPUTED_VALUE"""),"MEIMALHA")</f>
        <v>MEIMALHA</v>
      </c>
      <c r="F590" s="15" t="str">
        <f>IFERROR(__xludf.DUMMYFUNCTION("""COMPUTED_VALUE"""),"TRIFIL")</f>
        <v>TRIFIL</v>
      </c>
      <c r="G590" s="15" t="str">
        <f>IFERROR(__xludf.DUMMYFUNCTION("""COMPUTED_VALUE"""),"266806960")</f>
        <v>266806960</v>
      </c>
      <c r="H590" s="15" t="str">
        <f>IFERROR(__xludf.DUMMYFUNCTION("""COMPUTED_VALUE"""),"1306164")</f>
        <v>1306164</v>
      </c>
      <c r="I590" s="15" t="str">
        <f>IFERROR(__xludf.DUMMYFUNCTION("""COMPUTED_VALUE"""),"8177304")</f>
        <v>8177304</v>
      </c>
      <c r="J590" s="15" t="str">
        <f>IFERROR(__xludf.DUMMYFUNCTION("""COMPUTED_VALUE"""),"CIF")</f>
        <v>CIF</v>
      </c>
      <c r="K590" s="15" t="str">
        <f>IFERROR(__xludf.DUMMYFUNCTION("""COMPUTED_VALUE"""),"FSA-1")</f>
        <v>FSA-1</v>
      </c>
      <c r="L590" s="15" t="str">
        <f>IFERROR(__xludf.DUMMYFUNCTION("""COMPUTED_VALUE"""),"AUTORIZADO")</f>
        <v>AUTORIZADO</v>
      </c>
      <c r="M590" s="15" t="str">
        <f>IFERROR(__xludf.DUMMYFUNCTION("""COMPUTED_VALUE"""),"NA ORIGEM")</f>
        <v>NA ORIGEM</v>
      </c>
      <c r="N590" s="15" t="str">
        <f>IFERROR(__xludf.DUMMYFUNCTION("""COMPUTED_VALUE"""),"Antes Prazo")</f>
        <v>Antes Prazo</v>
      </c>
      <c r="O590" s="15" t="str">
        <f>IFERROR(__xludf.DUMMYFUNCTION("""COMPUTED_VALUE"""),"B2B")</f>
        <v>B2B</v>
      </c>
      <c r="P590" s="16">
        <f>IFERROR(__xludf.DUMMYFUNCTION("""COMPUTED_VALUE"""),47.89)</f>
        <v>47.89</v>
      </c>
      <c r="Q590" s="15">
        <f>IFERROR(__xludf.DUMMYFUNCTION("""COMPUTED_VALUE"""),2.0)</f>
        <v>2</v>
      </c>
      <c r="R590" s="15" t="str">
        <f>IFERROR(__xludf.DUMMYFUNCTION("""COMPUTED_VALUE"""),"RODO")</f>
        <v>RODO</v>
      </c>
      <c r="S590" s="15" t="str">
        <f>IFERROR(__xludf.DUMMYFUNCTION("""COMPUTED_VALUE"""),"ITN")</f>
        <v>ITN</v>
      </c>
      <c r="T590" s="15" t="str">
        <f>IFERROR(__xludf.DUMMYFUNCTION("""COMPUTED_VALUE"""),"13")</f>
        <v>13</v>
      </c>
      <c r="U590" s="15" t="str">
        <f>IFERROR(__xludf.DUMMYFUNCTION("""COMPUTED_VALUE"""),"266806960 1306164 8177304 meimalha trifil cwb 13")</f>
        <v>266806960 1306164 8177304 meimalha trifil cwb 13</v>
      </c>
      <c r="V590" s="15" t="b">
        <f>IFERROR(__xludf.DUMMYFUNCTION("""COMPUTED_VALUE"""),FALSE)</f>
        <v>0</v>
      </c>
    </row>
    <row r="591">
      <c r="A591" s="19">
        <f>IFERROR(__xludf.DUMMYFUNCTION("""COMPUTED_VALUE"""),46304.0)</f>
        <v>46304</v>
      </c>
      <c r="B591" s="19">
        <f>IFERROR(__xludf.DUMMYFUNCTION("""COMPUTED_VALUE"""),46316.0)</f>
        <v>46316</v>
      </c>
      <c r="C591" s="15">
        <f>IFERROR(__xludf.DUMMYFUNCTION("""COMPUTED_VALUE"""),7.0)</f>
        <v>7</v>
      </c>
      <c r="D591" s="15" t="str">
        <f>IFERROR(__xludf.DUMMYFUNCTION("""COMPUTED_VALUE"""),"CWB")</f>
        <v>CWB</v>
      </c>
      <c r="E591" s="15" t="str">
        <f>IFERROR(__xludf.DUMMYFUNCTION("""COMPUTED_VALUE"""),"ROCHAT COMERCIO VAREJISTA DE ROUPAS E AC")</f>
        <v>ROCHAT COMERCIO VAREJISTA DE ROUPAS E AC</v>
      </c>
      <c r="F591" s="15" t="str">
        <f>IFERROR(__xludf.DUMMYFUNCTION("""COMPUTED_VALUE"""),"TRIFIL")</f>
        <v>TRIFIL</v>
      </c>
      <c r="G591" s="15" t="str">
        <f>IFERROR(__xludf.DUMMYFUNCTION("""COMPUTED_VALUE"""),"266806963")</f>
        <v>266806963</v>
      </c>
      <c r="H591" s="15" t="str">
        <f>IFERROR(__xludf.DUMMYFUNCTION("""COMPUTED_VALUE"""),"1306137")</f>
        <v>1306137</v>
      </c>
      <c r="I591" s="15" t="str">
        <f>IFERROR(__xludf.DUMMYFUNCTION("""COMPUTED_VALUE"""),"8177269")</f>
        <v>8177269</v>
      </c>
      <c r="J591" s="15" t="str">
        <f>IFERROR(__xludf.DUMMYFUNCTION("""COMPUTED_VALUE"""),"CIF")</f>
        <v>CIF</v>
      </c>
      <c r="K591" s="15" t="str">
        <f>IFERROR(__xludf.DUMMYFUNCTION("""COMPUTED_VALUE"""),"FSA-1")</f>
        <v>FSA-1</v>
      </c>
      <c r="L591" s="15" t="str">
        <f>IFERROR(__xludf.DUMMYFUNCTION("""COMPUTED_VALUE"""),"AUTORIZADO")</f>
        <v>AUTORIZADO</v>
      </c>
      <c r="M591" s="15" t="str">
        <f>IFERROR(__xludf.DUMMYFUNCTION("""COMPUTED_VALUE"""),"NA ORIGEM")</f>
        <v>NA ORIGEM</v>
      </c>
      <c r="N591" s="15" t="str">
        <f>IFERROR(__xludf.DUMMYFUNCTION("""COMPUTED_VALUE"""),"Antes Prazo")</f>
        <v>Antes Prazo</v>
      </c>
      <c r="O591" s="15" t="str">
        <f>IFERROR(__xludf.DUMMYFUNCTION("""COMPUTED_VALUE"""),"B2B")</f>
        <v>B2B</v>
      </c>
      <c r="P591" s="16">
        <f>IFERROR(__xludf.DUMMYFUNCTION("""COMPUTED_VALUE"""),47.89)</f>
        <v>47.89</v>
      </c>
      <c r="Q591" s="15">
        <f>IFERROR(__xludf.DUMMYFUNCTION("""COMPUTED_VALUE"""),1.0)</f>
        <v>1</v>
      </c>
      <c r="R591" s="15" t="str">
        <f>IFERROR(__xludf.DUMMYFUNCTION("""COMPUTED_VALUE"""),"RODO")</f>
        <v>RODO</v>
      </c>
      <c r="S591" s="15" t="str">
        <f>IFERROR(__xludf.DUMMYFUNCTION("""COMPUTED_VALUE"""),"ITN")</f>
        <v>ITN</v>
      </c>
      <c r="T591" s="15" t="str">
        <f>IFERROR(__xludf.DUMMYFUNCTION("""COMPUTED_VALUE"""),"28")</f>
        <v>28</v>
      </c>
      <c r="U591" s="15" t="str">
        <f>IFERROR(__xludf.DUMMYFUNCTION("""COMPUTED_VALUE"""),"266806963 1306137 8177269 rochat comercio varejista de roupas e ac trifil cwb 28")</f>
        <v>266806963 1306137 8177269 rochat comercio varejista de roupas e ac trifil cwb 28</v>
      </c>
      <c r="V591" s="15" t="b">
        <f>IFERROR(__xludf.DUMMYFUNCTION("""COMPUTED_VALUE"""),FALSE)</f>
        <v>0</v>
      </c>
    </row>
    <row r="592">
      <c r="A592" s="19">
        <f>IFERROR(__xludf.DUMMYFUNCTION("""COMPUTED_VALUE"""),46304.0)</f>
        <v>46304</v>
      </c>
      <c r="B592" s="19">
        <f>IFERROR(__xludf.DUMMYFUNCTION("""COMPUTED_VALUE"""),46317.0)</f>
        <v>46317</v>
      </c>
      <c r="C592" s="15">
        <f>IFERROR(__xludf.DUMMYFUNCTION("""COMPUTED_VALUE"""),8.0)</f>
        <v>8</v>
      </c>
      <c r="D592" s="15" t="str">
        <f>IFERROR(__xludf.DUMMYFUNCTION("""COMPUTED_VALUE"""),"CWB")</f>
        <v>CWB</v>
      </c>
      <c r="E592" s="15" t="str">
        <f>IFERROR(__xludf.DUMMYFUNCTION("""COMPUTED_VALUE"""),"E MODAS Ltda")</f>
        <v>E MODAS Ltda</v>
      </c>
      <c r="F592" s="15" t="str">
        <f>IFERROR(__xludf.DUMMYFUNCTION("""COMPUTED_VALUE"""),"TRIFIL")</f>
        <v>TRIFIL</v>
      </c>
      <c r="G592" s="15" t="str">
        <f>IFERROR(__xludf.DUMMYFUNCTION("""COMPUTED_VALUE"""),"266806965")</f>
        <v>266806965</v>
      </c>
      <c r="H592" s="15" t="str">
        <f>IFERROR(__xludf.DUMMYFUNCTION("""COMPUTED_VALUE"""),"1306093")</f>
        <v>1306093</v>
      </c>
      <c r="I592" s="15" t="str">
        <f>IFERROR(__xludf.DUMMYFUNCTION("""COMPUTED_VALUE"""),"8177140")</f>
        <v>8177140</v>
      </c>
      <c r="J592" s="15" t="str">
        <f>IFERROR(__xludf.DUMMYFUNCTION("""COMPUTED_VALUE"""),"CIF")</f>
        <v>CIF</v>
      </c>
      <c r="K592" s="15" t="str">
        <f>IFERROR(__xludf.DUMMYFUNCTION("""COMPUTED_VALUE"""),"FSA-1")</f>
        <v>FSA-1</v>
      </c>
      <c r="L592" s="15" t="str">
        <f>IFERROR(__xludf.DUMMYFUNCTION("""COMPUTED_VALUE"""),"AUTORIZADO")</f>
        <v>AUTORIZADO</v>
      </c>
      <c r="M592" s="15" t="str">
        <f>IFERROR(__xludf.DUMMYFUNCTION("""COMPUTED_VALUE"""),"NA ORIGEM")</f>
        <v>NA ORIGEM</v>
      </c>
      <c r="N592" s="15" t="str">
        <f>IFERROR(__xludf.DUMMYFUNCTION("""COMPUTED_VALUE"""),"Antes Prazo")</f>
        <v>Antes Prazo</v>
      </c>
      <c r="O592" s="15" t="str">
        <f>IFERROR(__xludf.DUMMYFUNCTION("""COMPUTED_VALUE"""),"B2B")</f>
        <v>B2B</v>
      </c>
      <c r="P592" s="16">
        <f>IFERROR(__xludf.DUMMYFUNCTION("""COMPUTED_VALUE"""),47.89)</f>
        <v>47.89</v>
      </c>
      <c r="Q592" s="15">
        <f>IFERROR(__xludf.DUMMYFUNCTION("""COMPUTED_VALUE"""),2.0)</f>
        <v>2</v>
      </c>
      <c r="R592" s="15" t="str">
        <f>IFERROR(__xludf.DUMMYFUNCTION("""COMPUTED_VALUE"""),"RODO")</f>
        <v>RODO</v>
      </c>
      <c r="S592" s="15" t="str">
        <f>IFERROR(__xludf.DUMMYFUNCTION("""COMPUTED_VALUE"""),"ITN")</f>
        <v>ITN</v>
      </c>
      <c r="T592" s="15" t="str">
        <f>IFERROR(__xludf.DUMMYFUNCTION("""COMPUTED_VALUE"""),"105")</f>
        <v>105</v>
      </c>
      <c r="U592" s="15" t="str">
        <f>IFERROR(__xludf.DUMMYFUNCTION("""COMPUTED_VALUE"""),"266806965 1306093 8177140 e modas ltda trifil cwb 105")</f>
        <v>266806965 1306093 8177140 e modas ltda trifil cwb 105</v>
      </c>
      <c r="V592" s="15" t="b">
        <f>IFERROR(__xludf.DUMMYFUNCTION("""COMPUTED_VALUE"""),FALSE)</f>
        <v>0</v>
      </c>
    </row>
    <row r="593">
      <c r="A593" s="19">
        <f>IFERROR(__xludf.DUMMYFUNCTION("""COMPUTED_VALUE"""),46304.0)</f>
        <v>46304</v>
      </c>
      <c r="B593" s="19">
        <f>IFERROR(__xludf.DUMMYFUNCTION("""COMPUTED_VALUE"""),46317.0)</f>
        <v>46317</v>
      </c>
      <c r="C593" s="15">
        <f>IFERROR(__xludf.DUMMYFUNCTION("""COMPUTED_VALUE"""),8.0)</f>
        <v>8</v>
      </c>
      <c r="D593" s="15" t="str">
        <f>IFERROR(__xludf.DUMMYFUNCTION("""COMPUTED_VALUE"""),"CWB")</f>
        <v>CWB</v>
      </c>
      <c r="E593" s="15" t="str">
        <f>IFERROR(__xludf.DUMMYFUNCTION("""COMPUTED_VALUE"""),"ZANITTA COMERCIO DE ROUPAS LTDA")</f>
        <v>ZANITTA COMERCIO DE ROUPAS LTDA</v>
      </c>
      <c r="F593" s="15" t="str">
        <f>IFERROR(__xludf.DUMMYFUNCTION("""COMPUTED_VALUE"""),"TRIFIL")</f>
        <v>TRIFIL</v>
      </c>
      <c r="G593" s="15" t="str">
        <f>IFERROR(__xludf.DUMMYFUNCTION("""COMPUTED_VALUE"""),"266806966")</f>
        <v>266806966</v>
      </c>
      <c r="H593" s="15" t="str">
        <f>IFERROR(__xludf.DUMMYFUNCTION("""COMPUTED_VALUE"""),"1305910")</f>
        <v>1305910</v>
      </c>
      <c r="I593" s="15" t="str">
        <f>IFERROR(__xludf.DUMMYFUNCTION("""COMPUTED_VALUE"""),"8177270")</f>
        <v>8177270</v>
      </c>
      <c r="J593" s="15" t="str">
        <f>IFERROR(__xludf.DUMMYFUNCTION("""COMPUTED_VALUE"""),"CIF")</f>
        <v>CIF</v>
      </c>
      <c r="K593" s="15" t="str">
        <f>IFERROR(__xludf.DUMMYFUNCTION("""COMPUTED_VALUE"""),"FSA-1")</f>
        <v>FSA-1</v>
      </c>
      <c r="L593" s="15" t="str">
        <f>IFERROR(__xludf.DUMMYFUNCTION("""COMPUTED_VALUE"""),"AUTORIZADO")</f>
        <v>AUTORIZADO</v>
      </c>
      <c r="M593" s="15" t="str">
        <f>IFERROR(__xludf.DUMMYFUNCTION("""COMPUTED_VALUE"""),"NA ORIGEM")</f>
        <v>NA ORIGEM</v>
      </c>
      <c r="N593" s="15" t="str">
        <f>IFERROR(__xludf.DUMMYFUNCTION("""COMPUTED_VALUE"""),"Antes Prazo")</f>
        <v>Antes Prazo</v>
      </c>
      <c r="O593" s="15" t="str">
        <f>IFERROR(__xludf.DUMMYFUNCTION("""COMPUTED_VALUE"""),"B2B")</f>
        <v>B2B</v>
      </c>
      <c r="P593" s="16">
        <f>IFERROR(__xludf.DUMMYFUNCTION("""COMPUTED_VALUE"""),47.89)</f>
        <v>47.89</v>
      </c>
      <c r="Q593" s="15">
        <f>IFERROR(__xludf.DUMMYFUNCTION("""COMPUTED_VALUE"""),1.0)</f>
        <v>1</v>
      </c>
      <c r="R593" s="15" t="str">
        <f>IFERROR(__xludf.DUMMYFUNCTION("""COMPUTED_VALUE"""),"RODO")</f>
        <v>RODO</v>
      </c>
      <c r="S593" s="15" t="str">
        <f>IFERROR(__xludf.DUMMYFUNCTION("""COMPUTED_VALUE"""),"ITN")</f>
        <v>ITN</v>
      </c>
      <c r="T593" s="15" t="str">
        <f>IFERROR(__xludf.DUMMYFUNCTION("""COMPUTED_VALUE"""),"107")</f>
        <v>107</v>
      </c>
      <c r="U593" s="15" t="str">
        <f>IFERROR(__xludf.DUMMYFUNCTION("""COMPUTED_VALUE"""),"266806966 1305910 8177270 zanitta comercio de roupas ltda trifil cwb 107")</f>
        <v>266806966 1305910 8177270 zanitta comercio de roupas ltda trifil cwb 107</v>
      </c>
      <c r="V593" s="15" t="b">
        <f>IFERROR(__xludf.DUMMYFUNCTION("""COMPUTED_VALUE"""),FALSE)</f>
        <v>0</v>
      </c>
    </row>
    <row r="594">
      <c r="A594" s="19">
        <f>IFERROR(__xludf.DUMMYFUNCTION("""COMPUTED_VALUE"""),46304.0)</f>
        <v>46304</v>
      </c>
      <c r="B594" s="19">
        <f>IFERROR(__xludf.DUMMYFUNCTION("""COMPUTED_VALUE"""),46317.0)</f>
        <v>46317</v>
      </c>
      <c r="C594" s="15">
        <f>IFERROR(__xludf.DUMMYFUNCTION("""COMPUTED_VALUE"""),8.0)</f>
        <v>8</v>
      </c>
      <c r="D594" s="15" t="str">
        <f>IFERROR(__xludf.DUMMYFUNCTION("""COMPUTED_VALUE"""),"CWB")</f>
        <v>CWB</v>
      </c>
      <c r="E594" s="15" t="str">
        <f>IFERROR(__xludf.DUMMYFUNCTION("""COMPUTED_VALUE"""),"GUIGUITATA MODA INFANT E JUV LTDA ME")</f>
        <v>GUIGUITATA MODA INFANT E JUV LTDA ME</v>
      </c>
      <c r="F594" s="15" t="str">
        <f>IFERROR(__xludf.DUMMYFUNCTION("""COMPUTED_VALUE"""),"TRIFIL")</f>
        <v>TRIFIL</v>
      </c>
      <c r="G594" s="15" t="str">
        <f>IFERROR(__xludf.DUMMYFUNCTION("""COMPUTED_VALUE"""),"266806967")</f>
        <v>266806967</v>
      </c>
      <c r="H594" s="15" t="str">
        <f>IFERROR(__xludf.DUMMYFUNCTION("""COMPUTED_VALUE"""),"1306191")</f>
        <v>1306191</v>
      </c>
      <c r="I594" s="15" t="str">
        <f>IFERROR(__xludf.DUMMYFUNCTION("""COMPUTED_VALUE"""),"8177141")</f>
        <v>8177141</v>
      </c>
      <c r="J594" s="15" t="str">
        <f>IFERROR(__xludf.DUMMYFUNCTION("""COMPUTED_VALUE"""),"CIF")</f>
        <v>CIF</v>
      </c>
      <c r="K594" s="15" t="str">
        <f>IFERROR(__xludf.DUMMYFUNCTION("""COMPUTED_VALUE"""),"FSA-1")</f>
        <v>FSA-1</v>
      </c>
      <c r="L594" s="15" t="str">
        <f>IFERROR(__xludf.DUMMYFUNCTION("""COMPUTED_VALUE"""),"AUTORIZADO")</f>
        <v>AUTORIZADO</v>
      </c>
      <c r="M594" s="15" t="str">
        <f>IFERROR(__xludf.DUMMYFUNCTION("""COMPUTED_VALUE"""),"NA ORIGEM")</f>
        <v>NA ORIGEM</v>
      </c>
      <c r="N594" s="15" t="str">
        <f>IFERROR(__xludf.DUMMYFUNCTION("""COMPUTED_VALUE"""),"Antes Prazo")</f>
        <v>Antes Prazo</v>
      </c>
      <c r="O594" s="15" t="str">
        <f>IFERROR(__xludf.DUMMYFUNCTION("""COMPUTED_VALUE"""),"B2B")</f>
        <v>B2B</v>
      </c>
      <c r="P594" s="16">
        <f>IFERROR(__xludf.DUMMYFUNCTION("""COMPUTED_VALUE"""),47.89)</f>
        <v>47.89</v>
      </c>
      <c r="Q594" s="15">
        <f>IFERROR(__xludf.DUMMYFUNCTION("""COMPUTED_VALUE"""),1.0)</f>
        <v>1</v>
      </c>
      <c r="R594" s="15" t="str">
        <f>IFERROR(__xludf.DUMMYFUNCTION("""COMPUTED_VALUE"""),"RODO")</f>
        <v>RODO</v>
      </c>
      <c r="S594" s="15" t="str">
        <f>IFERROR(__xludf.DUMMYFUNCTION("""COMPUTED_VALUE"""),"ITN")</f>
        <v>ITN</v>
      </c>
      <c r="T594" s="15" t="str">
        <f>IFERROR(__xludf.DUMMYFUNCTION("""COMPUTED_VALUE"""),"107")</f>
        <v>107</v>
      </c>
      <c r="U594" s="15" t="str">
        <f>IFERROR(__xludf.DUMMYFUNCTION("""COMPUTED_VALUE"""),"266806967 1306191 8177141 guiguitata moda infant e juv ltda me trifil cwb 107")</f>
        <v>266806967 1306191 8177141 guiguitata moda infant e juv ltda me trifil cwb 107</v>
      </c>
      <c r="V594" s="15" t="b">
        <f>IFERROR(__xludf.DUMMYFUNCTION("""COMPUTED_VALUE"""),FALSE)</f>
        <v>0</v>
      </c>
    </row>
    <row r="595">
      <c r="A595" s="19">
        <f>IFERROR(__xludf.DUMMYFUNCTION("""COMPUTED_VALUE"""),46304.0)</f>
        <v>46304</v>
      </c>
      <c r="B595" s="19">
        <f>IFERROR(__xludf.DUMMYFUNCTION("""COMPUTED_VALUE"""),46321.0)</f>
        <v>46321</v>
      </c>
      <c r="C595" s="15">
        <f>IFERROR(__xludf.DUMMYFUNCTION("""COMPUTED_VALUE"""),10.0)</f>
        <v>10</v>
      </c>
      <c r="D595" s="15" t="str">
        <f>IFERROR(__xludf.DUMMYFUNCTION("""COMPUTED_VALUE"""),"PGZ")</f>
        <v>PGZ</v>
      </c>
      <c r="E595" s="15" t="str">
        <f>IFERROR(__xludf.DUMMYFUNCTION("""COMPUTED_VALUE"""),"MARINA")</f>
        <v>MARINA</v>
      </c>
      <c r="F595" s="15" t="str">
        <f>IFERROR(__xludf.DUMMYFUNCTION("""COMPUTED_VALUE"""),"TRIFIL")</f>
        <v>TRIFIL</v>
      </c>
      <c r="G595" s="15" t="str">
        <f>IFERROR(__xludf.DUMMYFUNCTION("""COMPUTED_VALUE"""),"266806968")</f>
        <v>266806968</v>
      </c>
      <c r="H595" s="15" t="str">
        <f>IFERROR(__xludf.DUMMYFUNCTION("""COMPUTED_VALUE"""),"1306282")</f>
        <v>1306282</v>
      </c>
      <c r="I595" s="15" t="str">
        <f>IFERROR(__xludf.DUMMYFUNCTION("""COMPUTED_VALUE"""),"8177142")</f>
        <v>8177142</v>
      </c>
      <c r="J595" s="15" t="str">
        <f>IFERROR(__xludf.DUMMYFUNCTION("""COMPUTED_VALUE"""),"CIF")</f>
        <v>CIF</v>
      </c>
      <c r="K595" s="15" t="str">
        <f>IFERROR(__xludf.DUMMYFUNCTION("""COMPUTED_VALUE"""),"FSA-1")</f>
        <v>FSA-1</v>
      </c>
      <c r="L595" s="15" t="str">
        <f>IFERROR(__xludf.DUMMYFUNCTION("""COMPUTED_VALUE"""),"AUTORIZADO")</f>
        <v>AUTORIZADO</v>
      </c>
      <c r="M595" s="15" t="str">
        <f>IFERROR(__xludf.DUMMYFUNCTION("""COMPUTED_VALUE"""),"NA ORIGEM")</f>
        <v>NA ORIGEM</v>
      </c>
      <c r="N595" s="15" t="str">
        <f>IFERROR(__xludf.DUMMYFUNCTION("""COMPUTED_VALUE"""),"Antes Prazo")</f>
        <v>Antes Prazo</v>
      </c>
      <c r="O595" s="15" t="str">
        <f>IFERROR(__xludf.DUMMYFUNCTION("""COMPUTED_VALUE"""),"B2B")</f>
        <v>B2B</v>
      </c>
      <c r="P595" s="16">
        <f>IFERROR(__xludf.DUMMYFUNCTION("""COMPUTED_VALUE"""),53.7)</f>
        <v>53.7</v>
      </c>
      <c r="Q595" s="15">
        <f>IFERROR(__xludf.DUMMYFUNCTION("""COMPUTED_VALUE"""),1.0)</f>
        <v>1</v>
      </c>
      <c r="R595" s="15" t="str">
        <f>IFERROR(__xludf.DUMMYFUNCTION("""COMPUTED_VALUE"""),"RODO")</f>
        <v>RODO</v>
      </c>
      <c r="S595" s="15" t="str">
        <f>IFERROR(__xludf.DUMMYFUNCTION("""COMPUTED_VALUE"""),"ITN")</f>
        <v>ITN</v>
      </c>
      <c r="T595" s="15" t="str">
        <f>IFERROR(__xludf.DUMMYFUNCTION("""COMPUTED_VALUE"""),"107")</f>
        <v>107</v>
      </c>
      <c r="U595" s="15" t="str">
        <f>IFERROR(__xludf.DUMMYFUNCTION("""COMPUTED_VALUE"""),"266806968 1306282 8177142 marina trifil pgz 107")</f>
        <v>266806968 1306282 8177142 marina trifil pgz 107</v>
      </c>
      <c r="V595" s="15" t="b">
        <f>IFERROR(__xludf.DUMMYFUNCTION("""COMPUTED_VALUE"""),FALSE)</f>
        <v>0</v>
      </c>
    </row>
    <row r="596">
      <c r="A596" s="19">
        <f>IFERROR(__xludf.DUMMYFUNCTION("""COMPUTED_VALUE"""),46304.0)</f>
        <v>46304</v>
      </c>
      <c r="B596" s="19">
        <f>IFERROR(__xludf.DUMMYFUNCTION("""COMPUTED_VALUE"""),46323.0)</f>
        <v>46323</v>
      </c>
      <c r="C596" s="15">
        <f>IFERROR(__xludf.DUMMYFUNCTION("""COMPUTED_VALUE"""),12.0)</f>
        <v>12</v>
      </c>
      <c r="D596" s="15" t="str">
        <f>IFERROR(__xludf.DUMMYFUNCTION("""COMPUTED_VALUE"""),"CAC")</f>
        <v>CAC</v>
      </c>
      <c r="E596" s="15" t="str">
        <f>IFERROR(__xludf.DUMMYFUNCTION("""COMPUTED_VALUE"""),"LOJA REAL")</f>
        <v>LOJA REAL</v>
      </c>
      <c r="F596" s="15" t="str">
        <f>IFERROR(__xludf.DUMMYFUNCTION("""COMPUTED_VALUE"""),"TRIFIL")</f>
        <v>TRIFIL</v>
      </c>
      <c r="G596" s="15" t="str">
        <f>IFERROR(__xludf.DUMMYFUNCTION("""COMPUTED_VALUE"""),"266806970")</f>
        <v>266806970</v>
      </c>
      <c r="H596" s="15" t="str">
        <f>IFERROR(__xludf.DUMMYFUNCTION("""COMPUTED_VALUE"""),"1305766")</f>
        <v>1305766</v>
      </c>
      <c r="I596" s="15" t="str">
        <f>IFERROR(__xludf.DUMMYFUNCTION("""COMPUTED_VALUE"""),"8177305")</f>
        <v>8177305</v>
      </c>
      <c r="J596" s="15" t="str">
        <f>IFERROR(__xludf.DUMMYFUNCTION("""COMPUTED_VALUE"""),"CIF")</f>
        <v>CIF</v>
      </c>
      <c r="K596" s="15" t="str">
        <f>IFERROR(__xludf.DUMMYFUNCTION("""COMPUTED_VALUE"""),"FSA-1")</f>
        <v>FSA-1</v>
      </c>
      <c r="L596" s="15" t="str">
        <f>IFERROR(__xludf.DUMMYFUNCTION("""COMPUTED_VALUE"""),"AUTORIZADO")</f>
        <v>AUTORIZADO</v>
      </c>
      <c r="M596" s="15" t="str">
        <f>IFERROR(__xludf.DUMMYFUNCTION("""COMPUTED_VALUE"""),"NA ORIGEM")</f>
        <v>NA ORIGEM</v>
      </c>
      <c r="N596" s="15" t="str">
        <f>IFERROR(__xludf.DUMMYFUNCTION("""COMPUTED_VALUE"""),"Antes Prazo")</f>
        <v>Antes Prazo</v>
      </c>
      <c r="O596" s="15" t="str">
        <f>IFERROR(__xludf.DUMMYFUNCTION("""COMPUTED_VALUE"""),"B2B")</f>
        <v>B2B</v>
      </c>
      <c r="P596" s="16">
        <f>IFERROR(__xludf.DUMMYFUNCTION("""COMPUTED_VALUE"""),53.7)</f>
        <v>53.7</v>
      </c>
      <c r="Q596" s="15">
        <f>IFERROR(__xludf.DUMMYFUNCTION("""COMPUTED_VALUE"""),1.0)</f>
        <v>1</v>
      </c>
      <c r="R596" s="15" t="str">
        <f>IFERROR(__xludf.DUMMYFUNCTION("""COMPUTED_VALUE"""),"RODO")</f>
        <v>RODO</v>
      </c>
      <c r="S596" s="15" t="str">
        <f>IFERROR(__xludf.DUMMYFUNCTION("""COMPUTED_VALUE"""),"ITN")</f>
        <v>ITN</v>
      </c>
      <c r="T596" s="15" t="str">
        <f>IFERROR(__xludf.DUMMYFUNCTION("""COMPUTED_VALUE"""),"102")</f>
        <v>102</v>
      </c>
      <c r="U596" s="15" t="str">
        <f>IFERROR(__xludf.DUMMYFUNCTION("""COMPUTED_VALUE"""),"266806970 1305766 8177305 loja real trifil cac 102")</f>
        <v>266806970 1305766 8177305 loja real trifil cac 102</v>
      </c>
      <c r="V596" s="15" t="b">
        <f>IFERROR(__xludf.DUMMYFUNCTION("""COMPUTED_VALUE"""),FALSE)</f>
        <v>0</v>
      </c>
    </row>
    <row r="597">
      <c r="A597" s="19">
        <f>IFERROR(__xludf.DUMMYFUNCTION("""COMPUTED_VALUE"""),46304.0)</f>
        <v>46304</v>
      </c>
      <c r="B597" s="19">
        <f>IFERROR(__xludf.DUMMYFUNCTION("""COMPUTED_VALUE"""),46318.0)</f>
        <v>46318</v>
      </c>
      <c r="C597" s="15">
        <f>IFERROR(__xludf.DUMMYFUNCTION("""COMPUTED_VALUE"""),9.0)</f>
        <v>9</v>
      </c>
      <c r="D597" s="15" t="str">
        <f>IFERROR(__xludf.DUMMYFUNCTION("""COMPUTED_VALUE"""),"CHP")</f>
        <v>CHP</v>
      </c>
      <c r="E597" s="15" t="str">
        <f>IFERROR(__xludf.DUMMYFUNCTION("""COMPUTED_VALUE"""),"A GOLDINI EIRELI LOJA 7")</f>
        <v>A GOLDINI EIRELI LOJA 7</v>
      </c>
      <c r="F597" s="15" t="str">
        <f>IFERROR(__xludf.DUMMYFUNCTION("""COMPUTED_VALUE"""),"TRIFIL")</f>
        <v>TRIFIL</v>
      </c>
      <c r="G597" s="15" t="str">
        <f>IFERROR(__xludf.DUMMYFUNCTION("""COMPUTED_VALUE"""),"266806971")</f>
        <v>266806971</v>
      </c>
      <c r="H597" s="15" t="str">
        <f>IFERROR(__xludf.DUMMYFUNCTION("""COMPUTED_VALUE"""),"1305694")</f>
        <v>1305694</v>
      </c>
      <c r="I597" s="15" t="str">
        <f>IFERROR(__xludf.DUMMYFUNCTION("""COMPUTED_VALUE"""),"8177306")</f>
        <v>8177306</v>
      </c>
      <c r="J597" s="15" t="str">
        <f>IFERROR(__xludf.DUMMYFUNCTION("""COMPUTED_VALUE"""),"CIF")</f>
        <v>CIF</v>
      </c>
      <c r="K597" s="15" t="str">
        <f>IFERROR(__xludf.DUMMYFUNCTION("""COMPUTED_VALUE"""),"FSA-1")</f>
        <v>FSA-1</v>
      </c>
      <c r="L597" s="15" t="str">
        <f>IFERROR(__xludf.DUMMYFUNCTION("""COMPUTED_VALUE"""),"AUTORIZADO")</f>
        <v>AUTORIZADO</v>
      </c>
      <c r="M597" s="15" t="str">
        <f>IFERROR(__xludf.DUMMYFUNCTION("""COMPUTED_VALUE"""),"NA ORIGEM")</f>
        <v>NA ORIGEM</v>
      </c>
      <c r="N597" s="15" t="str">
        <f>IFERROR(__xludf.DUMMYFUNCTION("""COMPUTED_VALUE"""),"Antes Prazo")</f>
        <v>Antes Prazo</v>
      </c>
      <c r="O597" s="15" t="str">
        <f>IFERROR(__xludf.DUMMYFUNCTION("""COMPUTED_VALUE"""),"B2B")</f>
        <v>B2B</v>
      </c>
      <c r="P597" s="16">
        <f>IFERROR(__xludf.DUMMYFUNCTION("""COMPUTED_VALUE"""),53.7)</f>
        <v>53.7</v>
      </c>
      <c r="Q597" s="15">
        <f>IFERROR(__xludf.DUMMYFUNCTION("""COMPUTED_VALUE"""),1.0)</f>
        <v>1</v>
      </c>
      <c r="R597" s="15" t="str">
        <f>IFERROR(__xludf.DUMMYFUNCTION("""COMPUTED_VALUE"""),"RODO")</f>
        <v>RODO</v>
      </c>
      <c r="S597" s="15" t="str">
        <f>IFERROR(__xludf.DUMMYFUNCTION("""COMPUTED_VALUE"""),"ITN")</f>
        <v>ITN</v>
      </c>
      <c r="T597" s="15" t="str">
        <f>IFERROR(__xludf.DUMMYFUNCTION("""COMPUTED_VALUE"""),"1011")</f>
        <v>1011</v>
      </c>
      <c r="U597" s="15" t="str">
        <f>IFERROR(__xludf.DUMMYFUNCTION("""COMPUTED_VALUE"""),"266806971 1305694 8177306 a goldini eireli loja 7 trifil chp 1011")</f>
        <v>266806971 1305694 8177306 a goldini eireli loja 7 trifil chp 1011</v>
      </c>
      <c r="V597" s="15" t="b">
        <f>IFERROR(__xludf.DUMMYFUNCTION("""COMPUTED_VALUE"""),FALSE)</f>
        <v>0</v>
      </c>
    </row>
    <row r="598">
      <c r="A598" s="19">
        <f>IFERROR(__xludf.DUMMYFUNCTION("""COMPUTED_VALUE"""),46304.0)</f>
        <v>46304</v>
      </c>
      <c r="B598" s="19">
        <f>IFERROR(__xludf.DUMMYFUNCTION("""COMPUTED_VALUE"""),46322.0)</f>
        <v>46322</v>
      </c>
      <c r="C598" s="15">
        <f>IFERROR(__xludf.DUMMYFUNCTION("""COMPUTED_VALUE"""),11.0)</f>
        <v>11</v>
      </c>
      <c r="D598" s="15" t="str">
        <f>IFERROR(__xludf.DUMMYFUNCTION("""COMPUTED_VALUE"""),"PTO")</f>
        <v>PTO</v>
      </c>
      <c r="E598" s="15" t="str">
        <f>IFERROR(__xludf.DUMMYFUNCTION("""COMPUTED_VALUE"""),"PARISOTTO REPRESENTACOES LTDA")</f>
        <v>PARISOTTO REPRESENTACOES LTDA</v>
      </c>
      <c r="F598" s="15" t="str">
        <f>IFERROR(__xludf.DUMMYFUNCTION("""COMPUTED_VALUE"""),"TRIFIL")</f>
        <v>TRIFIL</v>
      </c>
      <c r="G598" s="15" t="str">
        <f>IFERROR(__xludf.DUMMYFUNCTION("""COMPUTED_VALUE"""),"266806972")</f>
        <v>266806972</v>
      </c>
      <c r="H598" s="15" t="str">
        <f>IFERROR(__xludf.DUMMYFUNCTION("""COMPUTED_VALUE"""),"1306016")</f>
        <v>1306016</v>
      </c>
      <c r="I598" s="15" t="str">
        <f>IFERROR(__xludf.DUMMYFUNCTION("""COMPUTED_VALUE"""),"8177359")</f>
        <v>8177359</v>
      </c>
      <c r="J598" s="15" t="str">
        <f>IFERROR(__xludf.DUMMYFUNCTION("""COMPUTED_VALUE"""),"CIF")</f>
        <v>CIF</v>
      </c>
      <c r="K598" s="15" t="str">
        <f>IFERROR(__xludf.DUMMYFUNCTION("""COMPUTED_VALUE"""),"(sem célula)")</f>
        <v>(sem célula)</v>
      </c>
      <c r="L598" s="15" t="str">
        <f>IFERROR(__xludf.DUMMYFUNCTION("""COMPUTED_VALUE"""),"AUTORIZADO")</f>
        <v>AUTORIZADO</v>
      </c>
      <c r="M598" s="15" t="str">
        <f>IFERROR(__xludf.DUMMYFUNCTION("""COMPUTED_VALUE"""),"NA ORIGEM")</f>
        <v>NA ORIGEM</v>
      </c>
      <c r="N598" s="15" t="str">
        <f>IFERROR(__xludf.DUMMYFUNCTION("""COMPUTED_VALUE"""),"Antes Prazo")</f>
        <v>Antes Prazo</v>
      </c>
      <c r="O598" s="15" t="str">
        <f>IFERROR(__xludf.DUMMYFUNCTION("""COMPUTED_VALUE"""),"B2B")</f>
        <v>B2B</v>
      </c>
      <c r="P598" s="16">
        <f>IFERROR(__xludf.DUMMYFUNCTION("""COMPUTED_VALUE"""),53.7)</f>
        <v>53.7</v>
      </c>
      <c r="Q598" s="15">
        <f>IFERROR(__xludf.DUMMYFUNCTION("""COMPUTED_VALUE"""),1.0)</f>
        <v>1</v>
      </c>
      <c r="R598" s="15" t="str">
        <f>IFERROR(__xludf.DUMMYFUNCTION("""COMPUTED_VALUE"""),"RODO")</f>
        <v>RODO</v>
      </c>
      <c r="S598" s="15" t="str">
        <f>IFERROR(__xludf.DUMMYFUNCTION("""COMPUTED_VALUE"""),"ITN")</f>
        <v>ITN</v>
      </c>
      <c r="T598" s="15" t="str">
        <f>IFERROR(__xludf.DUMMYFUNCTION("""COMPUTED_VALUE"""),"106")</f>
        <v>106</v>
      </c>
      <c r="U598" s="15" t="str">
        <f>IFERROR(__xludf.DUMMYFUNCTION("""COMPUTED_VALUE"""),"266806972 1306016 8177359 parisotto representacoes ltda trifil pto 106")</f>
        <v>266806972 1306016 8177359 parisotto representacoes ltda trifil pto 106</v>
      </c>
      <c r="V598" s="15" t="b">
        <f>IFERROR(__xludf.DUMMYFUNCTION("""COMPUTED_VALUE"""),FALSE)</f>
        <v>0</v>
      </c>
    </row>
    <row r="599">
      <c r="A599" s="19">
        <f>IFERROR(__xludf.DUMMYFUNCTION("""COMPUTED_VALUE"""),46304.0)</f>
        <v>46304</v>
      </c>
      <c r="B599" s="19">
        <f>IFERROR(__xludf.DUMMYFUNCTION("""COMPUTED_VALUE"""),46322.0)</f>
        <v>46322</v>
      </c>
      <c r="C599" s="15">
        <f>IFERROR(__xludf.DUMMYFUNCTION("""COMPUTED_VALUE"""),11.0)</f>
        <v>11</v>
      </c>
      <c r="D599" s="15" t="str">
        <f>IFERROR(__xludf.DUMMYFUNCTION("""COMPUTED_VALUE"""),"PTO")</f>
        <v>PTO</v>
      </c>
      <c r="E599" s="15" t="str">
        <f>IFERROR(__xludf.DUMMYFUNCTION("""COMPUTED_VALUE"""),"EUGENIA L B SOCOLOVSKI")</f>
        <v>EUGENIA L B SOCOLOVSKI</v>
      </c>
      <c r="F599" s="15" t="str">
        <f>IFERROR(__xludf.DUMMYFUNCTION("""COMPUTED_VALUE"""),"TRIFIL")</f>
        <v>TRIFIL</v>
      </c>
      <c r="G599" s="15" t="str">
        <f>IFERROR(__xludf.DUMMYFUNCTION("""COMPUTED_VALUE"""),"266806973")</f>
        <v>266806973</v>
      </c>
      <c r="H599" s="15" t="str">
        <f>IFERROR(__xludf.DUMMYFUNCTION("""COMPUTED_VALUE"""),"1306208")</f>
        <v>1306208</v>
      </c>
      <c r="I599" s="15" t="str">
        <f>IFERROR(__xludf.DUMMYFUNCTION("""COMPUTED_VALUE"""),"8177233")</f>
        <v>8177233</v>
      </c>
      <c r="J599" s="15" t="str">
        <f>IFERROR(__xludf.DUMMYFUNCTION("""COMPUTED_VALUE"""),"CIF")</f>
        <v>CIF</v>
      </c>
      <c r="K599" s="15" t="str">
        <f>IFERROR(__xludf.DUMMYFUNCTION("""COMPUTED_VALUE"""),"FSA-1")</f>
        <v>FSA-1</v>
      </c>
      <c r="L599" s="15" t="str">
        <f>IFERROR(__xludf.DUMMYFUNCTION("""COMPUTED_VALUE"""),"AUTORIZADO")</f>
        <v>AUTORIZADO</v>
      </c>
      <c r="M599" s="15" t="str">
        <f>IFERROR(__xludf.DUMMYFUNCTION("""COMPUTED_VALUE"""),"NA ORIGEM")</f>
        <v>NA ORIGEM</v>
      </c>
      <c r="N599" s="15" t="str">
        <f>IFERROR(__xludf.DUMMYFUNCTION("""COMPUTED_VALUE"""),"Antes Prazo")</f>
        <v>Antes Prazo</v>
      </c>
      <c r="O599" s="15" t="str">
        <f>IFERROR(__xludf.DUMMYFUNCTION("""COMPUTED_VALUE"""),"B2B")</f>
        <v>B2B</v>
      </c>
      <c r="P599" s="16">
        <f>IFERROR(__xludf.DUMMYFUNCTION("""COMPUTED_VALUE"""),53.7)</f>
        <v>53.7</v>
      </c>
      <c r="Q599" s="15">
        <f>IFERROR(__xludf.DUMMYFUNCTION("""COMPUTED_VALUE"""),1.0)</f>
        <v>1</v>
      </c>
      <c r="R599" s="15" t="str">
        <f>IFERROR(__xludf.DUMMYFUNCTION("""COMPUTED_VALUE"""),"RODO")</f>
        <v>RODO</v>
      </c>
      <c r="S599" s="15" t="str">
        <f>IFERROR(__xludf.DUMMYFUNCTION("""COMPUTED_VALUE"""),"ITN")</f>
        <v>ITN</v>
      </c>
      <c r="T599" s="15" t="str">
        <f>IFERROR(__xludf.DUMMYFUNCTION("""COMPUTED_VALUE"""),"106")</f>
        <v>106</v>
      </c>
      <c r="U599" s="15" t="str">
        <f>IFERROR(__xludf.DUMMYFUNCTION("""COMPUTED_VALUE"""),"266806973 1306208 8177233 eugenia l b socolovski trifil pto 106")</f>
        <v>266806973 1306208 8177233 eugenia l b socolovski trifil pto 106</v>
      </c>
      <c r="V599" s="15" t="b">
        <f>IFERROR(__xludf.DUMMYFUNCTION("""COMPUTED_VALUE"""),FALSE)</f>
        <v>0</v>
      </c>
    </row>
    <row r="600">
      <c r="A600" s="19">
        <f>IFERROR(__xludf.DUMMYFUNCTION("""COMPUTED_VALUE"""),46304.0)</f>
        <v>46304</v>
      </c>
      <c r="B600" s="19">
        <f>IFERROR(__xludf.DUMMYFUNCTION("""COMPUTED_VALUE"""),46324.0)</f>
        <v>46324</v>
      </c>
      <c r="C600" s="15">
        <f>IFERROR(__xludf.DUMMYFUNCTION("""COMPUTED_VALUE"""),13.0)</f>
        <v>13</v>
      </c>
      <c r="D600" s="15" t="str">
        <f>IFERROR(__xludf.DUMMYFUNCTION("""COMPUTED_VALUE"""),"PTO")</f>
        <v>PTO</v>
      </c>
      <c r="E600" s="15" t="str">
        <f>IFERROR(__xludf.DUMMYFUNCTION("""COMPUTED_VALUE"""),"IRMAOS PIETTA LTDA")</f>
        <v>IRMAOS PIETTA LTDA</v>
      </c>
      <c r="F600" s="15" t="str">
        <f>IFERROR(__xludf.DUMMYFUNCTION("""COMPUTED_VALUE"""),"TRIFIL")</f>
        <v>TRIFIL</v>
      </c>
      <c r="G600" s="15" t="str">
        <f>IFERROR(__xludf.DUMMYFUNCTION("""COMPUTED_VALUE"""),"266806974")</f>
        <v>266806974</v>
      </c>
      <c r="H600" s="15" t="str">
        <f>IFERROR(__xludf.DUMMYFUNCTION("""COMPUTED_VALUE"""),"1306154")</f>
        <v>1306154</v>
      </c>
      <c r="I600" s="15" t="str">
        <f>IFERROR(__xludf.DUMMYFUNCTION("""COMPUTED_VALUE"""),"8177205")</f>
        <v>8177205</v>
      </c>
      <c r="J600" s="15" t="str">
        <f>IFERROR(__xludf.DUMMYFUNCTION("""COMPUTED_VALUE"""),"CIF")</f>
        <v>CIF</v>
      </c>
      <c r="K600" s="15" t="str">
        <f>IFERROR(__xludf.DUMMYFUNCTION("""COMPUTED_VALUE"""),"FSA-1")</f>
        <v>FSA-1</v>
      </c>
      <c r="L600" s="15" t="str">
        <f>IFERROR(__xludf.DUMMYFUNCTION("""COMPUTED_VALUE"""),"AUTORIZADO")</f>
        <v>AUTORIZADO</v>
      </c>
      <c r="M600" s="15" t="str">
        <f>IFERROR(__xludf.DUMMYFUNCTION("""COMPUTED_VALUE"""),"NA ORIGEM")</f>
        <v>NA ORIGEM</v>
      </c>
      <c r="N600" s="15" t="str">
        <f>IFERROR(__xludf.DUMMYFUNCTION("""COMPUTED_VALUE"""),"Antes Prazo")</f>
        <v>Antes Prazo</v>
      </c>
      <c r="O600" s="15" t="str">
        <f>IFERROR(__xludf.DUMMYFUNCTION("""COMPUTED_VALUE"""),"B2B")</f>
        <v>B2B</v>
      </c>
      <c r="P600" s="16">
        <f>IFERROR(__xludf.DUMMYFUNCTION("""COMPUTED_VALUE"""),53.7)</f>
        <v>53.7</v>
      </c>
      <c r="Q600" s="15">
        <f>IFERROR(__xludf.DUMMYFUNCTION("""COMPUTED_VALUE"""),1.0)</f>
        <v>1</v>
      </c>
      <c r="R600" s="15" t="str">
        <f>IFERROR(__xludf.DUMMYFUNCTION("""COMPUTED_VALUE"""),"RODO")</f>
        <v>RODO</v>
      </c>
      <c r="S600" s="15" t="str">
        <f>IFERROR(__xludf.DUMMYFUNCTION("""COMPUTED_VALUE"""),"ITN")</f>
        <v>ITN</v>
      </c>
      <c r="T600" s="15" t="str">
        <f>IFERROR(__xludf.DUMMYFUNCTION("""COMPUTED_VALUE"""),"1105")</f>
        <v>1105</v>
      </c>
      <c r="U600" s="15" t="str">
        <f>IFERROR(__xludf.DUMMYFUNCTION("""COMPUTED_VALUE"""),"266806974 1306154 8177205 irmaos pietta ltda trifil pto 1105")</f>
        <v>266806974 1306154 8177205 irmaos pietta ltda trifil pto 1105</v>
      </c>
      <c r="V600" s="15" t="b">
        <f>IFERROR(__xludf.DUMMYFUNCTION("""COMPUTED_VALUE"""),FALSE)</f>
        <v>0</v>
      </c>
    </row>
    <row r="601">
      <c r="A601" s="19">
        <f>IFERROR(__xludf.DUMMYFUNCTION("""COMPUTED_VALUE"""),46304.0)</f>
        <v>46304</v>
      </c>
      <c r="B601" s="19">
        <f>IFERROR(__xludf.DUMMYFUNCTION("""COMPUTED_VALUE"""),46317.0)</f>
        <v>46317</v>
      </c>
      <c r="C601" s="15">
        <f>IFERROR(__xludf.DUMMYFUNCTION("""COMPUTED_VALUE"""),8.0)</f>
        <v>8</v>
      </c>
      <c r="D601" s="15" t="str">
        <f>IFERROR(__xludf.DUMMYFUNCTION("""COMPUTED_VALUE"""),"CAC")</f>
        <v>CAC</v>
      </c>
      <c r="E601" s="15" t="str">
        <f>IFERROR(__xludf.DUMMYFUNCTION("""COMPUTED_VALUE"""),"E G PIOVEZZAN LTDA")</f>
        <v>E G PIOVEZZAN LTDA</v>
      </c>
      <c r="F601" s="15" t="str">
        <f>IFERROR(__xludf.DUMMYFUNCTION("""COMPUTED_VALUE"""),"TRIFIL")</f>
        <v>TRIFIL</v>
      </c>
      <c r="G601" s="15" t="str">
        <f>IFERROR(__xludf.DUMMYFUNCTION("""COMPUTED_VALUE"""),"266806975")</f>
        <v>266806975</v>
      </c>
      <c r="H601" s="15" t="str">
        <f>IFERROR(__xludf.DUMMYFUNCTION("""COMPUTED_VALUE"""),"1306053")</f>
        <v>1306053</v>
      </c>
      <c r="I601" s="15" t="str">
        <f>IFERROR(__xludf.DUMMYFUNCTION("""COMPUTED_VALUE"""),"8177271")</f>
        <v>8177271</v>
      </c>
      <c r="J601" s="15" t="str">
        <f>IFERROR(__xludf.DUMMYFUNCTION("""COMPUTED_VALUE"""),"CIF")</f>
        <v>CIF</v>
      </c>
      <c r="K601" s="15" t="str">
        <f>IFERROR(__xludf.DUMMYFUNCTION("""COMPUTED_VALUE"""),"FSA-1")</f>
        <v>FSA-1</v>
      </c>
      <c r="L601" s="15" t="str">
        <f>IFERROR(__xludf.DUMMYFUNCTION("""COMPUTED_VALUE"""),"AUTORIZADO")</f>
        <v>AUTORIZADO</v>
      </c>
      <c r="M601" s="15" t="str">
        <f>IFERROR(__xludf.DUMMYFUNCTION("""COMPUTED_VALUE"""),"NA ORIGEM")</f>
        <v>NA ORIGEM</v>
      </c>
      <c r="N601" s="15" t="str">
        <f>IFERROR(__xludf.DUMMYFUNCTION("""COMPUTED_VALUE"""),"Antes Prazo")</f>
        <v>Antes Prazo</v>
      </c>
      <c r="O601" s="15" t="str">
        <f>IFERROR(__xludf.DUMMYFUNCTION("""COMPUTED_VALUE"""),"B2B")</f>
        <v>B2B</v>
      </c>
      <c r="P601" s="16">
        <f>IFERROR(__xludf.DUMMYFUNCTION("""COMPUTED_VALUE"""),47.89)</f>
        <v>47.89</v>
      </c>
      <c r="Q601" s="15">
        <f>IFERROR(__xludf.DUMMYFUNCTION("""COMPUTED_VALUE"""),1.0)</f>
        <v>1</v>
      </c>
      <c r="R601" s="15" t="str">
        <f>IFERROR(__xludf.DUMMYFUNCTION("""COMPUTED_VALUE"""),"RODO")</f>
        <v>RODO</v>
      </c>
      <c r="S601" s="15" t="str">
        <f>IFERROR(__xludf.DUMMYFUNCTION("""COMPUTED_VALUE"""),"ITN")</f>
        <v>ITN</v>
      </c>
      <c r="T601" s="15" t="str">
        <f>IFERROR(__xludf.DUMMYFUNCTION("""COMPUTED_VALUE"""),"1")</f>
        <v>1</v>
      </c>
      <c r="U601" s="15" t="str">
        <f>IFERROR(__xludf.DUMMYFUNCTION("""COMPUTED_VALUE"""),"266806975 1306053 8177271 e g piovezzan ltda trifil cac 1")</f>
        <v>266806975 1306053 8177271 e g piovezzan ltda trifil cac 1</v>
      </c>
      <c r="V601" s="15" t="b">
        <f>IFERROR(__xludf.DUMMYFUNCTION("""COMPUTED_VALUE"""),FALSE)</f>
        <v>0</v>
      </c>
    </row>
    <row r="602">
      <c r="A602" s="19">
        <f>IFERROR(__xludf.DUMMYFUNCTION("""COMPUTED_VALUE"""),46304.0)</f>
        <v>46304</v>
      </c>
      <c r="B602" s="19">
        <f>IFERROR(__xludf.DUMMYFUNCTION("""COMPUTED_VALUE"""),46323.0)</f>
        <v>46323</v>
      </c>
      <c r="C602" s="15">
        <f>IFERROR(__xludf.DUMMYFUNCTION("""COMPUTED_VALUE"""),12.0)</f>
        <v>12</v>
      </c>
      <c r="D602" s="15" t="str">
        <f>IFERROR(__xludf.DUMMYFUNCTION("""COMPUTED_VALUE"""),"CAC")</f>
        <v>CAC</v>
      </c>
      <c r="E602" s="15" t="str">
        <f>IFERROR(__xludf.DUMMYFUNCTION("""COMPUTED_VALUE"""),"CEZAR &amp; ROCKENBACH")</f>
        <v>CEZAR &amp; ROCKENBACH</v>
      </c>
      <c r="F602" s="15" t="str">
        <f>IFERROR(__xludf.DUMMYFUNCTION("""COMPUTED_VALUE"""),"TRIFIL")</f>
        <v>TRIFIL</v>
      </c>
      <c r="G602" s="15" t="str">
        <f>IFERROR(__xludf.DUMMYFUNCTION("""COMPUTED_VALUE"""),"266806976")</f>
        <v>266806976</v>
      </c>
      <c r="H602" s="15" t="str">
        <f>IFERROR(__xludf.DUMMYFUNCTION("""COMPUTED_VALUE"""),"1306002")</f>
        <v>1306002</v>
      </c>
      <c r="I602" s="15" t="str">
        <f>IFERROR(__xludf.DUMMYFUNCTION("""COMPUTED_VALUE"""),"8177272")</f>
        <v>8177272</v>
      </c>
      <c r="J602" s="15" t="str">
        <f>IFERROR(__xludf.DUMMYFUNCTION("""COMPUTED_VALUE"""),"CIF")</f>
        <v>CIF</v>
      </c>
      <c r="K602" s="15" t="str">
        <f>IFERROR(__xludf.DUMMYFUNCTION("""COMPUTED_VALUE"""),"FSA-1")</f>
        <v>FSA-1</v>
      </c>
      <c r="L602" s="15" t="str">
        <f>IFERROR(__xludf.DUMMYFUNCTION("""COMPUTED_VALUE"""),"AUTORIZADO")</f>
        <v>AUTORIZADO</v>
      </c>
      <c r="M602" s="15" t="str">
        <f>IFERROR(__xludf.DUMMYFUNCTION("""COMPUTED_VALUE"""),"NA ORIGEM")</f>
        <v>NA ORIGEM</v>
      </c>
      <c r="N602" s="15" t="str">
        <f>IFERROR(__xludf.DUMMYFUNCTION("""COMPUTED_VALUE"""),"Antes Prazo")</f>
        <v>Antes Prazo</v>
      </c>
      <c r="O602" s="15" t="str">
        <f>IFERROR(__xludf.DUMMYFUNCTION("""COMPUTED_VALUE"""),"B2B")</f>
        <v>B2B</v>
      </c>
      <c r="P602" s="16">
        <f>IFERROR(__xludf.DUMMYFUNCTION("""COMPUTED_VALUE"""),53.7)</f>
        <v>53.7</v>
      </c>
      <c r="Q602" s="15">
        <f>IFERROR(__xludf.DUMMYFUNCTION("""COMPUTED_VALUE"""),1.0)</f>
        <v>1</v>
      </c>
      <c r="R602" s="15" t="str">
        <f>IFERROR(__xludf.DUMMYFUNCTION("""COMPUTED_VALUE"""),"RODO")</f>
        <v>RODO</v>
      </c>
      <c r="S602" s="15" t="str">
        <f>IFERROR(__xludf.DUMMYFUNCTION("""COMPUTED_VALUE"""),"ITN")</f>
        <v>ITN</v>
      </c>
      <c r="T602" s="15" t="str">
        <f>IFERROR(__xludf.DUMMYFUNCTION("""COMPUTED_VALUE"""),"110")</f>
        <v>110</v>
      </c>
      <c r="U602" s="15" t="str">
        <f>IFERROR(__xludf.DUMMYFUNCTION("""COMPUTED_VALUE"""),"266806976 1306002 8177272 cezar &amp; rockenbach trifil cac 110")</f>
        <v>266806976 1306002 8177272 cezar &amp; rockenbach trifil cac 110</v>
      </c>
      <c r="V602" s="15" t="b">
        <f>IFERROR(__xludf.DUMMYFUNCTION("""COMPUTED_VALUE"""),FALSE)</f>
        <v>0</v>
      </c>
    </row>
    <row r="603">
      <c r="A603" s="19">
        <f>IFERROR(__xludf.DUMMYFUNCTION("""COMPUTED_VALUE"""),46304.0)</f>
        <v>46304</v>
      </c>
      <c r="B603" s="19">
        <f>IFERROR(__xludf.DUMMYFUNCTION("""COMPUTED_VALUE"""),46316.0)</f>
        <v>46316</v>
      </c>
      <c r="C603" s="15">
        <f>IFERROR(__xludf.DUMMYFUNCTION("""COMPUTED_VALUE"""),7.0)</f>
        <v>7</v>
      </c>
      <c r="D603" s="15" t="str">
        <f>IFERROR(__xludf.DUMMYFUNCTION("""COMPUTED_VALUE"""),"GRU")</f>
        <v>GRU</v>
      </c>
      <c r="E603" s="15" t="str">
        <f>IFERROR(__xludf.DUMMYFUNCTION("""COMPUTED_VALUE"""),"ITAQUA MEIAS ARTIGOS DE VESTUARIO LTDA -")</f>
        <v>ITAQUA MEIAS ARTIGOS DE VESTUARIO LTDA -</v>
      </c>
      <c r="F603" s="15" t="str">
        <f>IFERROR(__xludf.DUMMYFUNCTION("""COMPUTED_VALUE"""),"TRIFIL")</f>
        <v>TRIFIL</v>
      </c>
      <c r="G603" s="15" t="str">
        <f>IFERROR(__xludf.DUMMYFUNCTION("""COMPUTED_VALUE"""),"266806977")</f>
        <v>266806977</v>
      </c>
      <c r="H603" s="15" t="str">
        <f>IFERROR(__xludf.DUMMYFUNCTION("""COMPUTED_VALUE"""),"1304637")</f>
        <v>1304637</v>
      </c>
      <c r="I603" s="15" t="str">
        <f>IFERROR(__xludf.DUMMYFUNCTION("""COMPUTED_VALUE"""),"8177143")</f>
        <v>8177143</v>
      </c>
      <c r="J603" s="15" t="str">
        <f>IFERROR(__xludf.DUMMYFUNCTION("""COMPUTED_VALUE"""),"CIF")</f>
        <v>CIF</v>
      </c>
      <c r="K603" s="15" t="str">
        <f>IFERROR(__xludf.DUMMYFUNCTION("""COMPUTED_VALUE"""),"SAO-1")</f>
        <v>SAO-1</v>
      </c>
      <c r="L603" s="15" t="str">
        <f>IFERROR(__xludf.DUMMYFUNCTION("""COMPUTED_VALUE"""),"AUTORIZADO")</f>
        <v>AUTORIZADO</v>
      </c>
      <c r="M603" s="15" t="str">
        <f>IFERROR(__xludf.DUMMYFUNCTION("""COMPUTED_VALUE"""),"NA ORIGEM")</f>
        <v>NA ORIGEM</v>
      </c>
      <c r="N603" s="15" t="str">
        <f>IFERROR(__xludf.DUMMYFUNCTION("""COMPUTED_VALUE"""),"Antes Prazo")</f>
        <v>Antes Prazo</v>
      </c>
      <c r="O603" s="15" t="str">
        <f>IFERROR(__xludf.DUMMYFUNCTION("""COMPUTED_VALUE"""),"B2B")</f>
        <v>B2B</v>
      </c>
      <c r="P603" s="16">
        <f>IFERROR(__xludf.DUMMYFUNCTION("""COMPUTED_VALUE"""),60.21)</f>
        <v>60.21</v>
      </c>
      <c r="Q603" s="15">
        <f>IFERROR(__xludf.DUMMYFUNCTION("""COMPUTED_VALUE"""),12.0)</f>
        <v>12</v>
      </c>
      <c r="R603" s="15" t="str">
        <f>IFERROR(__xludf.DUMMYFUNCTION("""COMPUTED_VALUE"""),"RODO")</f>
        <v>RODO</v>
      </c>
      <c r="S603" s="15" t="str">
        <f>IFERROR(__xludf.DUMMYFUNCTION("""COMPUTED_VALUE"""),"ITN")</f>
        <v>ITN</v>
      </c>
      <c r="T603" s="15" t="str">
        <f>IFERROR(__xludf.DUMMYFUNCTION("""COMPUTED_VALUE"""),"2740")</f>
        <v>2740</v>
      </c>
      <c r="U603" s="15" t="str">
        <f>IFERROR(__xludf.DUMMYFUNCTION("""COMPUTED_VALUE"""),"266806977 1304637 8177143 itaqua meias artigos de vestuario ltda - trifil gru 2740")</f>
        <v>266806977 1304637 8177143 itaqua meias artigos de vestuario ltda - trifil gru 2740</v>
      </c>
      <c r="V603" s="15" t="b">
        <f>IFERROR(__xludf.DUMMYFUNCTION("""COMPUTED_VALUE"""),FALSE)</f>
        <v>0</v>
      </c>
    </row>
    <row r="604">
      <c r="A604" s="19">
        <f>IFERROR(__xludf.DUMMYFUNCTION("""COMPUTED_VALUE"""),46304.0)</f>
        <v>46304</v>
      </c>
      <c r="B604" s="19">
        <f>IFERROR(__xludf.DUMMYFUNCTION("""COMPUTED_VALUE"""),46317.0)</f>
        <v>46317</v>
      </c>
      <c r="C604" s="15">
        <f>IFERROR(__xludf.DUMMYFUNCTION("""COMPUTED_VALUE"""),8.0)</f>
        <v>8</v>
      </c>
      <c r="D604" s="15" t="str">
        <f>IFERROR(__xludf.DUMMYFUNCTION("""COMPUTED_VALUE"""),"LDB")</f>
        <v>LDB</v>
      </c>
      <c r="E604" s="15" t="str">
        <f>IFERROR(__xludf.DUMMYFUNCTION("""COMPUTED_VALUE"""),"LANAMARI IND E COM CONFECCOES LTDA")</f>
        <v>LANAMARI IND E COM CONFECCOES LTDA</v>
      </c>
      <c r="F604" s="15" t="str">
        <f>IFERROR(__xludf.DUMMYFUNCTION("""COMPUTED_VALUE"""),"TRIFIL")</f>
        <v>TRIFIL</v>
      </c>
      <c r="G604" s="15" t="str">
        <f>IFERROR(__xludf.DUMMYFUNCTION("""COMPUTED_VALUE"""),"266806978")</f>
        <v>266806978</v>
      </c>
      <c r="H604" s="15" t="str">
        <f>IFERROR(__xludf.DUMMYFUNCTION("""COMPUTED_VALUE"""),"1306107")</f>
        <v>1306107</v>
      </c>
      <c r="I604" s="15" t="str">
        <f>IFERROR(__xludf.DUMMYFUNCTION("""COMPUTED_VALUE"""),"8177144")</f>
        <v>8177144</v>
      </c>
      <c r="J604" s="15" t="str">
        <f>IFERROR(__xludf.DUMMYFUNCTION("""COMPUTED_VALUE"""),"CIF")</f>
        <v>CIF</v>
      </c>
      <c r="K604" s="15" t="str">
        <f>IFERROR(__xludf.DUMMYFUNCTION("""COMPUTED_VALUE"""),"SAO-1")</f>
        <v>SAO-1</v>
      </c>
      <c r="L604" s="15" t="str">
        <f>IFERROR(__xludf.DUMMYFUNCTION("""COMPUTED_VALUE"""),"AUTORIZADO")</f>
        <v>AUTORIZADO</v>
      </c>
      <c r="M604" s="15" t="str">
        <f>IFERROR(__xludf.DUMMYFUNCTION("""COMPUTED_VALUE"""),"NA ORIGEM")</f>
        <v>NA ORIGEM</v>
      </c>
      <c r="N604" s="15" t="str">
        <f>IFERROR(__xludf.DUMMYFUNCTION("""COMPUTED_VALUE"""),"Antes Prazo")</f>
        <v>Antes Prazo</v>
      </c>
      <c r="O604" s="15" t="str">
        <f>IFERROR(__xludf.DUMMYFUNCTION("""COMPUTED_VALUE"""),"B2B")</f>
        <v>B2B</v>
      </c>
      <c r="P604" s="16">
        <f>IFERROR(__xludf.DUMMYFUNCTION("""COMPUTED_VALUE"""),55.69)</f>
        <v>55.69</v>
      </c>
      <c r="Q604" s="15">
        <f>IFERROR(__xludf.DUMMYFUNCTION("""COMPUTED_VALUE"""),3.0)</f>
        <v>3</v>
      </c>
      <c r="R604" s="15" t="str">
        <f>IFERROR(__xludf.DUMMYFUNCTION("""COMPUTED_VALUE"""),"RODO")</f>
        <v>RODO</v>
      </c>
      <c r="S604" s="15" t="str">
        <f>IFERROR(__xludf.DUMMYFUNCTION("""COMPUTED_VALUE"""),"ITN")</f>
        <v>ITN</v>
      </c>
      <c r="T604" s="15" t="str">
        <f>IFERROR(__xludf.DUMMYFUNCTION("""COMPUTED_VALUE"""),"3")</f>
        <v>3</v>
      </c>
      <c r="U604" s="15" t="str">
        <f>IFERROR(__xludf.DUMMYFUNCTION("""COMPUTED_VALUE"""),"266806978 1306107 8177144 lanamari ind e com confeccoes ltda trifil ldb 3")</f>
        <v>266806978 1306107 8177144 lanamari ind e com confeccoes ltda trifil ldb 3</v>
      </c>
      <c r="V604" s="15" t="b">
        <f>IFERROR(__xludf.DUMMYFUNCTION("""COMPUTED_VALUE"""),FALSE)</f>
        <v>0</v>
      </c>
    </row>
    <row r="605">
      <c r="A605" s="19">
        <f>IFERROR(__xludf.DUMMYFUNCTION("""COMPUTED_VALUE"""),46304.0)</f>
        <v>46304</v>
      </c>
      <c r="B605" s="19">
        <f>IFERROR(__xludf.DUMMYFUNCTION("""COMPUTED_VALUE"""),46317.0)</f>
        <v>46317</v>
      </c>
      <c r="C605" s="15">
        <f>IFERROR(__xludf.DUMMYFUNCTION("""COMPUTED_VALUE"""),8.0)</f>
        <v>8</v>
      </c>
      <c r="D605" s="15" t="str">
        <f>IFERROR(__xludf.DUMMYFUNCTION("""COMPUTED_VALUE"""),"LDB")</f>
        <v>LDB</v>
      </c>
      <c r="E605" s="15" t="str">
        <f>IFERROR(__xludf.DUMMYFUNCTION("""COMPUTED_VALUE"""),"DALLE DALLE CONFECCOES")</f>
        <v>DALLE DALLE CONFECCOES</v>
      </c>
      <c r="F605" s="15" t="str">
        <f>IFERROR(__xludf.DUMMYFUNCTION("""COMPUTED_VALUE"""),"TRIFIL")</f>
        <v>TRIFIL</v>
      </c>
      <c r="G605" s="15" t="str">
        <f>IFERROR(__xludf.DUMMYFUNCTION("""COMPUTED_VALUE"""),"266806979")</f>
        <v>266806979</v>
      </c>
      <c r="H605" s="15" t="str">
        <f>IFERROR(__xludf.DUMMYFUNCTION("""COMPUTED_VALUE"""),"1305997")</f>
        <v>1305997</v>
      </c>
      <c r="I605" s="15" t="str">
        <f>IFERROR(__xludf.DUMMYFUNCTION("""COMPUTED_VALUE"""),"8177273")</f>
        <v>8177273</v>
      </c>
      <c r="J605" s="15" t="str">
        <f>IFERROR(__xludf.DUMMYFUNCTION("""COMPUTED_VALUE"""),"CIF")</f>
        <v>CIF</v>
      </c>
      <c r="K605" s="15" t="str">
        <f>IFERROR(__xludf.DUMMYFUNCTION("""COMPUTED_VALUE"""),"(sem célula)")</f>
        <v>(sem célula)</v>
      </c>
      <c r="L605" s="15" t="str">
        <f>IFERROR(__xludf.DUMMYFUNCTION("""COMPUTED_VALUE"""),"AUTORIZADO")</f>
        <v>AUTORIZADO</v>
      </c>
      <c r="M605" s="15" t="str">
        <f>IFERROR(__xludf.DUMMYFUNCTION("""COMPUTED_VALUE"""),"NA ORIGEM")</f>
        <v>NA ORIGEM</v>
      </c>
      <c r="N605" s="15" t="str">
        <f>IFERROR(__xludf.DUMMYFUNCTION("""COMPUTED_VALUE"""),"Antes Prazo")</f>
        <v>Antes Prazo</v>
      </c>
      <c r="O605" s="15" t="str">
        <f>IFERROR(__xludf.DUMMYFUNCTION("""COMPUTED_VALUE"""),"B2B")</f>
        <v>B2B</v>
      </c>
      <c r="P605" s="16">
        <f>IFERROR(__xludf.DUMMYFUNCTION("""COMPUTED_VALUE"""),47.89)</f>
        <v>47.89</v>
      </c>
      <c r="Q605" s="15">
        <f>IFERROR(__xludf.DUMMYFUNCTION("""COMPUTED_VALUE"""),1.0)</f>
        <v>1</v>
      </c>
      <c r="R605" s="15" t="str">
        <f>IFERROR(__xludf.DUMMYFUNCTION("""COMPUTED_VALUE"""),"RODO")</f>
        <v>RODO</v>
      </c>
      <c r="S605" s="15" t="str">
        <f>IFERROR(__xludf.DUMMYFUNCTION("""COMPUTED_VALUE"""),"ITN")</f>
        <v>ITN</v>
      </c>
      <c r="T605" s="15" t="str">
        <f>IFERROR(__xludf.DUMMYFUNCTION("""COMPUTED_VALUE"""),"3")</f>
        <v>3</v>
      </c>
      <c r="U605" s="15" t="str">
        <f>IFERROR(__xludf.DUMMYFUNCTION("""COMPUTED_VALUE"""),"266806979 1305997 8177273 dalle dalle confeccoes trifil ldb 3")</f>
        <v>266806979 1305997 8177273 dalle dalle confeccoes trifil ldb 3</v>
      </c>
      <c r="V605" s="15" t="b">
        <f>IFERROR(__xludf.DUMMYFUNCTION("""COMPUTED_VALUE"""),FALSE)</f>
        <v>0</v>
      </c>
    </row>
    <row r="606">
      <c r="A606" s="19">
        <f>IFERROR(__xludf.DUMMYFUNCTION("""COMPUTED_VALUE"""),46304.0)</f>
        <v>46304</v>
      </c>
      <c r="B606" s="19">
        <f>IFERROR(__xludf.DUMMYFUNCTION("""COMPUTED_VALUE"""),46317.0)</f>
        <v>46317</v>
      </c>
      <c r="C606" s="15">
        <f>IFERROR(__xludf.DUMMYFUNCTION("""COMPUTED_VALUE"""),8.0)</f>
        <v>8</v>
      </c>
      <c r="D606" s="15" t="str">
        <f>IFERROR(__xludf.DUMMYFUNCTION("""COMPUTED_VALUE"""),"LDB")</f>
        <v>LDB</v>
      </c>
      <c r="E606" s="15" t="str">
        <f>IFERROR(__xludf.DUMMYFUNCTION("""COMPUTED_VALUE"""),"MAR E ESTILO")</f>
        <v>MAR E ESTILO</v>
      </c>
      <c r="F606" s="15" t="str">
        <f>IFERROR(__xludf.DUMMYFUNCTION("""COMPUTED_VALUE"""),"TRIFIL")</f>
        <v>TRIFIL</v>
      </c>
      <c r="G606" s="15" t="str">
        <f>IFERROR(__xludf.DUMMYFUNCTION("""COMPUTED_VALUE"""),"266806981")</f>
        <v>266806981</v>
      </c>
      <c r="H606" s="15" t="str">
        <f>IFERROR(__xludf.DUMMYFUNCTION("""COMPUTED_VALUE"""),"1305915")</f>
        <v>1305915</v>
      </c>
      <c r="I606" s="15" t="str">
        <f>IFERROR(__xludf.DUMMYFUNCTION("""COMPUTED_VALUE"""),"8177307")</f>
        <v>8177307</v>
      </c>
      <c r="J606" s="15" t="str">
        <f>IFERROR(__xludf.DUMMYFUNCTION("""COMPUTED_VALUE"""),"CIF")</f>
        <v>CIF</v>
      </c>
      <c r="K606" s="15" t="str">
        <f>IFERROR(__xludf.DUMMYFUNCTION("""COMPUTED_VALUE"""),"(sem célula)")</f>
        <v>(sem célula)</v>
      </c>
      <c r="L606" s="15" t="str">
        <f>IFERROR(__xludf.DUMMYFUNCTION("""COMPUTED_VALUE"""),"AUTORIZADO")</f>
        <v>AUTORIZADO</v>
      </c>
      <c r="M606" s="15" t="str">
        <f>IFERROR(__xludf.DUMMYFUNCTION("""COMPUTED_VALUE"""),"NA ORIGEM")</f>
        <v>NA ORIGEM</v>
      </c>
      <c r="N606" s="15" t="str">
        <f>IFERROR(__xludf.DUMMYFUNCTION("""COMPUTED_VALUE"""),"Antes Prazo")</f>
        <v>Antes Prazo</v>
      </c>
      <c r="O606" s="15" t="str">
        <f>IFERROR(__xludf.DUMMYFUNCTION("""COMPUTED_VALUE"""),"B2B")</f>
        <v>B2B</v>
      </c>
      <c r="P606" s="16">
        <f>IFERROR(__xludf.DUMMYFUNCTION("""COMPUTED_VALUE"""),47.89)</f>
        <v>47.89</v>
      </c>
      <c r="Q606" s="15">
        <f>IFERROR(__xludf.DUMMYFUNCTION("""COMPUTED_VALUE"""),1.0)</f>
        <v>1</v>
      </c>
      <c r="R606" s="15" t="str">
        <f>IFERROR(__xludf.DUMMYFUNCTION("""COMPUTED_VALUE"""),"RODO")</f>
        <v>RODO</v>
      </c>
      <c r="S606" s="15" t="str">
        <f>IFERROR(__xludf.DUMMYFUNCTION("""COMPUTED_VALUE"""),"ITN")</f>
        <v>ITN</v>
      </c>
      <c r="T606" s="15" t="str">
        <f>IFERROR(__xludf.DUMMYFUNCTION("""COMPUTED_VALUE"""),"1")</f>
        <v>1</v>
      </c>
      <c r="U606" s="15" t="str">
        <f>IFERROR(__xludf.DUMMYFUNCTION("""COMPUTED_VALUE"""),"266806981 1305915 8177307 mar e estilo trifil ldb 1")</f>
        <v>266806981 1305915 8177307 mar e estilo trifil ldb 1</v>
      </c>
      <c r="V606" s="15" t="b">
        <f>IFERROR(__xludf.DUMMYFUNCTION("""COMPUTED_VALUE"""),FALSE)</f>
        <v>0</v>
      </c>
    </row>
    <row r="607">
      <c r="A607" s="19">
        <f>IFERROR(__xludf.DUMMYFUNCTION("""COMPUTED_VALUE"""),46304.0)</f>
        <v>46304</v>
      </c>
      <c r="B607" s="19">
        <f>IFERROR(__xludf.DUMMYFUNCTION("""COMPUTED_VALUE"""),46318.0)</f>
        <v>46318</v>
      </c>
      <c r="C607" s="15">
        <f>IFERROR(__xludf.DUMMYFUNCTION("""COMPUTED_VALUE"""),9.0)</f>
        <v>9</v>
      </c>
      <c r="D607" s="15" t="str">
        <f>IFERROR(__xludf.DUMMYFUNCTION("""COMPUTED_VALUE"""),"LDB")</f>
        <v>LDB</v>
      </c>
      <c r="E607" s="15" t="str">
        <f>IFERROR(__xludf.DUMMYFUNCTION("""COMPUTED_VALUE"""),"ZAGA COMERCIO DE ROUPAS")</f>
        <v>ZAGA COMERCIO DE ROUPAS</v>
      </c>
      <c r="F607" s="15" t="str">
        <f>IFERROR(__xludf.DUMMYFUNCTION("""COMPUTED_VALUE"""),"TRIFIL")</f>
        <v>TRIFIL</v>
      </c>
      <c r="G607" s="15" t="str">
        <f>IFERROR(__xludf.DUMMYFUNCTION("""COMPUTED_VALUE"""),"266806982")</f>
        <v>266806982</v>
      </c>
      <c r="H607" s="15" t="str">
        <f>IFERROR(__xludf.DUMMYFUNCTION("""COMPUTED_VALUE"""),"1306019")</f>
        <v>1306019</v>
      </c>
      <c r="I607" s="15" t="str">
        <f>IFERROR(__xludf.DUMMYFUNCTION("""COMPUTED_VALUE"""),"8177274")</f>
        <v>8177274</v>
      </c>
      <c r="J607" s="15" t="str">
        <f>IFERROR(__xludf.DUMMYFUNCTION("""COMPUTED_VALUE"""),"CIF")</f>
        <v>CIF</v>
      </c>
      <c r="K607" s="15" t="str">
        <f>IFERROR(__xludf.DUMMYFUNCTION("""COMPUTED_VALUE"""),"(sem célula)")</f>
        <v>(sem célula)</v>
      </c>
      <c r="L607" s="15" t="str">
        <f>IFERROR(__xludf.DUMMYFUNCTION("""COMPUTED_VALUE"""),"AUTORIZADO")</f>
        <v>AUTORIZADO</v>
      </c>
      <c r="M607" s="15" t="str">
        <f>IFERROR(__xludf.DUMMYFUNCTION("""COMPUTED_VALUE"""),"NA ORIGEM")</f>
        <v>NA ORIGEM</v>
      </c>
      <c r="N607" s="15" t="str">
        <f>IFERROR(__xludf.DUMMYFUNCTION("""COMPUTED_VALUE"""),"Antes Prazo")</f>
        <v>Antes Prazo</v>
      </c>
      <c r="O607" s="15" t="str">
        <f>IFERROR(__xludf.DUMMYFUNCTION("""COMPUTED_VALUE"""),"B2B")</f>
        <v>B2B</v>
      </c>
      <c r="P607" s="16">
        <f>IFERROR(__xludf.DUMMYFUNCTION("""COMPUTED_VALUE"""),53.7)</f>
        <v>53.7</v>
      </c>
      <c r="Q607" s="15">
        <f>IFERROR(__xludf.DUMMYFUNCTION("""COMPUTED_VALUE"""),1.0)</f>
        <v>1</v>
      </c>
      <c r="R607" s="15" t="str">
        <f>IFERROR(__xludf.DUMMYFUNCTION("""COMPUTED_VALUE"""),"RODO")</f>
        <v>RODO</v>
      </c>
      <c r="S607" s="15" t="str">
        <f>IFERROR(__xludf.DUMMYFUNCTION("""COMPUTED_VALUE"""),"ITN")</f>
        <v>ITN</v>
      </c>
      <c r="T607" s="15" t="str">
        <f>IFERROR(__xludf.DUMMYFUNCTION("""COMPUTED_VALUE"""),"104")</f>
        <v>104</v>
      </c>
      <c r="U607" s="15" t="str">
        <f>IFERROR(__xludf.DUMMYFUNCTION("""COMPUTED_VALUE"""),"266806982 1306019 8177274 zaga comercio de roupas trifil ldb 104")</f>
        <v>266806982 1306019 8177274 zaga comercio de roupas trifil ldb 104</v>
      </c>
      <c r="V607" s="15" t="b">
        <f>IFERROR(__xludf.DUMMYFUNCTION("""COMPUTED_VALUE"""),FALSE)</f>
        <v>0</v>
      </c>
    </row>
    <row r="608">
      <c r="A608" s="19">
        <f>IFERROR(__xludf.DUMMYFUNCTION("""COMPUTED_VALUE"""),46304.0)</f>
        <v>46304</v>
      </c>
      <c r="B608" s="19">
        <f>IFERROR(__xludf.DUMMYFUNCTION("""COMPUTED_VALUE"""),46323.0)</f>
        <v>46323</v>
      </c>
      <c r="C608" s="15">
        <f>IFERROR(__xludf.DUMMYFUNCTION("""COMPUTED_VALUE"""),12.0)</f>
        <v>12</v>
      </c>
      <c r="D608" s="15" t="str">
        <f>IFERROR(__xludf.DUMMYFUNCTION("""COMPUTED_VALUE"""),"LDB")</f>
        <v>LDB</v>
      </c>
      <c r="E608" s="15" t="str">
        <f>IFERROR(__xludf.DUMMYFUNCTION("""COMPUTED_VALUE"""),"ZUAZEN CONFECCOES")</f>
        <v>ZUAZEN CONFECCOES</v>
      </c>
      <c r="F608" s="15" t="str">
        <f>IFERROR(__xludf.DUMMYFUNCTION("""COMPUTED_VALUE"""),"TRIFIL")</f>
        <v>TRIFIL</v>
      </c>
      <c r="G608" s="15" t="str">
        <f>IFERROR(__xludf.DUMMYFUNCTION("""COMPUTED_VALUE"""),"266806983")</f>
        <v>266806983</v>
      </c>
      <c r="H608" s="15" t="str">
        <f>IFERROR(__xludf.DUMMYFUNCTION("""COMPUTED_VALUE"""),"1306040")</f>
        <v>1306040</v>
      </c>
      <c r="I608" s="15" t="str">
        <f>IFERROR(__xludf.DUMMYFUNCTION("""COMPUTED_VALUE"""),"8177275")</f>
        <v>8177275</v>
      </c>
      <c r="J608" s="15" t="str">
        <f>IFERROR(__xludf.DUMMYFUNCTION("""COMPUTED_VALUE"""),"CIF")</f>
        <v>CIF</v>
      </c>
      <c r="K608" s="15" t="str">
        <f>IFERROR(__xludf.DUMMYFUNCTION("""COMPUTED_VALUE"""),"(sem célula)")</f>
        <v>(sem célula)</v>
      </c>
      <c r="L608" s="15" t="str">
        <f>IFERROR(__xludf.DUMMYFUNCTION("""COMPUTED_VALUE"""),"AUTORIZADO")</f>
        <v>AUTORIZADO</v>
      </c>
      <c r="M608" s="15" t="str">
        <f>IFERROR(__xludf.DUMMYFUNCTION("""COMPUTED_VALUE"""),"NA ORIGEM")</f>
        <v>NA ORIGEM</v>
      </c>
      <c r="N608" s="15" t="str">
        <f>IFERROR(__xludf.DUMMYFUNCTION("""COMPUTED_VALUE"""),"Antes Prazo")</f>
        <v>Antes Prazo</v>
      </c>
      <c r="O608" s="15" t="str">
        <f>IFERROR(__xludf.DUMMYFUNCTION("""COMPUTED_VALUE"""),"B2B")</f>
        <v>B2B</v>
      </c>
      <c r="P608" s="16">
        <f>IFERROR(__xludf.DUMMYFUNCTION("""COMPUTED_VALUE"""),53.7)</f>
        <v>53.7</v>
      </c>
      <c r="Q608" s="15">
        <f>IFERROR(__xludf.DUMMYFUNCTION("""COMPUTED_VALUE"""),1.0)</f>
        <v>1</v>
      </c>
      <c r="R608" s="15" t="str">
        <f>IFERROR(__xludf.DUMMYFUNCTION("""COMPUTED_VALUE"""),"RODO")</f>
        <v>RODO</v>
      </c>
      <c r="S608" s="15" t="str">
        <f>IFERROR(__xludf.DUMMYFUNCTION("""COMPUTED_VALUE"""),"ITN")</f>
        <v>ITN</v>
      </c>
      <c r="T608" s="15" t="str">
        <f>IFERROR(__xludf.DUMMYFUNCTION("""COMPUTED_VALUE"""),"101")</f>
        <v>101</v>
      </c>
      <c r="U608" s="15" t="str">
        <f>IFERROR(__xludf.DUMMYFUNCTION("""COMPUTED_VALUE"""),"266806983 1306040 8177275 zuazen confeccoes trifil ldb 101")</f>
        <v>266806983 1306040 8177275 zuazen confeccoes trifil ldb 101</v>
      </c>
      <c r="V608" s="15" t="b">
        <f>IFERROR(__xludf.DUMMYFUNCTION("""COMPUTED_VALUE"""),FALSE)</f>
        <v>0</v>
      </c>
    </row>
    <row r="609">
      <c r="A609" s="19">
        <f>IFERROR(__xludf.DUMMYFUNCTION("""COMPUTED_VALUE"""),46304.0)</f>
        <v>46304</v>
      </c>
      <c r="B609" s="19">
        <f>IFERROR(__xludf.DUMMYFUNCTION("""COMPUTED_VALUE"""),46321.0)</f>
        <v>46321</v>
      </c>
      <c r="C609" s="15">
        <f>IFERROR(__xludf.DUMMYFUNCTION("""COMPUTED_VALUE"""),10.0)</f>
        <v>10</v>
      </c>
      <c r="D609" s="15" t="str">
        <f>IFERROR(__xludf.DUMMYFUNCTION("""COMPUTED_VALUE"""),"LDB")</f>
        <v>LDB</v>
      </c>
      <c r="E609" s="15" t="str">
        <f>IFERROR(__xludf.DUMMYFUNCTION("""COMPUTED_VALUE"""),"ZUAZEN MODAS")</f>
        <v>ZUAZEN MODAS</v>
      </c>
      <c r="F609" s="15" t="str">
        <f>IFERROR(__xludf.DUMMYFUNCTION("""COMPUTED_VALUE"""),"TRIFIL")</f>
        <v>TRIFIL</v>
      </c>
      <c r="G609" s="15" t="str">
        <f>IFERROR(__xludf.DUMMYFUNCTION("""COMPUTED_VALUE"""),"266806984")</f>
        <v>266806984</v>
      </c>
      <c r="H609" s="15" t="str">
        <f>IFERROR(__xludf.DUMMYFUNCTION("""COMPUTED_VALUE"""),"1306014")</f>
        <v>1306014</v>
      </c>
      <c r="I609" s="15" t="str">
        <f>IFERROR(__xludf.DUMMYFUNCTION("""COMPUTED_VALUE"""),"8177234")</f>
        <v>8177234</v>
      </c>
      <c r="J609" s="15" t="str">
        <f>IFERROR(__xludf.DUMMYFUNCTION("""COMPUTED_VALUE"""),"CIF")</f>
        <v>CIF</v>
      </c>
      <c r="K609" s="15" t="str">
        <f>IFERROR(__xludf.DUMMYFUNCTION("""COMPUTED_VALUE"""),"(sem célula)")</f>
        <v>(sem célula)</v>
      </c>
      <c r="L609" s="15" t="str">
        <f>IFERROR(__xludf.DUMMYFUNCTION("""COMPUTED_VALUE"""),"AUTORIZADO")</f>
        <v>AUTORIZADO</v>
      </c>
      <c r="M609" s="15" t="str">
        <f>IFERROR(__xludf.DUMMYFUNCTION("""COMPUTED_VALUE"""),"NA ORIGEM")</f>
        <v>NA ORIGEM</v>
      </c>
      <c r="N609" s="15" t="str">
        <f>IFERROR(__xludf.DUMMYFUNCTION("""COMPUTED_VALUE"""),"Antes Prazo")</f>
        <v>Antes Prazo</v>
      </c>
      <c r="O609" s="15" t="str">
        <f>IFERROR(__xludf.DUMMYFUNCTION("""COMPUTED_VALUE"""),"B2B")</f>
        <v>B2B</v>
      </c>
      <c r="P609" s="16">
        <f>IFERROR(__xludf.DUMMYFUNCTION("""COMPUTED_VALUE"""),53.7)</f>
        <v>53.7</v>
      </c>
      <c r="Q609" s="15">
        <f>IFERROR(__xludf.DUMMYFUNCTION("""COMPUTED_VALUE"""),1.0)</f>
        <v>1</v>
      </c>
      <c r="R609" s="15" t="str">
        <f>IFERROR(__xludf.DUMMYFUNCTION("""COMPUTED_VALUE"""),"RODO")</f>
        <v>RODO</v>
      </c>
      <c r="S609" s="15" t="str">
        <f>IFERROR(__xludf.DUMMYFUNCTION("""COMPUTED_VALUE"""),"ITN")</f>
        <v>ITN</v>
      </c>
      <c r="T609" s="15" t="str">
        <f>IFERROR(__xludf.DUMMYFUNCTION("""COMPUTED_VALUE"""),"101")</f>
        <v>101</v>
      </c>
      <c r="U609" s="15" t="str">
        <f>IFERROR(__xludf.DUMMYFUNCTION("""COMPUTED_VALUE"""),"266806984 1306014 8177234 zuazen modas trifil ldb 101")</f>
        <v>266806984 1306014 8177234 zuazen modas trifil ldb 101</v>
      </c>
      <c r="V609" s="15" t="b">
        <f>IFERROR(__xludf.DUMMYFUNCTION("""COMPUTED_VALUE"""),FALSE)</f>
        <v>0</v>
      </c>
    </row>
    <row r="610">
      <c r="A610" s="19">
        <f>IFERROR(__xludf.DUMMYFUNCTION("""COMPUTED_VALUE"""),46304.0)</f>
        <v>46304</v>
      </c>
      <c r="B610" s="19">
        <f>IFERROR(__xludf.DUMMYFUNCTION("""COMPUTED_VALUE"""),46318.0)</f>
        <v>46318</v>
      </c>
      <c r="C610" s="15">
        <f>IFERROR(__xludf.DUMMYFUNCTION("""COMPUTED_VALUE"""),9.0)</f>
        <v>9</v>
      </c>
      <c r="D610" s="15" t="str">
        <f>IFERROR(__xludf.DUMMYFUNCTION("""COMPUTED_VALUE"""),"LDB")</f>
        <v>LDB</v>
      </c>
      <c r="E610" s="15" t="str">
        <f>IFERROR(__xludf.DUMMYFUNCTION("""COMPUTED_VALUE"""),"ENCANTOS MODA INTIMA LTDA")</f>
        <v>ENCANTOS MODA INTIMA LTDA</v>
      </c>
      <c r="F610" s="15" t="str">
        <f>IFERROR(__xludf.DUMMYFUNCTION("""COMPUTED_VALUE"""),"TRIFIL")</f>
        <v>TRIFIL</v>
      </c>
      <c r="G610" s="15" t="str">
        <f>IFERROR(__xludf.DUMMYFUNCTION("""COMPUTED_VALUE"""),"266806985")</f>
        <v>266806985</v>
      </c>
      <c r="H610" s="15" t="str">
        <f>IFERROR(__xludf.DUMMYFUNCTION("""COMPUTED_VALUE"""),"1306011")</f>
        <v>1306011</v>
      </c>
      <c r="I610" s="15" t="str">
        <f>IFERROR(__xludf.DUMMYFUNCTION("""COMPUTED_VALUE"""),"8177235")</f>
        <v>8177235</v>
      </c>
      <c r="J610" s="15" t="str">
        <f>IFERROR(__xludf.DUMMYFUNCTION("""COMPUTED_VALUE"""),"CIF")</f>
        <v>CIF</v>
      </c>
      <c r="K610" s="15" t="str">
        <f>IFERROR(__xludf.DUMMYFUNCTION("""COMPUTED_VALUE"""),"(sem célula)")</f>
        <v>(sem célula)</v>
      </c>
      <c r="L610" s="15" t="str">
        <f>IFERROR(__xludf.DUMMYFUNCTION("""COMPUTED_VALUE"""),"AUTORIZADO")</f>
        <v>AUTORIZADO</v>
      </c>
      <c r="M610" s="15" t="str">
        <f>IFERROR(__xludf.DUMMYFUNCTION("""COMPUTED_VALUE"""),"NA ORIGEM")</f>
        <v>NA ORIGEM</v>
      </c>
      <c r="N610" s="15" t="str">
        <f>IFERROR(__xludf.DUMMYFUNCTION("""COMPUTED_VALUE"""),"Antes Prazo")</f>
        <v>Antes Prazo</v>
      </c>
      <c r="O610" s="15" t="str">
        <f>IFERROR(__xludf.DUMMYFUNCTION("""COMPUTED_VALUE"""),"B2B")</f>
        <v>B2B</v>
      </c>
      <c r="P610" s="16">
        <f>IFERROR(__xludf.DUMMYFUNCTION("""COMPUTED_VALUE"""),53.7)</f>
        <v>53.7</v>
      </c>
      <c r="Q610" s="15">
        <f>IFERROR(__xludf.DUMMYFUNCTION("""COMPUTED_VALUE"""),1.0)</f>
        <v>1</v>
      </c>
      <c r="R610" s="15" t="str">
        <f>IFERROR(__xludf.DUMMYFUNCTION("""COMPUTED_VALUE"""),"RODO")</f>
        <v>RODO</v>
      </c>
      <c r="S610" s="15" t="str">
        <f>IFERROR(__xludf.DUMMYFUNCTION("""COMPUTED_VALUE"""),"ITN")</f>
        <v>ITN</v>
      </c>
      <c r="T610" s="15" t="str">
        <f>IFERROR(__xludf.DUMMYFUNCTION("""COMPUTED_VALUE"""),"107")</f>
        <v>107</v>
      </c>
      <c r="U610" s="15" t="str">
        <f>IFERROR(__xludf.DUMMYFUNCTION("""COMPUTED_VALUE"""),"266806985 1306011 8177235 encantos moda intima ltda trifil ldb 107")</f>
        <v>266806985 1306011 8177235 encantos moda intima ltda trifil ldb 107</v>
      </c>
      <c r="V610" s="15" t="b">
        <f>IFERROR(__xludf.DUMMYFUNCTION("""COMPUTED_VALUE"""),FALSE)</f>
        <v>0</v>
      </c>
    </row>
    <row r="611">
      <c r="A611" s="19">
        <f>IFERROR(__xludf.DUMMYFUNCTION("""COMPUTED_VALUE"""),46304.0)</f>
        <v>46304</v>
      </c>
      <c r="B611" s="19">
        <f>IFERROR(__xludf.DUMMYFUNCTION("""COMPUTED_VALUE"""),46318.0)</f>
        <v>46318</v>
      </c>
      <c r="C611" s="15">
        <f>IFERROR(__xludf.DUMMYFUNCTION("""COMPUTED_VALUE"""),9.0)</f>
        <v>9</v>
      </c>
      <c r="D611" s="15" t="str">
        <f>IFERROR(__xludf.DUMMYFUNCTION("""COMPUTED_VALUE"""),"LDB")</f>
        <v>LDB</v>
      </c>
      <c r="E611" s="15" t="str">
        <f>IFERROR(__xludf.DUMMYFUNCTION("""COMPUTED_VALUE"""),"CASAS AJITA")</f>
        <v>CASAS AJITA</v>
      </c>
      <c r="F611" s="15" t="str">
        <f>IFERROR(__xludf.DUMMYFUNCTION("""COMPUTED_VALUE"""),"TRIFIL")</f>
        <v>TRIFIL</v>
      </c>
      <c r="G611" s="15" t="str">
        <f>IFERROR(__xludf.DUMMYFUNCTION("""COMPUTED_VALUE"""),"266806986")</f>
        <v>266806986</v>
      </c>
      <c r="H611" s="15" t="str">
        <f>IFERROR(__xludf.DUMMYFUNCTION("""COMPUTED_VALUE"""),"1305848")</f>
        <v>1305848</v>
      </c>
      <c r="I611" s="15" t="str">
        <f>IFERROR(__xludf.DUMMYFUNCTION("""COMPUTED_VALUE"""),"8177276")</f>
        <v>8177276</v>
      </c>
      <c r="J611" s="15" t="str">
        <f>IFERROR(__xludf.DUMMYFUNCTION("""COMPUTED_VALUE"""),"CIF")</f>
        <v>CIF</v>
      </c>
      <c r="K611" s="15" t="str">
        <f>IFERROR(__xludf.DUMMYFUNCTION("""COMPUTED_VALUE"""),"FSA-1")</f>
        <v>FSA-1</v>
      </c>
      <c r="L611" s="15" t="str">
        <f>IFERROR(__xludf.DUMMYFUNCTION("""COMPUTED_VALUE"""),"AUTORIZADO")</f>
        <v>AUTORIZADO</v>
      </c>
      <c r="M611" s="15" t="str">
        <f>IFERROR(__xludf.DUMMYFUNCTION("""COMPUTED_VALUE"""),"NA ORIGEM")</f>
        <v>NA ORIGEM</v>
      </c>
      <c r="N611" s="15" t="str">
        <f>IFERROR(__xludf.DUMMYFUNCTION("""COMPUTED_VALUE"""),"Antes Prazo")</f>
        <v>Antes Prazo</v>
      </c>
      <c r="O611" s="15" t="str">
        <f>IFERROR(__xludf.DUMMYFUNCTION("""COMPUTED_VALUE"""),"B2B")</f>
        <v>B2B</v>
      </c>
      <c r="P611" s="16">
        <f>IFERROR(__xludf.DUMMYFUNCTION("""COMPUTED_VALUE"""),53.7)</f>
        <v>53.7</v>
      </c>
      <c r="Q611" s="15">
        <f>IFERROR(__xludf.DUMMYFUNCTION("""COMPUTED_VALUE"""),1.0)</f>
        <v>1</v>
      </c>
      <c r="R611" s="15" t="str">
        <f>IFERROR(__xludf.DUMMYFUNCTION("""COMPUTED_VALUE"""),"RODO")</f>
        <v>RODO</v>
      </c>
      <c r="S611" s="15" t="str">
        <f>IFERROR(__xludf.DUMMYFUNCTION("""COMPUTED_VALUE"""),"ITN")</f>
        <v>ITN</v>
      </c>
      <c r="T611" s="15" t="str">
        <f>IFERROR(__xludf.DUMMYFUNCTION("""COMPUTED_VALUE"""),"103")</f>
        <v>103</v>
      </c>
      <c r="U611" s="15" t="str">
        <f>IFERROR(__xludf.DUMMYFUNCTION("""COMPUTED_VALUE"""),"266806986 1305848 8177276 casas ajita trifil ldb 103")</f>
        <v>266806986 1305848 8177276 casas ajita trifil ldb 103</v>
      </c>
      <c r="V611" s="15" t="b">
        <f>IFERROR(__xludf.DUMMYFUNCTION("""COMPUTED_VALUE"""),FALSE)</f>
        <v>0</v>
      </c>
    </row>
    <row r="612">
      <c r="A612" s="19">
        <f>IFERROR(__xludf.DUMMYFUNCTION("""COMPUTED_VALUE"""),46304.0)</f>
        <v>46304</v>
      </c>
      <c r="B612" s="19">
        <f>IFERROR(__xludf.DUMMYFUNCTION("""COMPUTED_VALUE"""),46321.0)</f>
        <v>46321</v>
      </c>
      <c r="C612" s="15">
        <f>IFERROR(__xludf.DUMMYFUNCTION("""COMPUTED_VALUE"""),10.0)</f>
        <v>10</v>
      </c>
      <c r="D612" s="15" t="str">
        <f>IFERROR(__xludf.DUMMYFUNCTION("""COMPUTED_VALUE"""),"LDB")</f>
        <v>LDB</v>
      </c>
      <c r="E612" s="15" t="str">
        <f>IFERROR(__xludf.DUMMYFUNCTION("""COMPUTED_VALUE"""),"MARCIA IZABEL MORA ME")</f>
        <v>MARCIA IZABEL MORA ME</v>
      </c>
      <c r="F612" s="15" t="str">
        <f>IFERROR(__xludf.DUMMYFUNCTION("""COMPUTED_VALUE"""),"TRIFIL")</f>
        <v>TRIFIL</v>
      </c>
      <c r="G612" s="15" t="str">
        <f>IFERROR(__xludf.DUMMYFUNCTION("""COMPUTED_VALUE"""),"266806987")</f>
        <v>266806987</v>
      </c>
      <c r="H612" s="15" t="str">
        <f>IFERROR(__xludf.DUMMYFUNCTION("""COMPUTED_VALUE"""),"1306128")</f>
        <v>1306128</v>
      </c>
      <c r="I612" s="15" t="str">
        <f>IFERROR(__xludf.DUMMYFUNCTION("""COMPUTED_VALUE"""),"8177333")</f>
        <v>8177333</v>
      </c>
      <c r="J612" s="15" t="str">
        <f>IFERROR(__xludf.DUMMYFUNCTION("""COMPUTED_VALUE"""),"CIF")</f>
        <v>CIF</v>
      </c>
      <c r="K612" s="15" t="str">
        <f>IFERROR(__xludf.DUMMYFUNCTION("""COMPUTED_VALUE"""),"SAO-1")</f>
        <v>SAO-1</v>
      </c>
      <c r="L612" s="15" t="str">
        <f>IFERROR(__xludf.DUMMYFUNCTION("""COMPUTED_VALUE"""),"AUTORIZADO")</f>
        <v>AUTORIZADO</v>
      </c>
      <c r="M612" s="15" t="str">
        <f>IFERROR(__xludf.DUMMYFUNCTION("""COMPUTED_VALUE"""),"NA ORIGEM")</f>
        <v>NA ORIGEM</v>
      </c>
      <c r="N612" s="15" t="str">
        <f>IFERROR(__xludf.DUMMYFUNCTION("""COMPUTED_VALUE"""),"Antes Prazo")</f>
        <v>Antes Prazo</v>
      </c>
      <c r="O612" s="15" t="str">
        <f>IFERROR(__xludf.DUMMYFUNCTION("""COMPUTED_VALUE"""),"B2B")</f>
        <v>B2B</v>
      </c>
      <c r="P612" s="16">
        <f>IFERROR(__xludf.DUMMYFUNCTION("""COMPUTED_VALUE"""),53.7)</f>
        <v>53.7</v>
      </c>
      <c r="Q612" s="15">
        <f>IFERROR(__xludf.DUMMYFUNCTION("""COMPUTED_VALUE"""),2.0)</f>
        <v>2</v>
      </c>
      <c r="R612" s="15" t="str">
        <f>IFERROR(__xludf.DUMMYFUNCTION("""COMPUTED_VALUE"""),"RODO")</f>
        <v>RODO</v>
      </c>
      <c r="S612" s="15" t="str">
        <f>IFERROR(__xludf.DUMMYFUNCTION("""COMPUTED_VALUE"""),"ITN")</f>
        <v>ITN</v>
      </c>
      <c r="T612" s="15" t="str">
        <f>IFERROR(__xludf.DUMMYFUNCTION("""COMPUTED_VALUE"""),"105")</f>
        <v>105</v>
      </c>
      <c r="U612" s="15" t="str">
        <f>IFERROR(__xludf.DUMMYFUNCTION("""COMPUTED_VALUE"""),"266806987 1306128 8177333 marcia izabel mora me trifil ldb 105")</f>
        <v>266806987 1306128 8177333 marcia izabel mora me trifil ldb 105</v>
      </c>
      <c r="V612" s="15" t="b">
        <f>IFERROR(__xludf.DUMMYFUNCTION("""COMPUTED_VALUE"""),FALSE)</f>
        <v>0</v>
      </c>
    </row>
    <row r="613">
      <c r="A613" s="19">
        <f>IFERROR(__xludf.DUMMYFUNCTION("""COMPUTED_VALUE"""),46304.0)</f>
        <v>46304</v>
      </c>
      <c r="B613" s="19">
        <f>IFERROR(__xludf.DUMMYFUNCTION("""COMPUTED_VALUE"""),46322.0)</f>
        <v>46322</v>
      </c>
      <c r="C613" s="15">
        <f>IFERROR(__xludf.DUMMYFUNCTION("""COMPUTED_VALUE"""),11.0)</f>
        <v>11</v>
      </c>
      <c r="D613" s="15" t="str">
        <f>IFERROR(__xludf.DUMMYFUNCTION("""COMPUTED_VALUE"""),"MGF")</f>
        <v>MGF</v>
      </c>
      <c r="E613" s="15" t="str">
        <f>IFERROR(__xludf.DUMMYFUNCTION("""COMPUTED_VALUE"""),"F.A. COLETA MARTINS BIKES ME")</f>
        <v>F.A. COLETA MARTINS BIKES ME</v>
      </c>
      <c r="F613" s="15" t="str">
        <f>IFERROR(__xludf.DUMMYFUNCTION("""COMPUTED_VALUE"""),"TRIFIL")</f>
        <v>TRIFIL</v>
      </c>
      <c r="G613" s="15" t="str">
        <f>IFERROR(__xludf.DUMMYFUNCTION("""COMPUTED_VALUE"""),"266806988")</f>
        <v>266806988</v>
      </c>
      <c r="H613" s="15" t="str">
        <f>IFERROR(__xludf.DUMMYFUNCTION("""COMPUTED_VALUE"""),"1305991")</f>
        <v>1305991</v>
      </c>
      <c r="I613" s="15" t="str">
        <f>IFERROR(__xludf.DUMMYFUNCTION("""COMPUTED_VALUE"""),"8177360")</f>
        <v>8177360</v>
      </c>
      <c r="J613" s="15" t="str">
        <f>IFERROR(__xludf.DUMMYFUNCTION("""COMPUTED_VALUE"""),"CIF")</f>
        <v>CIF</v>
      </c>
      <c r="K613" s="15" t="str">
        <f>IFERROR(__xludf.DUMMYFUNCTION("""COMPUTED_VALUE"""),"SAO-1")</f>
        <v>SAO-1</v>
      </c>
      <c r="L613" s="15" t="str">
        <f>IFERROR(__xludf.DUMMYFUNCTION("""COMPUTED_VALUE"""),"AUTORIZADO")</f>
        <v>AUTORIZADO</v>
      </c>
      <c r="M613" s="15" t="str">
        <f>IFERROR(__xludf.DUMMYFUNCTION("""COMPUTED_VALUE"""),"NA ORIGEM")</f>
        <v>NA ORIGEM</v>
      </c>
      <c r="N613" s="15" t="str">
        <f>IFERROR(__xludf.DUMMYFUNCTION("""COMPUTED_VALUE"""),"Antes Prazo")</f>
        <v>Antes Prazo</v>
      </c>
      <c r="O613" s="15" t="str">
        <f>IFERROR(__xludf.DUMMYFUNCTION("""COMPUTED_VALUE"""),"B2B")</f>
        <v>B2B</v>
      </c>
      <c r="P613" s="16">
        <f>IFERROR(__xludf.DUMMYFUNCTION("""COMPUTED_VALUE"""),53.7)</f>
        <v>53.7</v>
      </c>
      <c r="Q613" s="15">
        <f>IFERROR(__xludf.DUMMYFUNCTION("""COMPUTED_VALUE"""),1.0)</f>
        <v>1</v>
      </c>
      <c r="R613" s="15" t="str">
        <f>IFERROR(__xludf.DUMMYFUNCTION("""COMPUTED_VALUE"""),"RODO")</f>
        <v>RODO</v>
      </c>
      <c r="S613" s="15" t="str">
        <f>IFERROR(__xludf.DUMMYFUNCTION("""COMPUTED_VALUE"""),"ITN")</f>
        <v>ITN</v>
      </c>
      <c r="T613" s="15" t="str">
        <f>IFERROR(__xludf.DUMMYFUNCTION("""COMPUTED_VALUE"""),"107")</f>
        <v>107</v>
      </c>
      <c r="U613" s="15" t="str">
        <f>IFERROR(__xludf.DUMMYFUNCTION("""COMPUTED_VALUE"""),"266806988 1305991 8177360 f.a. coleta martins bikes me trifil mgf 107")</f>
        <v>266806988 1305991 8177360 f.a. coleta martins bikes me trifil mgf 107</v>
      </c>
      <c r="V613" s="15" t="b">
        <f>IFERROR(__xludf.DUMMYFUNCTION("""COMPUTED_VALUE"""),FALSE)</f>
        <v>0</v>
      </c>
    </row>
    <row r="614">
      <c r="A614" s="19">
        <f>IFERROR(__xludf.DUMMYFUNCTION("""COMPUTED_VALUE"""),46304.0)</f>
        <v>46304</v>
      </c>
      <c r="B614" s="19">
        <f>IFERROR(__xludf.DUMMYFUNCTION("""COMPUTED_VALUE"""),46317.0)</f>
        <v>46317</v>
      </c>
      <c r="C614" s="15">
        <f>IFERROR(__xludf.DUMMYFUNCTION("""COMPUTED_VALUE"""),8.0)</f>
        <v>8</v>
      </c>
      <c r="D614" s="15" t="str">
        <f>IFERROR(__xludf.DUMMYFUNCTION("""COMPUTED_VALUE"""),"MGF")</f>
        <v>MGF</v>
      </c>
      <c r="E614" s="15" t="str">
        <f>IFERROR(__xludf.DUMMYFUNCTION("""COMPUTED_VALUE"""),"PAPOULA")</f>
        <v>PAPOULA</v>
      </c>
      <c r="F614" s="15" t="str">
        <f>IFERROR(__xludf.DUMMYFUNCTION("""COMPUTED_VALUE"""),"TRIFIL")</f>
        <v>TRIFIL</v>
      </c>
      <c r="G614" s="15" t="str">
        <f>IFERROR(__xludf.DUMMYFUNCTION("""COMPUTED_VALUE"""),"266806989")</f>
        <v>266806989</v>
      </c>
      <c r="H614" s="15" t="str">
        <f>IFERROR(__xludf.DUMMYFUNCTION("""COMPUTED_VALUE"""),"1306290")</f>
        <v>1306290</v>
      </c>
      <c r="I614" s="15" t="str">
        <f>IFERROR(__xludf.DUMMYFUNCTION("""COMPUTED_VALUE"""),"8177361")</f>
        <v>8177361</v>
      </c>
      <c r="J614" s="15" t="str">
        <f>IFERROR(__xludf.DUMMYFUNCTION("""COMPUTED_VALUE"""),"CIF")</f>
        <v>CIF</v>
      </c>
      <c r="K614" s="15" t="str">
        <f>IFERROR(__xludf.DUMMYFUNCTION("""COMPUTED_VALUE"""),"SAO-1")</f>
        <v>SAO-1</v>
      </c>
      <c r="L614" s="15" t="str">
        <f>IFERROR(__xludf.DUMMYFUNCTION("""COMPUTED_VALUE"""),"AUTORIZADO")</f>
        <v>AUTORIZADO</v>
      </c>
      <c r="M614" s="15" t="str">
        <f>IFERROR(__xludf.DUMMYFUNCTION("""COMPUTED_VALUE"""),"NA ORIGEM")</f>
        <v>NA ORIGEM</v>
      </c>
      <c r="N614" s="15" t="str">
        <f>IFERROR(__xludf.DUMMYFUNCTION("""COMPUTED_VALUE"""),"Antes Prazo")</f>
        <v>Antes Prazo</v>
      </c>
      <c r="O614" s="15" t="str">
        <f>IFERROR(__xludf.DUMMYFUNCTION("""COMPUTED_VALUE"""),"B2B")</f>
        <v>B2B</v>
      </c>
      <c r="P614" s="16">
        <f>IFERROR(__xludf.DUMMYFUNCTION("""COMPUTED_VALUE"""),47.89)</f>
        <v>47.89</v>
      </c>
      <c r="Q614" s="15">
        <f>IFERROR(__xludf.DUMMYFUNCTION("""COMPUTED_VALUE"""),3.0)</f>
        <v>3</v>
      </c>
      <c r="R614" s="15" t="str">
        <f>IFERROR(__xludf.DUMMYFUNCTION("""COMPUTED_VALUE"""),"RODO")</f>
        <v>RODO</v>
      </c>
      <c r="S614" s="15" t="str">
        <f>IFERROR(__xludf.DUMMYFUNCTION("""COMPUTED_VALUE"""),"ITN")</f>
        <v>ITN</v>
      </c>
      <c r="T614" s="15" t="str">
        <f>IFERROR(__xludf.DUMMYFUNCTION("""COMPUTED_VALUE"""),"1")</f>
        <v>1</v>
      </c>
      <c r="U614" s="15" t="str">
        <f>IFERROR(__xludf.DUMMYFUNCTION("""COMPUTED_VALUE"""),"266806989 1306290 8177361 papoula trifil mgf 1")</f>
        <v>266806989 1306290 8177361 papoula trifil mgf 1</v>
      </c>
      <c r="V614" s="15" t="b">
        <f>IFERROR(__xludf.DUMMYFUNCTION("""COMPUTED_VALUE"""),FALSE)</f>
        <v>0</v>
      </c>
    </row>
    <row r="615">
      <c r="A615" s="19">
        <f>IFERROR(__xludf.DUMMYFUNCTION("""COMPUTED_VALUE"""),46304.0)</f>
        <v>46304</v>
      </c>
      <c r="B615" s="19">
        <f>IFERROR(__xludf.DUMMYFUNCTION("""COMPUTED_VALUE"""),46317.0)</f>
        <v>46317</v>
      </c>
      <c r="C615" s="15">
        <f>IFERROR(__xludf.DUMMYFUNCTION("""COMPUTED_VALUE"""),8.0)</f>
        <v>8</v>
      </c>
      <c r="D615" s="15" t="str">
        <f>IFERROR(__xludf.DUMMYFUNCTION("""COMPUTED_VALUE"""),"MGF")</f>
        <v>MGF</v>
      </c>
      <c r="E615" s="15" t="str">
        <f>IFERROR(__xludf.DUMMYFUNCTION("""COMPUTED_VALUE"""),"K-PRICHO 2 LTDA")</f>
        <v>K-PRICHO 2 LTDA</v>
      </c>
      <c r="F615" s="15" t="str">
        <f>IFERROR(__xludf.DUMMYFUNCTION("""COMPUTED_VALUE"""),"TRIFIL")</f>
        <v>TRIFIL</v>
      </c>
      <c r="G615" s="15" t="str">
        <f>IFERROR(__xludf.DUMMYFUNCTION("""COMPUTED_VALUE"""),"266806991")</f>
        <v>266806991</v>
      </c>
      <c r="H615" s="15" t="str">
        <f>IFERROR(__xludf.DUMMYFUNCTION("""COMPUTED_VALUE"""),"1305780")</f>
        <v>1305780</v>
      </c>
      <c r="I615" s="15" t="str">
        <f>IFERROR(__xludf.DUMMYFUNCTION("""COMPUTED_VALUE"""),"8177308")</f>
        <v>8177308</v>
      </c>
      <c r="J615" s="15" t="str">
        <f>IFERROR(__xludf.DUMMYFUNCTION("""COMPUTED_VALUE"""),"CIF")</f>
        <v>CIF</v>
      </c>
      <c r="K615" s="15" t="str">
        <f>IFERROR(__xludf.DUMMYFUNCTION("""COMPUTED_VALUE"""),"FSA-1")</f>
        <v>FSA-1</v>
      </c>
      <c r="L615" s="15" t="str">
        <f>IFERROR(__xludf.DUMMYFUNCTION("""COMPUTED_VALUE"""),"AUTORIZADO")</f>
        <v>AUTORIZADO</v>
      </c>
      <c r="M615" s="15" t="str">
        <f>IFERROR(__xludf.DUMMYFUNCTION("""COMPUTED_VALUE"""),"NA ORIGEM")</f>
        <v>NA ORIGEM</v>
      </c>
      <c r="N615" s="15" t="str">
        <f>IFERROR(__xludf.DUMMYFUNCTION("""COMPUTED_VALUE"""),"Antes Prazo")</f>
        <v>Antes Prazo</v>
      </c>
      <c r="O615" s="15" t="str">
        <f>IFERROR(__xludf.DUMMYFUNCTION("""COMPUTED_VALUE"""),"B2B")</f>
        <v>B2B</v>
      </c>
      <c r="P615" s="16">
        <f>IFERROR(__xludf.DUMMYFUNCTION("""COMPUTED_VALUE"""),53.7)</f>
        <v>53.7</v>
      </c>
      <c r="Q615" s="15">
        <f>IFERROR(__xludf.DUMMYFUNCTION("""COMPUTED_VALUE"""),1.0)</f>
        <v>1</v>
      </c>
      <c r="R615" s="15" t="str">
        <f>IFERROR(__xludf.DUMMYFUNCTION("""COMPUTED_VALUE"""),"RODO")</f>
        <v>RODO</v>
      </c>
      <c r="S615" s="15" t="str">
        <f>IFERROR(__xludf.DUMMYFUNCTION("""COMPUTED_VALUE"""),"ITN")</f>
        <v>ITN</v>
      </c>
      <c r="T615" s="15" t="str">
        <f>IFERROR(__xludf.DUMMYFUNCTION("""COMPUTED_VALUE"""),"10")</f>
        <v>10</v>
      </c>
      <c r="U615" s="15" t="str">
        <f>IFERROR(__xludf.DUMMYFUNCTION("""COMPUTED_VALUE"""),"266806991 1305780 8177308 k-pricho 2 ltda trifil mgf 10")</f>
        <v>266806991 1305780 8177308 k-pricho 2 ltda trifil mgf 10</v>
      </c>
      <c r="V615" s="15" t="b">
        <f>IFERROR(__xludf.DUMMYFUNCTION("""COMPUTED_VALUE"""),FALSE)</f>
        <v>0</v>
      </c>
    </row>
    <row r="616">
      <c r="A616" s="19">
        <f>IFERROR(__xludf.DUMMYFUNCTION("""COMPUTED_VALUE"""),46304.0)</f>
        <v>46304</v>
      </c>
      <c r="B616" s="19">
        <f>IFERROR(__xludf.DUMMYFUNCTION("""COMPUTED_VALUE"""),46317.0)</f>
        <v>46317</v>
      </c>
      <c r="C616" s="15">
        <f>IFERROR(__xludf.DUMMYFUNCTION("""COMPUTED_VALUE"""),8.0)</f>
        <v>8</v>
      </c>
      <c r="D616" s="15" t="str">
        <f>IFERROR(__xludf.DUMMYFUNCTION("""COMPUTED_VALUE"""),"UMU")</f>
        <v>UMU</v>
      </c>
      <c r="E616" s="15" t="str">
        <f>IFERROR(__xludf.DUMMYFUNCTION("""COMPUTED_VALUE"""),"MUNDIAL JACK REPRESENTACAO COMERCIA")</f>
        <v>MUNDIAL JACK REPRESENTACAO COMERCIA</v>
      </c>
      <c r="F616" s="15" t="str">
        <f>IFERROR(__xludf.DUMMYFUNCTION("""COMPUTED_VALUE"""),"TRIFIL")</f>
        <v>TRIFIL</v>
      </c>
      <c r="G616" s="15" t="str">
        <f>IFERROR(__xludf.DUMMYFUNCTION("""COMPUTED_VALUE"""),"266806992")</f>
        <v>266806992</v>
      </c>
      <c r="H616" s="15" t="str">
        <f>IFERROR(__xludf.DUMMYFUNCTION("""COMPUTED_VALUE"""),"1306100")</f>
        <v>1306100</v>
      </c>
      <c r="I616" s="15" t="str">
        <f>IFERROR(__xludf.DUMMYFUNCTION("""COMPUTED_VALUE"""),"8177145")</f>
        <v>8177145</v>
      </c>
      <c r="J616" s="15" t="str">
        <f>IFERROR(__xludf.DUMMYFUNCTION("""COMPUTED_VALUE"""),"CIF")</f>
        <v>CIF</v>
      </c>
      <c r="K616" s="15" t="str">
        <f>IFERROR(__xludf.DUMMYFUNCTION("""COMPUTED_VALUE"""),"FSA-1")</f>
        <v>FSA-1</v>
      </c>
      <c r="L616" s="15" t="str">
        <f>IFERROR(__xludf.DUMMYFUNCTION("""COMPUTED_VALUE"""),"AUTORIZADO")</f>
        <v>AUTORIZADO</v>
      </c>
      <c r="M616" s="15" t="str">
        <f>IFERROR(__xludf.DUMMYFUNCTION("""COMPUTED_VALUE"""),"NA ORIGEM")</f>
        <v>NA ORIGEM</v>
      </c>
      <c r="N616" s="15" t="str">
        <f>IFERROR(__xludf.DUMMYFUNCTION("""COMPUTED_VALUE"""),"Antes Prazo")</f>
        <v>Antes Prazo</v>
      </c>
      <c r="O616" s="15" t="str">
        <f>IFERROR(__xludf.DUMMYFUNCTION("""COMPUTED_VALUE"""),"B2B")</f>
        <v>B2B</v>
      </c>
      <c r="P616" s="16">
        <f>IFERROR(__xludf.DUMMYFUNCTION("""COMPUTED_VALUE"""),47.89)</f>
        <v>47.89</v>
      </c>
      <c r="Q616" s="15">
        <f>IFERROR(__xludf.DUMMYFUNCTION("""COMPUTED_VALUE"""),1.0)</f>
        <v>1</v>
      </c>
      <c r="R616" s="15" t="str">
        <f>IFERROR(__xludf.DUMMYFUNCTION("""COMPUTED_VALUE"""),"RODO")</f>
        <v>RODO</v>
      </c>
      <c r="S616" s="15" t="str">
        <f>IFERROR(__xludf.DUMMYFUNCTION("""COMPUTED_VALUE"""),"ITN")</f>
        <v>ITN</v>
      </c>
      <c r="T616" s="15" t="str">
        <f>IFERROR(__xludf.DUMMYFUNCTION("""COMPUTED_VALUE"""),"2")</f>
        <v>2</v>
      </c>
      <c r="U616" s="15" t="str">
        <f>IFERROR(__xludf.DUMMYFUNCTION("""COMPUTED_VALUE"""),"266806992 1306100 8177145 mundial jack representacao comercia trifil umu 2")</f>
        <v>266806992 1306100 8177145 mundial jack representacao comercia trifil umu 2</v>
      </c>
      <c r="V616" s="15" t="b">
        <f>IFERROR(__xludf.DUMMYFUNCTION("""COMPUTED_VALUE"""),FALSE)</f>
        <v>0</v>
      </c>
    </row>
    <row r="617">
      <c r="A617" s="19">
        <f>IFERROR(__xludf.DUMMYFUNCTION("""COMPUTED_VALUE"""),46304.0)</f>
        <v>46304</v>
      </c>
      <c r="B617" s="19">
        <f>IFERROR(__xludf.DUMMYFUNCTION("""COMPUTED_VALUE"""),46317.0)</f>
        <v>46317</v>
      </c>
      <c r="C617" s="15">
        <f>IFERROR(__xludf.DUMMYFUNCTION("""COMPUTED_VALUE"""),8.0)</f>
        <v>8</v>
      </c>
      <c r="D617" s="15" t="str">
        <f>IFERROR(__xludf.DUMMYFUNCTION("""COMPUTED_VALUE"""),"BNU")</f>
        <v>BNU</v>
      </c>
      <c r="E617" s="15" t="str">
        <f>IFERROR(__xludf.DUMMYFUNCTION("""COMPUTED_VALUE"""),"MAISA DE SOUZA")</f>
        <v>MAISA DE SOUZA</v>
      </c>
      <c r="F617" s="15" t="str">
        <f>IFERROR(__xludf.DUMMYFUNCTION("""COMPUTED_VALUE"""),"TRIFIL")</f>
        <v>TRIFIL</v>
      </c>
      <c r="G617" s="15" t="str">
        <f>IFERROR(__xludf.DUMMYFUNCTION("""COMPUTED_VALUE"""),"266806993")</f>
        <v>266806993</v>
      </c>
      <c r="H617" s="15" t="str">
        <f>IFERROR(__xludf.DUMMYFUNCTION("""COMPUTED_VALUE"""),"1306216")</f>
        <v>1306216</v>
      </c>
      <c r="I617" s="15" t="str">
        <f>IFERROR(__xludf.DUMMYFUNCTION("""COMPUTED_VALUE"""),"8177334")</f>
        <v>8177334</v>
      </c>
      <c r="J617" s="15" t="str">
        <f>IFERROR(__xludf.DUMMYFUNCTION("""COMPUTED_VALUE"""),"CIF")</f>
        <v>CIF</v>
      </c>
      <c r="K617" s="15" t="str">
        <f>IFERROR(__xludf.DUMMYFUNCTION("""COMPUTED_VALUE"""),"FSA-1")</f>
        <v>FSA-1</v>
      </c>
      <c r="L617" s="15" t="str">
        <f>IFERROR(__xludf.DUMMYFUNCTION("""COMPUTED_VALUE"""),"AUTORIZADO")</f>
        <v>AUTORIZADO</v>
      </c>
      <c r="M617" s="15" t="str">
        <f>IFERROR(__xludf.DUMMYFUNCTION("""COMPUTED_VALUE"""),"NA ORIGEM")</f>
        <v>NA ORIGEM</v>
      </c>
      <c r="N617" s="15" t="str">
        <f>IFERROR(__xludf.DUMMYFUNCTION("""COMPUTED_VALUE"""),"Antes Prazo")</f>
        <v>Antes Prazo</v>
      </c>
      <c r="O617" s="15" t="str">
        <f>IFERROR(__xludf.DUMMYFUNCTION("""COMPUTED_VALUE"""),"B2B")</f>
        <v>B2B</v>
      </c>
      <c r="P617" s="16">
        <f>IFERROR(__xludf.DUMMYFUNCTION("""COMPUTED_VALUE"""),60.93)</f>
        <v>60.93</v>
      </c>
      <c r="Q617" s="15">
        <f>IFERROR(__xludf.DUMMYFUNCTION("""COMPUTED_VALUE"""),1.0)</f>
        <v>1</v>
      </c>
      <c r="R617" s="15" t="str">
        <f>IFERROR(__xludf.DUMMYFUNCTION("""COMPUTED_VALUE"""),"RODO")</f>
        <v>RODO</v>
      </c>
      <c r="S617" s="15" t="str">
        <f>IFERROR(__xludf.DUMMYFUNCTION("""COMPUTED_VALUE"""),"ITN")</f>
        <v>ITN</v>
      </c>
      <c r="T617" s="15" t="str">
        <f>IFERROR(__xludf.DUMMYFUNCTION("""COMPUTED_VALUE"""),"3")</f>
        <v>3</v>
      </c>
      <c r="U617" s="15" t="str">
        <f>IFERROR(__xludf.DUMMYFUNCTION("""COMPUTED_VALUE"""),"266806993 1306216 8177334 maisa de souza trifil bnu 3")</f>
        <v>266806993 1306216 8177334 maisa de souza trifil bnu 3</v>
      </c>
      <c r="V617" s="15" t="b">
        <f>IFERROR(__xludf.DUMMYFUNCTION("""COMPUTED_VALUE"""),FALSE)</f>
        <v>0</v>
      </c>
    </row>
    <row r="618">
      <c r="A618" s="19">
        <f>IFERROR(__xludf.DUMMYFUNCTION("""COMPUTED_VALUE"""),46304.0)</f>
        <v>46304</v>
      </c>
      <c r="B618" s="19">
        <f>IFERROR(__xludf.DUMMYFUNCTION("""COMPUTED_VALUE"""),46321.0)</f>
        <v>46321</v>
      </c>
      <c r="C618" s="15">
        <f>IFERROR(__xludf.DUMMYFUNCTION("""COMPUTED_VALUE"""),10.0)</f>
        <v>10</v>
      </c>
      <c r="D618" s="15" t="str">
        <f>IFERROR(__xludf.DUMMYFUNCTION("""COMPUTED_VALUE"""),"ITJ")</f>
        <v>ITJ</v>
      </c>
      <c r="E618" s="15" t="str">
        <f>IFERROR(__xludf.DUMMYFUNCTION("""COMPUTED_VALUE"""),"THELAVI MODAS LTDA ME")</f>
        <v>THELAVI MODAS LTDA ME</v>
      </c>
      <c r="F618" s="15" t="str">
        <f>IFERROR(__xludf.DUMMYFUNCTION("""COMPUTED_VALUE"""),"TRIFIL")</f>
        <v>TRIFIL</v>
      </c>
      <c r="G618" s="15" t="str">
        <f>IFERROR(__xludf.DUMMYFUNCTION("""COMPUTED_VALUE"""),"266806994")</f>
        <v>266806994</v>
      </c>
      <c r="H618" s="15" t="str">
        <f>IFERROR(__xludf.DUMMYFUNCTION("""COMPUTED_VALUE"""),"1306289")</f>
        <v>1306289</v>
      </c>
      <c r="I618" s="15" t="str">
        <f>IFERROR(__xludf.DUMMYFUNCTION("""COMPUTED_VALUE"""),"8177335")</f>
        <v>8177335</v>
      </c>
      <c r="J618" s="15" t="str">
        <f>IFERROR(__xludf.DUMMYFUNCTION("""COMPUTED_VALUE"""),"CIF")</f>
        <v>CIF</v>
      </c>
      <c r="K618" s="15" t="str">
        <f>IFERROR(__xludf.DUMMYFUNCTION("""COMPUTED_VALUE"""),"FSA-1")</f>
        <v>FSA-1</v>
      </c>
      <c r="L618" s="15" t="str">
        <f>IFERROR(__xludf.DUMMYFUNCTION("""COMPUTED_VALUE"""),"AUTORIZADO")</f>
        <v>AUTORIZADO</v>
      </c>
      <c r="M618" s="15" t="str">
        <f>IFERROR(__xludf.DUMMYFUNCTION("""COMPUTED_VALUE"""),"NA ORIGEM")</f>
        <v>NA ORIGEM</v>
      </c>
      <c r="N618" s="15" t="str">
        <f>IFERROR(__xludf.DUMMYFUNCTION("""COMPUTED_VALUE"""),"Antes Prazo")</f>
        <v>Antes Prazo</v>
      </c>
      <c r="O618" s="15" t="str">
        <f>IFERROR(__xludf.DUMMYFUNCTION("""COMPUTED_VALUE"""),"B2B")</f>
        <v>B2B</v>
      </c>
      <c r="P618" s="16">
        <f>IFERROR(__xludf.DUMMYFUNCTION("""COMPUTED_VALUE"""),60.93)</f>
        <v>60.93</v>
      </c>
      <c r="Q618" s="15">
        <f>IFERROR(__xludf.DUMMYFUNCTION("""COMPUTED_VALUE"""),1.0)</f>
        <v>1</v>
      </c>
      <c r="R618" s="15" t="str">
        <f>IFERROR(__xludf.DUMMYFUNCTION("""COMPUTED_VALUE"""),"RODO")</f>
        <v>RODO</v>
      </c>
      <c r="S618" s="15" t="str">
        <f>IFERROR(__xludf.DUMMYFUNCTION("""COMPUTED_VALUE"""),"ITN")</f>
        <v>ITN</v>
      </c>
      <c r="T618" s="15" t="str">
        <f>IFERROR(__xludf.DUMMYFUNCTION("""COMPUTED_VALUE"""),"106")</f>
        <v>106</v>
      </c>
      <c r="U618" s="15" t="str">
        <f>IFERROR(__xludf.DUMMYFUNCTION("""COMPUTED_VALUE"""),"266806994 1306289 8177335 thelavi modas ltda me trifil itj 106")</f>
        <v>266806994 1306289 8177335 thelavi modas ltda me trifil itj 106</v>
      </c>
      <c r="V618" s="15" t="b">
        <f>IFERROR(__xludf.DUMMYFUNCTION("""COMPUTED_VALUE"""),FALSE)</f>
        <v>0</v>
      </c>
    </row>
    <row r="619">
      <c r="A619" s="19">
        <f>IFERROR(__xludf.DUMMYFUNCTION("""COMPUTED_VALUE"""),46304.0)</f>
        <v>46304</v>
      </c>
      <c r="B619" s="19">
        <f>IFERROR(__xludf.DUMMYFUNCTION("""COMPUTED_VALUE"""),46321.0)</f>
        <v>46321</v>
      </c>
      <c r="C619" s="15">
        <f>IFERROR(__xludf.DUMMYFUNCTION("""COMPUTED_VALUE"""),10.0)</f>
        <v>10</v>
      </c>
      <c r="D619" s="15" t="str">
        <f>IFERROR(__xludf.DUMMYFUNCTION("""COMPUTED_VALUE"""),"ITJ")</f>
        <v>ITJ</v>
      </c>
      <c r="E619" s="15" t="str">
        <f>IFERROR(__xludf.DUMMYFUNCTION("""COMPUTED_VALUE"""),"RS 10 CALCADOS EIRELI ME")</f>
        <v>RS 10 CALCADOS EIRELI ME</v>
      </c>
      <c r="F619" s="15" t="str">
        <f>IFERROR(__xludf.DUMMYFUNCTION("""COMPUTED_VALUE"""),"TRIFIL")</f>
        <v>TRIFIL</v>
      </c>
      <c r="G619" s="15" t="str">
        <f>IFERROR(__xludf.DUMMYFUNCTION("""COMPUTED_VALUE"""),"266806995")</f>
        <v>266806995</v>
      </c>
      <c r="H619" s="15" t="str">
        <f>IFERROR(__xludf.DUMMYFUNCTION("""COMPUTED_VALUE"""),"1306159")</f>
        <v>1306159</v>
      </c>
      <c r="I619" s="15" t="str">
        <f>IFERROR(__xludf.DUMMYFUNCTION("""COMPUTED_VALUE"""),"8177174")</f>
        <v>8177174</v>
      </c>
      <c r="J619" s="15" t="str">
        <f>IFERROR(__xludf.DUMMYFUNCTION("""COMPUTED_VALUE"""),"CIF")</f>
        <v>CIF</v>
      </c>
      <c r="K619" s="15" t="str">
        <f>IFERROR(__xludf.DUMMYFUNCTION("""COMPUTED_VALUE"""),"FSA-1")</f>
        <v>FSA-1</v>
      </c>
      <c r="L619" s="15" t="str">
        <f>IFERROR(__xludf.DUMMYFUNCTION("""COMPUTED_VALUE"""),"AUTORIZADO")</f>
        <v>AUTORIZADO</v>
      </c>
      <c r="M619" s="15" t="str">
        <f>IFERROR(__xludf.DUMMYFUNCTION("""COMPUTED_VALUE"""),"NA ORIGEM")</f>
        <v>NA ORIGEM</v>
      </c>
      <c r="N619" s="15" t="str">
        <f>IFERROR(__xludf.DUMMYFUNCTION("""COMPUTED_VALUE"""),"Antes Prazo")</f>
        <v>Antes Prazo</v>
      </c>
      <c r="O619" s="15" t="str">
        <f>IFERROR(__xludf.DUMMYFUNCTION("""COMPUTED_VALUE"""),"B2B")</f>
        <v>B2B</v>
      </c>
      <c r="P619" s="16">
        <f>IFERROR(__xludf.DUMMYFUNCTION("""COMPUTED_VALUE"""),60.93)</f>
        <v>60.93</v>
      </c>
      <c r="Q619" s="15">
        <f>IFERROR(__xludf.DUMMYFUNCTION("""COMPUTED_VALUE"""),1.0)</f>
        <v>1</v>
      </c>
      <c r="R619" s="15" t="str">
        <f>IFERROR(__xludf.DUMMYFUNCTION("""COMPUTED_VALUE"""),"RODO")</f>
        <v>RODO</v>
      </c>
      <c r="S619" s="15" t="str">
        <f>IFERROR(__xludf.DUMMYFUNCTION("""COMPUTED_VALUE"""),"ITN")</f>
        <v>ITN</v>
      </c>
      <c r="T619" s="15" t="str">
        <f>IFERROR(__xludf.DUMMYFUNCTION("""COMPUTED_VALUE"""),"106")</f>
        <v>106</v>
      </c>
      <c r="U619" s="15" t="str">
        <f>IFERROR(__xludf.DUMMYFUNCTION("""COMPUTED_VALUE"""),"266806995 1306159 8177174 rs 10 calcados eireli me trifil itj 106")</f>
        <v>266806995 1306159 8177174 rs 10 calcados eireli me trifil itj 106</v>
      </c>
      <c r="V619" s="15" t="b">
        <f>IFERROR(__xludf.DUMMYFUNCTION("""COMPUTED_VALUE"""),FALSE)</f>
        <v>0</v>
      </c>
    </row>
    <row r="620">
      <c r="A620" s="19">
        <f>IFERROR(__xludf.DUMMYFUNCTION("""COMPUTED_VALUE"""),46304.0)</f>
        <v>46304</v>
      </c>
      <c r="B620" s="19">
        <f>IFERROR(__xludf.DUMMYFUNCTION("""COMPUTED_VALUE"""),46318.0)</f>
        <v>46318</v>
      </c>
      <c r="C620" s="15">
        <f>IFERROR(__xludf.DUMMYFUNCTION("""COMPUTED_VALUE"""),9.0)</f>
        <v>9</v>
      </c>
      <c r="D620" s="15" t="str">
        <f>IFERROR(__xludf.DUMMYFUNCTION("""COMPUTED_VALUE"""),"CCM")</f>
        <v>CCM</v>
      </c>
      <c r="E620" s="15" t="str">
        <f>IFERROR(__xludf.DUMMYFUNCTION("""COMPUTED_VALUE"""),"Unna Calcados")</f>
        <v>Unna Calcados</v>
      </c>
      <c r="F620" s="15" t="str">
        <f>IFERROR(__xludf.DUMMYFUNCTION("""COMPUTED_VALUE"""),"TRIFIL")</f>
        <v>TRIFIL</v>
      </c>
      <c r="G620" s="15" t="str">
        <f>IFERROR(__xludf.DUMMYFUNCTION("""COMPUTED_VALUE"""),"266806997")</f>
        <v>266806997</v>
      </c>
      <c r="H620" s="15" t="str">
        <f>IFERROR(__xludf.DUMMYFUNCTION("""COMPUTED_VALUE"""),"1306026")</f>
        <v>1306026</v>
      </c>
      <c r="I620" s="15" t="str">
        <f>IFERROR(__xludf.DUMMYFUNCTION("""COMPUTED_VALUE"""),"8177336")</f>
        <v>8177336</v>
      </c>
      <c r="J620" s="15" t="str">
        <f>IFERROR(__xludf.DUMMYFUNCTION("""COMPUTED_VALUE"""),"CIF")</f>
        <v>CIF</v>
      </c>
      <c r="K620" s="15" t="str">
        <f>IFERROR(__xludf.DUMMYFUNCTION("""COMPUTED_VALUE"""),"FSA-1")</f>
        <v>FSA-1</v>
      </c>
      <c r="L620" s="15" t="str">
        <f>IFERROR(__xludf.DUMMYFUNCTION("""COMPUTED_VALUE"""),"AUTORIZADO")</f>
        <v>AUTORIZADO</v>
      </c>
      <c r="M620" s="15" t="str">
        <f>IFERROR(__xludf.DUMMYFUNCTION("""COMPUTED_VALUE"""),"NA ORIGEM")</f>
        <v>NA ORIGEM</v>
      </c>
      <c r="N620" s="15" t="str">
        <f>IFERROR(__xludf.DUMMYFUNCTION("""COMPUTED_VALUE"""),"Antes Prazo")</f>
        <v>Antes Prazo</v>
      </c>
      <c r="O620" s="15" t="str">
        <f>IFERROR(__xludf.DUMMYFUNCTION("""COMPUTED_VALUE"""),"B2B")</f>
        <v>B2B</v>
      </c>
      <c r="P620" s="16">
        <f>IFERROR(__xludf.DUMMYFUNCTION("""COMPUTED_VALUE"""),60.93)</f>
        <v>60.93</v>
      </c>
      <c r="Q620" s="15">
        <f>IFERROR(__xludf.DUMMYFUNCTION("""COMPUTED_VALUE"""),1.0)</f>
        <v>1</v>
      </c>
      <c r="R620" s="15" t="str">
        <f>IFERROR(__xludf.DUMMYFUNCTION("""COMPUTED_VALUE"""),"RODO")</f>
        <v>RODO</v>
      </c>
      <c r="S620" s="15" t="str">
        <f>IFERROR(__xludf.DUMMYFUNCTION("""COMPUTED_VALUE"""),"ITN")</f>
        <v>ITN</v>
      </c>
      <c r="T620" s="15" t="str">
        <f>IFERROR(__xludf.DUMMYFUNCTION("""COMPUTED_VALUE"""),"101")</f>
        <v>101</v>
      </c>
      <c r="U620" s="15" t="str">
        <f>IFERROR(__xludf.DUMMYFUNCTION("""COMPUTED_VALUE"""),"266806997 1306026 8177336 unna calcados trifil ccm 101")</f>
        <v>266806997 1306026 8177336 unna calcados trifil ccm 101</v>
      </c>
      <c r="V620" s="15" t="b">
        <f>IFERROR(__xludf.DUMMYFUNCTION("""COMPUTED_VALUE"""),FALSE)</f>
        <v>0</v>
      </c>
    </row>
    <row r="621">
      <c r="A621" s="19">
        <f>IFERROR(__xludf.DUMMYFUNCTION("""COMPUTED_VALUE"""),46304.0)</f>
        <v>46304</v>
      </c>
      <c r="B621" s="19">
        <f>IFERROR(__xludf.DUMMYFUNCTION("""COMPUTED_VALUE"""),46321.0)</f>
        <v>46321</v>
      </c>
      <c r="C621" s="15">
        <f>IFERROR(__xludf.DUMMYFUNCTION("""COMPUTED_VALUE"""),10.0)</f>
        <v>10</v>
      </c>
      <c r="D621" s="15" t="str">
        <f>IFERROR(__xludf.DUMMYFUNCTION("""COMPUTED_VALUE"""),"CCM")</f>
        <v>CCM</v>
      </c>
      <c r="E621" s="15" t="str">
        <f>IFERROR(__xludf.DUMMYFUNCTION("""COMPUTED_VALUE"""),"J A CALCADOS E CONF E POUSADA LTDA ME")</f>
        <v>J A CALCADOS E CONF E POUSADA LTDA ME</v>
      </c>
      <c r="F621" s="15" t="str">
        <f>IFERROR(__xludf.DUMMYFUNCTION("""COMPUTED_VALUE"""),"TRIFIL")</f>
        <v>TRIFIL</v>
      </c>
      <c r="G621" s="15" t="str">
        <f>IFERROR(__xludf.DUMMYFUNCTION("""COMPUTED_VALUE"""),"266806999")</f>
        <v>266806999</v>
      </c>
      <c r="H621" s="15" t="str">
        <f>IFERROR(__xludf.DUMMYFUNCTION("""COMPUTED_VALUE"""),"1306354")</f>
        <v>1306354</v>
      </c>
      <c r="I621" s="15" t="str">
        <f>IFERROR(__xludf.DUMMYFUNCTION("""COMPUTED_VALUE"""),"8177123")</f>
        <v>8177123</v>
      </c>
      <c r="J621" s="15" t="str">
        <f>IFERROR(__xludf.DUMMYFUNCTION("""COMPUTED_VALUE"""),"CIF")</f>
        <v>CIF</v>
      </c>
      <c r="K621" s="15" t="str">
        <f>IFERROR(__xludf.DUMMYFUNCTION("""COMPUTED_VALUE"""),"FSA-1")</f>
        <v>FSA-1</v>
      </c>
      <c r="L621" s="15" t="str">
        <f>IFERROR(__xludf.DUMMYFUNCTION("""COMPUTED_VALUE"""),"AUTORIZADO")</f>
        <v>AUTORIZADO</v>
      </c>
      <c r="M621" s="15" t="str">
        <f>IFERROR(__xludf.DUMMYFUNCTION("""COMPUTED_VALUE"""),"NA ORIGEM")</f>
        <v>NA ORIGEM</v>
      </c>
      <c r="N621" s="15" t="str">
        <f>IFERROR(__xludf.DUMMYFUNCTION("""COMPUTED_VALUE"""),"Antes Prazo")</f>
        <v>Antes Prazo</v>
      </c>
      <c r="O621" s="15" t="str">
        <f>IFERROR(__xludf.DUMMYFUNCTION("""COMPUTED_VALUE"""),"B2B")</f>
        <v>B2B</v>
      </c>
      <c r="P621" s="16">
        <f>IFERROR(__xludf.DUMMYFUNCTION("""COMPUTED_VALUE"""),60.93)</f>
        <v>60.93</v>
      </c>
      <c r="Q621" s="15">
        <f>IFERROR(__xludf.DUMMYFUNCTION("""COMPUTED_VALUE"""),1.0)</f>
        <v>1</v>
      </c>
      <c r="R621" s="15" t="str">
        <f>IFERROR(__xludf.DUMMYFUNCTION("""COMPUTED_VALUE"""),"RODO")</f>
        <v>RODO</v>
      </c>
      <c r="S621" s="15" t="str">
        <f>IFERROR(__xludf.DUMMYFUNCTION("""COMPUTED_VALUE"""),"ITN")</f>
        <v>ITN</v>
      </c>
      <c r="T621" s="15" t="str">
        <f>IFERROR(__xludf.DUMMYFUNCTION("""COMPUTED_VALUE"""),"103")</f>
        <v>103</v>
      </c>
      <c r="U621" s="15" t="str">
        <f>IFERROR(__xludf.DUMMYFUNCTION("""COMPUTED_VALUE"""),"266806999 1306354 8177123 j a calcados e conf e pousada ltda me trifil ccm 103")</f>
        <v>266806999 1306354 8177123 j a calcados e conf e pousada ltda me trifil ccm 103</v>
      </c>
      <c r="V621" s="15" t="b">
        <f>IFERROR(__xludf.DUMMYFUNCTION("""COMPUTED_VALUE"""),FALSE)</f>
        <v>0</v>
      </c>
    </row>
    <row r="622">
      <c r="A622" s="19">
        <f>IFERROR(__xludf.DUMMYFUNCTION("""COMPUTED_VALUE"""),46304.0)</f>
        <v>46304</v>
      </c>
      <c r="B622" s="19">
        <f>IFERROR(__xludf.DUMMYFUNCTION("""COMPUTED_VALUE"""),46322.0)</f>
        <v>46322</v>
      </c>
      <c r="C622" s="15">
        <f>IFERROR(__xludf.DUMMYFUNCTION("""COMPUTED_VALUE"""),11.0)</f>
        <v>11</v>
      </c>
      <c r="D622" s="15" t="str">
        <f>IFERROR(__xludf.DUMMYFUNCTION("""COMPUTED_VALUE"""),"CCM")</f>
        <v>CCM</v>
      </c>
      <c r="E622" s="15" t="str">
        <f>IFERROR(__xludf.DUMMYFUNCTION("""COMPUTED_VALUE"""),"SUPERMERCADO RICKEN")</f>
        <v>SUPERMERCADO RICKEN</v>
      </c>
      <c r="F622" s="15" t="str">
        <f>IFERROR(__xludf.DUMMYFUNCTION("""COMPUTED_VALUE"""),"TRIFIL")</f>
        <v>TRIFIL</v>
      </c>
      <c r="G622" s="15" t="str">
        <f>IFERROR(__xludf.DUMMYFUNCTION("""COMPUTED_VALUE"""),"266807001")</f>
        <v>266807001</v>
      </c>
      <c r="H622" s="15" t="str">
        <f>IFERROR(__xludf.DUMMYFUNCTION("""COMPUTED_VALUE"""),"1305972")</f>
        <v>1305972</v>
      </c>
      <c r="I622" s="15" t="str">
        <f>IFERROR(__xludf.DUMMYFUNCTION("""COMPUTED_VALUE"""),"8177362")</f>
        <v>8177362</v>
      </c>
      <c r="J622" s="15" t="str">
        <f>IFERROR(__xludf.DUMMYFUNCTION("""COMPUTED_VALUE"""),"CIF")</f>
        <v>CIF</v>
      </c>
      <c r="K622" s="15" t="str">
        <f>IFERROR(__xludf.DUMMYFUNCTION("""COMPUTED_VALUE"""),"FSA-1")</f>
        <v>FSA-1</v>
      </c>
      <c r="L622" s="15" t="str">
        <f>IFERROR(__xludf.DUMMYFUNCTION("""COMPUTED_VALUE"""),"AUTORIZADO")</f>
        <v>AUTORIZADO</v>
      </c>
      <c r="M622" s="15" t="str">
        <f>IFERROR(__xludf.DUMMYFUNCTION("""COMPUTED_VALUE"""),"NA ORIGEM")</f>
        <v>NA ORIGEM</v>
      </c>
      <c r="N622" s="15" t="str">
        <f>IFERROR(__xludf.DUMMYFUNCTION("""COMPUTED_VALUE"""),"Antes Prazo")</f>
        <v>Antes Prazo</v>
      </c>
      <c r="O622" s="15" t="str">
        <f>IFERROR(__xludf.DUMMYFUNCTION("""COMPUTED_VALUE"""),"B2B")</f>
        <v>B2B</v>
      </c>
      <c r="P622" s="16">
        <f>IFERROR(__xludf.DUMMYFUNCTION("""COMPUTED_VALUE"""),60.93)</f>
        <v>60.93</v>
      </c>
      <c r="Q622" s="15">
        <f>IFERROR(__xludf.DUMMYFUNCTION("""COMPUTED_VALUE"""),3.0)</f>
        <v>3</v>
      </c>
      <c r="R622" s="15" t="str">
        <f>IFERROR(__xludf.DUMMYFUNCTION("""COMPUTED_VALUE"""),"RODO")</f>
        <v>RODO</v>
      </c>
      <c r="S622" s="15" t="str">
        <f>IFERROR(__xludf.DUMMYFUNCTION("""COMPUTED_VALUE"""),"ITN")</f>
        <v>ITN</v>
      </c>
      <c r="T622" s="15" t="str">
        <f>IFERROR(__xludf.DUMMYFUNCTION("""COMPUTED_VALUE"""),"103")</f>
        <v>103</v>
      </c>
      <c r="U622" s="15" t="str">
        <f>IFERROR(__xludf.DUMMYFUNCTION("""COMPUTED_VALUE"""),"266807001 1305972 8177362 supermercado ricken trifil ccm 103")</f>
        <v>266807001 1305972 8177362 supermercado ricken trifil ccm 103</v>
      </c>
      <c r="V622" s="15" t="b">
        <f>IFERROR(__xludf.DUMMYFUNCTION("""COMPUTED_VALUE"""),FALSE)</f>
        <v>0</v>
      </c>
    </row>
    <row r="623">
      <c r="A623" s="19">
        <f>IFERROR(__xludf.DUMMYFUNCTION("""COMPUTED_VALUE"""),46304.0)</f>
        <v>46304</v>
      </c>
      <c r="B623" s="19">
        <f>IFERROR(__xludf.DUMMYFUNCTION("""COMPUTED_VALUE"""),46322.0)</f>
        <v>46322</v>
      </c>
      <c r="C623" s="15">
        <f>IFERROR(__xludf.DUMMYFUNCTION("""COMPUTED_VALUE"""),11.0)</f>
        <v>11</v>
      </c>
      <c r="D623" s="15" t="str">
        <f>IFERROR(__xludf.DUMMYFUNCTION("""COMPUTED_VALUE"""),"CCM")</f>
        <v>CCM</v>
      </c>
      <c r="E623" s="15" t="str">
        <f>IFERROR(__xludf.DUMMYFUNCTION("""COMPUTED_VALUE"""),"IRACI DA ROCHA TORQUATO ME")</f>
        <v>IRACI DA ROCHA TORQUATO ME</v>
      </c>
      <c r="F623" s="15" t="str">
        <f>IFERROR(__xludf.DUMMYFUNCTION("""COMPUTED_VALUE"""),"TRIFIL")</f>
        <v>TRIFIL</v>
      </c>
      <c r="G623" s="15" t="str">
        <f>IFERROR(__xludf.DUMMYFUNCTION("""COMPUTED_VALUE"""),"266807002")</f>
        <v>266807002</v>
      </c>
      <c r="H623" s="15" t="str">
        <f>IFERROR(__xludf.DUMMYFUNCTION("""COMPUTED_VALUE"""),"1305897")</f>
        <v>1305897</v>
      </c>
      <c r="I623" s="15" t="str">
        <f>IFERROR(__xludf.DUMMYFUNCTION("""COMPUTED_VALUE"""),"8177277")</f>
        <v>8177277</v>
      </c>
      <c r="J623" s="15" t="str">
        <f>IFERROR(__xludf.DUMMYFUNCTION("""COMPUTED_VALUE"""),"CIF")</f>
        <v>CIF</v>
      </c>
      <c r="K623" s="15" t="str">
        <f>IFERROR(__xludf.DUMMYFUNCTION("""COMPUTED_VALUE"""),"FSA-1")</f>
        <v>FSA-1</v>
      </c>
      <c r="L623" s="15" t="str">
        <f>IFERROR(__xludf.DUMMYFUNCTION("""COMPUTED_VALUE"""),"AUTORIZADO")</f>
        <v>AUTORIZADO</v>
      </c>
      <c r="M623" s="15" t="str">
        <f>IFERROR(__xludf.DUMMYFUNCTION("""COMPUTED_VALUE"""),"NA ORIGEM")</f>
        <v>NA ORIGEM</v>
      </c>
      <c r="N623" s="15" t="str">
        <f>IFERROR(__xludf.DUMMYFUNCTION("""COMPUTED_VALUE"""),"Antes Prazo")</f>
        <v>Antes Prazo</v>
      </c>
      <c r="O623" s="15" t="str">
        <f>IFERROR(__xludf.DUMMYFUNCTION("""COMPUTED_VALUE"""),"B2B")</f>
        <v>B2B</v>
      </c>
      <c r="P623" s="16">
        <f>IFERROR(__xludf.DUMMYFUNCTION("""COMPUTED_VALUE"""),60.93)</f>
        <v>60.93</v>
      </c>
      <c r="Q623" s="15">
        <f>IFERROR(__xludf.DUMMYFUNCTION("""COMPUTED_VALUE"""),1.0)</f>
        <v>1</v>
      </c>
      <c r="R623" s="15" t="str">
        <f>IFERROR(__xludf.DUMMYFUNCTION("""COMPUTED_VALUE"""),"RODO")</f>
        <v>RODO</v>
      </c>
      <c r="S623" s="15" t="str">
        <f>IFERROR(__xludf.DUMMYFUNCTION("""COMPUTED_VALUE"""),"ITN")</f>
        <v>ITN</v>
      </c>
      <c r="T623" s="15" t="str">
        <f>IFERROR(__xludf.DUMMYFUNCTION("""COMPUTED_VALUE"""),"105")</f>
        <v>105</v>
      </c>
      <c r="U623" s="15" t="str">
        <f>IFERROR(__xludf.DUMMYFUNCTION("""COMPUTED_VALUE"""),"266807002 1305897 8177277 iraci da rocha torquato me trifil ccm 105")</f>
        <v>266807002 1305897 8177277 iraci da rocha torquato me trifil ccm 105</v>
      </c>
      <c r="V623" s="15" t="b">
        <f>IFERROR(__xludf.DUMMYFUNCTION("""COMPUTED_VALUE"""),FALSE)</f>
        <v>0</v>
      </c>
    </row>
    <row r="624">
      <c r="A624" s="19">
        <f>IFERROR(__xludf.DUMMYFUNCTION("""COMPUTED_VALUE"""),46304.0)</f>
        <v>46304</v>
      </c>
      <c r="B624" s="19">
        <f>IFERROR(__xludf.DUMMYFUNCTION("""COMPUTED_VALUE"""),46318.0)</f>
        <v>46318</v>
      </c>
      <c r="C624" s="15">
        <f>IFERROR(__xludf.DUMMYFUNCTION("""COMPUTED_VALUE"""),9.0)</f>
        <v>9</v>
      </c>
      <c r="D624" s="15" t="str">
        <f>IFERROR(__xludf.DUMMYFUNCTION("""COMPUTED_VALUE"""),"CCM")</f>
        <v>CCM</v>
      </c>
      <c r="E624" s="15" t="str">
        <f>IFERROR(__xludf.DUMMYFUNCTION("""COMPUTED_VALUE"""),"URBAN LOJA DA MODA LTDA")</f>
        <v>URBAN LOJA DA MODA LTDA</v>
      </c>
      <c r="F624" s="15" t="str">
        <f>IFERROR(__xludf.DUMMYFUNCTION("""COMPUTED_VALUE"""),"TRIFIL")</f>
        <v>TRIFIL</v>
      </c>
      <c r="G624" s="15" t="str">
        <f>IFERROR(__xludf.DUMMYFUNCTION("""COMPUTED_VALUE"""),"266807003")</f>
        <v>266807003</v>
      </c>
      <c r="H624" s="15" t="str">
        <f>IFERROR(__xludf.DUMMYFUNCTION("""COMPUTED_VALUE"""),"1305762")</f>
        <v>1305762</v>
      </c>
      <c r="I624" s="15" t="str">
        <f>IFERROR(__xludf.DUMMYFUNCTION("""COMPUTED_VALUE"""),"8177309")</f>
        <v>8177309</v>
      </c>
      <c r="J624" s="15" t="str">
        <f>IFERROR(__xludf.DUMMYFUNCTION("""COMPUTED_VALUE"""),"CIF")</f>
        <v>CIF</v>
      </c>
      <c r="K624" s="15" t="str">
        <f>IFERROR(__xludf.DUMMYFUNCTION("""COMPUTED_VALUE"""),"FSA-1")</f>
        <v>FSA-1</v>
      </c>
      <c r="L624" s="15" t="str">
        <f>IFERROR(__xludf.DUMMYFUNCTION("""COMPUTED_VALUE"""),"AUTORIZADO")</f>
        <v>AUTORIZADO</v>
      </c>
      <c r="M624" s="15" t="str">
        <f>IFERROR(__xludf.DUMMYFUNCTION("""COMPUTED_VALUE"""),"NA ORIGEM")</f>
        <v>NA ORIGEM</v>
      </c>
      <c r="N624" s="15" t="str">
        <f>IFERROR(__xludf.DUMMYFUNCTION("""COMPUTED_VALUE"""),"Antes Prazo")</f>
        <v>Antes Prazo</v>
      </c>
      <c r="O624" s="15" t="str">
        <f>IFERROR(__xludf.DUMMYFUNCTION("""COMPUTED_VALUE"""),"B2B")</f>
        <v>B2B</v>
      </c>
      <c r="P624" s="16">
        <f>IFERROR(__xludf.DUMMYFUNCTION("""COMPUTED_VALUE"""),54.19)</f>
        <v>54.19</v>
      </c>
      <c r="Q624" s="15">
        <f>IFERROR(__xludf.DUMMYFUNCTION("""COMPUTED_VALUE"""),1.0)</f>
        <v>1</v>
      </c>
      <c r="R624" s="15" t="str">
        <f>IFERROR(__xludf.DUMMYFUNCTION("""COMPUTED_VALUE"""),"RODO")</f>
        <v>RODO</v>
      </c>
      <c r="S624" s="15" t="str">
        <f>IFERROR(__xludf.DUMMYFUNCTION("""COMPUTED_VALUE"""),"ITN")</f>
        <v>ITN</v>
      </c>
      <c r="T624" s="15" t="str">
        <f>IFERROR(__xludf.DUMMYFUNCTION("""COMPUTED_VALUE"""),"1")</f>
        <v>1</v>
      </c>
      <c r="U624" s="15" t="str">
        <f>IFERROR(__xludf.DUMMYFUNCTION("""COMPUTED_VALUE"""),"266807003 1305762 8177309 urban loja da moda ltda trifil ccm 1")</f>
        <v>266807003 1305762 8177309 urban loja da moda ltda trifil ccm 1</v>
      </c>
      <c r="V624" s="15" t="b">
        <f>IFERROR(__xludf.DUMMYFUNCTION("""COMPUTED_VALUE"""),FALSE)</f>
        <v>0</v>
      </c>
    </row>
    <row r="625">
      <c r="A625" s="19">
        <f>IFERROR(__xludf.DUMMYFUNCTION("""COMPUTED_VALUE"""),46304.0)</f>
        <v>46304</v>
      </c>
      <c r="B625" s="19">
        <f>IFERROR(__xludf.DUMMYFUNCTION("""COMPUTED_VALUE"""),46318.0)</f>
        <v>46318</v>
      </c>
      <c r="C625" s="15">
        <f>IFERROR(__xludf.DUMMYFUNCTION("""COMPUTED_VALUE"""),9.0)</f>
        <v>9</v>
      </c>
      <c r="D625" s="15" t="str">
        <f>IFERROR(__xludf.DUMMYFUNCTION("""COMPUTED_VALUE"""),"CCM")</f>
        <v>CCM</v>
      </c>
      <c r="E625" s="15" t="str">
        <f>IFERROR(__xludf.DUMMYFUNCTION("""COMPUTED_VALUE"""),"MARCOS MODAS LTDA ME")</f>
        <v>MARCOS MODAS LTDA ME</v>
      </c>
      <c r="F625" s="15" t="str">
        <f>IFERROR(__xludf.DUMMYFUNCTION("""COMPUTED_VALUE"""),"TRIFIL")</f>
        <v>TRIFIL</v>
      </c>
      <c r="G625" s="15" t="str">
        <f>IFERROR(__xludf.DUMMYFUNCTION("""COMPUTED_VALUE"""),"266807004")</f>
        <v>266807004</v>
      </c>
      <c r="H625" s="15" t="str">
        <f>IFERROR(__xludf.DUMMYFUNCTION("""COMPUTED_VALUE"""),"1306253")</f>
        <v>1306253</v>
      </c>
      <c r="I625" s="15" t="str">
        <f>IFERROR(__xludf.DUMMYFUNCTION("""COMPUTED_VALUE"""),"8177175")</f>
        <v>8177175</v>
      </c>
      <c r="J625" s="15" t="str">
        <f>IFERROR(__xludf.DUMMYFUNCTION("""COMPUTED_VALUE"""),"CIF")</f>
        <v>CIF</v>
      </c>
      <c r="K625" s="15" t="str">
        <f>IFERROR(__xludf.DUMMYFUNCTION("""COMPUTED_VALUE"""),"FSA-1")</f>
        <v>FSA-1</v>
      </c>
      <c r="L625" s="15" t="str">
        <f>IFERROR(__xludf.DUMMYFUNCTION("""COMPUTED_VALUE"""),"AUTORIZADO")</f>
        <v>AUTORIZADO</v>
      </c>
      <c r="M625" s="15" t="str">
        <f>IFERROR(__xludf.DUMMYFUNCTION("""COMPUTED_VALUE"""),"NA ORIGEM")</f>
        <v>NA ORIGEM</v>
      </c>
      <c r="N625" s="15" t="str">
        <f>IFERROR(__xludf.DUMMYFUNCTION("""COMPUTED_VALUE"""),"Antes Prazo")</f>
        <v>Antes Prazo</v>
      </c>
      <c r="O625" s="15" t="str">
        <f>IFERROR(__xludf.DUMMYFUNCTION("""COMPUTED_VALUE"""),"B2B")</f>
        <v>B2B</v>
      </c>
      <c r="P625" s="16">
        <f>IFERROR(__xludf.DUMMYFUNCTION("""COMPUTED_VALUE"""),60.93)</f>
        <v>60.93</v>
      </c>
      <c r="Q625" s="15">
        <f>IFERROR(__xludf.DUMMYFUNCTION("""COMPUTED_VALUE"""),1.0)</f>
        <v>1</v>
      </c>
      <c r="R625" s="15" t="str">
        <f>IFERROR(__xludf.DUMMYFUNCTION("""COMPUTED_VALUE"""),"RODO")</f>
        <v>RODO</v>
      </c>
      <c r="S625" s="15" t="str">
        <f>IFERROR(__xludf.DUMMYFUNCTION("""COMPUTED_VALUE"""),"ITN")</f>
        <v>ITN</v>
      </c>
      <c r="T625" s="15" t="str">
        <f>IFERROR(__xludf.DUMMYFUNCTION("""COMPUTED_VALUE"""),"105")</f>
        <v>105</v>
      </c>
      <c r="U625" s="15" t="str">
        <f>IFERROR(__xludf.DUMMYFUNCTION("""COMPUTED_VALUE"""),"266807004 1306253 8177175 marcos modas ltda me trifil ccm 105")</f>
        <v>266807004 1306253 8177175 marcos modas ltda me trifil ccm 105</v>
      </c>
      <c r="V625" s="15" t="b">
        <f>IFERROR(__xludf.DUMMYFUNCTION("""COMPUTED_VALUE"""),FALSE)</f>
        <v>0</v>
      </c>
    </row>
    <row r="626">
      <c r="A626" s="19">
        <f>IFERROR(__xludf.DUMMYFUNCTION("""COMPUTED_VALUE"""),46304.0)</f>
        <v>46304</v>
      </c>
      <c r="B626" s="19">
        <f>IFERROR(__xludf.DUMMYFUNCTION("""COMPUTED_VALUE"""),46317.0)</f>
        <v>46317</v>
      </c>
      <c r="C626" s="15">
        <f>IFERROR(__xludf.DUMMYFUNCTION("""COMPUTED_VALUE"""),8.0)</f>
        <v>8</v>
      </c>
      <c r="D626" s="15" t="str">
        <f>IFERROR(__xludf.DUMMYFUNCTION("""COMPUTED_VALUE"""),"RDS")</f>
        <v>RDS</v>
      </c>
      <c r="E626" s="15" t="str">
        <f>IFERROR(__xludf.DUMMYFUNCTION("""COMPUTED_VALUE"""),"ESPAÇO FASHION")</f>
        <v>ESPAÇO FASHION</v>
      </c>
      <c r="F626" s="15" t="str">
        <f>IFERROR(__xludf.DUMMYFUNCTION("""COMPUTED_VALUE"""),"TRIFIL")</f>
        <v>TRIFIL</v>
      </c>
      <c r="G626" s="15" t="str">
        <f>IFERROR(__xludf.DUMMYFUNCTION("""COMPUTED_VALUE"""),"266807005")</f>
        <v>266807005</v>
      </c>
      <c r="H626" s="15" t="str">
        <f>IFERROR(__xludf.DUMMYFUNCTION("""COMPUTED_VALUE"""),"1306151, 1306156")</f>
        <v>1306151, 1306156</v>
      </c>
      <c r="I626" s="15" t="str">
        <f>IFERROR(__xludf.DUMMYFUNCTION("""COMPUTED_VALUE"""),"8177278")</f>
        <v>8177278</v>
      </c>
      <c r="J626" s="15" t="str">
        <f>IFERROR(__xludf.DUMMYFUNCTION("""COMPUTED_VALUE"""),"CIF")</f>
        <v>CIF</v>
      </c>
      <c r="K626" s="15" t="str">
        <f>IFERROR(__xludf.DUMMYFUNCTION("""COMPUTED_VALUE"""),"FSA-1")</f>
        <v>FSA-1</v>
      </c>
      <c r="L626" s="15" t="str">
        <f>IFERROR(__xludf.DUMMYFUNCTION("""COMPUTED_VALUE"""),"AUTORIZADO")</f>
        <v>AUTORIZADO</v>
      </c>
      <c r="M626" s="15" t="str">
        <f>IFERROR(__xludf.DUMMYFUNCTION("""COMPUTED_VALUE"""),"NA ORIGEM")</f>
        <v>NA ORIGEM</v>
      </c>
      <c r="N626" s="15" t="str">
        <f>IFERROR(__xludf.DUMMYFUNCTION("""COMPUTED_VALUE"""),"Antes Prazo")</f>
        <v>Antes Prazo</v>
      </c>
      <c r="O626" s="15" t="str">
        <f>IFERROR(__xludf.DUMMYFUNCTION("""COMPUTED_VALUE"""),"B2B")</f>
        <v>B2B</v>
      </c>
      <c r="P626" s="16">
        <f>IFERROR(__xludf.DUMMYFUNCTION("""COMPUTED_VALUE"""),60.93)</f>
        <v>60.93</v>
      </c>
      <c r="Q626" s="15">
        <f>IFERROR(__xludf.DUMMYFUNCTION("""COMPUTED_VALUE"""),2.0)</f>
        <v>2</v>
      </c>
      <c r="R626" s="15" t="str">
        <f>IFERROR(__xludf.DUMMYFUNCTION("""COMPUTED_VALUE"""),"RODO")</f>
        <v>RODO</v>
      </c>
      <c r="S626" s="15" t="str">
        <f>IFERROR(__xludf.DUMMYFUNCTION("""COMPUTED_VALUE"""),"ITN")</f>
        <v>ITN</v>
      </c>
      <c r="T626" s="15" t="str">
        <f>IFERROR(__xludf.DUMMYFUNCTION("""COMPUTED_VALUE"""),"103")</f>
        <v>103</v>
      </c>
      <c r="U626" s="15" t="str">
        <f>IFERROR(__xludf.DUMMYFUNCTION("""COMPUTED_VALUE"""),"266807005 1306151, 1306156 8177278 espaço fashion trifil rds 103")</f>
        <v>266807005 1306151, 1306156 8177278 espaço fashion trifil rds 103</v>
      </c>
      <c r="V626" s="15" t="b">
        <f>IFERROR(__xludf.DUMMYFUNCTION("""COMPUTED_VALUE"""),FALSE)</f>
        <v>0</v>
      </c>
    </row>
    <row r="627">
      <c r="A627" s="19">
        <f>IFERROR(__xludf.DUMMYFUNCTION("""COMPUTED_VALUE"""),46304.0)</f>
        <v>46304</v>
      </c>
      <c r="B627" s="19">
        <f>IFERROR(__xludf.DUMMYFUNCTION("""COMPUTED_VALUE"""),46318.0)</f>
        <v>46318</v>
      </c>
      <c r="C627" s="15">
        <f>IFERROR(__xludf.DUMMYFUNCTION("""COMPUTED_VALUE"""),9.0)</f>
        <v>9</v>
      </c>
      <c r="D627" s="15" t="str">
        <f>IFERROR(__xludf.DUMMYFUNCTION("""COMPUTED_VALUE"""),"XAP")</f>
        <v>XAP</v>
      </c>
      <c r="E627" s="15" t="str">
        <f>IFERROR(__xludf.DUMMYFUNCTION("""COMPUTED_VALUE"""),"JANETE TEREZINHA BARP DEBORTOLLI")</f>
        <v>JANETE TEREZINHA BARP DEBORTOLLI</v>
      </c>
      <c r="F627" s="15" t="str">
        <f>IFERROR(__xludf.DUMMYFUNCTION("""COMPUTED_VALUE"""),"TRIFIL")</f>
        <v>TRIFIL</v>
      </c>
      <c r="G627" s="15" t="str">
        <f>IFERROR(__xludf.DUMMYFUNCTION("""COMPUTED_VALUE"""),"266807006")</f>
        <v>266807006</v>
      </c>
      <c r="H627" s="15" t="str">
        <f>IFERROR(__xludf.DUMMYFUNCTION("""COMPUTED_VALUE"""),"1305601")</f>
        <v>1305601</v>
      </c>
      <c r="I627" s="15" t="str">
        <f>IFERROR(__xludf.DUMMYFUNCTION("""COMPUTED_VALUE"""),"8177310")</f>
        <v>8177310</v>
      </c>
      <c r="J627" s="15" t="str">
        <f>IFERROR(__xludf.DUMMYFUNCTION("""COMPUTED_VALUE"""),"CIF")</f>
        <v>CIF</v>
      </c>
      <c r="K627" s="15" t="str">
        <f>IFERROR(__xludf.DUMMYFUNCTION("""COMPUTED_VALUE"""),"FSA-1")</f>
        <v>FSA-1</v>
      </c>
      <c r="L627" s="15" t="str">
        <f>IFERROR(__xludf.DUMMYFUNCTION("""COMPUTED_VALUE"""),"AUTORIZADO")</f>
        <v>AUTORIZADO</v>
      </c>
      <c r="M627" s="15" t="str">
        <f>IFERROR(__xludf.DUMMYFUNCTION("""COMPUTED_VALUE"""),"NA ORIGEM")</f>
        <v>NA ORIGEM</v>
      </c>
      <c r="N627" s="15" t="str">
        <f>IFERROR(__xludf.DUMMYFUNCTION("""COMPUTED_VALUE"""),"Antes Prazo")</f>
        <v>Antes Prazo</v>
      </c>
      <c r="O627" s="15" t="str">
        <f>IFERROR(__xludf.DUMMYFUNCTION("""COMPUTED_VALUE"""),"B2B")</f>
        <v>B2B</v>
      </c>
      <c r="P627" s="16">
        <f>IFERROR(__xludf.DUMMYFUNCTION("""COMPUTED_VALUE"""),60.93)</f>
        <v>60.93</v>
      </c>
      <c r="Q627" s="15">
        <f>IFERROR(__xludf.DUMMYFUNCTION("""COMPUTED_VALUE"""),3.0)</f>
        <v>3</v>
      </c>
      <c r="R627" s="15" t="str">
        <f>IFERROR(__xludf.DUMMYFUNCTION("""COMPUTED_VALUE"""),"RODO")</f>
        <v>RODO</v>
      </c>
      <c r="S627" s="15" t="str">
        <f>IFERROR(__xludf.DUMMYFUNCTION("""COMPUTED_VALUE"""),"ITN")</f>
        <v>ITN</v>
      </c>
      <c r="T627" s="15" t="str">
        <f>IFERROR(__xludf.DUMMYFUNCTION("""COMPUTED_VALUE"""),"103")</f>
        <v>103</v>
      </c>
      <c r="U627" s="15" t="str">
        <f>IFERROR(__xludf.DUMMYFUNCTION("""COMPUTED_VALUE"""),"266807006 1305601 8177310 janete terezinha barp debortolli trifil xap 103")</f>
        <v>266807006 1305601 8177310 janete terezinha barp debortolli trifil xap 103</v>
      </c>
      <c r="V627" s="15" t="b">
        <f>IFERROR(__xludf.DUMMYFUNCTION("""COMPUTED_VALUE"""),FALSE)</f>
        <v>0</v>
      </c>
    </row>
    <row r="628">
      <c r="A628" s="19">
        <f>IFERROR(__xludf.DUMMYFUNCTION("""COMPUTED_VALUE"""),46304.0)</f>
        <v>46304</v>
      </c>
      <c r="B628" s="19">
        <f>IFERROR(__xludf.DUMMYFUNCTION("""COMPUTED_VALUE"""),46318.0)</f>
        <v>46318</v>
      </c>
      <c r="C628" s="15">
        <f>IFERROR(__xludf.DUMMYFUNCTION("""COMPUTED_VALUE"""),9.0)</f>
        <v>9</v>
      </c>
      <c r="D628" s="15" t="str">
        <f>IFERROR(__xludf.DUMMYFUNCTION("""COMPUTED_VALUE"""),"SJA")</f>
        <v>SJA</v>
      </c>
      <c r="E628" s="15" t="str">
        <f>IFERROR(__xludf.DUMMYFUNCTION("""COMPUTED_VALUE"""),"JOSIANE MUNARETTO 03497477923")</f>
        <v>JOSIANE MUNARETTO 03497477923</v>
      </c>
      <c r="F628" s="15" t="str">
        <f>IFERROR(__xludf.DUMMYFUNCTION("""COMPUTED_VALUE"""),"TRIFIL")</f>
        <v>TRIFIL</v>
      </c>
      <c r="G628" s="15" t="str">
        <f>IFERROR(__xludf.DUMMYFUNCTION("""COMPUTED_VALUE"""),"266807007")</f>
        <v>266807007</v>
      </c>
      <c r="H628" s="15" t="str">
        <f>IFERROR(__xludf.DUMMYFUNCTION("""COMPUTED_VALUE"""),"1305937")</f>
        <v>1305937</v>
      </c>
      <c r="I628" s="15" t="str">
        <f>IFERROR(__xludf.DUMMYFUNCTION("""COMPUTED_VALUE"""),"8177279")</f>
        <v>8177279</v>
      </c>
      <c r="J628" s="15" t="str">
        <f>IFERROR(__xludf.DUMMYFUNCTION("""COMPUTED_VALUE"""),"CIF")</f>
        <v>CIF</v>
      </c>
      <c r="K628" s="15" t="str">
        <f>IFERROR(__xludf.DUMMYFUNCTION("""COMPUTED_VALUE"""),"FSA-1")</f>
        <v>FSA-1</v>
      </c>
      <c r="L628" s="15" t="str">
        <f>IFERROR(__xludf.DUMMYFUNCTION("""COMPUTED_VALUE"""),"AUTORIZADO")</f>
        <v>AUTORIZADO</v>
      </c>
      <c r="M628" s="15" t="str">
        <f>IFERROR(__xludf.DUMMYFUNCTION("""COMPUTED_VALUE"""),"NA ORIGEM")</f>
        <v>NA ORIGEM</v>
      </c>
      <c r="N628" s="15" t="str">
        <f>IFERROR(__xludf.DUMMYFUNCTION("""COMPUTED_VALUE"""),"Antes Prazo")</f>
        <v>Antes Prazo</v>
      </c>
      <c r="O628" s="15" t="str">
        <f>IFERROR(__xludf.DUMMYFUNCTION("""COMPUTED_VALUE"""),"B2B")</f>
        <v>B2B</v>
      </c>
      <c r="P628" s="16">
        <f>IFERROR(__xludf.DUMMYFUNCTION("""COMPUTED_VALUE"""),60.93)</f>
        <v>60.93</v>
      </c>
      <c r="Q628" s="15">
        <f>IFERROR(__xludf.DUMMYFUNCTION("""COMPUTED_VALUE"""),1.0)</f>
        <v>1</v>
      </c>
      <c r="R628" s="15" t="str">
        <f>IFERROR(__xludf.DUMMYFUNCTION("""COMPUTED_VALUE"""),"RODO")</f>
        <v>RODO</v>
      </c>
      <c r="S628" s="15" t="str">
        <f>IFERROR(__xludf.DUMMYFUNCTION("""COMPUTED_VALUE"""),"ITN")</f>
        <v>ITN</v>
      </c>
      <c r="T628" s="15" t="str">
        <f>IFERROR(__xludf.DUMMYFUNCTION("""COMPUTED_VALUE"""),"2")</f>
        <v>2</v>
      </c>
      <c r="U628" s="15" t="str">
        <f>IFERROR(__xludf.DUMMYFUNCTION("""COMPUTED_VALUE"""),"266807007 1305937 8177279 josiane munaretto 03497477923 trifil sja 2")</f>
        <v>266807007 1305937 8177279 josiane munaretto 03497477923 trifil sja 2</v>
      </c>
      <c r="V628" s="15" t="b">
        <f>IFERROR(__xludf.DUMMYFUNCTION("""COMPUTED_VALUE"""),FALSE)</f>
        <v>0</v>
      </c>
    </row>
    <row r="629">
      <c r="A629" s="19">
        <f>IFERROR(__xludf.DUMMYFUNCTION("""COMPUTED_VALUE"""),46304.0)</f>
        <v>46304</v>
      </c>
      <c r="B629" s="19">
        <f>IFERROR(__xludf.DUMMYFUNCTION("""COMPUTED_VALUE"""),46318.0)</f>
        <v>46318</v>
      </c>
      <c r="C629" s="15">
        <f>IFERROR(__xludf.DUMMYFUNCTION("""COMPUTED_VALUE"""),9.0)</f>
        <v>9</v>
      </c>
      <c r="D629" s="15" t="str">
        <f>IFERROR(__xludf.DUMMYFUNCTION("""COMPUTED_VALUE"""),"XAP")</f>
        <v>XAP</v>
      </c>
      <c r="E629" s="15" t="str">
        <f>IFERROR(__xludf.DUMMYFUNCTION("""COMPUTED_VALUE"""),"MEL COM DE CALCADOS")</f>
        <v>MEL COM DE CALCADOS</v>
      </c>
      <c r="F629" s="15" t="str">
        <f>IFERROR(__xludf.DUMMYFUNCTION("""COMPUTED_VALUE"""),"TRIFIL")</f>
        <v>TRIFIL</v>
      </c>
      <c r="G629" s="15" t="str">
        <f>IFERROR(__xludf.DUMMYFUNCTION("""COMPUTED_VALUE"""),"266807008")</f>
        <v>266807008</v>
      </c>
      <c r="H629" s="15" t="str">
        <f>IFERROR(__xludf.DUMMYFUNCTION("""COMPUTED_VALUE"""),"1306170")</f>
        <v>1306170</v>
      </c>
      <c r="I629" s="15" t="str">
        <f>IFERROR(__xludf.DUMMYFUNCTION("""COMPUTED_VALUE"""),"8177176")</f>
        <v>8177176</v>
      </c>
      <c r="J629" s="15" t="str">
        <f>IFERROR(__xludf.DUMMYFUNCTION("""COMPUTED_VALUE"""),"CIF")</f>
        <v>CIF</v>
      </c>
      <c r="K629" s="15" t="str">
        <f>IFERROR(__xludf.DUMMYFUNCTION("""COMPUTED_VALUE"""),"FSA-1")</f>
        <v>FSA-1</v>
      </c>
      <c r="L629" s="15" t="str">
        <f>IFERROR(__xludf.DUMMYFUNCTION("""COMPUTED_VALUE"""),"AUTORIZADO")</f>
        <v>AUTORIZADO</v>
      </c>
      <c r="M629" s="15" t="str">
        <f>IFERROR(__xludf.DUMMYFUNCTION("""COMPUTED_VALUE"""),"NA ORIGEM")</f>
        <v>NA ORIGEM</v>
      </c>
      <c r="N629" s="15" t="str">
        <f>IFERROR(__xludf.DUMMYFUNCTION("""COMPUTED_VALUE"""),"Antes Prazo")</f>
        <v>Antes Prazo</v>
      </c>
      <c r="O629" s="15" t="str">
        <f>IFERROR(__xludf.DUMMYFUNCTION("""COMPUTED_VALUE"""),"B2B")</f>
        <v>B2B</v>
      </c>
      <c r="P629" s="16">
        <f>IFERROR(__xludf.DUMMYFUNCTION("""COMPUTED_VALUE"""),60.93)</f>
        <v>60.93</v>
      </c>
      <c r="Q629" s="15">
        <f>IFERROR(__xludf.DUMMYFUNCTION("""COMPUTED_VALUE"""),1.0)</f>
        <v>1</v>
      </c>
      <c r="R629" s="15" t="str">
        <f>IFERROR(__xludf.DUMMYFUNCTION("""COMPUTED_VALUE"""),"RODO")</f>
        <v>RODO</v>
      </c>
      <c r="S629" s="15" t="str">
        <f>IFERROR(__xludf.DUMMYFUNCTION("""COMPUTED_VALUE"""),"ITN")</f>
        <v>ITN</v>
      </c>
      <c r="T629" s="15" t="str">
        <f>IFERROR(__xludf.DUMMYFUNCTION("""COMPUTED_VALUE"""),"103")</f>
        <v>103</v>
      </c>
      <c r="U629" s="15" t="str">
        <f>IFERROR(__xludf.DUMMYFUNCTION("""COMPUTED_VALUE"""),"266807008 1306170 8177176 mel com de calcados trifil xap 103")</f>
        <v>266807008 1306170 8177176 mel com de calcados trifil xap 103</v>
      </c>
      <c r="V629" s="15" t="b">
        <f>IFERROR(__xludf.DUMMYFUNCTION("""COMPUTED_VALUE"""),FALSE)</f>
        <v>0</v>
      </c>
    </row>
    <row r="630">
      <c r="A630" s="19">
        <f>IFERROR(__xludf.DUMMYFUNCTION("""COMPUTED_VALUE"""),46304.0)</f>
        <v>46304</v>
      </c>
      <c r="B630" s="19">
        <f>IFERROR(__xludf.DUMMYFUNCTION("""COMPUTED_VALUE"""),46317.0)</f>
        <v>46317</v>
      </c>
      <c r="C630" s="15">
        <f>IFERROR(__xludf.DUMMYFUNCTION("""COMPUTED_VALUE"""),8.0)</f>
        <v>8</v>
      </c>
      <c r="D630" s="15" t="str">
        <f>IFERROR(__xludf.DUMMYFUNCTION("""COMPUTED_VALUE"""),"POA")</f>
        <v>POA</v>
      </c>
      <c r="E630" s="15" t="str">
        <f>IFERROR(__xludf.DUMMYFUNCTION("""COMPUTED_VALUE"""),"STÚDIO BÁSICO")</f>
        <v>STÚDIO BÁSICO</v>
      </c>
      <c r="F630" s="15" t="str">
        <f>IFERROR(__xludf.DUMMYFUNCTION("""COMPUTED_VALUE"""),"TRIFIL")</f>
        <v>TRIFIL</v>
      </c>
      <c r="G630" s="15" t="str">
        <f>IFERROR(__xludf.DUMMYFUNCTION("""COMPUTED_VALUE"""),"266807009")</f>
        <v>266807009</v>
      </c>
      <c r="H630" s="15" t="str">
        <f>IFERROR(__xludf.DUMMYFUNCTION("""COMPUTED_VALUE"""),"1306152")</f>
        <v>1306152</v>
      </c>
      <c r="I630" s="15" t="str">
        <f>IFERROR(__xludf.DUMMYFUNCTION("""COMPUTED_VALUE"""),"8177311")</f>
        <v>8177311</v>
      </c>
      <c r="J630" s="15" t="str">
        <f>IFERROR(__xludf.DUMMYFUNCTION("""COMPUTED_VALUE"""),"CIF")</f>
        <v>CIF</v>
      </c>
      <c r="K630" s="15" t="str">
        <f>IFERROR(__xludf.DUMMYFUNCTION("""COMPUTED_VALUE"""),"FSA-1")</f>
        <v>FSA-1</v>
      </c>
      <c r="L630" s="15" t="str">
        <f>IFERROR(__xludf.DUMMYFUNCTION("""COMPUTED_VALUE"""),"AUTORIZADO")</f>
        <v>AUTORIZADO</v>
      </c>
      <c r="M630" s="15" t="str">
        <f>IFERROR(__xludf.DUMMYFUNCTION("""COMPUTED_VALUE"""),"NA ORIGEM")</f>
        <v>NA ORIGEM</v>
      </c>
      <c r="N630" s="15" t="str">
        <f>IFERROR(__xludf.DUMMYFUNCTION("""COMPUTED_VALUE"""),"Antes Prazo")</f>
        <v>Antes Prazo</v>
      </c>
      <c r="O630" s="15" t="str">
        <f>IFERROR(__xludf.DUMMYFUNCTION("""COMPUTED_VALUE"""),"B2B")</f>
        <v>B2B</v>
      </c>
      <c r="P630" s="16">
        <f>IFERROR(__xludf.DUMMYFUNCTION("""COMPUTED_VALUE"""),60.04)</f>
        <v>60.04</v>
      </c>
      <c r="Q630" s="15">
        <f>IFERROR(__xludf.DUMMYFUNCTION("""COMPUTED_VALUE"""),1.0)</f>
        <v>1</v>
      </c>
      <c r="R630" s="15" t="str">
        <f>IFERROR(__xludf.DUMMYFUNCTION("""COMPUTED_VALUE"""),"RODO")</f>
        <v>RODO</v>
      </c>
      <c r="S630" s="15" t="str">
        <f>IFERROR(__xludf.DUMMYFUNCTION("""COMPUTED_VALUE"""),"ITN")</f>
        <v>ITN</v>
      </c>
      <c r="T630" s="15" t="str">
        <f>IFERROR(__xludf.DUMMYFUNCTION("""COMPUTED_VALUE"""),"7")</f>
        <v>7</v>
      </c>
      <c r="U630" s="15" t="str">
        <f>IFERROR(__xludf.DUMMYFUNCTION("""COMPUTED_VALUE"""),"266807009 1306152 8177311 stúdio básico trifil poa 7")</f>
        <v>266807009 1306152 8177311 stúdio básico trifil poa 7</v>
      </c>
      <c r="V630" s="15" t="b">
        <f>IFERROR(__xludf.DUMMYFUNCTION("""COMPUTED_VALUE"""),FALSE)</f>
        <v>0</v>
      </c>
    </row>
    <row r="631">
      <c r="A631" s="19">
        <f>IFERROR(__xludf.DUMMYFUNCTION("""COMPUTED_VALUE"""),46304.0)</f>
        <v>46304</v>
      </c>
      <c r="B631" s="19">
        <f>IFERROR(__xludf.DUMMYFUNCTION("""COMPUTED_VALUE"""),46317.0)</f>
        <v>46317</v>
      </c>
      <c r="C631" s="15">
        <f>IFERROR(__xludf.DUMMYFUNCTION("""COMPUTED_VALUE"""),8.0)</f>
        <v>8</v>
      </c>
      <c r="D631" s="15" t="str">
        <f>IFERROR(__xludf.DUMMYFUNCTION("""COMPUTED_VALUE"""),"POA")</f>
        <v>POA</v>
      </c>
      <c r="E631" s="15" t="str">
        <f>IFERROR(__xludf.DUMMYFUNCTION("""COMPUTED_VALUE"""),"VALDIR LAZZARI E CIA LTDA")</f>
        <v>VALDIR LAZZARI E CIA LTDA</v>
      </c>
      <c r="F631" s="15" t="str">
        <f>IFERROR(__xludf.DUMMYFUNCTION("""COMPUTED_VALUE"""),"TRIFIL")</f>
        <v>TRIFIL</v>
      </c>
      <c r="G631" s="15" t="str">
        <f>IFERROR(__xludf.DUMMYFUNCTION("""COMPUTED_VALUE"""),"266807010")</f>
        <v>266807010</v>
      </c>
      <c r="H631" s="15" t="str">
        <f>IFERROR(__xludf.DUMMYFUNCTION("""COMPUTED_VALUE"""),"1306048")</f>
        <v>1306048</v>
      </c>
      <c r="I631" s="15" t="str">
        <f>IFERROR(__xludf.DUMMYFUNCTION("""COMPUTED_VALUE"""),"8177206")</f>
        <v>8177206</v>
      </c>
      <c r="J631" s="15" t="str">
        <f>IFERROR(__xludf.DUMMYFUNCTION("""COMPUTED_VALUE"""),"CIF")</f>
        <v>CIF</v>
      </c>
      <c r="K631" s="15" t="str">
        <f>IFERROR(__xludf.DUMMYFUNCTION("""COMPUTED_VALUE"""),"FSA-1")</f>
        <v>FSA-1</v>
      </c>
      <c r="L631" s="15" t="str">
        <f>IFERROR(__xludf.DUMMYFUNCTION("""COMPUTED_VALUE"""),"AUTORIZADO")</f>
        <v>AUTORIZADO</v>
      </c>
      <c r="M631" s="15" t="str">
        <f>IFERROR(__xludf.DUMMYFUNCTION("""COMPUTED_VALUE"""),"NA ORIGEM")</f>
        <v>NA ORIGEM</v>
      </c>
      <c r="N631" s="15" t="str">
        <f>IFERROR(__xludf.DUMMYFUNCTION("""COMPUTED_VALUE"""),"Antes Prazo")</f>
        <v>Antes Prazo</v>
      </c>
      <c r="O631" s="15" t="str">
        <f>IFERROR(__xludf.DUMMYFUNCTION("""COMPUTED_VALUE"""),"B2B")</f>
        <v>B2B</v>
      </c>
      <c r="P631" s="16">
        <f>IFERROR(__xludf.DUMMYFUNCTION("""COMPUTED_VALUE"""),60.04)</f>
        <v>60.04</v>
      </c>
      <c r="Q631" s="15">
        <f>IFERROR(__xludf.DUMMYFUNCTION("""COMPUTED_VALUE"""),2.0)</f>
        <v>2</v>
      </c>
      <c r="R631" s="15" t="str">
        <f>IFERROR(__xludf.DUMMYFUNCTION("""COMPUTED_VALUE"""),"RODO")</f>
        <v>RODO</v>
      </c>
      <c r="S631" s="15" t="str">
        <f>IFERROR(__xludf.DUMMYFUNCTION("""COMPUTED_VALUE"""),"ITN")</f>
        <v>ITN</v>
      </c>
      <c r="T631" s="15" t="str">
        <f>IFERROR(__xludf.DUMMYFUNCTION("""COMPUTED_VALUE"""),"18")</f>
        <v>18</v>
      </c>
      <c r="U631" s="15" t="str">
        <f>IFERROR(__xludf.DUMMYFUNCTION("""COMPUTED_VALUE"""),"266807010 1306048 8177206 valdir lazzari e cia ltda trifil poa 18")</f>
        <v>266807010 1306048 8177206 valdir lazzari e cia ltda trifil poa 18</v>
      </c>
      <c r="V631" s="15" t="b">
        <f>IFERROR(__xludf.DUMMYFUNCTION("""COMPUTED_VALUE"""),FALSE)</f>
        <v>0</v>
      </c>
    </row>
    <row r="632">
      <c r="A632" s="19">
        <f>IFERROR(__xludf.DUMMYFUNCTION("""COMPUTED_VALUE"""),46304.0)</f>
        <v>46304</v>
      </c>
      <c r="B632" s="19">
        <f>IFERROR(__xludf.DUMMYFUNCTION("""COMPUTED_VALUE"""),46317.0)</f>
        <v>46317</v>
      </c>
      <c r="C632" s="15">
        <f>IFERROR(__xludf.DUMMYFUNCTION("""COMPUTED_VALUE"""),8.0)</f>
        <v>8</v>
      </c>
      <c r="D632" s="15" t="str">
        <f>IFERROR(__xludf.DUMMYFUNCTION("""COMPUTED_VALUE"""),"QHV")</f>
        <v>QHV</v>
      </c>
      <c r="E632" s="15" t="str">
        <f>IFERROR(__xludf.DUMMYFUNCTION("""COMPUTED_VALUE"""),"LOJA BELA REAL LTDA - ME")</f>
        <v>LOJA BELA REAL LTDA - ME</v>
      </c>
      <c r="F632" s="15" t="str">
        <f>IFERROR(__xludf.DUMMYFUNCTION("""COMPUTED_VALUE"""),"TRIFIL")</f>
        <v>TRIFIL</v>
      </c>
      <c r="G632" s="15" t="str">
        <f>IFERROR(__xludf.DUMMYFUNCTION("""COMPUTED_VALUE"""),"266807011")</f>
        <v>266807011</v>
      </c>
      <c r="H632" s="15" t="str">
        <f>IFERROR(__xludf.DUMMYFUNCTION("""COMPUTED_VALUE"""),"1306115")</f>
        <v>1306115</v>
      </c>
      <c r="I632" s="15" t="str">
        <f>IFERROR(__xludf.DUMMYFUNCTION("""COMPUTED_VALUE"""),"8177146")</f>
        <v>8177146</v>
      </c>
      <c r="J632" s="15" t="str">
        <f>IFERROR(__xludf.DUMMYFUNCTION("""COMPUTED_VALUE"""),"CIF")</f>
        <v>CIF</v>
      </c>
      <c r="K632" s="15" t="str">
        <f>IFERROR(__xludf.DUMMYFUNCTION("""COMPUTED_VALUE"""),"FSA-1")</f>
        <v>FSA-1</v>
      </c>
      <c r="L632" s="15" t="str">
        <f>IFERROR(__xludf.DUMMYFUNCTION("""COMPUTED_VALUE"""),"AUTORIZADO")</f>
        <v>AUTORIZADO</v>
      </c>
      <c r="M632" s="15" t="str">
        <f>IFERROR(__xludf.DUMMYFUNCTION("""COMPUTED_VALUE"""),"NA ORIGEM")</f>
        <v>NA ORIGEM</v>
      </c>
      <c r="N632" s="15" t="str">
        <f>IFERROR(__xludf.DUMMYFUNCTION("""COMPUTED_VALUE"""),"Antes Prazo")</f>
        <v>Antes Prazo</v>
      </c>
      <c r="O632" s="15" t="str">
        <f>IFERROR(__xludf.DUMMYFUNCTION("""COMPUTED_VALUE"""),"B2B")</f>
        <v>B2B</v>
      </c>
      <c r="P632" s="16">
        <f>IFERROR(__xludf.DUMMYFUNCTION("""COMPUTED_VALUE"""),60.04)</f>
        <v>60.04</v>
      </c>
      <c r="Q632" s="15">
        <f>IFERROR(__xludf.DUMMYFUNCTION("""COMPUTED_VALUE"""),1.0)</f>
        <v>1</v>
      </c>
      <c r="R632" s="15" t="str">
        <f>IFERROR(__xludf.DUMMYFUNCTION("""COMPUTED_VALUE"""),"RODO")</f>
        <v>RODO</v>
      </c>
      <c r="S632" s="15" t="str">
        <f>IFERROR(__xludf.DUMMYFUNCTION("""COMPUTED_VALUE"""),"ITN")</f>
        <v>ITN</v>
      </c>
      <c r="T632" s="15" t="str">
        <f>IFERROR(__xludf.DUMMYFUNCTION("""COMPUTED_VALUE"""),"10")</f>
        <v>10</v>
      </c>
      <c r="U632" s="15" t="str">
        <f>IFERROR(__xludf.DUMMYFUNCTION("""COMPUTED_VALUE"""),"266807011 1306115 8177146 loja bela real ltda - me trifil qhv 10")</f>
        <v>266807011 1306115 8177146 loja bela real ltda - me trifil qhv 10</v>
      </c>
      <c r="V632" s="15" t="b">
        <f>IFERROR(__xludf.DUMMYFUNCTION("""COMPUTED_VALUE"""),FALSE)</f>
        <v>0</v>
      </c>
    </row>
    <row r="633">
      <c r="A633" s="19">
        <f>IFERROR(__xludf.DUMMYFUNCTION("""COMPUTED_VALUE"""),46304.0)</f>
        <v>46304</v>
      </c>
      <c r="B633" s="19">
        <f>IFERROR(__xludf.DUMMYFUNCTION("""COMPUTED_VALUE"""),46317.0)</f>
        <v>46317</v>
      </c>
      <c r="C633" s="15">
        <f>IFERROR(__xludf.DUMMYFUNCTION("""COMPUTED_VALUE"""),8.0)</f>
        <v>8</v>
      </c>
      <c r="D633" s="15" t="str">
        <f>IFERROR(__xludf.DUMMYFUNCTION("""COMPUTED_VALUE"""),"QHV")</f>
        <v>QHV</v>
      </c>
      <c r="E633" s="15" t="str">
        <f>IFERROR(__xludf.DUMMYFUNCTION("""COMPUTED_VALUE"""),"PAULO C L HAMMES ME")</f>
        <v>PAULO C L HAMMES ME</v>
      </c>
      <c r="F633" s="15" t="str">
        <f>IFERROR(__xludf.DUMMYFUNCTION("""COMPUTED_VALUE"""),"TRIFIL")</f>
        <v>TRIFIL</v>
      </c>
      <c r="G633" s="15" t="str">
        <f>IFERROR(__xludf.DUMMYFUNCTION("""COMPUTED_VALUE"""),"266807012")</f>
        <v>266807012</v>
      </c>
      <c r="H633" s="15" t="str">
        <f>IFERROR(__xludf.DUMMYFUNCTION("""COMPUTED_VALUE"""),"1306024")</f>
        <v>1306024</v>
      </c>
      <c r="I633" s="15" t="str">
        <f>IFERROR(__xludf.DUMMYFUNCTION("""COMPUTED_VALUE"""),"8177280")</f>
        <v>8177280</v>
      </c>
      <c r="J633" s="15" t="str">
        <f>IFERROR(__xludf.DUMMYFUNCTION("""COMPUTED_VALUE"""),"CIF")</f>
        <v>CIF</v>
      </c>
      <c r="K633" s="15" t="str">
        <f>IFERROR(__xludf.DUMMYFUNCTION("""COMPUTED_VALUE"""),"FSA-1")</f>
        <v>FSA-1</v>
      </c>
      <c r="L633" s="15" t="str">
        <f>IFERROR(__xludf.DUMMYFUNCTION("""COMPUTED_VALUE"""),"AUTORIZADO")</f>
        <v>AUTORIZADO</v>
      </c>
      <c r="M633" s="15" t="str">
        <f>IFERROR(__xludf.DUMMYFUNCTION("""COMPUTED_VALUE"""),"NA ORIGEM")</f>
        <v>NA ORIGEM</v>
      </c>
      <c r="N633" s="15" t="str">
        <f>IFERROR(__xludf.DUMMYFUNCTION("""COMPUTED_VALUE"""),"Antes Prazo")</f>
        <v>Antes Prazo</v>
      </c>
      <c r="O633" s="15" t="str">
        <f>IFERROR(__xludf.DUMMYFUNCTION("""COMPUTED_VALUE"""),"B2B")</f>
        <v>B2B</v>
      </c>
      <c r="P633" s="16">
        <f>IFERROR(__xludf.DUMMYFUNCTION("""COMPUTED_VALUE"""),60.04)</f>
        <v>60.04</v>
      </c>
      <c r="Q633" s="15">
        <f>IFERROR(__xludf.DUMMYFUNCTION("""COMPUTED_VALUE"""),1.0)</f>
        <v>1</v>
      </c>
      <c r="R633" s="15" t="str">
        <f>IFERROR(__xludf.DUMMYFUNCTION("""COMPUTED_VALUE"""),"RODO")</f>
        <v>RODO</v>
      </c>
      <c r="S633" s="15" t="str">
        <f>IFERROR(__xludf.DUMMYFUNCTION("""COMPUTED_VALUE"""),"ITN")</f>
        <v>ITN</v>
      </c>
      <c r="T633" s="15" t="str">
        <f>IFERROR(__xludf.DUMMYFUNCTION("""COMPUTED_VALUE"""),"111")</f>
        <v>111</v>
      </c>
      <c r="U633" s="15" t="str">
        <f>IFERROR(__xludf.DUMMYFUNCTION("""COMPUTED_VALUE"""),"266807012 1306024 8177280 paulo c l hammes me trifil qhv 111")</f>
        <v>266807012 1306024 8177280 paulo c l hammes me trifil qhv 111</v>
      </c>
      <c r="V633" s="15" t="b">
        <f>IFERROR(__xludf.DUMMYFUNCTION("""COMPUTED_VALUE"""),FALSE)</f>
        <v>0</v>
      </c>
    </row>
    <row r="634">
      <c r="A634" s="19">
        <f>IFERROR(__xludf.DUMMYFUNCTION("""COMPUTED_VALUE"""),46304.0)</f>
        <v>46304</v>
      </c>
      <c r="B634" s="19">
        <f>IFERROR(__xludf.DUMMYFUNCTION("""COMPUTED_VALUE"""),46317.0)</f>
        <v>46317</v>
      </c>
      <c r="C634" s="15">
        <f>IFERROR(__xludf.DUMMYFUNCTION("""COMPUTED_VALUE"""),8.0)</f>
        <v>8</v>
      </c>
      <c r="D634" s="15" t="str">
        <f>IFERROR(__xludf.DUMMYFUNCTION("""COMPUTED_VALUE"""),"CXJ")</f>
        <v>CXJ</v>
      </c>
      <c r="E634" s="15" t="str">
        <f>IFERROR(__xludf.DUMMYFUNCTION("""COMPUTED_VALUE"""),"CBL COM DE CALCADOS LTDA")</f>
        <v>CBL COM DE CALCADOS LTDA</v>
      </c>
      <c r="F634" s="15" t="str">
        <f>IFERROR(__xludf.DUMMYFUNCTION("""COMPUTED_VALUE"""),"TRIFIL")</f>
        <v>TRIFIL</v>
      </c>
      <c r="G634" s="15" t="str">
        <f>IFERROR(__xludf.DUMMYFUNCTION("""COMPUTED_VALUE"""),"266807014")</f>
        <v>266807014</v>
      </c>
      <c r="H634" s="15" t="str">
        <f>IFERROR(__xludf.DUMMYFUNCTION("""COMPUTED_VALUE"""),"1306109")</f>
        <v>1306109</v>
      </c>
      <c r="I634" s="15" t="str">
        <f>IFERROR(__xludf.DUMMYFUNCTION("""COMPUTED_VALUE"""),"8177147")</f>
        <v>8177147</v>
      </c>
      <c r="J634" s="15" t="str">
        <f>IFERROR(__xludf.DUMMYFUNCTION("""COMPUTED_VALUE"""),"CIF")</f>
        <v>CIF</v>
      </c>
      <c r="K634" s="15" t="str">
        <f>IFERROR(__xludf.DUMMYFUNCTION("""COMPUTED_VALUE"""),"FSA-1")</f>
        <v>FSA-1</v>
      </c>
      <c r="L634" s="15" t="str">
        <f>IFERROR(__xludf.DUMMYFUNCTION("""COMPUTED_VALUE"""),"AUTORIZADO")</f>
        <v>AUTORIZADO</v>
      </c>
      <c r="M634" s="15" t="str">
        <f>IFERROR(__xludf.DUMMYFUNCTION("""COMPUTED_VALUE"""),"NA ORIGEM")</f>
        <v>NA ORIGEM</v>
      </c>
      <c r="N634" s="15" t="str">
        <f>IFERROR(__xludf.DUMMYFUNCTION("""COMPUTED_VALUE"""),"Antes Prazo")</f>
        <v>Antes Prazo</v>
      </c>
      <c r="O634" s="15" t="str">
        <f>IFERROR(__xludf.DUMMYFUNCTION("""COMPUTED_VALUE"""),"B2B")</f>
        <v>B2B</v>
      </c>
      <c r="P634" s="16">
        <f>IFERROR(__xludf.DUMMYFUNCTION("""COMPUTED_VALUE"""),60.04)</f>
        <v>60.04</v>
      </c>
      <c r="Q634" s="15">
        <f>IFERROR(__xludf.DUMMYFUNCTION("""COMPUTED_VALUE"""),2.0)</f>
        <v>2</v>
      </c>
      <c r="R634" s="15" t="str">
        <f>IFERROR(__xludf.DUMMYFUNCTION("""COMPUTED_VALUE"""),"RODO")</f>
        <v>RODO</v>
      </c>
      <c r="S634" s="15" t="str">
        <f>IFERROR(__xludf.DUMMYFUNCTION("""COMPUTED_VALUE"""),"ITN")</f>
        <v>ITN</v>
      </c>
      <c r="T634" s="15" t="str">
        <f>IFERROR(__xludf.DUMMYFUNCTION("""COMPUTED_VALUE"""),"11")</f>
        <v>11</v>
      </c>
      <c r="U634" s="15" t="str">
        <f>IFERROR(__xludf.DUMMYFUNCTION("""COMPUTED_VALUE"""),"266807014 1306109 8177147 cbl com de calcados ltda trifil cxj 11")</f>
        <v>266807014 1306109 8177147 cbl com de calcados ltda trifil cxj 11</v>
      </c>
      <c r="V634" s="15" t="b">
        <f>IFERROR(__xludf.DUMMYFUNCTION("""COMPUTED_VALUE"""),FALSE)</f>
        <v>0</v>
      </c>
    </row>
    <row r="635">
      <c r="A635" s="19">
        <f>IFERROR(__xludf.DUMMYFUNCTION("""COMPUTED_VALUE"""),46304.0)</f>
        <v>46304</v>
      </c>
      <c r="B635" s="19">
        <f>IFERROR(__xludf.DUMMYFUNCTION("""COMPUTED_VALUE"""),46317.0)</f>
        <v>46317</v>
      </c>
      <c r="C635" s="15">
        <f>IFERROR(__xludf.DUMMYFUNCTION("""COMPUTED_VALUE"""),8.0)</f>
        <v>8</v>
      </c>
      <c r="D635" s="15" t="str">
        <f>IFERROR(__xludf.DUMMYFUNCTION("""COMPUTED_VALUE"""),"CXJ")</f>
        <v>CXJ</v>
      </c>
      <c r="E635" s="15" t="str">
        <f>IFERROR(__xludf.DUMMYFUNCTION("""COMPUTED_VALUE"""),"COML COLINA LTDA DIST E ATACAD LTDA")</f>
        <v>COML COLINA LTDA DIST E ATACAD LTDA</v>
      </c>
      <c r="F635" s="15" t="str">
        <f>IFERROR(__xludf.DUMMYFUNCTION("""COMPUTED_VALUE"""),"TRIFIL")</f>
        <v>TRIFIL</v>
      </c>
      <c r="G635" s="15" t="str">
        <f>IFERROR(__xludf.DUMMYFUNCTION("""COMPUTED_VALUE"""),"266807017")</f>
        <v>266807017</v>
      </c>
      <c r="H635" s="15" t="str">
        <f>IFERROR(__xludf.DUMMYFUNCTION("""COMPUTED_VALUE"""),"1306068")</f>
        <v>1306068</v>
      </c>
      <c r="I635" s="15" t="str">
        <f>IFERROR(__xludf.DUMMYFUNCTION("""COMPUTED_VALUE"""),"8177281")</f>
        <v>8177281</v>
      </c>
      <c r="J635" s="15" t="str">
        <f>IFERROR(__xludf.DUMMYFUNCTION("""COMPUTED_VALUE"""),"CIF")</f>
        <v>CIF</v>
      </c>
      <c r="K635" s="15" t="str">
        <f>IFERROR(__xludf.DUMMYFUNCTION("""COMPUTED_VALUE"""),"FSA-1")</f>
        <v>FSA-1</v>
      </c>
      <c r="L635" s="15" t="str">
        <f>IFERROR(__xludf.DUMMYFUNCTION("""COMPUTED_VALUE"""),"AUTORIZADO")</f>
        <v>AUTORIZADO</v>
      </c>
      <c r="M635" s="15" t="str">
        <f>IFERROR(__xludf.DUMMYFUNCTION("""COMPUTED_VALUE"""),"NA ORIGEM")</f>
        <v>NA ORIGEM</v>
      </c>
      <c r="N635" s="15" t="str">
        <f>IFERROR(__xludf.DUMMYFUNCTION("""COMPUTED_VALUE"""),"Antes Prazo")</f>
        <v>Antes Prazo</v>
      </c>
      <c r="O635" s="15" t="str">
        <f>IFERROR(__xludf.DUMMYFUNCTION("""COMPUTED_VALUE"""),"B2B")</f>
        <v>B2B</v>
      </c>
      <c r="P635" s="16">
        <f>IFERROR(__xludf.DUMMYFUNCTION("""COMPUTED_VALUE"""),60.04)</f>
        <v>60.04</v>
      </c>
      <c r="Q635" s="15">
        <f>IFERROR(__xludf.DUMMYFUNCTION("""COMPUTED_VALUE"""),1.0)</f>
        <v>1</v>
      </c>
      <c r="R635" s="15" t="str">
        <f>IFERROR(__xludf.DUMMYFUNCTION("""COMPUTED_VALUE"""),"RODO")</f>
        <v>RODO</v>
      </c>
      <c r="S635" s="15" t="str">
        <f>IFERROR(__xludf.DUMMYFUNCTION("""COMPUTED_VALUE"""),"ITN")</f>
        <v>ITN</v>
      </c>
      <c r="T635" s="15" t="str">
        <f>IFERROR(__xludf.DUMMYFUNCTION("""COMPUTED_VALUE"""),"4")</f>
        <v>4</v>
      </c>
      <c r="U635" s="15" t="str">
        <f>IFERROR(__xludf.DUMMYFUNCTION("""COMPUTED_VALUE"""),"266807017 1306068 8177281 coml colina ltda dist e atacad ltda trifil cxj 4")</f>
        <v>266807017 1306068 8177281 coml colina ltda dist e atacad ltda trifil cxj 4</v>
      </c>
      <c r="V635" s="15" t="b">
        <f>IFERROR(__xludf.DUMMYFUNCTION("""COMPUTED_VALUE"""),FALSE)</f>
        <v>0</v>
      </c>
    </row>
    <row r="636">
      <c r="A636" s="19">
        <f>IFERROR(__xludf.DUMMYFUNCTION("""COMPUTED_VALUE"""),46304.0)</f>
        <v>46304</v>
      </c>
      <c r="B636" s="19">
        <f>IFERROR(__xludf.DUMMYFUNCTION("""COMPUTED_VALUE"""),46318.0)</f>
        <v>46318</v>
      </c>
      <c r="C636" s="15">
        <f>IFERROR(__xludf.DUMMYFUNCTION("""COMPUTED_VALUE"""),9.0)</f>
        <v>9</v>
      </c>
      <c r="D636" s="15" t="str">
        <f>IFERROR(__xludf.DUMMYFUNCTION("""COMPUTED_VALUE"""),"SOS")</f>
        <v>SOS</v>
      </c>
      <c r="E636" s="15" t="str">
        <f>IFERROR(__xludf.DUMMYFUNCTION("""COMPUTED_VALUE"""),"MAGAZINE CARIOCA LTDA")</f>
        <v>MAGAZINE CARIOCA LTDA</v>
      </c>
      <c r="F636" s="15" t="str">
        <f>IFERROR(__xludf.DUMMYFUNCTION("""COMPUTED_VALUE"""),"TRIFIL")</f>
        <v>TRIFIL</v>
      </c>
      <c r="G636" s="15" t="str">
        <f>IFERROR(__xludf.DUMMYFUNCTION("""COMPUTED_VALUE"""),"266807019")</f>
        <v>266807019</v>
      </c>
      <c r="H636" s="15" t="str">
        <f>IFERROR(__xludf.DUMMYFUNCTION("""COMPUTED_VALUE"""),"1306192")</f>
        <v>1306192</v>
      </c>
      <c r="I636" s="15" t="str">
        <f>IFERROR(__xludf.DUMMYFUNCTION("""COMPUTED_VALUE"""),"8177177")</f>
        <v>8177177</v>
      </c>
      <c r="J636" s="15" t="str">
        <f>IFERROR(__xludf.DUMMYFUNCTION("""COMPUTED_VALUE"""),"CIF")</f>
        <v>CIF</v>
      </c>
      <c r="K636" s="15" t="str">
        <f>IFERROR(__xludf.DUMMYFUNCTION("""COMPUTED_VALUE"""),"FSA-1")</f>
        <v>FSA-1</v>
      </c>
      <c r="L636" s="15" t="str">
        <f>IFERROR(__xludf.DUMMYFUNCTION("""COMPUTED_VALUE"""),"AUTORIZADO")</f>
        <v>AUTORIZADO</v>
      </c>
      <c r="M636" s="15" t="str">
        <f>IFERROR(__xludf.DUMMYFUNCTION("""COMPUTED_VALUE"""),"NA ORIGEM")</f>
        <v>NA ORIGEM</v>
      </c>
      <c r="N636" s="15" t="str">
        <f>IFERROR(__xludf.DUMMYFUNCTION("""COMPUTED_VALUE"""),"Antes Prazo")</f>
        <v>Antes Prazo</v>
      </c>
      <c r="O636" s="15" t="str">
        <f>IFERROR(__xludf.DUMMYFUNCTION("""COMPUTED_VALUE"""),"B2B")</f>
        <v>B2B</v>
      </c>
      <c r="P636" s="16">
        <f>IFERROR(__xludf.DUMMYFUNCTION("""COMPUTED_VALUE"""),67.68)</f>
        <v>67.68</v>
      </c>
      <c r="Q636" s="15">
        <f>IFERROR(__xludf.DUMMYFUNCTION("""COMPUTED_VALUE"""),1.0)</f>
        <v>1</v>
      </c>
      <c r="R636" s="15" t="str">
        <f>IFERROR(__xludf.DUMMYFUNCTION("""COMPUTED_VALUE"""),"RODO")</f>
        <v>RODO</v>
      </c>
      <c r="S636" s="15" t="str">
        <f>IFERROR(__xludf.DUMMYFUNCTION("""COMPUTED_VALUE"""),"ITN")</f>
        <v>ITN</v>
      </c>
      <c r="T636" s="15" t="str">
        <f>IFERROR(__xludf.DUMMYFUNCTION("""COMPUTED_VALUE"""),"110")</f>
        <v>110</v>
      </c>
      <c r="U636" s="15" t="str">
        <f>IFERROR(__xludf.DUMMYFUNCTION("""COMPUTED_VALUE"""),"266807019 1306192 8177177 magazine carioca ltda trifil sos 110")</f>
        <v>266807019 1306192 8177177 magazine carioca ltda trifil sos 110</v>
      </c>
      <c r="V636" s="15" t="b">
        <f>IFERROR(__xludf.DUMMYFUNCTION("""COMPUTED_VALUE"""),FALSE)</f>
        <v>0</v>
      </c>
    </row>
    <row r="637">
      <c r="A637" s="19">
        <f>IFERROR(__xludf.DUMMYFUNCTION("""COMPUTED_VALUE"""),46304.0)</f>
        <v>46304</v>
      </c>
      <c r="B637" s="19">
        <f>IFERROR(__xludf.DUMMYFUNCTION("""COMPUTED_VALUE"""),46318.0)</f>
        <v>46318</v>
      </c>
      <c r="C637" s="15">
        <f>IFERROR(__xludf.DUMMYFUNCTION("""COMPUTED_VALUE"""),9.0)</f>
        <v>9</v>
      </c>
      <c r="D637" s="15" t="str">
        <f>IFERROR(__xludf.DUMMYFUNCTION("""COMPUTED_VALUE"""),"CXJ")</f>
        <v>CXJ</v>
      </c>
      <c r="E637" s="15" t="str">
        <f>IFERROR(__xludf.DUMMYFUNCTION("""COMPUTED_VALUE"""),"PELUIZ S CHIESA CIA LTDA")</f>
        <v>PELUIZ S CHIESA CIA LTDA</v>
      </c>
      <c r="F637" s="15" t="str">
        <f>IFERROR(__xludf.DUMMYFUNCTION("""COMPUTED_VALUE"""),"TRIFIL")</f>
        <v>TRIFIL</v>
      </c>
      <c r="G637" s="15" t="str">
        <f>IFERROR(__xludf.DUMMYFUNCTION("""COMPUTED_VALUE"""),"266807021")</f>
        <v>266807021</v>
      </c>
      <c r="H637" s="15" t="str">
        <f>IFERROR(__xludf.DUMMYFUNCTION("""COMPUTED_VALUE"""),"1306274")</f>
        <v>1306274</v>
      </c>
      <c r="I637" s="15" t="str">
        <f>IFERROR(__xludf.DUMMYFUNCTION("""COMPUTED_VALUE"""),"8177207")</f>
        <v>8177207</v>
      </c>
      <c r="J637" s="15" t="str">
        <f>IFERROR(__xludf.DUMMYFUNCTION("""COMPUTED_VALUE"""),"CIF")</f>
        <v>CIF</v>
      </c>
      <c r="K637" s="15" t="str">
        <f>IFERROR(__xludf.DUMMYFUNCTION("""COMPUTED_VALUE"""),"FSA-1")</f>
        <v>FSA-1</v>
      </c>
      <c r="L637" s="15" t="str">
        <f>IFERROR(__xludf.DUMMYFUNCTION("""COMPUTED_VALUE"""),"AUTORIZADO")</f>
        <v>AUTORIZADO</v>
      </c>
      <c r="M637" s="15" t="str">
        <f>IFERROR(__xludf.DUMMYFUNCTION("""COMPUTED_VALUE"""),"NA ORIGEM")</f>
        <v>NA ORIGEM</v>
      </c>
      <c r="N637" s="15" t="str">
        <f>IFERROR(__xludf.DUMMYFUNCTION("""COMPUTED_VALUE"""),"Antes Prazo")</f>
        <v>Antes Prazo</v>
      </c>
      <c r="O637" s="15" t="str">
        <f>IFERROR(__xludf.DUMMYFUNCTION("""COMPUTED_VALUE"""),"B2B")</f>
        <v>B2B</v>
      </c>
      <c r="P637" s="16">
        <f>IFERROR(__xludf.DUMMYFUNCTION("""COMPUTED_VALUE"""),67.68)</f>
        <v>67.68</v>
      </c>
      <c r="Q637" s="15">
        <f>IFERROR(__xludf.DUMMYFUNCTION("""COMPUTED_VALUE"""),1.0)</f>
        <v>1</v>
      </c>
      <c r="R637" s="15" t="str">
        <f>IFERROR(__xludf.DUMMYFUNCTION("""COMPUTED_VALUE"""),"RODO")</f>
        <v>RODO</v>
      </c>
      <c r="S637" s="15" t="str">
        <f>IFERROR(__xludf.DUMMYFUNCTION("""COMPUTED_VALUE"""),"ITN")</f>
        <v>ITN</v>
      </c>
      <c r="T637" s="15" t="str">
        <f>IFERROR(__xludf.DUMMYFUNCTION("""COMPUTED_VALUE"""),"888")</f>
        <v>888</v>
      </c>
      <c r="U637" s="15" t="str">
        <f>IFERROR(__xludf.DUMMYFUNCTION("""COMPUTED_VALUE"""),"266807021 1306274 8177207 peluiz s chiesa cia ltda trifil cxj 888")</f>
        <v>266807021 1306274 8177207 peluiz s chiesa cia ltda trifil cxj 888</v>
      </c>
      <c r="V637" s="15" t="b">
        <f>IFERROR(__xludf.DUMMYFUNCTION("""COMPUTED_VALUE"""),FALSE)</f>
        <v>0</v>
      </c>
    </row>
    <row r="638">
      <c r="A638" s="19">
        <f>IFERROR(__xludf.DUMMYFUNCTION("""COMPUTED_VALUE"""),46304.0)</f>
        <v>46304</v>
      </c>
      <c r="B638" s="19">
        <f>IFERROR(__xludf.DUMMYFUNCTION("""COMPUTED_VALUE"""),46318.0)</f>
        <v>46318</v>
      </c>
      <c r="C638" s="15">
        <f>IFERROR(__xludf.DUMMYFUNCTION("""COMPUTED_VALUE"""),9.0)</f>
        <v>9</v>
      </c>
      <c r="D638" s="15" t="str">
        <f>IFERROR(__xludf.DUMMYFUNCTION("""COMPUTED_VALUE"""),"CSU")</f>
        <v>CSU</v>
      </c>
      <c r="E638" s="15" t="str">
        <f>IFERROR(__xludf.DUMMYFUNCTION("""COMPUTED_VALUE"""),"FANCK CONFECCOES")</f>
        <v>FANCK CONFECCOES</v>
      </c>
      <c r="F638" s="15" t="str">
        <f>IFERROR(__xludf.DUMMYFUNCTION("""COMPUTED_VALUE"""),"TRIFIL")</f>
        <v>TRIFIL</v>
      </c>
      <c r="G638" s="15" t="str">
        <f>IFERROR(__xludf.DUMMYFUNCTION("""COMPUTED_VALUE"""),"266807023")</f>
        <v>266807023</v>
      </c>
      <c r="H638" s="15" t="str">
        <f>IFERROR(__xludf.DUMMYFUNCTION("""COMPUTED_VALUE"""),"1305791")</f>
        <v>1305791</v>
      </c>
      <c r="I638" s="15" t="str">
        <f>IFERROR(__xludf.DUMMYFUNCTION("""COMPUTED_VALUE"""),"8177312")</f>
        <v>8177312</v>
      </c>
      <c r="J638" s="15" t="str">
        <f>IFERROR(__xludf.DUMMYFUNCTION("""COMPUTED_VALUE"""),"CIF")</f>
        <v>CIF</v>
      </c>
      <c r="K638" s="15" t="str">
        <f>IFERROR(__xludf.DUMMYFUNCTION("""COMPUTED_VALUE"""),"FSA-1")</f>
        <v>FSA-1</v>
      </c>
      <c r="L638" s="15" t="str">
        <f>IFERROR(__xludf.DUMMYFUNCTION("""COMPUTED_VALUE"""),"AUTORIZADO")</f>
        <v>AUTORIZADO</v>
      </c>
      <c r="M638" s="15" t="str">
        <f>IFERROR(__xludf.DUMMYFUNCTION("""COMPUTED_VALUE"""),"NA ORIGEM")</f>
        <v>NA ORIGEM</v>
      </c>
      <c r="N638" s="15" t="str">
        <f>IFERROR(__xludf.DUMMYFUNCTION("""COMPUTED_VALUE"""),"Antes Prazo")</f>
        <v>Antes Prazo</v>
      </c>
      <c r="O638" s="15" t="str">
        <f>IFERROR(__xludf.DUMMYFUNCTION("""COMPUTED_VALUE"""),"B2B")</f>
        <v>B2B</v>
      </c>
      <c r="P638" s="16">
        <f>IFERROR(__xludf.DUMMYFUNCTION("""COMPUTED_VALUE"""),67.68)</f>
        <v>67.68</v>
      </c>
      <c r="Q638" s="15">
        <f>IFERROR(__xludf.DUMMYFUNCTION("""COMPUTED_VALUE"""),1.0)</f>
        <v>1</v>
      </c>
      <c r="R638" s="15" t="str">
        <f>IFERROR(__xludf.DUMMYFUNCTION("""COMPUTED_VALUE"""),"RODO")</f>
        <v>RODO</v>
      </c>
      <c r="S638" s="15" t="str">
        <f>IFERROR(__xludf.DUMMYFUNCTION("""COMPUTED_VALUE"""),"ITN")</f>
        <v>ITN</v>
      </c>
      <c r="T638" s="15" t="str">
        <f>IFERROR(__xludf.DUMMYFUNCTION("""COMPUTED_VALUE"""),"102")</f>
        <v>102</v>
      </c>
      <c r="U638" s="15" t="str">
        <f>IFERROR(__xludf.DUMMYFUNCTION("""COMPUTED_VALUE"""),"266807023 1305791 8177312 fanck confeccoes trifil csu 102")</f>
        <v>266807023 1305791 8177312 fanck confeccoes trifil csu 102</v>
      </c>
      <c r="V638" s="15" t="b">
        <f>IFERROR(__xludf.DUMMYFUNCTION("""COMPUTED_VALUE"""),FALSE)</f>
        <v>0</v>
      </c>
    </row>
    <row r="639">
      <c r="A639" s="19">
        <f>IFERROR(__xludf.DUMMYFUNCTION("""COMPUTED_VALUE"""),46304.0)</f>
        <v>46304</v>
      </c>
      <c r="B639" s="19">
        <f>IFERROR(__xludf.DUMMYFUNCTION("""COMPUTED_VALUE"""),46318.0)</f>
        <v>46318</v>
      </c>
      <c r="C639" s="15">
        <f>IFERROR(__xludf.DUMMYFUNCTION("""COMPUTED_VALUE"""),9.0)</f>
        <v>9</v>
      </c>
      <c r="D639" s="15" t="str">
        <f>IFERROR(__xludf.DUMMYFUNCTION("""COMPUTED_VALUE"""),"QLB")</f>
        <v>QLB</v>
      </c>
      <c r="E639" s="15" t="str">
        <f>IFERROR(__xludf.DUMMYFUNCTION("""COMPUTED_VALUE"""),"LILI MIXBIJU COMERCIO DE PRESENTES LTDA")</f>
        <v>LILI MIXBIJU COMERCIO DE PRESENTES LTDA</v>
      </c>
      <c r="F639" s="15" t="str">
        <f>IFERROR(__xludf.DUMMYFUNCTION("""COMPUTED_VALUE"""),"TRIFIL")</f>
        <v>TRIFIL</v>
      </c>
      <c r="G639" s="15" t="str">
        <f>IFERROR(__xludf.DUMMYFUNCTION("""COMPUTED_VALUE"""),"266807025")</f>
        <v>266807025</v>
      </c>
      <c r="H639" s="15" t="str">
        <f>IFERROR(__xludf.DUMMYFUNCTION("""COMPUTED_VALUE"""),"1306047")</f>
        <v>1306047</v>
      </c>
      <c r="I639" s="15" t="str">
        <f>IFERROR(__xludf.DUMMYFUNCTION("""COMPUTED_VALUE"""),"8177337")</f>
        <v>8177337</v>
      </c>
      <c r="J639" s="15" t="str">
        <f>IFERROR(__xludf.DUMMYFUNCTION("""COMPUTED_VALUE"""),"CIF")</f>
        <v>CIF</v>
      </c>
      <c r="K639" s="15" t="str">
        <f>IFERROR(__xludf.DUMMYFUNCTION("""COMPUTED_VALUE"""),"FSA-1")</f>
        <v>FSA-1</v>
      </c>
      <c r="L639" s="15" t="str">
        <f>IFERROR(__xludf.DUMMYFUNCTION("""COMPUTED_VALUE"""),"AUTORIZADO")</f>
        <v>AUTORIZADO</v>
      </c>
      <c r="M639" s="15" t="str">
        <f>IFERROR(__xludf.DUMMYFUNCTION("""COMPUTED_VALUE"""),"NA ORIGEM")</f>
        <v>NA ORIGEM</v>
      </c>
      <c r="N639" s="15" t="str">
        <f>IFERROR(__xludf.DUMMYFUNCTION("""COMPUTED_VALUE"""),"Antes Prazo")</f>
        <v>Antes Prazo</v>
      </c>
      <c r="O639" s="15" t="str">
        <f>IFERROR(__xludf.DUMMYFUNCTION("""COMPUTED_VALUE"""),"B2B")</f>
        <v>B2B</v>
      </c>
      <c r="P639" s="16">
        <f>IFERROR(__xludf.DUMMYFUNCTION("""COMPUTED_VALUE"""),67.68)</f>
        <v>67.68</v>
      </c>
      <c r="Q639" s="15">
        <f>IFERROR(__xludf.DUMMYFUNCTION("""COMPUTED_VALUE"""),4.0)</f>
        <v>4</v>
      </c>
      <c r="R639" s="15" t="str">
        <f>IFERROR(__xludf.DUMMYFUNCTION("""COMPUTED_VALUE"""),"RODO")</f>
        <v>RODO</v>
      </c>
      <c r="S639" s="15" t="str">
        <f>IFERROR(__xludf.DUMMYFUNCTION("""COMPUTED_VALUE"""),"ITN")</f>
        <v>ITN</v>
      </c>
      <c r="T639" s="15" t="str">
        <f>IFERROR(__xludf.DUMMYFUNCTION("""COMPUTED_VALUE"""),"5")</f>
        <v>5</v>
      </c>
      <c r="U639" s="15" t="str">
        <f>IFERROR(__xludf.DUMMYFUNCTION("""COMPUTED_VALUE"""),"266807025 1306047 8177337 lili mixbiju comercio de presentes ltda trifil qlb 5")</f>
        <v>266807025 1306047 8177337 lili mixbiju comercio de presentes ltda trifil qlb 5</v>
      </c>
      <c r="V639" s="15" t="b">
        <f>IFERROR(__xludf.DUMMYFUNCTION("""COMPUTED_VALUE"""),FALSE)</f>
        <v>0</v>
      </c>
    </row>
    <row r="640">
      <c r="A640" s="19">
        <f>IFERROR(__xludf.DUMMYFUNCTION("""COMPUTED_VALUE"""),46304.0)</f>
        <v>46304</v>
      </c>
      <c r="B640" s="19">
        <f>IFERROR(__xludf.DUMMYFUNCTION("""COMPUTED_VALUE"""),46323.0)</f>
        <v>46323</v>
      </c>
      <c r="C640" s="15">
        <f>IFERROR(__xludf.DUMMYFUNCTION("""COMPUTED_VALUE"""),12.0)</f>
        <v>12</v>
      </c>
      <c r="D640" s="15" t="str">
        <f>IFERROR(__xludf.DUMMYFUNCTION("""COMPUTED_VALUE"""),"QLB")</f>
        <v>QLB</v>
      </c>
      <c r="E640" s="15" t="str">
        <f>IFERROR(__xludf.DUMMYFUNCTION("""COMPUTED_VALUE"""),"LOVANI T MANICA E CIA LTDA")</f>
        <v>LOVANI T MANICA E CIA LTDA</v>
      </c>
      <c r="F640" s="15" t="str">
        <f>IFERROR(__xludf.DUMMYFUNCTION("""COMPUTED_VALUE"""),"TRIFIL")</f>
        <v>TRIFIL</v>
      </c>
      <c r="G640" s="15" t="str">
        <f>IFERROR(__xludf.DUMMYFUNCTION("""COMPUTED_VALUE"""),"266807028")</f>
        <v>266807028</v>
      </c>
      <c r="H640" s="15" t="str">
        <f>IFERROR(__xludf.DUMMYFUNCTION("""COMPUTED_VALUE"""),"1306371")</f>
        <v>1306371</v>
      </c>
      <c r="I640" s="15" t="str">
        <f>IFERROR(__xludf.DUMMYFUNCTION("""COMPUTED_VALUE"""),"8177124")</f>
        <v>8177124</v>
      </c>
      <c r="J640" s="15" t="str">
        <f>IFERROR(__xludf.DUMMYFUNCTION("""COMPUTED_VALUE"""),"CIF")</f>
        <v>CIF</v>
      </c>
      <c r="K640" s="15" t="str">
        <f>IFERROR(__xludf.DUMMYFUNCTION("""COMPUTED_VALUE"""),"FSA-1")</f>
        <v>FSA-1</v>
      </c>
      <c r="L640" s="15" t="str">
        <f>IFERROR(__xludf.DUMMYFUNCTION("""COMPUTED_VALUE"""),"AUTORIZADO")</f>
        <v>AUTORIZADO</v>
      </c>
      <c r="M640" s="15" t="str">
        <f>IFERROR(__xludf.DUMMYFUNCTION("""COMPUTED_VALUE"""),"NA ORIGEM")</f>
        <v>NA ORIGEM</v>
      </c>
      <c r="N640" s="15" t="str">
        <f>IFERROR(__xludf.DUMMYFUNCTION("""COMPUTED_VALUE"""),"Antes Prazo")</f>
        <v>Antes Prazo</v>
      </c>
      <c r="O640" s="15" t="str">
        <f>IFERROR(__xludf.DUMMYFUNCTION("""COMPUTED_VALUE"""),"B2B")</f>
        <v>B2B</v>
      </c>
      <c r="P640" s="16">
        <f>IFERROR(__xludf.DUMMYFUNCTION("""COMPUTED_VALUE"""),67.68)</f>
        <v>67.68</v>
      </c>
      <c r="Q640" s="15">
        <f>IFERROR(__xludf.DUMMYFUNCTION("""COMPUTED_VALUE"""),1.0)</f>
        <v>1</v>
      </c>
      <c r="R640" s="15" t="str">
        <f>IFERROR(__xludf.DUMMYFUNCTION("""COMPUTED_VALUE"""),"RODO")</f>
        <v>RODO</v>
      </c>
      <c r="S640" s="15" t="str">
        <f>IFERROR(__xludf.DUMMYFUNCTION("""COMPUTED_VALUE"""),"ITN")</f>
        <v>ITN</v>
      </c>
      <c r="T640" s="15" t="str">
        <f>IFERROR(__xludf.DUMMYFUNCTION("""COMPUTED_VALUE"""),"111")</f>
        <v>111</v>
      </c>
      <c r="U640" s="15" t="str">
        <f>IFERROR(__xludf.DUMMYFUNCTION("""COMPUTED_VALUE"""),"266807028 1306371 8177124 lovani t manica e cia ltda trifil qlb 111")</f>
        <v>266807028 1306371 8177124 lovani t manica e cia ltda trifil qlb 111</v>
      </c>
      <c r="V640" s="15" t="b">
        <f>IFERROR(__xludf.DUMMYFUNCTION("""COMPUTED_VALUE"""),FALSE)</f>
        <v>0</v>
      </c>
    </row>
    <row r="641">
      <c r="A641" s="19">
        <f>IFERROR(__xludf.DUMMYFUNCTION("""COMPUTED_VALUE"""),46304.0)</f>
        <v>46304</v>
      </c>
      <c r="B641" s="19">
        <f>IFERROR(__xludf.DUMMYFUNCTION("""COMPUTED_VALUE"""),46321.0)</f>
        <v>46321</v>
      </c>
      <c r="C641" s="15">
        <f>IFERROR(__xludf.DUMMYFUNCTION("""COMPUTED_VALUE"""),10.0)</f>
        <v>10</v>
      </c>
      <c r="D641" s="15" t="str">
        <f>IFERROR(__xludf.DUMMYFUNCTION("""COMPUTED_VALUE"""),"RIA")</f>
        <v>RIA</v>
      </c>
      <c r="E641" s="15" t="str">
        <f>IFERROR(__xludf.DUMMYFUNCTION("""COMPUTED_VALUE"""),"LUCILA CELITA DRESCHER SCHUMAC")</f>
        <v>LUCILA CELITA DRESCHER SCHUMAC</v>
      </c>
      <c r="F641" s="15" t="str">
        <f>IFERROR(__xludf.DUMMYFUNCTION("""COMPUTED_VALUE"""),"TRIFIL")</f>
        <v>TRIFIL</v>
      </c>
      <c r="G641" s="15" t="str">
        <f>IFERROR(__xludf.DUMMYFUNCTION("""COMPUTED_VALUE"""),"266807030")</f>
        <v>266807030</v>
      </c>
      <c r="H641" s="15" t="str">
        <f>IFERROR(__xludf.DUMMYFUNCTION("""COMPUTED_VALUE"""),"1306171")</f>
        <v>1306171</v>
      </c>
      <c r="I641" s="15" t="str">
        <f>IFERROR(__xludf.DUMMYFUNCTION("""COMPUTED_VALUE"""),"8177178")</f>
        <v>8177178</v>
      </c>
      <c r="J641" s="15" t="str">
        <f>IFERROR(__xludf.DUMMYFUNCTION("""COMPUTED_VALUE"""),"CIF")</f>
        <v>CIF</v>
      </c>
      <c r="K641" s="15" t="str">
        <f>IFERROR(__xludf.DUMMYFUNCTION("""COMPUTED_VALUE"""),"(sem célula)")</f>
        <v>(sem célula)</v>
      </c>
      <c r="L641" s="15" t="str">
        <f>IFERROR(__xludf.DUMMYFUNCTION("""COMPUTED_VALUE"""),"AUTORIZADO")</f>
        <v>AUTORIZADO</v>
      </c>
      <c r="M641" s="15" t="str">
        <f>IFERROR(__xludf.DUMMYFUNCTION("""COMPUTED_VALUE"""),"NA ORIGEM")</f>
        <v>NA ORIGEM</v>
      </c>
      <c r="N641" s="15" t="str">
        <f>IFERROR(__xludf.DUMMYFUNCTION("""COMPUTED_VALUE"""),"Antes Prazo")</f>
        <v>Antes Prazo</v>
      </c>
      <c r="O641" s="15" t="str">
        <f>IFERROR(__xludf.DUMMYFUNCTION("""COMPUTED_VALUE"""),"B2B")</f>
        <v>B2B</v>
      </c>
      <c r="P641" s="16">
        <f>IFERROR(__xludf.DUMMYFUNCTION("""COMPUTED_VALUE"""),67.68)</f>
        <v>67.68</v>
      </c>
      <c r="Q641" s="15">
        <f>IFERROR(__xludf.DUMMYFUNCTION("""COMPUTED_VALUE"""),1.0)</f>
        <v>1</v>
      </c>
      <c r="R641" s="15" t="str">
        <f>IFERROR(__xludf.DUMMYFUNCTION("""COMPUTED_VALUE"""),"RODO")</f>
        <v>RODO</v>
      </c>
      <c r="S641" s="15" t="str">
        <f>IFERROR(__xludf.DUMMYFUNCTION("""COMPUTED_VALUE"""),"ITN")</f>
        <v>ITN</v>
      </c>
      <c r="T641" s="15" t="str">
        <f>IFERROR(__xludf.DUMMYFUNCTION("""COMPUTED_VALUE"""),"103")</f>
        <v>103</v>
      </c>
      <c r="U641" s="15" t="str">
        <f>IFERROR(__xludf.DUMMYFUNCTION("""COMPUTED_VALUE"""),"266807030 1306171 8177178 lucila celita drescher schumac trifil ria 103")</f>
        <v>266807030 1306171 8177178 lucila celita drescher schumac trifil ria 103</v>
      </c>
      <c r="V641" s="15" t="b">
        <f>IFERROR(__xludf.DUMMYFUNCTION("""COMPUTED_VALUE"""),FALSE)</f>
        <v>0</v>
      </c>
    </row>
    <row r="642">
      <c r="A642" s="19">
        <f>IFERROR(__xludf.DUMMYFUNCTION("""COMPUTED_VALUE"""),46304.0)</f>
        <v>46304</v>
      </c>
      <c r="B642" s="19">
        <f>IFERROR(__xludf.DUMMYFUNCTION("""COMPUTED_VALUE"""),46322.0)</f>
        <v>46322</v>
      </c>
      <c r="C642" s="15">
        <f>IFERROR(__xludf.DUMMYFUNCTION("""COMPUTED_VALUE"""),11.0)</f>
        <v>11</v>
      </c>
      <c r="D642" s="15" t="str">
        <f>IFERROR(__xludf.DUMMYFUNCTION("""COMPUTED_VALUE"""),"RIA")</f>
        <v>RIA</v>
      </c>
      <c r="E642" s="15" t="str">
        <f>IFERROR(__xludf.DUMMYFUNCTION("""COMPUTED_VALUE"""),"MARILICA CONFECÇOES LTDA")</f>
        <v>MARILICA CONFECÇOES LTDA</v>
      </c>
      <c r="F642" s="15" t="str">
        <f>IFERROR(__xludf.DUMMYFUNCTION("""COMPUTED_VALUE"""),"TRIFIL")</f>
        <v>TRIFIL</v>
      </c>
      <c r="G642" s="15" t="str">
        <f>IFERROR(__xludf.DUMMYFUNCTION("""COMPUTED_VALUE"""),"266807032")</f>
        <v>266807032</v>
      </c>
      <c r="H642" s="15" t="str">
        <f>IFERROR(__xludf.DUMMYFUNCTION("""COMPUTED_VALUE"""),"1306233")</f>
        <v>1306233</v>
      </c>
      <c r="I642" s="15" t="str">
        <f>IFERROR(__xludf.DUMMYFUNCTION("""COMPUTED_VALUE"""),"8177208")</f>
        <v>8177208</v>
      </c>
      <c r="J642" s="15" t="str">
        <f>IFERROR(__xludf.DUMMYFUNCTION("""COMPUTED_VALUE"""),"CIF")</f>
        <v>CIF</v>
      </c>
      <c r="K642" s="15" t="str">
        <f>IFERROR(__xludf.DUMMYFUNCTION("""COMPUTED_VALUE"""),"(sem célula)")</f>
        <v>(sem célula)</v>
      </c>
      <c r="L642" s="15" t="str">
        <f>IFERROR(__xludf.DUMMYFUNCTION("""COMPUTED_VALUE"""),"AUTORIZADO")</f>
        <v>AUTORIZADO</v>
      </c>
      <c r="M642" s="15" t="str">
        <f>IFERROR(__xludf.DUMMYFUNCTION("""COMPUTED_VALUE"""),"NA ORIGEM")</f>
        <v>NA ORIGEM</v>
      </c>
      <c r="N642" s="15" t="str">
        <f>IFERROR(__xludf.DUMMYFUNCTION("""COMPUTED_VALUE"""),"Antes Prazo")</f>
        <v>Antes Prazo</v>
      </c>
      <c r="O642" s="15" t="str">
        <f>IFERROR(__xludf.DUMMYFUNCTION("""COMPUTED_VALUE"""),"B2B")</f>
        <v>B2B</v>
      </c>
      <c r="P642" s="16">
        <f>IFERROR(__xludf.DUMMYFUNCTION("""COMPUTED_VALUE"""),67.68)</f>
        <v>67.68</v>
      </c>
      <c r="Q642" s="15">
        <f>IFERROR(__xludf.DUMMYFUNCTION("""COMPUTED_VALUE"""),1.0)</f>
        <v>1</v>
      </c>
      <c r="R642" s="15" t="str">
        <f>IFERROR(__xludf.DUMMYFUNCTION("""COMPUTED_VALUE"""),"RODO")</f>
        <v>RODO</v>
      </c>
      <c r="S642" s="15" t="str">
        <f>IFERROR(__xludf.DUMMYFUNCTION("""COMPUTED_VALUE"""),"ITN")</f>
        <v>ITN</v>
      </c>
      <c r="T642" s="15" t="str">
        <f>IFERROR(__xludf.DUMMYFUNCTION("""COMPUTED_VALUE"""),"106")</f>
        <v>106</v>
      </c>
      <c r="U642" s="15" t="str">
        <f>IFERROR(__xludf.DUMMYFUNCTION("""COMPUTED_VALUE"""),"266807032 1306233 8177208 marilica confecçoes ltda trifil ria 106")</f>
        <v>266807032 1306233 8177208 marilica confecçoes ltda trifil ria 106</v>
      </c>
      <c r="V642" s="15" t="b">
        <f>IFERROR(__xludf.DUMMYFUNCTION("""COMPUTED_VALUE"""),FALSE)</f>
        <v>0</v>
      </c>
    </row>
    <row r="643">
      <c r="A643" s="19">
        <f>IFERROR(__xludf.DUMMYFUNCTION("""COMPUTED_VALUE"""),46304.0)</f>
        <v>46304</v>
      </c>
      <c r="B643" s="19">
        <f>IFERROR(__xludf.DUMMYFUNCTION("""COMPUTED_VALUE"""),46316.0)</f>
        <v>46316</v>
      </c>
      <c r="C643" s="15">
        <f>IFERROR(__xludf.DUMMYFUNCTION("""COMPUTED_VALUE"""),7.0)</f>
        <v>7</v>
      </c>
      <c r="D643" s="15" t="str">
        <f>IFERROR(__xludf.DUMMYFUNCTION("""COMPUTED_VALUE"""),"ABS")</f>
        <v>ABS</v>
      </c>
      <c r="E643" s="15" t="str">
        <f>IFERROR(__xludf.DUMMYFUNCTION("""COMPUTED_VALUE"""),"CAMPO DAS MEIAS LTDA EPP")</f>
        <v>CAMPO DAS MEIAS LTDA EPP</v>
      </c>
      <c r="F643" s="15" t="str">
        <f>IFERROR(__xludf.DUMMYFUNCTION("""COMPUTED_VALUE"""),"TRIFIL")</f>
        <v>TRIFIL</v>
      </c>
      <c r="G643" s="15" t="str">
        <f>IFERROR(__xludf.DUMMYFUNCTION("""COMPUTED_VALUE"""),"266807034")</f>
        <v>266807034</v>
      </c>
      <c r="H643" s="15" t="str">
        <f>IFERROR(__xludf.DUMMYFUNCTION("""COMPUTED_VALUE"""),"1305909")</f>
        <v>1305909</v>
      </c>
      <c r="I643" s="15" t="str">
        <f>IFERROR(__xludf.DUMMYFUNCTION("""COMPUTED_VALUE"""),"8177313")</f>
        <v>8177313</v>
      </c>
      <c r="J643" s="15" t="str">
        <f>IFERROR(__xludf.DUMMYFUNCTION("""COMPUTED_VALUE"""),"CIF")</f>
        <v>CIF</v>
      </c>
      <c r="K643" s="15" t="str">
        <f>IFERROR(__xludf.DUMMYFUNCTION("""COMPUTED_VALUE"""),"(sem célula)")</f>
        <v>(sem célula)</v>
      </c>
      <c r="L643" s="15" t="str">
        <f>IFERROR(__xludf.DUMMYFUNCTION("""COMPUTED_VALUE"""),"AUTORIZADO")</f>
        <v>AUTORIZADO</v>
      </c>
      <c r="M643" s="15" t="str">
        <f>IFERROR(__xludf.DUMMYFUNCTION("""COMPUTED_VALUE"""),"NA ORIGEM")</f>
        <v>NA ORIGEM</v>
      </c>
      <c r="N643" s="15" t="str">
        <f>IFERROR(__xludf.DUMMYFUNCTION("""COMPUTED_VALUE"""),"Antes Prazo")</f>
        <v>Antes Prazo</v>
      </c>
      <c r="O643" s="15" t="str">
        <f>IFERROR(__xludf.DUMMYFUNCTION("""COMPUTED_VALUE"""),"B2B")</f>
        <v>B2B</v>
      </c>
      <c r="P643" s="16">
        <f>IFERROR(__xludf.DUMMYFUNCTION("""COMPUTED_VALUE"""),45.49)</f>
        <v>45.49</v>
      </c>
      <c r="Q643" s="15">
        <f>IFERROR(__xludf.DUMMYFUNCTION("""COMPUTED_VALUE"""),1.0)</f>
        <v>1</v>
      </c>
      <c r="R643" s="15" t="str">
        <f>IFERROR(__xludf.DUMMYFUNCTION("""COMPUTED_VALUE"""),"RODO")</f>
        <v>RODO</v>
      </c>
      <c r="S643" s="15" t="str">
        <f>IFERROR(__xludf.DUMMYFUNCTION("""COMPUTED_VALUE"""),"ITN")</f>
        <v>ITN</v>
      </c>
      <c r="T643" s="15" t="str">
        <f>IFERROR(__xludf.DUMMYFUNCTION("""COMPUTED_VALUE"""),"970")</f>
        <v>970</v>
      </c>
      <c r="U643" s="15" t="str">
        <f>IFERROR(__xludf.DUMMYFUNCTION("""COMPUTED_VALUE"""),"266807034 1305909 8177313 campo das meias ltda epp trifil abs 970")</f>
        <v>266807034 1305909 8177313 campo das meias ltda epp trifil abs 970</v>
      </c>
      <c r="V643" s="15" t="b">
        <f>IFERROR(__xludf.DUMMYFUNCTION("""COMPUTED_VALUE"""),FALSE)</f>
        <v>0</v>
      </c>
    </row>
    <row r="644">
      <c r="A644" s="19">
        <f>IFERROR(__xludf.DUMMYFUNCTION("""COMPUTED_VALUE"""),46304.0)</f>
        <v>46304</v>
      </c>
      <c r="B644" s="19">
        <f>IFERROR(__xludf.DUMMYFUNCTION("""COMPUTED_VALUE"""),46321.0)</f>
        <v>46321</v>
      </c>
      <c r="C644" s="15">
        <f>IFERROR(__xludf.DUMMYFUNCTION("""COMPUTED_VALUE"""),10.0)</f>
        <v>10</v>
      </c>
      <c r="D644" s="15" t="str">
        <f>IFERROR(__xludf.DUMMYFUNCTION("""COMPUTED_VALUE"""),"URG")</f>
        <v>URG</v>
      </c>
      <c r="E644" s="15" t="str">
        <f>IFERROR(__xludf.DUMMYFUNCTION("""COMPUTED_VALUE"""),"TOMI CONFECCOES MODA INTIMA")</f>
        <v>TOMI CONFECCOES MODA INTIMA</v>
      </c>
      <c r="F644" s="15" t="str">
        <f>IFERROR(__xludf.DUMMYFUNCTION("""COMPUTED_VALUE"""),"TRIFIL")</f>
        <v>TRIFIL</v>
      </c>
      <c r="G644" s="15" t="str">
        <f>IFERROR(__xludf.DUMMYFUNCTION("""COMPUTED_VALUE"""),"266807037")</f>
        <v>266807037</v>
      </c>
      <c r="H644" s="15" t="str">
        <f>IFERROR(__xludf.DUMMYFUNCTION("""COMPUTED_VALUE"""),"1306123")</f>
        <v>1306123</v>
      </c>
      <c r="I644" s="15" t="str">
        <f>IFERROR(__xludf.DUMMYFUNCTION("""COMPUTED_VALUE"""),"8177338")</f>
        <v>8177338</v>
      </c>
      <c r="J644" s="15" t="str">
        <f>IFERROR(__xludf.DUMMYFUNCTION("""COMPUTED_VALUE"""),"CIF")</f>
        <v>CIF</v>
      </c>
      <c r="K644" s="15" t="str">
        <f>IFERROR(__xludf.DUMMYFUNCTION("""COMPUTED_VALUE"""),"FSA-1")</f>
        <v>FSA-1</v>
      </c>
      <c r="L644" s="15" t="str">
        <f>IFERROR(__xludf.DUMMYFUNCTION("""COMPUTED_VALUE"""),"AUTORIZADO")</f>
        <v>AUTORIZADO</v>
      </c>
      <c r="M644" s="15" t="str">
        <f>IFERROR(__xludf.DUMMYFUNCTION("""COMPUTED_VALUE"""),"NA ORIGEM")</f>
        <v>NA ORIGEM</v>
      </c>
      <c r="N644" s="15" t="str">
        <f>IFERROR(__xludf.DUMMYFUNCTION("""COMPUTED_VALUE"""),"Antes Prazo")</f>
        <v>Antes Prazo</v>
      </c>
      <c r="O644" s="15" t="str">
        <f>IFERROR(__xludf.DUMMYFUNCTION("""COMPUTED_VALUE"""),"B2B")</f>
        <v>B2B</v>
      </c>
      <c r="P644" s="16">
        <f>IFERROR(__xludf.DUMMYFUNCTION("""COMPUTED_VALUE"""),60.04)</f>
        <v>60.04</v>
      </c>
      <c r="Q644" s="15">
        <f>IFERROR(__xludf.DUMMYFUNCTION("""COMPUTED_VALUE"""),3.0)</f>
        <v>3</v>
      </c>
      <c r="R644" s="15" t="str">
        <f>IFERROR(__xludf.DUMMYFUNCTION("""COMPUTED_VALUE"""),"RODO")</f>
        <v>RODO</v>
      </c>
      <c r="S644" s="15" t="str">
        <f>IFERROR(__xludf.DUMMYFUNCTION("""COMPUTED_VALUE"""),"ITN")</f>
        <v>ITN</v>
      </c>
      <c r="T644" s="15" t="str">
        <f>IFERROR(__xludf.DUMMYFUNCTION("""COMPUTED_VALUE"""),"1")</f>
        <v>1</v>
      </c>
      <c r="U644" s="15" t="str">
        <f>IFERROR(__xludf.DUMMYFUNCTION("""COMPUTED_VALUE"""),"266807037 1306123 8177338 tomi confeccoes moda intima trifil urg 1")</f>
        <v>266807037 1306123 8177338 tomi confeccoes moda intima trifil urg 1</v>
      </c>
      <c r="V644" s="15" t="b">
        <f>IFERROR(__xludf.DUMMYFUNCTION("""COMPUTED_VALUE"""),FALSE)</f>
        <v>0</v>
      </c>
    </row>
    <row r="645">
      <c r="A645" s="19">
        <f>IFERROR(__xludf.DUMMYFUNCTION("""COMPUTED_VALUE"""),46304.0)</f>
        <v>46304</v>
      </c>
      <c r="B645" s="19">
        <f>IFERROR(__xludf.DUMMYFUNCTION("""COMPUTED_VALUE"""),46325.0)</f>
        <v>46325</v>
      </c>
      <c r="C645" s="15">
        <f>IFERROR(__xludf.DUMMYFUNCTION("""COMPUTED_VALUE"""),14.0)</f>
        <v>14</v>
      </c>
      <c r="D645" s="15" t="str">
        <f>IFERROR(__xludf.DUMMYFUNCTION("""COMPUTED_VALUE"""),"PFB")</f>
        <v>PFB</v>
      </c>
      <c r="E645" s="15" t="str">
        <f>IFERROR(__xludf.DUMMYFUNCTION("""COMPUTED_VALUE"""),"TIAGO LUIZ NORONHA")</f>
        <v>TIAGO LUIZ NORONHA</v>
      </c>
      <c r="F645" s="15" t="str">
        <f>IFERROR(__xludf.DUMMYFUNCTION("""COMPUTED_VALUE"""),"TRIFIL")</f>
        <v>TRIFIL</v>
      </c>
      <c r="G645" s="15" t="str">
        <f>IFERROR(__xludf.DUMMYFUNCTION("""COMPUTED_VALUE"""),"266807039")</f>
        <v>266807039</v>
      </c>
      <c r="H645" s="15" t="str">
        <f>IFERROR(__xludf.DUMMYFUNCTION("""COMPUTED_VALUE"""),"1306183")</f>
        <v>1306183</v>
      </c>
      <c r="I645" s="15" t="str">
        <f>IFERROR(__xludf.DUMMYFUNCTION("""COMPUTED_VALUE"""),"8177236")</f>
        <v>8177236</v>
      </c>
      <c r="J645" s="15" t="str">
        <f>IFERROR(__xludf.DUMMYFUNCTION("""COMPUTED_VALUE"""),"CIF")</f>
        <v>CIF</v>
      </c>
      <c r="K645" s="15" t="str">
        <f>IFERROR(__xludf.DUMMYFUNCTION("""COMPUTED_VALUE"""),"FSA-1")</f>
        <v>FSA-1</v>
      </c>
      <c r="L645" s="15" t="str">
        <f>IFERROR(__xludf.DUMMYFUNCTION("""COMPUTED_VALUE"""),"AUTORIZADO")</f>
        <v>AUTORIZADO</v>
      </c>
      <c r="M645" s="15" t="str">
        <f>IFERROR(__xludf.DUMMYFUNCTION("""COMPUTED_VALUE"""),"NA ORIGEM")</f>
        <v>NA ORIGEM</v>
      </c>
      <c r="N645" s="15" t="str">
        <f>IFERROR(__xludf.DUMMYFUNCTION("""COMPUTED_VALUE"""),"Antes Prazo")</f>
        <v>Antes Prazo</v>
      </c>
      <c r="O645" s="15" t="str">
        <f>IFERROR(__xludf.DUMMYFUNCTION("""COMPUTED_VALUE"""),"B2B")</f>
        <v>B2B</v>
      </c>
      <c r="P645" s="16">
        <f>IFERROR(__xludf.DUMMYFUNCTION("""COMPUTED_VALUE"""),67.68)</f>
        <v>67.68</v>
      </c>
      <c r="Q645" s="15">
        <f>IFERROR(__xludf.DUMMYFUNCTION("""COMPUTED_VALUE"""),1.0)</f>
        <v>1</v>
      </c>
      <c r="R645" s="15" t="str">
        <f>IFERROR(__xludf.DUMMYFUNCTION("""COMPUTED_VALUE"""),"RODO")</f>
        <v>RODO</v>
      </c>
      <c r="S645" s="15" t="str">
        <f>IFERROR(__xludf.DUMMYFUNCTION("""COMPUTED_VALUE"""),"ITN")</f>
        <v>ITN</v>
      </c>
      <c r="T645" s="15" t="str">
        <f>IFERROR(__xludf.DUMMYFUNCTION("""COMPUTED_VALUE"""),"108")</f>
        <v>108</v>
      </c>
      <c r="U645" s="15" t="str">
        <f>IFERROR(__xludf.DUMMYFUNCTION("""COMPUTED_VALUE"""),"266807039 1306183 8177236 tiago luiz noronha trifil pfb 108")</f>
        <v>266807039 1306183 8177236 tiago luiz noronha trifil pfb 108</v>
      </c>
      <c r="V645" s="15" t="b">
        <f>IFERROR(__xludf.DUMMYFUNCTION("""COMPUTED_VALUE"""),FALSE)</f>
        <v>0</v>
      </c>
    </row>
    <row r="646">
      <c r="A646" s="19">
        <f>IFERROR(__xludf.DUMMYFUNCTION("""COMPUTED_VALUE"""),46304.0)</f>
        <v>46304</v>
      </c>
      <c r="B646" s="19">
        <f>IFERROR(__xludf.DUMMYFUNCTION("""COMPUTED_VALUE"""),46329.0)</f>
        <v>46329</v>
      </c>
      <c r="C646" s="15">
        <f>IFERROR(__xludf.DUMMYFUNCTION("""COMPUTED_VALUE"""),15.0)</f>
        <v>15</v>
      </c>
      <c r="D646" s="15" t="str">
        <f>IFERROR(__xludf.DUMMYFUNCTION("""COMPUTED_VALUE"""),"GEL")</f>
        <v>GEL</v>
      </c>
      <c r="E646" s="15" t="str">
        <f>IFERROR(__xludf.DUMMYFUNCTION("""COMPUTED_VALUE"""),"LUIS CARLOS SEIBEL")</f>
        <v>LUIS CARLOS SEIBEL</v>
      </c>
      <c r="F646" s="15" t="str">
        <f>IFERROR(__xludf.DUMMYFUNCTION("""COMPUTED_VALUE"""),"TRIFIL")</f>
        <v>TRIFIL</v>
      </c>
      <c r="G646" s="15" t="str">
        <f>IFERROR(__xludf.DUMMYFUNCTION("""COMPUTED_VALUE"""),"266807042")</f>
        <v>266807042</v>
      </c>
      <c r="H646" s="15" t="str">
        <f>IFERROR(__xludf.DUMMYFUNCTION("""COMPUTED_VALUE"""),"1306238")</f>
        <v>1306238</v>
      </c>
      <c r="I646" s="15" t="str">
        <f>IFERROR(__xludf.DUMMYFUNCTION("""COMPUTED_VALUE"""),"8177209")</f>
        <v>8177209</v>
      </c>
      <c r="J646" s="15" t="str">
        <f>IFERROR(__xludf.DUMMYFUNCTION("""COMPUTED_VALUE"""),"CIF")</f>
        <v>CIF</v>
      </c>
      <c r="K646" s="15" t="str">
        <f>IFERROR(__xludf.DUMMYFUNCTION("""COMPUTED_VALUE"""),"FSA-1")</f>
        <v>FSA-1</v>
      </c>
      <c r="L646" s="15" t="str">
        <f>IFERROR(__xludf.DUMMYFUNCTION("""COMPUTED_VALUE"""),"AUTORIZADO")</f>
        <v>AUTORIZADO</v>
      </c>
      <c r="M646" s="15" t="str">
        <f>IFERROR(__xludf.DUMMYFUNCTION("""COMPUTED_VALUE"""),"NA ORIGEM")</f>
        <v>NA ORIGEM</v>
      </c>
      <c r="N646" s="15" t="str">
        <f>IFERROR(__xludf.DUMMYFUNCTION("""COMPUTED_VALUE"""),"Antes Prazo")</f>
        <v>Antes Prazo</v>
      </c>
      <c r="O646" s="15" t="str">
        <f>IFERROR(__xludf.DUMMYFUNCTION("""COMPUTED_VALUE"""),"B2B")</f>
        <v>B2B</v>
      </c>
      <c r="P646" s="16">
        <f>IFERROR(__xludf.DUMMYFUNCTION("""COMPUTED_VALUE"""),67.68)</f>
        <v>67.68</v>
      </c>
      <c r="Q646" s="15">
        <f>IFERROR(__xludf.DUMMYFUNCTION("""COMPUTED_VALUE"""),1.0)</f>
        <v>1</v>
      </c>
      <c r="R646" s="15" t="str">
        <f>IFERROR(__xludf.DUMMYFUNCTION("""COMPUTED_VALUE"""),"RODO")</f>
        <v>RODO</v>
      </c>
      <c r="S646" s="15" t="str">
        <f>IFERROR(__xludf.DUMMYFUNCTION("""COMPUTED_VALUE"""),"ITN")</f>
        <v>ITN</v>
      </c>
      <c r="T646" s="15" t="str">
        <f>IFERROR(__xludf.DUMMYFUNCTION("""COMPUTED_VALUE"""),"106")</f>
        <v>106</v>
      </c>
      <c r="U646" s="15" t="str">
        <f>IFERROR(__xludf.DUMMYFUNCTION("""COMPUTED_VALUE"""),"266807042 1306238 8177209 luis carlos seibel trifil gel 106")</f>
        <v>266807042 1306238 8177209 luis carlos seibel trifil gel 106</v>
      </c>
      <c r="V646" s="15" t="b">
        <f>IFERROR(__xludf.DUMMYFUNCTION("""COMPUTED_VALUE"""),FALSE)</f>
        <v>0</v>
      </c>
    </row>
    <row r="647">
      <c r="A647" s="19">
        <f>IFERROR(__xludf.DUMMYFUNCTION("""COMPUTED_VALUE"""),46304.0)</f>
        <v>46304</v>
      </c>
      <c r="B647" s="19">
        <f>IFERROR(__xludf.DUMMYFUNCTION("""COMPUTED_VALUE"""),46325.0)</f>
        <v>46325</v>
      </c>
      <c r="C647" s="15">
        <f>IFERROR(__xludf.DUMMYFUNCTION("""COMPUTED_VALUE"""),14.0)</f>
        <v>14</v>
      </c>
      <c r="D647" s="15" t="str">
        <f>IFERROR(__xludf.DUMMYFUNCTION("""COMPUTED_VALUE"""),"GEL")</f>
        <v>GEL</v>
      </c>
      <c r="E647" s="15" t="str">
        <f>IFERROR(__xludf.DUMMYFUNCTION("""COMPUTED_VALUE"""),"OLYMPIKA ESPORTES E CONFECCOES")</f>
        <v>OLYMPIKA ESPORTES E CONFECCOES</v>
      </c>
      <c r="F647" s="15" t="str">
        <f>IFERROR(__xludf.DUMMYFUNCTION("""COMPUTED_VALUE"""),"TRIFIL")</f>
        <v>TRIFIL</v>
      </c>
      <c r="G647" s="15" t="str">
        <f>IFERROR(__xludf.DUMMYFUNCTION("""COMPUTED_VALUE"""),"266807045")</f>
        <v>266807045</v>
      </c>
      <c r="H647" s="15" t="str">
        <f>IFERROR(__xludf.DUMMYFUNCTION("""COMPUTED_VALUE"""),"1306281")</f>
        <v>1306281</v>
      </c>
      <c r="I647" s="15" t="str">
        <f>IFERROR(__xludf.DUMMYFUNCTION("""COMPUTED_VALUE"""),"8177179")</f>
        <v>8177179</v>
      </c>
      <c r="J647" s="15" t="str">
        <f>IFERROR(__xludf.DUMMYFUNCTION("""COMPUTED_VALUE"""),"CIF")</f>
        <v>CIF</v>
      </c>
      <c r="K647" s="15" t="str">
        <f>IFERROR(__xludf.DUMMYFUNCTION("""COMPUTED_VALUE"""),"FSA-1")</f>
        <v>FSA-1</v>
      </c>
      <c r="L647" s="15" t="str">
        <f>IFERROR(__xludf.DUMMYFUNCTION("""COMPUTED_VALUE"""),"AUTORIZADO")</f>
        <v>AUTORIZADO</v>
      </c>
      <c r="M647" s="15" t="str">
        <f>IFERROR(__xludf.DUMMYFUNCTION("""COMPUTED_VALUE"""),"NA ORIGEM")</f>
        <v>NA ORIGEM</v>
      </c>
      <c r="N647" s="15" t="str">
        <f>IFERROR(__xludf.DUMMYFUNCTION("""COMPUTED_VALUE"""),"Antes Prazo")</f>
        <v>Antes Prazo</v>
      </c>
      <c r="O647" s="15" t="str">
        <f>IFERROR(__xludf.DUMMYFUNCTION("""COMPUTED_VALUE"""),"B2B")</f>
        <v>B2B</v>
      </c>
      <c r="P647" s="16">
        <f>IFERROR(__xludf.DUMMYFUNCTION("""COMPUTED_VALUE"""),67.68)</f>
        <v>67.68</v>
      </c>
      <c r="Q647" s="15">
        <f>IFERROR(__xludf.DUMMYFUNCTION("""COMPUTED_VALUE"""),1.0)</f>
        <v>1</v>
      </c>
      <c r="R647" s="15" t="str">
        <f>IFERROR(__xludf.DUMMYFUNCTION("""COMPUTED_VALUE"""),"RODO")</f>
        <v>RODO</v>
      </c>
      <c r="S647" s="15" t="str">
        <f>IFERROR(__xludf.DUMMYFUNCTION("""COMPUTED_VALUE"""),"ITN")</f>
        <v>ITN</v>
      </c>
      <c r="T647" s="15" t="str">
        <f>IFERROR(__xludf.DUMMYFUNCTION("""COMPUTED_VALUE"""),"106")</f>
        <v>106</v>
      </c>
      <c r="U647" s="15" t="str">
        <f>IFERROR(__xludf.DUMMYFUNCTION("""COMPUTED_VALUE"""),"266807045 1306281 8177179 olympika esportes e confeccoes trifil gel 106")</f>
        <v>266807045 1306281 8177179 olympika esportes e confeccoes trifil gel 106</v>
      </c>
      <c r="V647" s="15" t="b">
        <f>IFERROR(__xludf.DUMMYFUNCTION("""COMPUTED_VALUE"""),FALSE)</f>
        <v>0</v>
      </c>
    </row>
    <row r="648">
      <c r="A648" s="19">
        <f>IFERROR(__xludf.DUMMYFUNCTION("""COMPUTED_VALUE"""),46304.0)</f>
        <v>46304</v>
      </c>
      <c r="B648" s="19">
        <f>IFERROR(__xludf.DUMMYFUNCTION("""COMPUTED_VALUE"""),46325.0)</f>
        <v>46325</v>
      </c>
      <c r="C648" s="15">
        <f>IFERROR(__xludf.DUMMYFUNCTION("""COMPUTED_VALUE"""),14.0)</f>
        <v>14</v>
      </c>
      <c r="D648" s="15" t="str">
        <f>IFERROR(__xludf.DUMMYFUNCTION("""COMPUTED_VALUE"""),"GEL")</f>
        <v>GEL</v>
      </c>
      <c r="E648" s="15" t="str">
        <f>IFERROR(__xludf.DUMMYFUNCTION("""COMPUTED_VALUE"""),"MODA JOVEM")</f>
        <v>MODA JOVEM</v>
      </c>
      <c r="F648" s="15" t="str">
        <f>IFERROR(__xludf.DUMMYFUNCTION("""COMPUTED_VALUE"""),"TRIFIL")</f>
        <v>TRIFIL</v>
      </c>
      <c r="G648" s="15" t="str">
        <f>IFERROR(__xludf.DUMMYFUNCTION("""COMPUTED_VALUE"""),"266807047")</f>
        <v>266807047</v>
      </c>
      <c r="H648" s="15" t="str">
        <f>IFERROR(__xludf.DUMMYFUNCTION("""COMPUTED_VALUE"""),"1306143")</f>
        <v>1306143</v>
      </c>
      <c r="I648" s="15" t="str">
        <f>IFERROR(__xludf.DUMMYFUNCTION("""COMPUTED_VALUE"""),"8177237")</f>
        <v>8177237</v>
      </c>
      <c r="J648" s="15" t="str">
        <f>IFERROR(__xludf.DUMMYFUNCTION("""COMPUTED_VALUE"""),"CIF")</f>
        <v>CIF</v>
      </c>
      <c r="K648" s="15" t="str">
        <f>IFERROR(__xludf.DUMMYFUNCTION("""COMPUTED_VALUE"""),"FSA-1")</f>
        <v>FSA-1</v>
      </c>
      <c r="L648" s="15" t="str">
        <f>IFERROR(__xludf.DUMMYFUNCTION("""COMPUTED_VALUE"""),"AUTORIZADO")</f>
        <v>AUTORIZADO</v>
      </c>
      <c r="M648" s="15" t="str">
        <f>IFERROR(__xludf.DUMMYFUNCTION("""COMPUTED_VALUE"""),"NA ORIGEM")</f>
        <v>NA ORIGEM</v>
      </c>
      <c r="N648" s="15" t="str">
        <f>IFERROR(__xludf.DUMMYFUNCTION("""COMPUTED_VALUE"""),"Antes Prazo")</f>
        <v>Antes Prazo</v>
      </c>
      <c r="O648" s="15" t="str">
        <f>IFERROR(__xludf.DUMMYFUNCTION("""COMPUTED_VALUE"""),"B2B")</f>
        <v>B2B</v>
      </c>
      <c r="P648" s="16">
        <f>IFERROR(__xludf.DUMMYFUNCTION("""COMPUTED_VALUE"""),67.68)</f>
        <v>67.68</v>
      </c>
      <c r="Q648" s="15">
        <f>IFERROR(__xludf.DUMMYFUNCTION("""COMPUTED_VALUE"""),1.0)</f>
        <v>1</v>
      </c>
      <c r="R648" s="15" t="str">
        <f>IFERROR(__xludf.DUMMYFUNCTION("""COMPUTED_VALUE"""),"RODO")</f>
        <v>RODO</v>
      </c>
      <c r="S648" s="15" t="str">
        <f>IFERROR(__xludf.DUMMYFUNCTION("""COMPUTED_VALUE"""),"ITN")</f>
        <v>ITN</v>
      </c>
      <c r="T648" s="15" t="str">
        <f>IFERROR(__xludf.DUMMYFUNCTION("""COMPUTED_VALUE"""),"107")</f>
        <v>107</v>
      </c>
      <c r="U648" s="15" t="str">
        <f>IFERROR(__xludf.DUMMYFUNCTION("""COMPUTED_VALUE"""),"266807047 1306143 8177237 moda jovem trifil gel 107")</f>
        <v>266807047 1306143 8177237 moda jovem trifil gel 107</v>
      </c>
      <c r="V648" s="15" t="b">
        <f>IFERROR(__xludf.DUMMYFUNCTION("""COMPUTED_VALUE"""),FALSE)</f>
        <v>0</v>
      </c>
    </row>
    <row r="649">
      <c r="A649" s="19">
        <f>IFERROR(__xludf.DUMMYFUNCTION("""COMPUTED_VALUE"""),46304.0)</f>
        <v>46304</v>
      </c>
      <c r="B649" s="19">
        <f>IFERROR(__xludf.DUMMYFUNCTION("""COMPUTED_VALUE"""),46318.0)</f>
        <v>46318</v>
      </c>
      <c r="C649" s="15">
        <f>IFERROR(__xludf.DUMMYFUNCTION("""COMPUTED_VALUE"""),9.0)</f>
        <v>9</v>
      </c>
      <c r="D649" s="15" t="str">
        <f>IFERROR(__xludf.DUMMYFUNCTION("""COMPUTED_VALUE"""),"PFB")</f>
        <v>PFB</v>
      </c>
      <c r="E649" s="15" t="str">
        <f>IFERROR(__xludf.DUMMYFUNCTION("""COMPUTED_VALUE"""),"FEIRA DE CALÇADOS")</f>
        <v>FEIRA DE CALÇADOS</v>
      </c>
      <c r="F649" s="15" t="str">
        <f>IFERROR(__xludf.DUMMYFUNCTION("""COMPUTED_VALUE"""),"TRIFIL")</f>
        <v>TRIFIL</v>
      </c>
      <c r="G649" s="15" t="str">
        <f>IFERROR(__xludf.DUMMYFUNCTION("""COMPUTED_VALUE"""),"266807048")</f>
        <v>266807048</v>
      </c>
      <c r="H649" s="15" t="str">
        <f>IFERROR(__xludf.DUMMYFUNCTION("""COMPUTED_VALUE"""),"1306223")</f>
        <v>1306223</v>
      </c>
      <c r="I649" s="15" t="str">
        <f>IFERROR(__xludf.DUMMYFUNCTION("""COMPUTED_VALUE"""),"8177180")</f>
        <v>8177180</v>
      </c>
      <c r="J649" s="15" t="str">
        <f>IFERROR(__xludf.DUMMYFUNCTION("""COMPUTED_VALUE"""),"CIF")</f>
        <v>CIF</v>
      </c>
      <c r="K649" s="15" t="str">
        <f>IFERROR(__xludf.DUMMYFUNCTION("""COMPUTED_VALUE"""),"FSA-1")</f>
        <v>FSA-1</v>
      </c>
      <c r="L649" s="15" t="str">
        <f>IFERROR(__xludf.DUMMYFUNCTION("""COMPUTED_VALUE"""),"AUTORIZADO")</f>
        <v>AUTORIZADO</v>
      </c>
      <c r="M649" s="15" t="str">
        <f>IFERROR(__xludf.DUMMYFUNCTION("""COMPUTED_VALUE"""),"NA ORIGEM")</f>
        <v>NA ORIGEM</v>
      </c>
      <c r="N649" s="15" t="str">
        <f>IFERROR(__xludf.DUMMYFUNCTION("""COMPUTED_VALUE"""),"Antes Prazo")</f>
        <v>Antes Prazo</v>
      </c>
      <c r="O649" s="15" t="str">
        <f>IFERROR(__xludf.DUMMYFUNCTION("""COMPUTED_VALUE"""),"B2B")</f>
        <v>B2B</v>
      </c>
      <c r="P649" s="16">
        <f>IFERROR(__xludf.DUMMYFUNCTION("""COMPUTED_VALUE"""),60.04)</f>
        <v>60.04</v>
      </c>
      <c r="Q649" s="15">
        <f>IFERROR(__xludf.DUMMYFUNCTION("""COMPUTED_VALUE"""),1.0)</f>
        <v>1</v>
      </c>
      <c r="R649" s="15" t="str">
        <f>IFERROR(__xludf.DUMMYFUNCTION("""COMPUTED_VALUE"""),"RODO")</f>
        <v>RODO</v>
      </c>
      <c r="S649" s="15" t="str">
        <f>IFERROR(__xludf.DUMMYFUNCTION("""COMPUTED_VALUE"""),"ITN")</f>
        <v>ITN</v>
      </c>
      <c r="T649" s="15" t="str">
        <f>IFERROR(__xludf.DUMMYFUNCTION("""COMPUTED_VALUE"""),"3")</f>
        <v>3</v>
      </c>
      <c r="U649" s="15" t="str">
        <f>IFERROR(__xludf.DUMMYFUNCTION("""COMPUTED_VALUE"""),"266807048 1306223 8177180 feira de calçados trifil pfb 3")</f>
        <v>266807048 1306223 8177180 feira de calçados trifil pfb 3</v>
      </c>
      <c r="V649" s="15" t="b">
        <f>IFERROR(__xludf.DUMMYFUNCTION("""COMPUTED_VALUE"""),FALSE)</f>
        <v>0</v>
      </c>
    </row>
    <row r="650">
      <c r="A650" s="19">
        <f>IFERROR(__xludf.DUMMYFUNCTION("""COMPUTED_VALUE"""),46304.0)</f>
        <v>46304</v>
      </c>
      <c r="B650" s="19">
        <f>IFERROR(__xludf.DUMMYFUNCTION("""COMPUTED_VALUE"""),46322.0)</f>
        <v>46322</v>
      </c>
      <c r="C650" s="15">
        <f>IFERROR(__xludf.DUMMYFUNCTION("""COMPUTED_VALUE"""),11.0)</f>
        <v>11</v>
      </c>
      <c r="D650" s="15" t="str">
        <f>IFERROR(__xludf.DUMMYFUNCTION("""COMPUTED_VALUE"""),"CXJ")</f>
        <v>CXJ</v>
      </c>
      <c r="E650" s="15" t="str">
        <f>IFERROR(__xludf.DUMMYFUNCTION("""COMPUTED_VALUE"""),"50.002.793 THAISY DALILA FACCIO ECCO")</f>
        <v>50.002.793 THAISY DALILA FACCIO ECCO</v>
      </c>
      <c r="F650" s="15" t="str">
        <f>IFERROR(__xludf.DUMMYFUNCTION("""COMPUTED_VALUE"""),"TRIFIL")</f>
        <v>TRIFIL</v>
      </c>
      <c r="G650" s="15" t="str">
        <f>IFERROR(__xludf.DUMMYFUNCTION("""COMPUTED_VALUE"""),"266807049")</f>
        <v>266807049</v>
      </c>
      <c r="H650" s="15" t="str">
        <f>IFERROR(__xludf.DUMMYFUNCTION("""COMPUTED_VALUE"""),"1306182")</f>
        <v>1306182</v>
      </c>
      <c r="I650" s="15" t="str">
        <f>IFERROR(__xludf.DUMMYFUNCTION("""COMPUTED_VALUE"""),"8177282")</f>
        <v>8177282</v>
      </c>
      <c r="J650" s="15" t="str">
        <f>IFERROR(__xludf.DUMMYFUNCTION("""COMPUTED_VALUE"""),"CIF")</f>
        <v>CIF</v>
      </c>
      <c r="K650" s="15" t="str">
        <f>IFERROR(__xludf.DUMMYFUNCTION("""COMPUTED_VALUE"""),"FSA-1")</f>
        <v>FSA-1</v>
      </c>
      <c r="L650" s="15" t="str">
        <f>IFERROR(__xludf.DUMMYFUNCTION("""COMPUTED_VALUE"""),"AUTORIZADO")</f>
        <v>AUTORIZADO</v>
      </c>
      <c r="M650" s="15" t="str">
        <f>IFERROR(__xludf.DUMMYFUNCTION("""COMPUTED_VALUE"""),"NA ORIGEM")</f>
        <v>NA ORIGEM</v>
      </c>
      <c r="N650" s="15" t="str">
        <f>IFERROR(__xludf.DUMMYFUNCTION("""COMPUTED_VALUE"""),"Antes Prazo")</f>
        <v>Antes Prazo</v>
      </c>
      <c r="O650" s="15" t="str">
        <f>IFERROR(__xludf.DUMMYFUNCTION("""COMPUTED_VALUE"""),"B2B")</f>
        <v>B2B</v>
      </c>
      <c r="P650" s="16">
        <f>IFERROR(__xludf.DUMMYFUNCTION("""COMPUTED_VALUE"""),67.68)</f>
        <v>67.68</v>
      </c>
      <c r="Q650" s="15">
        <f>IFERROR(__xludf.DUMMYFUNCTION("""COMPUTED_VALUE"""),1.0)</f>
        <v>1</v>
      </c>
      <c r="R650" s="15" t="str">
        <f>IFERROR(__xludf.DUMMYFUNCTION("""COMPUTED_VALUE"""),"RODO")</f>
        <v>RODO</v>
      </c>
      <c r="S650" s="15" t="str">
        <f>IFERROR(__xludf.DUMMYFUNCTION("""COMPUTED_VALUE"""),"ITN")</f>
        <v>ITN</v>
      </c>
      <c r="T650" s="15" t="str">
        <f>IFERROR(__xludf.DUMMYFUNCTION("""COMPUTED_VALUE"""),"777")</f>
        <v>777</v>
      </c>
      <c r="U650" s="15" t="str">
        <f>IFERROR(__xludf.DUMMYFUNCTION("""COMPUTED_VALUE"""),"266807049 1306182 8177282 50.002.793 thaisy dalila faccio ecco trifil cxj 777")</f>
        <v>266807049 1306182 8177282 50.002.793 thaisy dalila faccio ecco trifil cxj 777</v>
      </c>
      <c r="V650" s="15" t="b">
        <f>IFERROR(__xludf.DUMMYFUNCTION("""COMPUTED_VALUE"""),FALSE)</f>
        <v>0</v>
      </c>
    </row>
    <row r="651">
      <c r="A651" s="19">
        <f>IFERROR(__xludf.DUMMYFUNCTION("""COMPUTED_VALUE"""),46304.0)</f>
        <v>46304</v>
      </c>
      <c r="B651" s="19">
        <f>IFERROR(__xludf.DUMMYFUNCTION("""COMPUTED_VALUE"""),46325.0)</f>
        <v>46325</v>
      </c>
      <c r="C651" s="15">
        <f>IFERROR(__xludf.DUMMYFUNCTION("""COMPUTED_VALUE"""),14.0)</f>
        <v>14</v>
      </c>
      <c r="D651" s="15" t="str">
        <f>IFERROR(__xludf.DUMMYFUNCTION("""COMPUTED_VALUE"""),"PFB")</f>
        <v>PFB</v>
      </c>
      <c r="E651" s="15" t="str">
        <f>IFERROR(__xludf.DUMMYFUNCTION("""COMPUTED_VALUE"""),"BALESTRERRI &amp; BALESTRERRI LTDA")</f>
        <v>BALESTRERRI &amp; BALESTRERRI LTDA</v>
      </c>
      <c r="F651" s="15" t="str">
        <f>IFERROR(__xludf.DUMMYFUNCTION("""COMPUTED_VALUE"""),"TRIFIL")</f>
        <v>TRIFIL</v>
      </c>
      <c r="G651" s="15" t="str">
        <f>IFERROR(__xludf.DUMMYFUNCTION("""COMPUTED_VALUE"""),"266807050")</f>
        <v>266807050</v>
      </c>
      <c r="H651" s="15" t="str">
        <f>IFERROR(__xludf.DUMMYFUNCTION("""COMPUTED_VALUE"""),"1306169")</f>
        <v>1306169</v>
      </c>
      <c r="I651" s="15" t="str">
        <f>IFERROR(__xludf.DUMMYFUNCTION("""COMPUTED_VALUE"""),"8177181")</f>
        <v>8177181</v>
      </c>
      <c r="J651" s="15" t="str">
        <f>IFERROR(__xludf.DUMMYFUNCTION("""COMPUTED_VALUE"""),"CIF")</f>
        <v>CIF</v>
      </c>
      <c r="K651" s="15" t="str">
        <f>IFERROR(__xludf.DUMMYFUNCTION("""COMPUTED_VALUE"""),"FSA-1")</f>
        <v>FSA-1</v>
      </c>
      <c r="L651" s="15" t="str">
        <f>IFERROR(__xludf.DUMMYFUNCTION("""COMPUTED_VALUE"""),"AUTORIZADO")</f>
        <v>AUTORIZADO</v>
      </c>
      <c r="M651" s="15" t="str">
        <f>IFERROR(__xludf.DUMMYFUNCTION("""COMPUTED_VALUE"""),"NA ORIGEM")</f>
        <v>NA ORIGEM</v>
      </c>
      <c r="N651" s="15" t="str">
        <f>IFERROR(__xludf.DUMMYFUNCTION("""COMPUTED_VALUE"""),"Antes Prazo")</f>
        <v>Antes Prazo</v>
      </c>
      <c r="O651" s="15" t="str">
        <f>IFERROR(__xludf.DUMMYFUNCTION("""COMPUTED_VALUE"""),"B2B")</f>
        <v>B2B</v>
      </c>
      <c r="P651" s="16">
        <f>IFERROR(__xludf.DUMMYFUNCTION("""COMPUTED_VALUE"""),67.68)</f>
        <v>67.68</v>
      </c>
      <c r="Q651" s="15">
        <f>IFERROR(__xludf.DUMMYFUNCTION("""COMPUTED_VALUE"""),1.0)</f>
        <v>1</v>
      </c>
      <c r="R651" s="15" t="str">
        <f>IFERROR(__xludf.DUMMYFUNCTION("""COMPUTED_VALUE"""),"RODO")</f>
        <v>RODO</v>
      </c>
      <c r="S651" s="15" t="str">
        <f>IFERROR(__xludf.DUMMYFUNCTION("""COMPUTED_VALUE"""),"ITN")</f>
        <v>ITN</v>
      </c>
      <c r="T651" s="15" t="str">
        <f>IFERROR(__xludf.DUMMYFUNCTION("""COMPUTED_VALUE"""),"105")</f>
        <v>105</v>
      </c>
      <c r="U651" s="15" t="str">
        <f>IFERROR(__xludf.DUMMYFUNCTION("""COMPUTED_VALUE"""),"266807050 1306169 8177181 balestrerri &amp; balestrerri ltda trifil pfb 105")</f>
        <v>266807050 1306169 8177181 balestrerri &amp; balestrerri ltda trifil pfb 105</v>
      </c>
      <c r="V651" s="15" t="b">
        <f>IFERROR(__xludf.DUMMYFUNCTION("""COMPUTED_VALUE"""),FALSE)</f>
        <v>0</v>
      </c>
    </row>
    <row r="652">
      <c r="A652" s="19">
        <f>IFERROR(__xludf.DUMMYFUNCTION("""COMPUTED_VALUE"""),46304.0)</f>
        <v>46304</v>
      </c>
      <c r="B652" s="19">
        <f>IFERROR(__xludf.DUMMYFUNCTION("""COMPUTED_VALUE"""),46324.0)</f>
        <v>46324</v>
      </c>
      <c r="C652" s="15">
        <f>IFERROR(__xludf.DUMMYFUNCTION("""COMPUTED_VALUE"""),13.0)</f>
        <v>13</v>
      </c>
      <c r="D652" s="15" t="str">
        <f>IFERROR(__xludf.DUMMYFUNCTION("""COMPUTED_VALUE"""),"PFB")</f>
        <v>PFB</v>
      </c>
      <c r="E652" s="15" t="str">
        <f>IFERROR(__xludf.DUMMYFUNCTION("""COMPUTED_VALUE"""),"NELSON FRANCISCO RAMOS")</f>
        <v>NELSON FRANCISCO RAMOS</v>
      </c>
      <c r="F652" s="15" t="str">
        <f>IFERROR(__xludf.DUMMYFUNCTION("""COMPUTED_VALUE"""),"TRIFIL")</f>
        <v>TRIFIL</v>
      </c>
      <c r="G652" s="15" t="str">
        <f>IFERROR(__xludf.DUMMYFUNCTION("""COMPUTED_VALUE"""),"266807051")</f>
        <v>266807051</v>
      </c>
      <c r="H652" s="15" t="str">
        <f>IFERROR(__xludf.DUMMYFUNCTION("""COMPUTED_VALUE"""),"1306203")</f>
        <v>1306203</v>
      </c>
      <c r="I652" s="15" t="str">
        <f>IFERROR(__xludf.DUMMYFUNCTION("""COMPUTED_VALUE"""),"8177210")</f>
        <v>8177210</v>
      </c>
      <c r="J652" s="15" t="str">
        <f>IFERROR(__xludf.DUMMYFUNCTION("""COMPUTED_VALUE"""),"CIF")</f>
        <v>CIF</v>
      </c>
      <c r="K652" s="15" t="str">
        <f>IFERROR(__xludf.DUMMYFUNCTION("""COMPUTED_VALUE"""),"FSA-1")</f>
        <v>FSA-1</v>
      </c>
      <c r="L652" s="15" t="str">
        <f>IFERROR(__xludf.DUMMYFUNCTION("""COMPUTED_VALUE"""),"AUTORIZADO")</f>
        <v>AUTORIZADO</v>
      </c>
      <c r="M652" s="15" t="str">
        <f>IFERROR(__xludf.DUMMYFUNCTION("""COMPUTED_VALUE"""),"NA ORIGEM")</f>
        <v>NA ORIGEM</v>
      </c>
      <c r="N652" s="15" t="str">
        <f>IFERROR(__xludf.DUMMYFUNCTION("""COMPUTED_VALUE"""),"Antes Prazo")</f>
        <v>Antes Prazo</v>
      </c>
      <c r="O652" s="15" t="str">
        <f>IFERROR(__xludf.DUMMYFUNCTION("""COMPUTED_VALUE"""),"B2B")</f>
        <v>B2B</v>
      </c>
      <c r="P652" s="16">
        <f>IFERROR(__xludf.DUMMYFUNCTION("""COMPUTED_VALUE"""),67.68)</f>
        <v>67.68</v>
      </c>
      <c r="Q652" s="15">
        <f>IFERROR(__xludf.DUMMYFUNCTION("""COMPUTED_VALUE"""),1.0)</f>
        <v>1</v>
      </c>
      <c r="R652" s="15" t="str">
        <f>IFERROR(__xludf.DUMMYFUNCTION("""COMPUTED_VALUE"""),"RODO")</f>
        <v>RODO</v>
      </c>
      <c r="S652" s="15" t="str">
        <f>IFERROR(__xludf.DUMMYFUNCTION("""COMPUTED_VALUE"""),"ITN")</f>
        <v>ITN</v>
      </c>
      <c r="T652" s="15" t="str">
        <f>IFERROR(__xludf.DUMMYFUNCTION("""COMPUTED_VALUE"""),"105")</f>
        <v>105</v>
      </c>
      <c r="U652" s="15" t="str">
        <f>IFERROR(__xludf.DUMMYFUNCTION("""COMPUTED_VALUE"""),"266807051 1306203 8177210 nelson francisco ramos trifil pfb 105")</f>
        <v>266807051 1306203 8177210 nelson francisco ramos trifil pfb 105</v>
      </c>
      <c r="V652" s="15" t="b">
        <f>IFERROR(__xludf.DUMMYFUNCTION("""COMPUTED_VALUE"""),FALSE)</f>
        <v>0</v>
      </c>
    </row>
    <row r="653">
      <c r="A653" s="19">
        <f>IFERROR(__xludf.DUMMYFUNCTION("""COMPUTED_VALUE"""),46304.0)</f>
        <v>46304</v>
      </c>
      <c r="B653" s="19">
        <f>IFERROR(__xludf.DUMMYFUNCTION("""COMPUTED_VALUE"""),46321.0)</f>
        <v>46321</v>
      </c>
      <c r="C653" s="15">
        <f>IFERROR(__xludf.DUMMYFUNCTION("""COMPUTED_VALUE"""),10.0)</f>
        <v>10</v>
      </c>
      <c r="D653" s="15" t="str">
        <f>IFERROR(__xludf.DUMMYFUNCTION("""COMPUTED_VALUE"""),"PFB")</f>
        <v>PFB</v>
      </c>
      <c r="E653" s="15" t="str">
        <f>IFERROR(__xludf.DUMMYFUNCTION("""COMPUTED_VALUE"""),"COMERCIO DE CONFECCOES KEKO S LTDA")</f>
        <v>COMERCIO DE CONFECCOES KEKO S LTDA</v>
      </c>
      <c r="F653" s="15" t="str">
        <f>IFERROR(__xludf.DUMMYFUNCTION("""COMPUTED_VALUE"""),"TRIFIL")</f>
        <v>TRIFIL</v>
      </c>
      <c r="G653" s="15" t="str">
        <f>IFERROR(__xludf.DUMMYFUNCTION("""COMPUTED_VALUE"""),"266807052")</f>
        <v>266807052</v>
      </c>
      <c r="H653" s="15" t="str">
        <f>IFERROR(__xludf.DUMMYFUNCTION("""COMPUTED_VALUE"""),"1306181")</f>
        <v>1306181</v>
      </c>
      <c r="I653" s="15" t="str">
        <f>IFERROR(__xludf.DUMMYFUNCTION("""COMPUTED_VALUE"""),"8177125")</f>
        <v>8177125</v>
      </c>
      <c r="J653" s="15" t="str">
        <f>IFERROR(__xludf.DUMMYFUNCTION("""COMPUTED_VALUE"""),"CIF")</f>
        <v>CIF</v>
      </c>
      <c r="K653" s="15" t="str">
        <f>IFERROR(__xludf.DUMMYFUNCTION("""COMPUTED_VALUE"""),"FSA-1")</f>
        <v>FSA-1</v>
      </c>
      <c r="L653" s="15" t="str">
        <f>IFERROR(__xludf.DUMMYFUNCTION("""COMPUTED_VALUE"""),"AUTORIZADO")</f>
        <v>AUTORIZADO</v>
      </c>
      <c r="M653" s="15" t="str">
        <f>IFERROR(__xludf.DUMMYFUNCTION("""COMPUTED_VALUE"""),"NA ORIGEM")</f>
        <v>NA ORIGEM</v>
      </c>
      <c r="N653" s="15" t="str">
        <f>IFERROR(__xludf.DUMMYFUNCTION("""COMPUTED_VALUE"""),"Antes Prazo")</f>
        <v>Antes Prazo</v>
      </c>
      <c r="O653" s="15" t="str">
        <f>IFERROR(__xludf.DUMMYFUNCTION("""COMPUTED_VALUE"""),"B2B")</f>
        <v>B2B</v>
      </c>
      <c r="P653" s="16">
        <f>IFERROR(__xludf.DUMMYFUNCTION("""COMPUTED_VALUE"""),67.68)</f>
        <v>67.68</v>
      </c>
      <c r="Q653" s="15">
        <f>IFERROR(__xludf.DUMMYFUNCTION("""COMPUTED_VALUE"""),1.0)</f>
        <v>1</v>
      </c>
      <c r="R653" s="15" t="str">
        <f>IFERROR(__xludf.DUMMYFUNCTION("""COMPUTED_VALUE"""),"RODO")</f>
        <v>RODO</v>
      </c>
      <c r="S653" s="15" t="str">
        <f>IFERROR(__xludf.DUMMYFUNCTION("""COMPUTED_VALUE"""),"ITN")</f>
        <v>ITN</v>
      </c>
      <c r="T653" s="15" t="str">
        <f>IFERROR(__xludf.DUMMYFUNCTION("""COMPUTED_VALUE"""),"103")</f>
        <v>103</v>
      </c>
      <c r="U653" s="15" t="str">
        <f>IFERROR(__xludf.DUMMYFUNCTION("""COMPUTED_VALUE"""),"266807052 1306181 8177125 comercio de confeccoes keko s ltda trifil pfb 103")</f>
        <v>266807052 1306181 8177125 comercio de confeccoes keko s ltda trifil pfb 103</v>
      </c>
      <c r="V653" s="15" t="b">
        <f>IFERROR(__xludf.DUMMYFUNCTION("""COMPUTED_VALUE"""),FALSE)</f>
        <v>0</v>
      </c>
    </row>
    <row r="654">
      <c r="A654" s="19">
        <f>IFERROR(__xludf.DUMMYFUNCTION("""COMPUTED_VALUE"""),46304.0)</f>
        <v>46304</v>
      </c>
      <c r="B654" s="19">
        <f>IFERROR(__xludf.DUMMYFUNCTION("""COMPUTED_VALUE"""),46314.0)</f>
        <v>46314</v>
      </c>
      <c r="C654" s="15">
        <f>IFERROR(__xludf.DUMMYFUNCTION("""COMPUTED_VALUE"""),5.0)</f>
        <v>5</v>
      </c>
      <c r="D654" s="15" t="str">
        <f>IFERROR(__xludf.DUMMYFUNCTION("""COMPUTED_VALUE"""),"V2C")</f>
        <v>V2C</v>
      </c>
      <c r="E654" s="15" t="str">
        <f>IFERROR(__xludf.DUMMYFUNCTION("""COMPUTED_VALUE"""),"LA MODA")</f>
        <v>LA MODA</v>
      </c>
      <c r="F654" s="15" t="str">
        <f>IFERROR(__xludf.DUMMYFUNCTION("""COMPUTED_VALUE"""),"JANINE CAMPOS RODRIGUES 06090904538")</f>
        <v>JANINE CAMPOS RODRIGUES 06090904538</v>
      </c>
      <c r="G654" s="15" t="str">
        <f>IFERROR(__xludf.DUMMYFUNCTION("""COMPUTED_VALUE"""),"266811881")</f>
        <v>266811881</v>
      </c>
      <c r="H654" s="15" t="str">
        <f>IFERROR(__xludf.DUMMYFUNCTION("""COMPUTED_VALUE"""),"71")</f>
        <v>71</v>
      </c>
      <c r="I654" s="15" t="str">
        <f>IFERROR(__xludf.DUMMYFUNCTION("""COMPUTED_VALUE"""),"0")</f>
        <v>0</v>
      </c>
      <c r="J654" s="15" t="str">
        <f>IFERROR(__xludf.DUMMYFUNCTION("""COMPUTED_VALUE"""),"FOB")</f>
        <v>FOB</v>
      </c>
      <c r="K654" s="15" t="str">
        <f>IFERROR(__xludf.DUMMYFUNCTION("""COMPUTED_VALUE"""),"(sem célula)")</f>
        <v>(sem célula)</v>
      </c>
      <c r="L654" s="15" t="str">
        <f>IFERROR(__xludf.DUMMYFUNCTION("""COMPUTED_VALUE"""),"SEM CT-E")</f>
        <v>SEM CT-E</v>
      </c>
      <c r="M654" s="15" t="str">
        <f>IFERROR(__xludf.DUMMYFUNCTION("""COMPUTED_VALUE"""),"NA ORIGEM")</f>
        <v>NA ORIGEM</v>
      </c>
      <c r="N654" s="15" t="str">
        <f>IFERROR(__xludf.DUMMYFUNCTION("""COMPUTED_VALUE"""),"Antes Prazo")</f>
        <v>Antes Prazo</v>
      </c>
      <c r="O654" s="15" t="str">
        <f>IFERROR(__xludf.DUMMYFUNCTION("""COMPUTED_VALUE"""),"(não informada)")</f>
        <v>(não informada)</v>
      </c>
      <c r="P654" s="16">
        <f>IFERROR(__xludf.DUMMYFUNCTION("""COMPUTED_VALUE"""),209.1)</f>
        <v>209.1</v>
      </c>
      <c r="Q654" s="15">
        <f>IFERROR(__xludf.DUMMYFUNCTION("""COMPUTED_VALUE"""),1.0)</f>
        <v>1</v>
      </c>
      <c r="R654" s="15" t="str">
        <f>IFERROR(__xludf.DUMMYFUNCTION("""COMPUTED_VALUE"""),"RODO")</f>
        <v>RODO</v>
      </c>
      <c r="S654" s="15" t="str">
        <f>IFERROR(__xludf.DUMMYFUNCTION("""COMPUTED_VALUE"""),"ITN")</f>
        <v>ITN</v>
      </c>
      <c r="T654" s="15" t="str">
        <f>IFERROR(__xludf.DUMMYFUNCTION("""COMPUTED_VALUE"""),"500")</f>
        <v>500</v>
      </c>
      <c r="U654" s="15" t="str">
        <f>IFERROR(__xludf.DUMMYFUNCTION("""COMPUTED_VALUE"""),"266811881 71 0 la moda janine campos rodrigues 06090904538 v2c 500")</f>
        <v>266811881 71 0 la moda janine campos rodrigues 06090904538 v2c 500</v>
      </c>
      <c r="V654" s="15" t="b">
        <f>IFERROR(__xludf.DUMMYFUNCTION("""COMPUTED_VALUE"""),FALSE)</f>
        <v>0</v>
      </c>
    </row>
    <row r="655">
      <c r="A655" s="19">
        <f>IFERROR(__xludf.DUMMYFUNCTION("""COMPUTED_VALUE"""),46304.0)</f>
        <v>46304</v>
      </c>
      <c r="B655" s="19">
        <f>IFERROR(__xludf.DUMMYFUNCTION("""COMPUTED_VALUE"""),46316.0)</f>
        <v>46316</v>
      </c>
      <c r="C655" s="15">
        <f>IFERROR(__xludf.DUMMYFUNCTION("""COMPUTED_VALUE"""),7.0)</f>
        <v>7</v>
      </c>
      <c r="D655" s="15" t="str">
        <f>IFERROR(__xludf.DUMMYFUNCTION("""COMPUTED_VALUE"""),"LDB")</f>
        <v>LDB</v>
      </c>
      <c r="E655" s="15" t="str">
        <f>IFERROR(__xludf.DUMMYFUNCTION("""COMPUTED_VALUE"""),"WP AUTOPARTS")</f>
        <v>WP AUTOPARTS</v>
      </c>
      <c r="F655" s="15" t="str">
        <f>IFERROR(__xludf.DUMMYFUNCTION("""COMPUTED_VALUE"""),"PRISCILLA SANTOS GUIMARAES")</f>
        <v>PRISCILLA SANTOS GUIMARAES</v>
      </c>
      <c r="G655" s="15" t="str">
        <f>IFERROR(__xludf.DUMMYFUNCTION("""COMPUTED_VALUE"""),"266812150")</f>
        <v>266812150</v>
      </c>
      <c r="H655" s="15" t="str">
        <f>IFERROR(__xludf.DUMMYFUNCTION("""COMPUTED_VALUE"""),"1693")</f>
        <v>1693</v>
      </c>
      <c r="I655" s="15" t="str">
        <f>IFERROR(__xludf.DUMMYFUNCTION("""COMPUTED_VALUE"""),"0")</f>
        <v>0</v>
      </c>
      <c r="J655" s="15" t="str">
        <f>IFERROR(__xludf.DUMMYFUNCTION("""COMPUTED_VALUE"""),"FOB")</f>
        <v>FOB</v>
      </c>
      <c r="K655" s="15" t="str">
        <f>IFERROR(__xludf.DUMMYFUNCTION("""COMPUTED_VALUE"""),"(sem célula)")</f>
        <v>(sem célula)</v>
      </c>
      <c r="L655" s="15" t="str">
        <f>IFERROR(__xludf.DUMMYFUNCTION("""COMPUTED_VALUE"""),"SEM CT-E")</f>
        <v>SEM CT-E</v>
      </c>
      <c r="M655" s="15" t="str">
        <f>IFERROR(__xludf.DUMMYFUNCTION("""COMPUTED_VALUE"""),"NA ORIGEM")</f>
        <v>NA ORIGEM</v>
      </c>
      <c r="N655" s="15" t="str">
        <f>IFERROR(__xludf.DUMMYFUNCTION("""COMPUTED_VALUE"""),"Antes Prazo")</f>
        <v>Antes Prazo</v>
      </c>
      <c r="O655" s="15" t="str">
        <f>IFERROR(__xludf.DUMMYFUNCTION("""COMPUTED_VALUE"""),"(não informada)")</f>
        <v>(não informada)</v>
      </c>
      <c r="P655" s="16">
        <f>IFERROR(__xludf.DUMMYFUNCTION("""COMPUTED_VALUE"""),177.77)</f>
        <v>177.77</v>
      </c>
      <c r="Q655" s="15">
        <f>IFERROR(__xludf.DUMMYFUNCTION("""COMPUTED_VALUE"""),1.0)</f>
        <v>1</v>
      </c>
      <c r="R655" s="15" t="str">
        <f>IFERROR(__xludf.DUMMYFUNCTION("""COMPUTED_VALUE"""),"RODO")</f>
        <v>RODO</v>
      </c>
      <c r="S655" s="15" t="str">
        <f>IFERROR(__xludf.DUMMYFUNCTION("""COMPUTED_VALUE"""),"ITN")</f>
        <v>ITN</v>
      </c>
      <c r="T655" s="15" t="str">
        <f>IFERROR(__xludf.DUMMYFUNCTION("""COMPUTED_VALUE"""),"106")</f>
        <v>106</v>
      </c>
      <c r="U655" s="15" t="str">
        <f>IFERROR(__xludf.DUMMYFUNCTION("""COMPUTED_VALUE"""),"266812150 1693 0 wp autoparts priscilla santos guimaraes ldb 106")</f>
        <v>266812150 1693 0 wp autoparts priscilla santos guimaraes ldb 106</v>
      </c>
      <c r="V655" s="15" t="b">
        <f>IFERROR(__xludf.DUMMYFUNCTION("""COMPUTED_VALUE"""),FALSE)</f>
        <v>0</v>
      </c>
    </row>
    <row r="656">
      <c r="A656" s="19">
        <f>IFERROR(__xludf.DUMMYFUNCTION("""COMPUTED_VALUE"""),46304.0)</f>
        <v>46304</v>
      </c>
      <c r="B656" s="19">
        <f>IFERROR(__xludf.DUMMYFUNCTION("""COMPUTED_VALUE"""),46316.0)</f>
        <v>46316</v>
      </c>
      <c r="C656" s="15">
        <f>IFERROR(__xludf.DUMMYFUNCTION("""COMPUTED_VALUE"""),7.0)</f>
        <v>7</v>
      </c>
      <c r="D656" s="15" t="str">
        <f>IFERROR(__xludf.DUMMYFUNCTION("""COMPUTED_VALUE"""),"ITJ")</f>
        <v>ITJ</v>
      </c>
      <c r="E656" s="15" t="str">
        <f>IFERROR(__xludf.DUMMYFUNCTION("""COMPUTED_VALUE"""),"COLCCI")</f>
        <v>COLCCI</v>
      </c>
      <c r="F656" s="15" t="str">
        <f>IFERROR(__xludf.DUMMYFUNCTION("""COMPUTED_VALUE"""),"FARMACIA LUZ DE EUNAPOLIS")</f>
        <v>FARMACIA LUZ DE EUNAPOLIS</v>
      </c>
      <c r="G656" s="15" t="str">
        <f>IFERROR(__xludf.DUMMYFUNCTION("""COMPUTED_VALUE"""),"266812965")</f>
        <v>266812965</v>
      </c>
      <c r="H656" s="15" t="str">
        <f>IFERROR(__xludf.DUMMYFUNCTION("""COMPUTED_VALUE"""),"310")</f>
        <v>310</v>
      </c>
      <c r="I656" s="15" t="str">
        <f>IFERROR(__xludf.DUMMYFUNCTION("""COMPUTED_VALUE"""),"8177067")</f>
        <v>8177067</v>
      </c>
      <c r="J656" s="15" t="str">
        <f>IFERROR(__xludf.DUMMYFUNCTION("""COMPUTED_VALUE"""),"FOB")</f>
        <v>FOB</v>
      </c>
      <c r="K656" s="15" t="str">
        <f>IFERROR(__xludf.DUMMYFUNCTION("""COMPUTED_VALUE"""),"FSA-1")</f>
        <v>FSA-1</v>
      </c>
      <c r="L656" s="15" t="str">
        <f>IFERROR(__xludf.DUMMYFUNCTION("""COMPUTED_VALUE"""),"AUTORIZADO")</f>
        <v>AUTORIZADO</v>
      </c>
      <c r="M656" s="15" t="str">
        <f>IFERROR(__xludf.DUMMYFUNCTION("""COMPUTED_VALUE"""),"NA ORIGEM")</f>
        <v>NA ORIGEM</v>
      </c>
      <c r="N656" s="15" t="str">
        <f>IFERROR(__xludf.DUMMYFUNCTION("""COMPUTED_VALUE"""),"Antes Prazo")</f>
        <v>Antes Prazo</v>
      </c>
      <c r="O656" s="15" t="str">
        <f>IFERROR(__xludf.DUMMYFUNCTION("""COMPUTED_VALUE"""),"B2B")</f>
        <v>B2B</v>
      </c>
      <c r="P656" s="16">
        <f>IFERROR(__xludf.DUMMYFUNCTION("""COMPUTED_VALUE"""),80.06)</f>
        <v>80.06</v>
      </c>
      <c r="Q656" s="15">
        <f>IFERROR(__xludf.DUMMYFUNCTION("""COMPUTED_VALUE"""),2.0)</f>
        <v>2</v>
      </c>
      <c r="R656" s="15" t="str">
        <f>IFERROR(__xludf.DUMMYFUNCTION("""COMPUTED_VALUE"""),"RODO")</f>
        <v>RODO</v>
      </c>
      <c r="S656" s="15" t="str">
        <f>IFERROR(__xludf.DUMMYFUNCTION("""COMPUTED_VALUE"""),"ITN")</f>
        <v>ITN</v>
      </c>
      <c r="T656" s="15" t="str">
        <f>IFERROR(__xludf.DUMMYFUNCTION("""COMPUTED_VALUE"""),"50")</f>
        <v>50</v>
      </c>
      <c r="U656" s="15" t="str">
        <f>IFERROR(__xludf.DUMMYFUNCTION("""COMPUTED_VALUE"""),"266812965 310 8177067 colcci farmacia luz de eunapolis itj 50")</f>
        <v>266812965 310 8177067 colcci farmacia luz de eunapolis itj 50</v>
      </c>
      <c r="V656" s="15" t="b">
        <f>IFERROR(__xludf.DUMMYFUNCTION("""COMPUTED_VALUE"""),FALSE)</f>
        <v>0</v>
      </c>
    </row>
    <row r="657">
      <c r="A657" s="19">
        <f>IFERROR(__xludf.DUMMYFUNCTION("""COMPUTED_VALUE"""),46304.0)</f>
        <v>46304</v>
      </c>
      <c r="B657" s="19">
        <f>IFERROR(__xludf.DUMMYFUNCTION("""COMPUTED_VALUE"""),46314.0)</f>
        <v>46314</v>
      </c>
      <c r="C657" s="15">
        <f>IFERROR(__xludf.DUMMYFUNCTION("""COMPUTED_VALUE"""),5.0)</f>
        <v>5</v>
      </c>
      <c r="D657" s="15" t="str">
        <f>IFERROR(__xludf.DUMMYFUNCTION("""COMPUTED_VALUE"""),"RIO")</f>
        <v>RIO</v>
      </c>
      <c r="E657" s="15" t="str">
        <f>IFERROR(__xludf.DUMMYFUNCTION("""COMPUTED_VALUE"""),"CIDADE MARAVILHOSA INDUSTRIA E COMERCIO")</f>
        <v>CIDADE MARAVILHOSA INDUSTRIA E COMERCIO</v>
      </c>
      <c r="F657" s="15" t="str">
        <f>IFERROR(__xludf.DUMMYFUNCTION("""COMPUTED_VALUE"""),"Valquiria D El Rey Vieira")</f>
        <v>Valquiria D El Rey Vieira</v>
      </c>
      <c r="G657" s="15" t="str">
        <f>IFERROR(__xludf.DUMMYFUNCTION("""COMPUTED_VALUE"""),"266813765")</f>
        <v>266813765</v>
      </c>
      <c r="H657" s="15" t="str">
        <f>IFERROR(__xludf.DUMMYFUNCTION("""COMPUTED_VALUE"""),"316, 317")</f>
        <v>316, 317</v>
      </c>
      <c r="I657" s="15" t="str">
        <f>IFERROR(__xludf.DUMMYFUNCTION("""COMPUTED_VALUE"""),"8177629")</f>
        <v>8177629</v>
      </c>
      <c r="J657" s="15" t="str">
        <f>IFERROR(__xludf.DUMMYFUNCTION("""COMPUTED_VALUE"""),"FOB")</f>
        <v>FOB</v>
      </c>
      <c r="K657" s="15" t="str">
        <f>IFERROR(__xludf.DUMMYFUNCTION("""COMPUTED_VALUE"""),"(sem célula)")</f>
        <v>(sem célula)</v>
      </c>
      <c r="L657" s="15" t="str">
        <f>IFERROR(__xludf.DUMMYFUNCTION("""COMPUTED_VALUE"""),"AUTORIZADO")</f>
        <v>AUTORIZADO</v>
      </c>
      <c r="M657" s="15" t="str">
        <f>IFERROR(__xludf.DUMMYFUNCTION("""COMPUTED_VALUE"""),"NA ORIGEM")</f>
        <v>NA ORIGEM</v>
      </c>
      <c r="N657" s="15" t="str">
        <f>IFERROR(__xludf.DUMMYFUNCTION("""COMPUTED_VALUE"""),"Antes Prazo")</f>
        <v>Antes Prazo</v>
      </c>
      <c r="O657" s="15" t="str">
        <f>IFERROR(__xludf.DUMMYFUNCTION("""COMPUTED_VALUE"""),"(não informada)")</f>
        <v>(não informada)</v>
      </c>
      <c r="P657" s="16">
        <f>IFERROR(__xludf.DUMMYFUNCTION("""COMPUTED_VALUE"""),67.73)</f>
        <v>67.73</v>
      </c>
      <c r="Q657" s="15">
        <f>IFERROR(__xludf.DUMMYFUNCTION("""COMPUTED_VALUE"""),2.0)</f>
        <v>2</v>
      </c>
      <c r="R657" s="15" t="str">
        <f>IFERROR(__xludf.DUMMYFUNCTION("""COMPUTED_VALUE"""),"RODO")</f>
        <v>RODO</v>
      </c>
      <c r="S657" s="15" t="str">
        <f>IFERROR(__xludf.DUMMYFUNCTION("""COMPUTED_VALUE"""),"ITN")</f>
        <v>ITN</v>
      </c>
      <c r="T657" s="15" t="str">
        <f>IFERROR(__xludf.DUMMYFUNCTION("""COMPUTED_VALUE"""),"99")</f>
        <v>99</v>
      </c>
      <c r="U657" s="15" t="str">
        <f>IFERROR(__xludf.DUMMYFUNCTION("""COMPUTED_VALUE"""),"266813765 316, 317 8177629 cidade maravilhosa industria e comercio valquiria d el rey vieira rio 99")</f>
        <v>266813765 316, 317 8177629 cidade maravilhosa industria e comercio valquiria d el rey vieira rio 99</v>
      </c>
      <c r="V657" s="15" t="b">
        <f>IFERROR(__xludf.DUMMYFUNCTION("""COMPUTED_VALUE"""),FALSE)</f>
        <v>0</v>
      </c>
    </row>
    <row r="658">
      <c r="A658" s="19">
        <f>IFERROR(__xludf.DUMMYFUNCTION("""COMPUTED_VALUE"""),46304.0)</f>
        <v>46304</v>
      </c>
      <c r="B658" s="19">
        <f>IFERROR(__xludf.DUMMYFUNCTION("""COMPUTED_VALUE"""),46321.0)</f>
        <v>46321</v>
      </c>
      <c r="C658" s="15">
        <f>IFERROR(__xludf.DUMMYFUNCTION("""COMPUTED_VALUE"""),10.0)</f>
        <v>10</v>
      </c>
      <c r="D658" s="15" t="str">
        <f>IFERROR(__xludf.DUMMYFUNCTION("""COMPUTED_VALUE"""),"UBT")</f>
        <v>UBT</v>
      </c>
      <c r="E658" s="15" t="str">
        <f>IFERROR(__xludf.DUMMYFUNCTION("""COMPUTED_VALUE"""),"PRUPE CALCADOS LTDA")</f>
        <v>PRUPE CALCADOS LTDA</v>
      </c>
      <c r="F658" s="15" t="str">
        <f>IFERROR(__xludf.DUMMYFUNCTION("""COMPUTED_VALUE"""),"TRIFIL")</f>
        <v>TRIFIL</v>
      </c>
      <c r="G658" s="15" t="str">
        <f>IFERROR(__xludf.DUMMYFUNCTION("""COMPUTED_VALUE"""),"266817967")</f>
        <v>266817967</v>
      </c>
      <c r="H658" s="15" t="str">
        <f>IFERROR(__xludf.DUMMYFUNCTION("""COMPUTED_VALUE"""),"1306423")</f>
        <v>1306423</v>
      </c>
      <c r="I658" s="15" t="str">
        <f>IFERROR(__xludf.DUMMYFUNCTION("""COMPUTED_VALUE"""),"8177368")</f>
        <v>8177368</v>
      </c>
      <c r="J658" s="15" t="str">
        <f>IFERROR(__xludf.DUMMYFUNCTION("""COMPUTED_VALUE"""),"CIF")</f>
        <v>CIF</v>
      </c>
      <c r="K658" s="15" t="str">
        <f>IFERROR(__xludf.DUMMYFUNCTION("""COMPUTED_VALUE"""),"SAO-1")</f>
        <v>SAO-1</v>
      </c>
      <c r="L658" s="15" t="str">
        <f>IFERROR(__xludf.DUMMYFUNCTION("""COMPUTED_VALUE"""),"AUTORIZADO")</f>
        <v>AUTORIZADO</v>
      </c>
      <c r="M658" s="15" t="str">
        <f>IFERROR(__xludf.DUMMYFUNCTION("""COMPUTED_VALUE"""),"NA ORIGEM")</f>
        <v>NA ORIGEM</v>
      </c>
      <c r="N658" s="15" t="str">
        <f>IFERROR(__xludf.DUMMYFUNCTION("""COMPUTED_VALUE"""),"Antes Prazo")</f>
        <v>Antes Prazo</v>
      </c>
      <c r="O658" s="15" t="str">
        <f>IFERROR(__xludf.DUMMYFUNCTION("""COMPUTED_VALUE"""),"B2B")</f>
        <v>B2B</v>
      </c>
      <c r="P658" s="16">
        <f>IFERROR(__xludf.DUMMYFUNCTION("""COMPUTED_VALUE"""),38.46)</f>
        <v>38.46</v>
      </c>
      <c r="Q658" s="15">
        <f>IFERROR(__xludf.DUMMYFUNCTION("""COMPUTED_VALUE"""),1.0)</f>
        <v>1</v>
      </c>
      <c r="R658" s="15" t="str">
        <f>IFERROR(__xludf.DUMMYFUNCTION("""COMPUTED_VALUE"""),"RODO")</f>
        <v>RODO</v>
      </c>
      <c r="S658" s="15" t="str">
        <f>IFERROR(__xludf.DUMMYFUNCTION("""COMPUTED_VALUE"""),"ITN")</f>
        <v>ITN</v>
      </c>
      <c r="T658" s="15" t="str">
        <f>IFERROR(__xludf.DUMMYFUNCTION("""COMPUTED_VALUE"""),"122")</f>
        <v>122</v>
      </c>
      <c r="U658" s="15" t="str">
        <f>IFERROR(__xludf.DUMMYFUNCTION("""COMPUTED_VALUE"""),"266817967 1306423 8177368 prupe calcados ltda trifil ubt 122")</f>
        <v>266817967 1306423 8177368 prupe calcados ltda trifil ubt 122</v>
      </c>
      <c r="V658" s="15" t="b">
        <f>IFERROR(__xludf.DUMMYFUNCTION("""COMPUTED_VALUE"""),FALSE)</f>
        <v>0</v>
      </c>
    </row>
    <row r="659">
      <c r="A659" s="19">
        <f>IFERROR(__xludf.DUMMYFUNCTION("""COMPUTED_VALUE"""),46304.0)</f>
        <v>46304</v>
      </c>
      <c r="B659" s="19">
        <f>IFERROR(__xludf.DUMMYFUNCTION("""COMPUTED_VALUE"""),46316.0)</f>
        <v>46316</v>
      </c>
      <c r="C659" s="15">
        <f>IFERROR(__xludf.DUMMYFUNCTION("""COMPUTED_VALUE"""),7.0)</f>
        <v>7</v>
      </c>
      <c r="D659" s="15" t="str">
        <f>IFERROR(__xludf.DUMMYFUNCTION("""COMPUTED_VALUE"""),"SJK")</f>
        <v>SJK</v>
      </c>
      <c r="E659" s="15" t="str">
        <f>IFERROR(__xludf.DUMMYFUNCTION("""COMPUTED_VALUE"""),"J A DE C KAKO - ME")</f>
        <v>J A DE C KAKO - ME</v>
      </c>
      <c r="F659" s="15" t="str">
        <f>IFERROR(__xludf.DUMMYFUNCTION("""COMPUTED_VALUE"""),"TRIFIL")</f>
        <v>TRIFIL</v>
      </c>
      <c r="G659" s="15" t="str">
        <f>IFERROR(__xludf.DUMMYFUNCTION("""COMPUTED_VALUE"""),"266817968")</f>
        <v>266817968</v>
      </c>
      <c r="H659" s="15" t="str">
        <f>IFERROR(__xludf.DUMMYFUNCTION("""COMPUTED_VALUE"""),"1306424")</f>
        <v>1306424</v>
      </c>
      <c r="I659" s="15" t="str">
        <f>IFERROR(__xludf.DUMMYFUNCTION("""COMPUTED_VALUE"""),"8177369")</f>
        <v>8177369</v>
      </c>
      <c r="J659" s="15" t="str">
        <f>IFERROR(__xludf.DUMMYFUNCTION("""COMPUTED_VALUE"""),"CIF")</f>
        <v>CIF</v>
      </c>
      <c r="K659" s="15" t="str">
        <f>IFERROR(__xludf.DUMMYFUNCTION("""COMPUTED_VALUE"""),"SAO-1")</f>
        <v>SAO-1</v>
      </c>
      <c r="L659" s="15" t="str">
        <f>IFERROR(__xludf.DUMMYFUNCTION("""COMPUTED_VALUE"""),"AUTORIZADO")</f>
        <v>AUTORIZADO</v>
      </c>
      <c r="M659" s="15" t="str">
        <f>IFERROR(__xludf.DUMMYFUNCTION("""COMPUTED_VALUE"""),"NA ORIGEM")</f>
        <v>NA ORIGEM</v>
      </c>
      <c r="N659" s="15" t="str">
        <f>IFERROR(__xludf.DUMMYFUNCTION("""COMPUTED_VALUE"""),"Antes Prazo")</f>
        <v>Antes Prazo</v>
      </c>
      <c r="O659" s="15" t="str">
        <f>IFERROR(__xludf.DUMMYFUNCTION("""COMPUTED_VALUE"""),"B2B")</f>
        <v>B2B</v>
      </c>
      <c r="P659" s="16">
        <f>IFERROR(__xludf.DUMMYFUNCTION("""COMPUTED_VALUE"""),38.46)</f>
        <v>38.46</v>
      </c>
      <c r="Q659" s="15">
        <f>IFERROR(__xludf.DUMMYFUNCTION("""COMPUTED_VALUE"""),2.0)</f>
        <v>2</v>
      </c>
      <c r="R659" s="15" t="str">
        <f>IFERROR(__xludf.DUMMYFUNCTION("""COMPUTED_VALUE"""),"RODO")</f>
        <v>RODO</v>
      </c>
      <c r="S659" s="15" t="str">
        <f>IFERROR(__xludf.DUMMYFUNCTION("""COMPUTED_VALUE"""),"ITN")</f>
        <v>ITN</v>
      </c>
      <c r="T659" s="15" t="str">
        <f>IFERROR(__xludf.DUMMYFUNCTION("""COMPUTED_VALUE"""),"104")</f>
        <v>104</v>
      </c>
      <c r="U659" s="15" t="str">
        <f>IFERROR(__xludf.DUMMYFUNCTION("""COMPUTED_VALUE"""),"266817968 1306424 8177369 j a de c kako - me trifil sjk 104")</f>
        <v>266817968 1306424 8177369 j a de c kako - me trifil sjk 104</v>
      </c>
      <c r="V659" s="15" t="b">
        <f>IFERROR(__xludf.DUMMYFUNCTION("""COMPUTED_VALUE"""),FALSE)</f>
        <v>0</v>
      </c>
    </row>
    <row r="660">
      <c r="A660" s="19">
        <f>IFERROR(__xludf.DUMMYFUNCTION("""COMPUTED_VALUE"""),46304.0)</f>
        <v>46304</v>
      </c>
      <c r="B660" s="19">
        <f>IFERROR(__xludf.DUMMYFUNCTION("""COMPUTED_VALUE"""),46317.0)</f>
        <v>46317</v>
      </c>
      <c r="C660" s="15">
        <f>IFERROR(__xludf.DUMMYFUNCTION("""COMPUTED_VALUE"""),8.0)</f>
        <v>8</v>
      </c>
      <c r="D660" s="15" t="str">
        <f>IFERROR(__xludf.DUMMYFUNCTION("""COMPUTED_VALUE"""),"SJK")</f>
        <v>SJK</v>
      </c>
      <c r="E660" s="15" t="str">
        <f>IFERROR(__xludf.DUMMYFUNCTION("""COMPUTED_VALUE"""),"ADIB KHALED BAKOUNI")</f>
        <v>ADIB KHALED BAKOUNI</v>
      </c>
      <c r="F660" s="15" t="str">
        <f>IFERROR(__xludf.DUMMYFUNCTION("""COMPUTED_VALUE"""),"TRIFIL")</f>
        <v>TRIFIL</v>
      </c>
      <c r="G660" s="15" t="str">
        <f>IFERROR(__xludf.DUMMYFUNCTION("""COMPUTED_VALUE"""),"266817969")</f>
        <v>266817969</v>
      </c>
      <c r="H660" s="15" t="str">
        <f>IFERROR(__xludf.DUMMYFUNCTION("""COMPUTED_VALUE"""),"1306427")</f>
        <v>1306427</v>
      </c>
      <c r="I660" s="15" t="str">
        <f>IFERROR(__xludf.DUMMYFUNCTION("""COMPUTED_VALUE"""),"8177393")</f>
        <v>8177393</v>
      </c>
      <c r="J660" s="15" t="str">
        <f>IFERROR(__xludf.DUMMYFUNCTION("""COMPUTED_VALUE"""),"CIF")</f>
        <v>CIF</v>
      </c>
      <c r="K660" s="15" t="str">
        <f>IFERROR(__xludf.DUMMYFUNCTION("""COMPUTED_VALUE"""),"SAO-1")</f>
        <v>SAO-1</v>
      </c>
      <c r="L660" s="15" t="str">
        <f>IFERROR(__xludf.DUMMYFUNCTION("""COMPUTED_VALUE"""),"AUTORIZADO")</f>
        <v>AUTORIZADO</v>
      </c>
      <c r="M660" s="15" t="str">
        <f>IFERROR(__xludf.DUMMYFUNCTION("""COMPUTED_VALUE"""),"NA ORIGEM")</f>
        <v>NA ORIGEM</v>
      </c>
      <c r="N660" s="15" t="str">
        <f>IFERROR(__xludf.DUMMYFUNCTION("""COMPUTED_VALUE"""),"Antes Prazo")</f>
        <v>Antes Prazo</v>
      </c>
      <c r="O660" s="15" t="str">
        <f>IFERROR(__xludf.DUMMYFUNCTION("""COMPUTED_VALUE"""),"B2B")</f>
        <v>B2B</v>
      </c>
      <c r="P660" s="16">
        <f>IFERROR(__xludf.DUMMYFUNCTION("""COMPUTED_VALUE"""),38.46)</f>
        <v>38.46</v>
      </c>
      <c r="Q660" s="15">
        <f>IFERROR(__xludf.DUMMYFUNCTION("""COMPUTED_VALUE"""),1.0)</f>
        <v>1</v>
      </c>
      <c r="R660" s="15" t="str">
        <f>IFERROR(__xludf.DUMMYFUNCTION("""COMPUTED_VALUE"""),"RODO")</f>
        <v>RODO</v>
      </c>
      <c r="S660" s="15" t="str">
        <f>IFERROR(__xludf.DUMMYFUNCTION("""COMPUTED_VALUE"""),"ITN")</f>
        <v>ITN</v>
      </c>
      <c r="T660" s="15" t="str">
        <f>IFERROR(__xludf.DUMMYFUNCTION("""COMPUTED_VALUE"""),"111")</f>
        <v>111</v>
      </c>
      <c r="U660" s="15" t="str">
        <f>IFERROR(__xludf.DUMMYFUNCTION("""COMPUTED_VALUE"""),"266817969 1306427 8177393 adib khaled bakouni trifil sjk 111")</f>
        <v>266817969 1306427 8177393 adib khaled bakouni trifil sjk 111</v>
      </c>
      <c r="V660" s="15" t="b">
        <f>IFERROR(__xludf.DUMMYFUNCTION("""COMPUTED_VALUE"""),FALSE)</f>
        <v>0</v>
      </c>
    </row>
    <row r="661">
      <c r="A661" s="19">
        <f>IFERROR(__xludf.DUMMYFUNCTION("""COMPUTED_VALUE"""),46304.0)</f>
        <v>46304</v>
      </c>
      <c r="B661" s="19">
        <f>IFERROR(__xludf.DUMMYFUNCTION("""COMPUTED_VALUE"""),46316.0)</f>
        <v>46316</v>
      </c>
      <c r="C661" s="15">
        <f>IFERROR(__xludf.DUMMYFUNCTION("""COMPUTED_VALUE"""),7.0)</f>
        <v>7</v>
      </c>
      <c r="D661" s="15" t="str">
        <f>IFERROR(__xludf.DUMMYFUNCTION("""COMPUTED_VALUE"""),"SJK")</f>
        <v>SJK</v>
      </c>
      <c r="E661" s="15" t="str">
        <f>IFERROR(__xludf.DUMMYFUNCTION("""COMPUTED_VALUE"""),"GUARA COMERCIO DE MEIAS E CONFECCOES LTD")</f>
        <v>GUARA COMERCIO DE MEIAS E CONFECCOES LTD</v>
      </c>
      <c r="F661" s="15" t="str">
        <f>IFERROR(__xludf.DUMMYFUNCTION("""COMPUTED_VALUE"""),"TRIFIL")</f>
        <v>TRIFIL</v>
      </c>
      <c r="G661" s="15" t="str">
        <f>IFERROR(__xludf.DUMMYFUNCTION("""COMPUTED_VALUE"""),"266817970")</f>
        <v>266817970</v>
      </c>
      <c r="H661" s="15" t="str">
        <f>IFERROR(__xludf.DUMMYFUNCTION("""COMPUTED_VALUE"""),"1306338")</f>
        <v>1306338</v>
      </c>
      <c r="I661" s="15" t="str">
        <f>IFERROR(__xludf.DUMMYFUNCTION("""COMPUTED_VALUE"""),"8177363")</f>
        <v>8177363</v>
      </c>
      <c r="J661" s="15" t="str">
        <f>IFERROR(__xludf.DUMMYFUNCTION("""COMPUTED_VALUE"""),"CIF")</f>
        <v>CIF</v>
      </c>
      <c r="K661" s="15" t="str">
        <f>IFERROR(__xludf.DUMMYFUNCTION("""COMPUTED_VALUE"""),"SAO-1")</f>
        <v>SAO-1</v>
      </c>
      <c r="L661" s="15" t="str">
        <f>IFERROR(__xludf.DUMMYFUNCTION("""COMPUTED_VALUE"""),"AUTORIZADO")</f>
        <v>AUTORIZADO</v>
      </c>
      <c r="M661" s="15" t="str">
        <f>IFERROR(__xludf.DUMMYFUNCTION("""COMPUTED_VALUE"""),"NA ORIGEM")</f>
        <v>NA ORIGEM</v>
      </c>
      <c r="N661" s="15" t="str">
        <f>IFERROR(__xludf.DUMMYFUNCTION("""COMPUTED_VALUE"""),"Antes Prazo")</f>
        <v>Antes Prazo</v>
      </c>
      <c r="O661" s="15" t="str">
        <f>IFERROR(__xludf.DUMMYFUNCTION("""COMPUTED_VALUE"""),"B2B")</f>
        <v>B2B</v>
      </c>
      <c r="P661" s="16">
        <f>IFERROR(__xludf.DUMMYFUNCTION("""COMPUTED_VALUE"""),38.46)</f>
        <v>38.46</v>
      </c>
      <c r="Q661" s="15">
        <f>IFERROR(__xludf.DUMMYFUNCTION("""COMPUTED_VALUE"""),1.0)</f>
        <v>1</v>
      </c>
      <c r="R661" s="15" t="str">
        <f>IFERROR(__xludf.DUMMYFUNCTION("""COMPUTED_VALUE"""),"RODO")</f>
        <v>RODO</v>
      </c>
      <c r="S661" s="15" t="str">
        <f>IFERROR(__xludf.DUMMYFUNCTION("""COMPUTED_VALUE"""),"ITN")</f>
        <v>ITN</v>
      </c>
      <c r="T661" s="15" t="str">
        <f>IFERROR(__xludf.DUMMYFUNCTION("""COMPUTED_VALUE"""),"103")</f>
        <v>103</v>
      </c>
      <c r="U661" s="15" t="str">
        <f>IFERROR(__xludf.DUMMYFUNCTION("""COMPUTED_VALUE"""),"266817970 1306338 8177363 guara comercio de meias e confeccoes ltd trifil sjk 103")</f>
        <v>266817970 1306338 8177363 guara comercio de meias e confeccoes ltd trifil sjk 103</v>
      </c>
      <c r="V661" s="15" t="b">
        <f>IFERROR(__xludf.DUMMYFUNCTION("""COMPUTED_VALUE"""),FALSE)</f>
        <v>0</v>
      </c>
    </row>
    <row r="662">
      <c r="A662" s="19">
        <f>IFERROR(__xludf.DUMMYFUNCTION("""COMPUTED_VALUE"""),46304.0)</f>
        <v>46304</v>
      </c>
      <c r="B662" s="19">
        <f>IFERROR(__xludf.DUMMYFUNCTION("""COMPUTED_VALUE"""),46316.0)</f>
        <v>46316</v>
      </c>
      <c r="C662" s="15">
        <f>IFERROR(__xludf.DUMMYFUNCTION("""COMPUTED_VALUE"""),7.0)</f>
        <v>7</v>
      </c>
      <c r="D662" s="15" t="str">
        <f>IFERROR(__xludf.DUMMYFUNCTION("""COMPUTED_VALUE"""),"FRC")</f>
        <v>FRC</v>
      </c>
      <c r="E662" s="15" t="str">
        <f>IFERROR(__xludf.DUMMYFUNCTION("""COMPUTED_VALUE"""),"MELICA AVIAMENTOS")</f>
        <v>MELICA AVIAMENTOS</v>
      </c>
      <c r="F662" s="15" t="str">
        <f>IFERROR(__xludf.DUMMYFUNCTION("""COMPUTED_VALUE"""),"TRIFIL")</f>
        <v>TRIFIL</v>
      </c>
      <c r="G662" s="15" t="str">
        <f>IFERROR(__xludf.DUMMYFUNCTION("""COMPUTED_VALUE"""),"266817971")</f>
        <v>266817971</v>
      </c>
      <c r="H662" s="15" t="str">
        <f>IFERROR(__xludf.DUMMYFUNCTION("""COMPUTED_VALUE"""),"1306376")</f>
        <v>1306376</v>
      </c>
      <c r="I662" s="15" t="str">
        <f>IFERROR(__xludf.DUMMYFUNCTION("""COMPUTED_VALUE"""),"8177370")</f>
        <v>8177370</v>
      </c>
      <c r="J662" s="15" t="str">
        <f>IFERROR(__xludf.DUMMYFUNCTION("""COMPUTED_VALUE"""),"CIF")</f>
        <v>CIF</v>
      </c>
      <c r="K662" s="15" t="str">
        <f>IFERROR(__xludf.DUMMYFUNCTION("""COMPUTED_VALUE"""),"SAO-1")</f>
        <v>SAO-1</v>
      </c>
      <c r="L662" s="15" t="str">
        <f>IFERROR(__xludf.DUMMYFUNCTION("""COMPUTED_VALUE"""),"AUTORIZADO")</f>
        <v>AUTORIZADO</v>
      </c>
      <c r="M662" s="15" t="str">
        <f>IFERROR(__xludf.DUMMYFUNCTION("""COMPUTED_VALUE"""),"NA ORIGEM")</f>
        <v>NA ORIGEM</v>
      </c>
      <c r="N662" s="15" t="str">
        <f>IFERROR(__xludf.DUMMYFUNCTION("""COMPUTED_VALUE"""),"Antes Prazo")</f>
        <v>Antes Prazo</v>
      </c>
      <c r="O662" s="15" t="str">
        <f>IFERROR(__xludf.DUMMYFUNCTION("""COMPUTED_VALUE"""),"B2B")</f>
        <v>B2B</v>
      </c>
      <c r="P662" s="16">
        <f>IFERROR(__xludf.DUMMYFUNCTION("""COMPUTED_VALUE"""),38.46)</f>
        <v>38.46</v>
      </c>
      <c r="Q662" s="15">
        <f>IFERROR(__xludf.DUMMYFUNCTION("""COMPUTED_VALUE"""),1.0)</f>
        <v>1</v>
      </c>
      <c r="R662" s="15" t="str">
        <f>IFERROR(__xludf.DUMMYFUNCTION("""COMPUTED_VALUE"""),"RODO")</f>
        <v>RODO</v>
      </c>
      <c r="S662" s="15" t="str">
        <f>IFERROR(__xludf.DUMMYFUNCTION("""COMPUTED_VALUE"""),"ITN")</f>
        <v>ITN</v>
      </c>
      <c r="T662" s="15" t="str">
        <f>IFERROR(__xludf.DUMMYFUNCTION("""COMPUTED_VALUE"""),"1")</f>
        <v>1</v>
      </c>
      <c r="U662" s="15" t="str">
        <f>IFERROR(__xludf.DUMMYFUNCTION("""COMPUTED_VALUE"""),"266817971 1306376 8177370 melica aviamentos trifil frc 1")</f>
        <v>266817971 1306376 8177370 melica aviamentos trifil frc 1</v>
      </c>
      <c r="V662" s="15" t="b">
        <f>IFERROR(__xludf.DUMMYFUNCTION("""COMPUTED_VALUE"""),FALSE)</f>
        <v>0</v>
      </c>
    </row>
    <row r="663">
      <c r="A663" s="19">
        <f>IFERROR(__xludf.DUMMYFUNCTION("""COMPUTED_VALUE"""),46304.0)</f>
        <v>46304</v>
      </c>
      <c r="B663" s="19">
        <f>IFERROR(__xludf.DUMMYFUNCTION("""COMPUTED_VALUE"""),46316.0)</f>
        <v>46316</v>
      </c>
      <c r="C663" s="15">
        <f>IFERROR(__xludf.DUMMYFUNCTION("""COMPUTED_VALUE"""),7.0)</f>
        <v>7</v>
      </c>
      <c r="D663" s="15" t="str">
        <f>IFERROR(__xludf.DUMMYFUNCTION("""COMPUTED_VALUE"""),"AQA")</f>
        <v>AQA</v>
      </c>
      <c r="E663" s="15" t="str">
        <f>IFERROR(__xludf.DUMMYFUNCTION("""COMPUTED_VALUE"""),"LOJAS LUPO")</f>
        <v>LOJAS LUPO</v>
      </c>
      <c r="F663" s="15" t="str">
        <f>IFERROR(__xludf.DUMMYFUNCTION("""COMPUTED_VALUE"""),"TRIFIL")</f>
        <v>TRIFIL</v>
      </c>
      <c r="G663" s="15" t="str">
        <f>IFERROR(__xludf.DUMMYFUNCTION("""COMPUTED_VALUE"""),"266817972")</f>
        <v>266817972</v>
      </c>
      <c r="H663" s="15" t="str">
        <f>IFERROR(__xludf.DUMMYFUNCTION("""COMPUTED_VALUE"""),"1304627")</f>
        <v>1304627</v>
      </c>
      <c r="I663" s="15" t="str">
        <f>IFERROR(__xludf.DUMMYFUNCTION("""COMPUTED_VALUE"""),"8177394")</f>
        <v>8177394</v>
      </c>
      <c r="J663" s="15" t="str">
        <f>IFERROR(__xludf.DUMMYFUNCTION("""COMPUTED_VALUE"""),"CIF")</f>
        <v>CIF</v>
      </c>
      <c r="K663" s="15" t="str">
        <f>IFERROR(__xludf.DUMMYFUNCTION("""COMPUTED_VALUE"""),"SAO-1")</f>
        <v>SAO-1</v>
      </c>
      <c r="L663" s="15" t="str">
        <f>IFERROR(__xludf.DUMMYFUNCTION("""COMPUTED_VALUE"""),"AUTORIZADO")</f>
        <v>AUTORIZADO</v>
      </c>
      <c r="M663" s="15" t="str">
        <f>IFERROR(__xludf.DUMMYFUNCTION("""COMPUTED_VALUE"""),"NA ORIGEM")</f>
        <v>NA ORIGEM</v>
      </c>
      <c r="N663" s="15" t="str">
        <f>IFERROR(__xludf.DUMMYFUNCTION("""COMPUTED_VALUE"""),"Antes Prazo")</f>
        <v>Antes Prazo</v>
      </c>
      <c r="O663" s="15" t="str">
        <f>IFERROR(__xludf.DUMMYFUNCTION("""COMPUTED_VALUE"""),"B2B")</f>
        <v>B2B</v>
      </c>
      <c r="P663" s="16">
        <f>IFERROR(__xludf.DUMMYFUNCTION("""COMPUTED_VALUE"""),481.72)</f>
        <v>481.72</v>
      </c>
      <c r="Q663" s="15">
        <f>IFERROR(__xludf.DUMMYFUNCTION("""COMPUTED_VALUE"""),69.0)</f>
        <v>69</v>
      </c>
      <c r="R663" s="15" t="str">
        <f>IFERROR(__xludf.DUMMYFUNCTION("""COMPUTED_VALUE"""),"RODO")</f>
        <v>RODO</v>
      </c>
      <c r="S663" s="15" t="str">
        <f>IFERROR(__xludf.DUMMYFUNCTION("""COMPUTED_VALUE"""),"ITN")</f>
        <v>ITN</v>
      </c>
      <c r="T663" s="15" t="str">
        <f>IFERROR(__xludf.DUMMYFUNCTION("""COMPUTED_VALUE"""),"2")</f>
        <v>2</v>
      </c>
      <c r="U663" s="15" t="str">
        <f>IFERROR(__xludf.DUMMYFUNCTION("""COMPUTED_VALUE"""),"266817972 1304627 8177394 lojas lupo trifil aqa 2")</f>
        <v>266817972 1304627 8177394 lojas lupo trifil aqa 2</v>
      </c>
      <c r="V663" s="15" t="b">
        <f>IFERROR(__xludf.DUMMYFUNCTION("""COMPUTED_VALUE"""),FALSE)</f>
        <v>0</v>
      </c>
    </row>
    <row r="664">
      <c r="A664" s="19">
        <f>IFERROR(__xludf.DUMMYFUNCTION("""COMPUTED_VALUE"""),46304.0)</f>
        <v>46304</v>
      </c>
      <c r="B664" s="19">
        <f>IFERROR(__xludf.DUMMYFUNCTION("""COMPUTED_VALUE"""),46316.0)</f>
        <v>46316</v>
      </c>
      <c r="C664" s="15">
        <f>IFERROR(__xludf.DUMMYFUNCTION("""COMPUTED_VALUE"""),7.0)</f>
        <v>7</v>
      </c>
      <c r="D664" s="15" t="str">
        <f>IFERROR(__xludf.DUMMYFUNCTION("""COMPUTED_VALUE"""),"AQA")</f>
        <v>AQA</v>
      </c>
      <c r="E664" s="15" t="str">
        <f>IFERROR(__xludf.DUMMYFUNCTION("""COMPUTED_VALUE"""),"LUPO")</f>
        <v>LUPO</v>
      </c>
      <c r="F664" s="15" t="str">
        <f>IFERROR(__xludf.DUMMYFUNCTION("""COMPUTED_VALUE"""),"TRIFIL")</f>
        <v>TRIFIL</v>
      </c>
      <c r="G664" s="15" t="str">
        <f>IFERROR(__xludf.DUMMYFUNCTION("""COMPUTED_VALUE"""),"266817973")</f>
        <v>266817973</v>
      </c>
      <c r="H664" s="15" t="str">
        <f>IFERROR(__xludf.DUMMYFUNCTION("""COMPUTED_VALUE"""),"1306572")</f>
        <v>1306572</v>
      </c>
      <c r="I664" s="15" t="str">
        <f>IFERROR(__xludf.DUMMYFUNCTION("""COMPUTED_VALUE"""),"8177371")</f>
        <v>8177371</v>
      </c>
      <c r="J664" s="15" t="str">
        <f>IFERROR(__xludf.DUMMYFUNCTION("""COMPUTED_VALUE"""),"CIF")</f>
        <v>CIF</v>
      </c>
      <c r="K664" s="15" t="str">
        <f>IFERROR(__xludf.DUMMYFUNCTION("""COMPUTED_VALUE"""),"SAO-1")</f>
        <v>SAO-1</v>
      </c>
      <c r="L664" s="15" t="str">
        <f>IFERROR(__xludf.DUMMYFUNCTION("""COMPUTED_VALUE"""),"AUTORIZADO")</f>
        <v>AUTORIZADO</v>
      </c>
      <c r="M664" s="15" t="str">
        <f>IFERROR(__xludf.DUMMYFUNCTION("""COMPUTED_VALUE"""),"NA ORIGEM")</f>
        <v>NA ORIGEM</v>
      </c>
      <c r="N664" s="15" t="str">
        <f>IFERROR(__xludf.DUMMYFUNCTION("""COMPUTED_VALUE"""),"Antes Prazo")</f>
        <v>Antes Prazo</v>
      </c>
      <c r="O664" s="15" t="str">
        <f>IFERROR(__xludf.DUMMYFUNCTION("""COMPUTED_VALUE"""),"B2B")</f>
        <v>B2B</v>
      </c>
      <c r="P664" s="16">
        <f>IFERROR(__xludf.DUMMYFUNCTION("""COMPUTED_VALUE"""),131.21)</f>
        <v>131.21</v>
      </c>
      <c r="Q664" s="15">
        <f>IFERROR(__xludf.DUMMYFUNCTION("""COMPUTED_VALUE"""),14.0)</f>
        <v>14</v>
      </c>
      <c r="R664" s="15" t="str">
        <f>IFERROR(__xludf.DUMMYFUNCTION("""COMPUTED_VALUE"""),"RODO")</f>
        <v>RODO</v>
      </c>
      <c r="S664" s="15" t="str">
        <f>IFERROR(__xludf.DUMMYFUNCTION("""COMPUTED_VALUE"""),"ITN")</f>
        <v>ITN</v>
      </c>
      <c r="T664" s="15" t="str">
        <f>IFERROR(__xludf.DUMMYFUNCTION("""COMPUTED_VALUE"""),"2")</f>
        <v>2</v>
      </c>
      <c r="U664" s="15" t="str">
        <f>IFERROR(__xludf.DUMMYFUNCTION("""COMPUTED_VALUE"""),"266817973 1306572 8177371 lupo trifil aqa 2")</f>
        <v>266817973 1306572 8177371 lupo trifil aqa 2</v>
      </c>
      <c r="V664" s="15" t="b">
        <f>IFERROR(__xludf.DUMMYFUNCTION("""COMPUTED_VALUE"""),FALSE)</f>
        <v>0</v>
      </c>
    </row>
    <row r="665">
      <c r="A665" s="19">
        <f>IFERROR(__xludf.DUMMYFUNCTION("""COMPUTED_VALUE"""),46304.0)</f>
        <v>46304</v>
      </c>
      <c r="B665" s="19">
        <f>IFERROR(__xludf.DUMMYFUNCTION("""COMPUTED_VALUE"""),46317.0)</f>
        <v>46317</v>
      </c>
      <c r="C665" s="15">
        <f>IFERROR(__xludf.DUMMYFUNCTION("""COMPUTED_VALUE"""),8.0)</f>
        <v>8</v>
      </c>
      <c r="D665" s="15" t="str">
        <f>IFERROR(__xludf.DUMMYFUNCTION("""COMPUTED_VALUE"""),"SJP")</f>
        <v>SJP</v>
      </c>
      <c r="E665" s="15" t="str">
        <f>IFERROR(__xludf.DUMMYFUNCTION("""COMPUTED_VALUE"""),"TOQUE FINAL")</f>
        <v>TOQUE FINAL</v>
      </c>
      <c r="F665" s="15" t="str">
        <f>IFERROR(__xludf.DUMMYFUNCTION("""COMPUTED_VALUE"""),"TRIFIL")</f>
        <v>TRIFIL</v>
      </c>
      <c r="G665" s="15" t="str">
        <f>IFERROR(__xludf.DUMMYFUNCTION("""COMPUTED_VALUE"""),"266817974")</f>
        <v>266817974</v>
      </c>
      <c r="H665" s="15" t="str">
        <f>IFERROR(__xludf.DUMMYFUNCTION("""COMPUTED_VALUE"""),"1306391")</f>
        <v>1306391</v>
      </c>
      <c r="I665" s="15" t="str">
        <f>IFERROR(__xludf.DUMMYFUNCTION("""COMPUTED_VALUE"""),"8177395")</f>
        <v>8177395</v>
      </c>
      <c r="J665" s="15" t="str">
        <f>IFERROR(__xludf.DUMMYFUNCTION("""COMPUTED_VALUE"""),"CIF")</f>
        <v>CIF</v>
      </c>
      <c r="K665" s="15" t="str">
        <f>IFERROR(__xludf.DUMMYFUNCTION("""COMPUTED_VALUE"""),"SAO-1")</f>
        <v>SAO-1</v>
      </c>
      <c r="L665" s="15" t="str">
        <f>IFERROR(__xludf.DUMMYFUNCTION("""COMPUTED_VALUE"""),"AUTORIZADO")</f>
        <v>AUTORIZADO</v>
      </c>
      <c r="M665" s="15" t="str">
        <f>IFERROR(__xludf.DUMMYFUNCTION("""COMPUTED_VALUE"""),"NA ORIGEM")</f>
        <v>NA ORIGEM</v>
      </c>
      <c r="N665" s="15" t="str">
        <f>IFERROR(__xludf.DUMMYFUNCTION("""COMPUTED_VALUE"""),"Antes Prazo")</f>
        <v>Antes Prazo</v>
      </c>
      <c r="O665" s="15" t="str">
        <f>IFERROR(__xludf.DUMMYFUNCTION("""COMPUTED_VALUE"""),"B2B")</f>
        <v>B2B</v>
      </c>
      <c r="P665" s="16">
        <f>IFERROR(__xludf.DUMMYFUNCTION("""COMPUTED_VALUE"""),38.46)</f>
        <v>38.46</v>
      </c>
      <c r="Q665" s="15">
        <f>IFERROR(__xludf.DUMMYFUNCTION("""COMPUTED_VALUE"""),1.0)</f>
        <v>1</v>
      </c>
      <c r="R665" s="15" t="str">
        <f>IFERROR(__xludf.DUMMYFUNCTION("""COMPUTED_VALUE"""),"RODO")</f>
        <v>RODO</v>
      </c>
      <c r="S665" s="15" t="str">
        <f>IFERROR(__xludf.DUMMYFUNCTION("""COMPUTED_VALUE"""),"ITN")</f>
        <v>ITN</v>
      </c>
      <c r="T665" s="15" t="str">
        <f>IFERROR(__xludf.DUMMYFUNCTION("""COMPUTED_VALUE"""),"112")</f>
        <v>112</v>
      </c>
      <c r="U665" s="15" t="str">
        <f>IFERROR(__xludf.DUMMYFUNCTION("""COMPUTED_VALUE"""),"266817974 1306391 8177395 toque final trifil sjp 112")</f>
        <v>266817974 1306391 8177395 toque final trifil sjp 112</v>
      </c>
      <c r="V665" s="15" t="b">
        <f>IFERROR(__xludf.DUMMYFUNCTION("""COMPUTED_VALUE"""),FALSE)</f>
        <v>0</v>
      </c>
    </row>
    <row r="666">
      <c r="A666" s="19">
        <f>IFERROR(__xludf.DUMMYFUNCTION("""COMPUTED_VALUE"""),46304.0)</f>
        <v>46304</v>
      </c>
      <c r="B666" s="19">
        <f>IFERROR(__xludf.DUMMYFUNCTION("""COMPUTED_VALUE"""),46322.0)</f>
        <v>46322</v>
      </c>
      <c r="C666" s="15">
        <f>IFERROR(__xludf.DUMMYFUNCTION("""COMPUTED_VALUE"""),11.0)</f>
        <v>11</v>
      </c>
      <c r="D666" s="15" t="str">
        <f>IFERROR(__xludf.DUMMYFUNCTION("""COMPUTED_VALUE"""),"PPR")</f>
        <v>PPR</v>
      </c>
      <c r="E666" s="15" t="str">
        <f>IFERROR(__xludf.DUMMYFUNCTION("""COMPUTED_VALUE"""),"COOPERATIVA CONSUMO INUBIA PTA")</f>
        <v>COOPERATIVA CONSUMO INUBIA PTA</v>
      </c>
      <c r="F666" s="15" t="str">
        <f>IFERROR(__xludf.DUMMYFUNCTION("""COMPUTED_VALUE"""),"TRIFIL")</f>
        <v>TRIFIL</v>
      </c>
      <c r="G666" s="15" t="str">
        <f>IFERROR(__xludf.DUMMYFUNCTION("""COMPUTED_VALUE"""),"266817975")</f>
        <v>266817975</v>
      </c>
      <c r="H666" s="15" t="str">
        <f>IFERROR(__xludf.DUMMYFUNCTION("""COMPUTED_VALUE"""),"1306437")</f>
        <v>1306437</v>
      </c>
      <c r="I666" s="15" t="str">
        <f>IFERROR(__xludf.DUMMYFUNCTION("""COMPUTED_VALUE"""),"8177372")</f>
        <v>8177372</v>
      </c>
      <c r="J666" s="15" t="str">
        <f>IFERROR(__xludf.DUMMYFUNCTION("""COMPUTED_VALUE"""),"CIF")</f>
        <v>CIF</v>
      </c>
      <c r="K666" s="15" t="str">
        <f>IFERROR(__xludf.DUMMYFUNCTION("""COMPUTED_VALUE"""),"SAO-1")</f>
        <v>SAO-1</v>
      </c>
      <c r="L666" s="15" t="str">
        <f>IFERROR(__xludf.DUMMYFUNCTION("""COMPUTED_VALUE"""),"AUTORIZADO")</f>
        <v>AUTORIZADO</v>
      </c>
      <c r="M666" s="15" t="str">
        <f>IFERROR(__xludf.DUMMYFUNCTION("""COMPUTED_VALUE"""),"NA ORIGEM")</f>
        <v>NA ORIGEM</v>
      </c>
      <c r="N666" s="15" t="str">
        <f>IFERROR(__xludf.DUMMYFUNCTION("""COMPUTED_VALUE"""),"Antes Prazo")</f>
        <v>Antes Prazo</v>
      </c>
      <c r="O666" s="15" t="str">
        <f>IFERROR(__xludf.DUMMYFUNCTION("""COMPUTED_VALUE"""),"B2B")</f>
        <v>B2B</v>
      </c>
      <c r="P666" s="16">
        <f>IFERROR(__xludf.DUMMYFUNCTION("""COMPUTED_VALUE"""),38.46)</f>
        <v>38.46</v>
      </c>
      <c r="Q666" s="15">
        <f>IFERROR(__xludf.DUMMYFUNCTION("""COMPUTED_VALUE"""),8.0)</f>
        <v>8</v>
      </c>
      <c r="R666" s="15" t="str">
        <f>IFERROR(__xludf.DUMMYFUNCTION("""COMPUTED_VALUE"""),"RODO")</f>
        <v>RODO</v>
      </c>
      <c r="S666" s="15" t="str">
        <f>IFERROR(__xludf.DUMMYFUNCTION("""COMPUTED_VALUE"""),"ITN")</f>
        <v>ITN</v>
      </c>
      <c r="T666" s="15" t="str">
        <f>IFERROR(__xludf.DUMMYFUNCTION("""COMPUTED_VALUE"""),"107")</f>
        <v>107</v>
      </c>
      <c r="U666" s="15" t="str">
        <f>IFERROR(__xludf.DUMMYFUNCTION("""COMPUTED_VALUE"""),"266817975 1306437 8177372 cooperativa consumo inubia pta trifil ppr 107")</f>
        <v>266817975 1306437 8177372 cooperativa consumo inubia pta trifil ppr 107</v>
      </c>
      <c r="V666" s="15" t="b">
        <f>IFERROR(__xludf.DUMMYFUNCTION("""COMPUTED_VALUE"""),FALSE)</f>
        <v>0</v>
      </c>
    </row>
    <row r="667">
      <c r="A667" s="19">
        <f>IFERROR(__xludf.DUMMYFUNCTION("""COMPUTED_VALUE"""),46304.0)</f>
        <v>46304</v>
      </c>
      <c r="B667" s="19">
        <f>IFERROR(__xludf.DUMMYFUNCTION("""COMPUTED_VALUE"""),46316.0)</f>
        <v>46316</v>
      </c>
      <c r="C667" s="15">
        <f>IFERROR(__xludf.DUMMYFUNCTION("""COMPUTED_VALUE"""),7.0)</f>
        <v>7</v>
      </c>
      <c r="D667" s="15" t="str">
        <f>IFERROR(__xludf.DUMMYFUNCTION("""COMPUTED_VALUE"""),"V2C")</f>
        <v>V2C</v>
      </c>
      <c r="E667" s="15" t="str">
        <f>IFERROR(__xludf.DUMMYFUNCTION("""COMPUTED_VALUE"""),"CALENDULA IND E COM LTDA")</f>
        <v>CALENDULA IND E COM LTDA</v>
      </c>
      <c r="F667" s="15" t="str">
        <f>IFERROR(__xludf.DUMMYFUNCTION("""COMPUTED_VALUE"""),"TRIFIL")</f>
        <v>TRIFIL</v>
      </c>
      <c r="G667" s="15" t="str">
        <f>IFERROR(__xludf.DUMMYFUNCTION("""COMPUTED_VALUE"""),"266817976")</f>
        <v>266817976</v>
      </c>
      <c r="H667" s="15" t="str">
        <f>IFERROR(__xludf.DUMMYFUNCTION("""COMPUTED_VALUE"""),"1306420")</f>
        <v>1306420</v>
      </c>
      <c r="I667" s="15" t="str">
        <f>IFERROR(__xludf.DUMMYFUNCTION("""COMPUTED_VALUE"""),"8177396")</f>
        <v>8177396</v>
      </c>
      <c r="J667" s="15" t="str">
        <f>IFERROR(__xludf.DUMMYFUNCTION("""COMPUTED_VALUE"""),"CIF")</f>
        <v>CIF</v>
      </c>
      <c r="K667" s="15" t="str">
        <f>IFERROR(__xludf.DUMMYFUNCTION("""COMPUTED_VALUE"""),"(sem célula)")</f>
        <v>(sem célula)</v>
      </c>
      <c r="L667" s="15" t="str">
        <f>IFERROR(__xludf.DUMMYFUNCTION("""COMPUTED_VALUE"""),"AUTORIZADO")</f>
        <v>AUTORIZADO</v>
      </c>
      <c r="M667" s="15" t="str">
        <f>IFERROR(__xludf.DUMMYFUNCTION("""COMPUTED_VALUE"""),"NA ORIGEM")</f>
        <v>NA ORIGEM</v>
      </c>
      <c r="N667" s="15" t="str">
        <f>IFERROR(__xludf.DUMMYFUNCTION("""COMPUTED_VALUE"""),"Antes Prazo")</f>
        <v>Antes Prazo</v>
      </c>
      <c r="O667" s="15" t="str">
        <f>IFERROR(__xludf.DUMMYFUNCTION("""COMPUTED_VALUE"""),"B2B")</f>
        <v>B2B</v>
      </c>
      <c r="P667" s="16">
        <f>IFERROR(__xludf.DUMMYFUNCTION("""COMPUTED_VALUE"""),44.77)</f>
        <v>44.77</v>
      </c>
      <c r="Q667" s="15">
        <f>IFERROR(__xludf.DUMMYFUNCTION("""COMPUTED_VALUE"""),2.0)</f>
        <v>2</v>
      </c>
      <c r="R667" s="15" t="str">
        <f>IFERROR(__xludf.DUMMYFUNCTION("""COMPUTED_VALUE"""),"RODO")</f>
        <v>RODO</v>
      </c>
      <c r="S667" s="15" t="str">
        <f>IFERROR(__xludf.DUMMYFUNCTION("""COMPUTED_VALUE"""),"ITN")</f>
        <v>ITN</v>
      </c>
      <c r="T667" s="15" t="str">
        <f>IFERROR(__xludf.DUMMYFUNCTION("""COMPUTED_VALUE"""),"301")</f>
        <v>301</v>
      </c>
      <c r="U667" s="15" t="str">
        <f>IFERROR(__xludf.DUMMYFUNCTION("""COMPUTED_VALUE"""),"266817976 1306420 8177396 calendula ind e com ltda trifil v2c 301")</f>
        <v>266817976 1306420 8177396 calendula ind e com ltda trifil v2c 301</v>
      </c>
      <c r="V667" s="15" t="b">
        <f>IFERROR(__xludf.DUMMYFUNCTION("""COMPUTED_VALUE"""),FALSE)</f>
        <v>0</v>
      </c>
    </row>
    <row r="668">
      <c r="A668" s="19">
        <f>IFERROR(__xludf.DUMMYFUNCTION("""COMPUTED_VALUE"""),46304.0)</f>
        <v>46304</v>
      </c>
      <c r="B668" s="19">
        <f>IFERROR(__xludf.DUMMYFUNCTION("""COMPUTED_VALUE"""),46316.0)</f>
        <v>46316</v>
      </c>
      <c r="C668" s="15">
        <f>IFERROR(__xludf.DUMMYFUNCTION("""COMPUTED_VALUE"""),7.0)</f>
        <v>7</v>
      </c>
      <c r="D668" s="15" t="str">
        <f>IFERROR(__xludf.DUMMYFUNCTION("""COMPUTED_VALUE"""),"BHZ")</f>
        <v>BHZ</v>
      </c>
      <c r="E668" s="15" t="str">
        <f>IFERROR(__xludf.DUMMYFUNCTION("""COMPUTED_VALUE"""),"ALVORADA DAS RENDAS LTDA")</f>
        <v>ALVORADA DAS RENDAS LTDA</v>
      </c>
      <c r="F668" s="15" t="str">
        <f>IFERROR(__xludf.DUMMYFUNCTION("""COMPUTED_VALUE"""),"TRIFIL")</f>
        <v>TRIFIL</v>
      </c>
      <c r="G668" s="15" t="str">
        <f>IFERROR(__xludf.DUMMYFUNCTION("""COMPUTED_VALUE"""),"266817977")</f>
        <v>266817977</v>
      </c>
      <c r="H668" s="15" t="str">
        <f>IFERROR(__xludf.DUMMYFUNCTION("""COMPUTED_VALUE"""),"1306399")</f>
        <v>1306399</v>
      </c>
      <c r="I668" s="15" t="str">
        <f>IFERROR(__xludf.DUMMYFUNCTION("""COMPUTED_VALUE"""),"8177339")</f>
        <v>8177339</v>
      </c>
      <c r="J668" s="15" t="str">
        <f>IFERROR(__xludf.DUMMYFUNCTION("""COMPUTED_VALUE"""),"CIF")</f>
        <v>CIF</v>
      </c>
      <c r="K668" s="15" t="str">
        <f>IFERROR(__xludf.DUMMYFUNCTION("""COMPUTED_VALUE"""),"(sem célula)")</f>
        <v>(sem célula)</v>
      </c>
      <c r="L668" s="15" t="str">
        <f>IFERROR(__xludf.DUMMYFUNCTION("""COMPUTED_VALUE"""),"AUTORIZADO")</f>
        <v>AUTORIZADO</v>
      </c>
      <c r="M668" s="15" t="str">
        <f>IFERROR(__xludf.DUMMYFUNCTION("""COMPUTED_VALUE"""),"NA ORIGEM")</f>
        <v>NA ORIGEM</v>
      </c>
      <c r="N668" s="15" t="str">
        <f>IFERROR(__xludf.DUMMYFUNCTION("""COMPUTED_VALUE"""),"Antes Prazo")</f>
        <v>Antes Prazo</v>
      </c>
      <c r="O668" s="15" t="str">
        <f>IFERROR(__xludf.DUMMYFUNCTION("""COMPUTED_VALUE"""),"B2B")</f>
        <v>B2B</v>
      </c>
      <c r="P668" s="16">
        <f>IFERROR(__xludf.DUMMYFUNCTION("""COMPUTED_VALUE"""),51.62)</f>
        <v>51.62</v>
      </c>
      <c r="Q668" s="15">
        <f>IFERROR(__xludf.DUMMYFUNCTION("""COMPUTED_VALUE"""),1.0)</f>
        <v>1</v>
      </c>
      <c r="R668" s="15" t="str">
        <f>IFERROR(__xludf.DUMMYFUNCTION("""COMPUTED_VALUE"""),"RODO")</f>
        <v>RODO</v>
      </c>
      <c r="S668" s="15" t="str">
        <f>IFERROR(__xludf.DUMMYFUNCTION("""COMPUTED_VALUE"""),"ITN")</f>
        <v>ITN</v>
      </c>
      <c r="T668" s="15" t="str">
        <f>IFERROR(__xludf.DUMMYFUNCTION("""COMPUTED_VALUE"""),"2")</f>
        <v>2</v>
      </c>
      <c r="U668" s="15" t="str">
        <f>IFERROR(__xludf.DUMMYFUNCTION("""COMPUTED_VALUE"""),"266817977 1306399 8177339 alvorada das rendas ltda trifil bhz 2")</f>
        <v>266817977 1306399 8177339 alvorada das rendas ltda trifil bhz 2</v>
      </c>
      <c r="V668" s="15" t="b">
        <f>IFERROR(__xludf.DUMMYFUNCTION("""COMPUTED_VALUE"""),FALSE)</f>
        <v>0</v>
      </c>
    </row>
    <row r="669">
      <c r="A669" s="19">
        <f>IFERROR(__xludf.DUMMYFUNCTION("""COMPUTED_VALUE"""),46304.0)</f>
        <v>46304</v>
      </c>
      <c r="B669" s="19">
        <f>IFERROR(__xludf.DUMMYFUNCTION("""COMPUTED_VALUE"""),46316.0)</f>
        <v>46316</v>
      </c>
      <c r="C669" s="15">
        <f>IFERROR(__xludf.DUMMYFUNCTION("""COMPUTED_VALUE"""),7.0)</f>
        <v>7</v>
      </c>
      <c r="D669" s="15" t="str">
        <f>IFERROR(__xludf.DUMMYFUNCTION("""COMPUTED_VALUE"""),"BHZ")</f>
        <v>BHZ</v>
      </c>
      <c r="E669" s="15" t="str">
        <f>IFERROR(__xludf.DUMMYFUNCTION("""COMPUTED_VALUE"""),"DROGARIA ARAUJO S A")</f>
        <v>DROGARIA ARAUJO S A</v>
      </c>
      <c r="F669" s="15" t="str">
        <f>IFERROR(__xludf.DUMMYFUNCTION("""COMPUTED_VALUE"""),"TRIFIL")</f>
        <v>TRIFIL</v>
      </c>
      <c r="G669" s="15" t="str">
        <f>IFERROR(__xludf.DUMMYFUNCTION("""COMPUTED_VALUE"""),"266817978")</f>
        <v>266817978</v>
      </c>
      <c r="H669" s="15" t="str">
        <f>IFERROR(__xludf.DUMMYFUNCTION("""COMPUTED_VALUE"""),"1305278, 1305819")</f>
        <v>1305278, 1305819</v>
      </c>
      <c r="I669" s="15" t="str">
        <f>IFERROR(__xludf.DUMMYFUNCTION("""COMPUTED_VALUE"""),"8177382")</f>
        <v>8177382</v>
      </c>
      <c r="J669" s="15" t="str">
        <f>IFERROR(__xludf.DUMMYFUNCTION("""COMPUTED_VALUE"""),"CIF")</f>
        <v>CIF</v>
      </c>
      <c r="K669" s="15" t="str">
        <f>IFERROR(__xludf.DUMMYFUNCTION("""COMPUTED_VALUE"""),"(sem célula)")</f>
        <v>(sem célula)</v>
      </c>
      <c r="L669" s="15" t="str">
        <f>IFERROR(__xludf.DUMMYFUNCTION("""COMPUTED_VALUE"""),"AUTORIZADO")</f>
        <v>AUTORIZADO</v>
      </c>
      <c r="M669" s="15" t="str">
        <f>IFERROR(__xludf.DUMMYFUNCTION("""COMPUTED_VALUE"""),"NA ORIGEM")</f>
        <v>NA ORIGEM</v>
      </c>
      <c r="N669" s="15" t="str">
        <f>IFERROR(__xludf.DUMMYFUNCTION("""COMPUTED_VALUE"""),"Antes Prazo")</f>
        <v>Antes Prazo</v>
      </c>
      <c r="O669" s="15" t="str">
        <f>IFERROR(__xludf.DUMMYFUNCTION("""COMPUTED_VALUE"""),"B2B")</f>
        <v>B2B</v>
      </c>
      <c r="P669" s="16">
        <f>IFERROR(__xludf.DUMMYFUNCTION("""COMPUTED_VALUE"""),68.24)</f>
        <v>68.24</v>
      </c>
      <c r="Q669" s="15">
        <f>IFERROR(__xludf.DUMMYFUNCTION("""COMPUTED_VALUE"""),6.0)</f>
        <v>6</v>
      </c>
      <c r="R669" s="15" t="str">
        <f>IFERROR(__xludf.DUMMYFUNCTION("""COMPUTED_VALUE"""),"RODO")</f>
        <v>RODO</v>
      </c>
      <c r="S669" s="15" t="str">
        <f>IFERROR(__xludf.DUMMYFUNCTION("""COMPUTED_VALUE"""),"ITN")</f>
        <v>ITN</v>
      </c>
      <c r="T669" s="15" t="str">
        <f>IFERROR(__xludf.DUMMYFUNCTION("""COMPUTED_VALUE"""),"803")</f>
        <v>803</v>
      </c>
      <c r="U669" s="15" t="str">
        <f>IFERROR(__xludf.DUMMYFUNCTION("""COMPUTED_VALUE"""),"266817978 1305278, 1305819 8177382 drogaria araujo s a trifil bhz 803")</f>
        <v>266817978 1305278, 1305819 8177382 drogaria araujo s a trifil bhz 803</v>
      </c>
      <c r="V669" s="15" t="b">
        <f>IFERROR(__xludf.DUMMYFUNCTION("""COMPUTED_VALUE"""),FALSE)</f>
        <v>0</v>
      </c>
    </row>
    <row r="670">
      <c r="A670" s="19">
        <f>IFERROR(__xludf.DUMMYFUNCTION("""COMPUTED_VALUE"""),46304.0)</f>
        <v>46304</v>
      </c>
      <c r="B670" s="19">
        <f>IFERROR(__xludf.DUMMYFUNCTION("""COMPUTED_VALUE"""),46318.0)</f>
        <v>46318</v>
      </c>
      <c r="C670" s="15">
        <f>IFERROR(__xludf.DUMMYFUNCTION("""COMPUTED_VALUE"""),9.0)</f>
        <v>9</v>
      </c>
      <c r="D670" s="15" t="str">
        <f>IFERROR(__xludf.DUMMYFUNCTION("""COMPUTED_VALUE"""),"VAG")</f>
        <v>VAG</v>
      </c>
      <c r="E670" s="15" t="str">
        <f>IFERROR(__xludf.DUMMYFUNCTION("""COMPUTED_VALUE"""),"O PRECINHO - CAMPOS GERAIS")</f>
        <v>O PRECINHO - CAMPOS GERAIS</v>
      </c>
      <c r="F670" s="15" t="str">
        <f>IFERROR(__xludf.DUMMYFUNCTION("""COMPUTED_VALUE"""),"TRIFIL")</f>
        <v>TRIFIL</v>
      </c>
      <c r="G670" s="15" t="str">
        <f>IFERROR(__xludf.DUMMYFUNCTION("""COMPUTED_VALUE"""),"266817979")</f>
        <v>266817979</v>
      </c>
      <c r="H670" s="15" t="str">
        <f>IFERROR(__xludf.DUMMYFUNCTION("""COMPUTED_VALUE"""),"1305879")</f>
        <v>1305879</v>
      </c>
      <c r="I670" s="15" t="str">
        <f>IFERROR(__xludf.DUMMYFUNCTION("""COMPUTED_VALUE"""),"8177383")</f>
        <v>8177383</v>
      </c>
      <c r="J670" s="15" t="str">
        <f>IFERROR(__xludf.DUMMYFUNCTION("""COMPUTED_VALUE"""),"CIF")</f>
        <v>CIF</v>
      </c>
      <c r="K670" s="15" t="str">
        <f>IFERROR(__xludf.DUMMYFUNCTION("""COMPUTED_VALUE"""),"(sem célula)")</f>
        <v>(sem célula)</v>
      </c>
      <c r="L670" s="15" t="str">
        <f>IFERROR(__xludf.DUMMYFUNCTION("""COMPUTED_VALUE"""),"AUTORIZADO")</f>
        <v>AUTORIZADO</v>
      </c>
      <c r="M670" s="15" t="str">
        <f>IFERROR(__xludf.DUMMYFUNCTION("""COMPUTED_VALUE"""),"NA ORIGEM")</f>
        <v>NA ORIGEM</v>
      </c>
      <c r="N670" s="15" t="str">
        <f>IFERROR(__xludf.DUMMYFUNCTION("""COMPUTED_VALUE"""),"Antes Prazo")</f>
        <v>Antes Prazo</v>
      </c>
      <c r="O670" s="15" t="str">
        <f>IFERROR(__xludf.DUMMYFUNCTION("""COMPUTED_VALUE"""),"B2B")</f>
        <v>B2B</v>
      </c>
      <c r="P670" s="16">
        <f>IFERROR(__xludf.DUMMYFUNCTION("""COMPUTED_VALUE"""),49.43)</f>
        <v>49.43</v>
      </c>
      <c r="Q670" s="15">
        <f>IFERROR(__xludf.DUMMYFUNCTION("""COMPUTED_VALUE"""),1.0)</f>
        <v>1</v>
      </c>
      <c r="R670" s="15" t="str">
        <f>IFERROR(__xludf.DUMMYFUNCTION("""COMPUTED_VALUE"""),"RODO")</f>
        <v>RODO</v>
      </c>
      <c r="S670" s="15" t="str">
        <f>IFERROR(__xludf.DUMMYFUNCTION("""COMPUTED_VALUE"""),"ITN")</f>
        <v>ITN</v>
      </c>
      <c r="T670" s="15" t="str">
        <f>IFERROR(__xludf.DUMMYFUNCTION("""COMPUTED_VALUE"""),"112")</f>
        <v>112</v>
      </c>
      <c r="U670" s="15" t="str">
        <f>IFERROR(__xludf.DUMMYFUNCTION("""COMPUTED_VALUE"""),"266817979 1305879 8177383 o precinho - campos gerais trifil vag 112")</f>
        <v>266817979 1305879 8177383 o precinho - campos gerais trifil vag 112</v>
      </c>
      <c r="V670" s="15" t="b">
        <f>IFERROR(__xludf.DUMMYFUNCTION("""COMPUTED_VALUE"""),FALSE)</f>
        <v>0</v>
      </c>
    </row>
    <row r="671">
      <c r="A671" s="19">
        <f>IFERROR(__xludf.DUMMYFUNCTION("""COMPUTED_VALUE"""),46304.0)</f>
        <v>46304</v>
      </c>
      <c r="B671" s="19">
        <f>IFERROR(__xludf.DUMMYFUNCTION("""COMPUTED_VALUE"""),46323.0)</f>
        <v>46323</v>
      </c>
      <c r="C671" s="15">
        <f>IFERROR(__xludf.DUMMYFUNCTION("""COMPUTED_VALUE"""),12.0)</f>
        <v>12</v>
      </c>
      <c r="D671" s="15" t="str">
        <f>IFERROR(__xludf.DUMMYFUNCTION("""COMPUTED_VALUE"""),"VAG")</f>
        <v>VAG</v>
      </c>
      <c r="E671" s="15" t="str">
        <f>IFERROR(__xludf.DUMMYFUNCTION("""COMPUTED_VALUE"""),"O PRECINHO - BOTELHOS")</f>
        <v>O PRECINHO - BOTELHOS</v>
      </c>
      <c r="F671" s="15" t="str">
        <f>IFERROR(__xludf.DUMMYFUNCTION("""COMPUTED_VALUE"""),"TRIFIL")</f>
        <v>TRIFIL</v>
      </c>
      <c r="G671" s="15" t="str">
        <f>IFERROR(__xludf.DUMMYFUNCTION("""COMPUTED_VALUE"""),"266817980")</f>
        <v>266817980</v>
      </c>
      <c r="H671" s="15" t="str">
        <f>IFERROR(__xludf.DUMMYFUNCTION("""COMPUTED_VALUE"""),"1305901")</f>
        <v>1305901</v>
      </c>
      <c r="I671" s="15" t="str">
        <f>IFERROR(__xludf.DUMMYFUNCTION("""COMPUTED_VALUE"""),"8177384")</f>
        <v>8177384</v>
      </c>
      <c r="J671" s="15" t="str">
        <f>IFERROR(__xludf.DUMMYFUNCTION("""COMPUTED_VALUE"""),"CIF")</f>
        <v>CIF</v>
      </c>
      <c r="K671" s="15" t="str">
        <f>IFERROR(__xludf.DUMMYFUNCTION("""COMPUTED_VALUE"""),"(sem célula)")</f>
        <v>(sem célula)</v>
      </c>
      <c r="L671" s="15" t="str">
        <f>IFERROR(__xludf.DUMMYFUNCTION("""COMPUTED_VALUE"""),"AUTORIZADO")</f>
        <v>AUTORIZADO</v>
      </c>
      <c r="M671" s="15" t="str">
        <f>IFERROR(__xludf.DUMMYFUNCTION("""COMPUTED_VALUE"""),"NA ORIGEM")</f>
        <v>NA ORIGEM</v>
      </c>
      <c r="N671" s="15" t="str">
        <f>IFERROR(__xludf.DUMMYFUNCTION("""COMPUTED_VALUE"""),"Antes Prazo")</f>
        <v>Antes Prazo</v>
      </c>
      <c r="O671" s="15" t="str">
        <f>IFERROR(__xludf.DUMMYFUNCTION("""COMPUTED_VALUE"""),"B2B")</f>
        <v>B2B</v>
      </c>
      <c r="P671" s="16">
        <f>IFERROR(__xludf.DUMMYFUNCTION("""COMPUTED_VALUE"""),49.43)</f>
        <v>49.43</v>
      </c>
      <c r="Q671" s="15">
        <f>IFERROR(__xludf.DUMMYFUNCTION("""COMPUTED_VALUE"""),1.0)</f>
        <v>1</v>
      </c>
      <c r="R671" s="15" t="str">
        <f>IFERROR(__xludf.DUMMYFUNCTION("""COMPUTED_VALUE"""),"RODO")</f>
        <v>RODO</v>
      </c>
      <c r="S671" s="15" t="str">
        <f>IFERROR(__xludf.DUMMYFUNCTION("""COMPUTED_VALUE"""),"ITN")</f>
        <v>ITN</v>
      </c>
      <c r="T671" s="15" t="str">
        <f>IFERROR(__xludf.DUMMYFUNCTION("""COMPUTED_VALUE"""),"113")</f>
        <v>113</v>
      </c>
      <c r="U671" s="15" t="str">
        <f>IFERROR(__xludf.DUMMYFUNCTION("""COMPUTED_VALUE"""),"266817980 1305901 8177384 o precinho - botelhos trifil vag 113")</f>
        <v>266817980 1305901 8177384 o precinho - botelhos trifil vag 113</v>
      </c>
      <c r="V671" s="15" t="b">
        <f>IFERROR(__xludf.DUMMYFUNCTION("""COMPUTED_VALUE"""),FALSE)</f>
        <v>0</v>
      </c>
    </row>
    <row r="672">
      <c r="A672" s="19">
        <f>IFERROR(__xludf.DUMMYFUNCTION("""COMPUTED_VALUE"""),46304.0)</f>
        <v>46304</v>
      </c>
      <c r="B672" s="19">
        <f>IFERROR(__xludf.DUMMYFUNCTION("""COMPUTED_VALUE"""),46322.0)</f>
        <v>46322</v>
      </c>
      <c r="C672" s="15">
        <f>IFERROR(__xludf.DUMMYFUNCTION("""COMPUTED_VALUE"""),11.0)</f>
        <v>11</v>
      </c>
      <c r="D672" s="15" t="str">
        <f>IFERROR(__xludf.DUMMYFUNCTION("""COMPUTED_VALUE"""),"VAG")</f>
        <v>VAG</v>
      </c>
      <c r="E672" s="15" t="str">
        <f>IFERROR(__xludf.DUMMYFUNCTION("""COMPUTED_VALUE"""),"O PRECINHO - CABO VERDE")</f>
        <v>O PRECINHO - CABO VERDE</v>
      </c>
      <c r="F672" s="15" t="str">
        <f>IFERROR(__xludf.DUMMYFUNCTION("""COMPUTED_VALUE"""),"TRIFIL")</f>
        <v>TRIFIL</v>
      </c>
      <c r="G672" s="15" t="str">
        <f>IFERROR(__xludf.DUMMYFUNCTION("""COMPUTED_VALUE"""),"266817981")</f>
        <v>266817981</v>
      </c>
      <c r="H672" s="15" t="str">
        <f>IFERROR(__xludf.DUMMYFUNCTION("""COMPUTED_VALUE"""),"1305893")</f>
        <v>1305893</v>
      </c>
      <c r="I672" s="15" t="str">
        <f>IFERROR(__xludf.DUMMYFUNCTION("""COMPUTED_VALUE"""),"8177385")</f>
        <v>8177385</v>
      </c>
      <c r="J672" s="15" t="str">
        <f>IFERROR(__xludf.DUMMYFUNCTION("""COMPUTED_VALUE"""),"CIF")</f>
        <v>CIF</v>
      </c>
      <c r="K672" s="15" t="str">
        <f>IFERROR(__xludf.DUMMYFUNCTION("""COMPUTED_VALUE"""),"(sem célula)")</f>
        <v>(sem célula)</v>
      </c>
      <c r="L672" s="15" t="str">
        <f>IFERROR(__xludf.DUMMYFUNCTION("""COMPUTED_VALUE"""),"AUTORIZADO")</f>
        <v>AUTORIZADO</v>
      </c>
      <c r="M672" s="15" t="str">
        <f>IFERROR(__xludf.DUMMYFUNCTION("""COMPUTED_VALUE"""),"NA ORIGEM")</f>
        <v>NA ORIGEM</v>
      </c>
      <c r="N672" s="15" t="str">
        <f>IFERROR(__xludf.DUMMYFUNCTION("""COMPUTED_VALUE"""),"Antes Prazo")</f>
        <v>Antes Prazo</v>
      </c>
      <c r="O672" s="15" t="str">
        <f>IFERROR(__xludf.DUMMYFUNCTION("""COMPUTED_VALUE"""),"B2B")</f>
        <v>B2B</v>
      </c>
      <c r="P672" s="16">
        <f>IFERROR(__xludf.DUMMYFUNCTION("""COMPUTED_VALUE"""),49.43)</f>
        <v>49.43</v>
      </c>
      <c r="Q672" s="15">
        <f>IFERROR(__xludf.DUMMYFUNCTION("""COMPUTED_VALUE"""),1.0)</f>
        <v>1</v>
      </c>
      <c r="R672" s="15" t="str">
        <f>IFERROR(__xludf.DUMMYFUNCTION("""COMPUTED_VALUE"""),"RODO")</f>
        <v>RODO</v>
      </c>
      <c r="S672" s="15" t="str">
        <f>IFERROR(__xludf.DUMMYFUNCTION("""COMPUTED_VALUE"""),"ITN")</f>
        <v>ITN</v>
      </c>
      <c r="T672" s="15" t="str">
        <f>IFERROR(__xludf.DUMMYFUNCTION("""COMPUTED_VALUE"""),"113")</f>
        <v>113</v>
      </c>
      <c r="U672" s="15" t="str">
        <f>IFERROR(__xludf.DUMMYFUNCTION("""COMPUTED_VALUE"""),"266817981 1305893 8177385 o precinho - cabo verde trifil vag 113")</f>
        <v>266817981 1305893 8177385 o precinho - cabo verde trifil vag 113</v>
      </c>
      <c r="V672" s="15" t="b">
        <f>IFERROR(__xludf.DUMMYFUNCTION("""COMPUTED_VALUE"""),FALSE)</f>
        <v>0</v>
      </c>
    </row>
    <row r="673">
      <c r="A673" s="19">
        <f>IFERROR(__xludf.DUMMYFUNCTION("""COMPUTED_VALUE"""),46304.0)</f>
        <v>46304</v>
      </c>
      <c r="B673" s="19">
        <f>IFERROR(__xludf.DUMMYFUNCTION("""COMPUTED_VALUE"""),46314.0)</f>
        <v>46314</v>
      </c>
      <c r="C673" s="15">
        <f>IFERROR(__xludf.DUMMYFUNCTION("""COMPUTED_VALUE"""),5.0)</f>
        <v>5</v>
      </c>
      <c r="D673" s="15" t="str">
        <f>IFERROR(__xludf.DUMMYFUNCTION("""COMPUTED_VALUE"""),"SSA")</f>
        <v>SSA</v>
      </c>
      <c r="E673" s="15" t="str">
        <f>IFERROR(__xludf.DUMMYFUNCTION("""COMPUTED_VALUE"""),"FARDA FACIL")</f>
        <v>FARDA FACIL</v>
      </c>
      <c r="F673" s="15" t="str">
        <f>IFERROR(__xludf.DUMMYFUNCTION("""COMPUTED_VALUE"""),"TRIFIL")</f>
        <v>TRIFIL</v>
      </c>
      <c r="G673" s="15" t="str">
        <f>IFERROR(__xludf.DUMMYFUNCTION("""COMPUTED_VALUE"""),"266817983")</f>
        <v>266817983</v>
      </c>
      <c r="H673" s="15" t="str">
        <f>IFERROR(__xludf.DUMMYFUNCTION("""COMPUTED_VALUE"""),"1306309")</f>
        <v>1306309</v>
      </c>
      <c r="I673" s="15" t="str">
        <f>IFERROR(__xludf.DUMMYFUNCTION("""COMPUTED_VALUE"""),"8177397")</f>
        <v>8177397</v>
      </c>
      <c r="J673" s="15" t="str">
        <f>IFERROR(__xludf.DUMMYFUNCTION("""COMPUTED_VALUE"""),"CIF")</f>
        <v>CIF</v>
      </c>
      <c r="K673" s="15" t="str">
        <f>IFERROR(__xludf.DUMMYFUNCTION("""COMPUTED_VALUE"""),"FSA-1")</f>
        <v>FSA-1</v>
      </c>
      <c r="L673" s="15" t="str">
        <f>IFERROR(__xludf.DUMMYFUNCTION("""COMPUTED_VALUE"""),"AUTORIZADO")</f>
        <v>AUTORIZADO</v>
      </c>
      <c r="M673" s="15" t="str">
        <f>IFERROR(__xludf.DUMMYFUNCTION("""COMPUTED_VALUE"""),"NA ORIGEM")</f>
        <v>NA ORIGEM</v>
      </c>
      <c r="N673" s="15" t="str">
        <f>IFERROR(__xludf.DUMMYFUNCTION("""COMPUTED_VALUE"""),"Antes Prazo")</f>
        <v>Antes Prazo</v>
      </c>
      <c r="O673" s="15" t="str">
        <f>IFERROR(__xludf.DUMMYFUNCTION("""COMPUTED_VALUE"""),"B2B")</f>
        <v>B2B</v>
      </c>
      <c r="P673" s="16">
        <f>IFERROR(__xludf.DUMMYFUNCTION("""COMPUTED_VALUE"""),33.82)</f>
        <v>33.82</v>
      </c>
      <c r="Q673" s="15">
        <f>IFERROR(__xludf.DUMMYFUNCTION("""COMPUTED_VALUE"""),3.0)</f>
        <v>3</v>
      </c>
      <c r="R673" s="15" t="str">
        <f>IFERROR(__xludf.DUMMYFUNCTION("""COMPUTED_VALUE"""),"RODO")</f>
        <v>RODO</v>
      </c>
      <c r="S673" s="15" t="str">
        <f>IFERROR(__xludf.DUMMYFUNCTION("""COMPUTED_VALUE"""),"ITN")</f>
        <v>ITN</v>
      </c>
      <c r="T673" s="15" t="str">
        <f>IFERROR(__xludf.DUMMYFUNCTION("""COMPUTED_VALUE"""),"13")</f>
        <v>13</v>
      </c>
      <c r="U673" s="15" t="str">
        <f>IFERROR(__xludf.DUMMYFUNCTION("""COMPUTED_VALUE"""),"266817983 1306309 8177397 farda facil trifil ssa 13")</f>
        <v>266817983 1306309 8177397 farda facil trifil ssa 13</v>
      </c>
      <c r="V673" s="15" t="b">
        <f>IFERROR(__xludf.DUMMYFUNCTION("""COMPUTED_VALUE"""),FALSE)</f>
        <v>0</v>
      </c>
    </row>
    <row r="674">
      <c r="A674" s="19">
        <f>IFERROR(__xludf.DUMMYFUNCTION("""COMPUTED_VALUE"""),46304.0)</f>
        <v>46304</v>
      </c>
      <c r="B674" s="19">
        <f>IFERROR(__xludf.DUMMYFUNCTION("""COMPUTED_VALUE"""),46316.0)</f>
        <v>46316</v>
      </c>
      <c r="C674" s="15">
        <f>IFERROR(__xludf.DUMMYFUNCTION("""COMPUTED_VALUE"""),7.0)</f>
        <v>7</v>
      </c>
      <c r="D674" s="15" t="str">
        <f>IFERROR(__xludf.DUMMYFUNCTION("""COMPUTED_VALUE"""),"CAU")</f>
        <v>CAU</v>
      </c>
      <c r="E674" s="15" t="str">
        <f>IFERROR(__xludf.DUMMYFUNCTION("""COMPUTED_VALUE"""),"JULIANA G DA SILVA EIRELI - ME")</f>
        <v>JULIANA G DA SILVA EIRELI - ME</v>
      </c>
      <c r="F674" s="15" t="str">
        <f>IFERROR(__xludf.DUMMYFUNCTION("""COMPUTED_VALUE"""),"TRIFIL")</f>
        <v>TRIFIL</v>
      </c>
      <c r="G674" s="15" t="str">
        <f>IFERROR(__xludf.DUMMYFUNCTION("""COMPUTED_VALUE"""),"266817984")</f>
        <v>266817984</v>
      </c>
      <c r="H674" s="15" t="str">
        <f>IFERROR(__xludf.DUMMYFUNCTION("""COMPUTED_VALUE"""),"1306085")</f>
        <v>1306085</v>
      </c>
      <c r="I674" s="15" t="str">
        <f>IFERROR(__xludf.DUMMYFUNCTION("""COMPUTED_VALUE"""),"8177364")</f>
        <v>8177364</v>
      </c>
      <c r="J674" s="15" t="str">
        <f>IFERROR(__xludf.DUMMYFUNCTION("""COMPUTED_VALUE"""),"CIF")</f>
        <v>CIF</v>
      </c>
      <c r="K674" s="15" t="str">
        <f>IFERROR(__xludf.DUMMYFUNCTION("""COMPUTED_VALUE"""),"FSA-1")</f>
        <v>FSA-1</v>
      </c>
      <c r="L674" s="15" t="str">
        <f>IFERROR(__xludf.DUMMYFUNCTION("""COMPUTED_VALUE"""),"AUTORIZADO")</f>
        <v>AUTORIZADO</v>
      </c>
      <c r="M674" s="15" t="str">
        <f>IFERROR(__xludf.DUMMYFUNCTION("""COMPUTED_VALUE"""),"NA ORIGEM")</f>
        <v>NA ORIGEM</v>
      </c>
      <c r="N674" s="15" t="str">
        <f>IFERROR(__xludf.DUMMYFUNCTION("""COMPUTED_VALUE"""),"Antes Prazo")</f>
        <v>Antes Prazo</v>
      </c>
      <c r="O674" s="15" t="str">
        <f>IFERROR(__xludf.DUMMYFUNCTION("""COMPUTED_VALUE"""),"B2B")</f>
        <v>B2B</v>
      </c>
      <c r="P674" s="16">
        <f>IFERROR(__xludf.DUMMYFUNCTION("""COMPUTED_VALUE"""),56.59)</f>
        <v>56.59</v>
      </c>
      <c r="Q674" s="15">
        <f>IFERROR(__xludf.DUMMYFUNCTION("""COMPUTED_VALUE"""),1.0)</f>
        <v>1</v>
      </c>
      <c r="R674" s="15" t="str">
        <f>IFERROR(__xludf.DUMMYFUNCTION("""COMPUTED_VALUE"""),"RODO")</f>
        <v>RODO</v>
      </c>
      <c r="S674" s="15" t="str">
        <f>IFERROR(__xludf.DUMMYFUNCTION("""COMPUTED_VALUE"""),"ITN")</f>
        <v>ITN</v>
      </c>
      <c r="T674" s="15" t="str">
        <f>IFERROR(__xludf.DUMMYFUNCTION("""COMPUTED_VALUE"""),"1")</f>
        <v>1</v>
      </c>
      <c r="U674" s="15" t="str">
        <f>IFERROR(__xludf.DUMMYFUNCTION("""COMPUTED_VALUE"""),"266817984 1306085 8177364 juliana g da silva eireli - me trifil cau 1")</f>
        <v>266817984 1306085 8177364 juliana g da silva eireli - me trifil cau 1</v>
      </c>
      <c r="V674" s="15" t="b">
        <f>IFERROR(__xludf.DUMMYFUNCTION("""COMPUTED_VALUE"""),FALSE)</f>
        <v>0</v>
      </c>
    </row>
    <row r="675">
      <c r="A675" s="19">
        <f>IFERROR(__xludf.DUMMYFUNCTION("""COMPUTED_VALUE"""),46304.0)</f>
        <v>46304</v>
      </c>
      <c r="B675" s="19">
        <f>IFERROR(__xludf.DUMMYFUNCTION("""COMPUTED_VALUE"""),46318.0)</f>
        <v>46318</v>
      </c>
      <c r="C675" s="15">
        <f>IFERROR(__xludf.DUMMYFUNCTION("""COMPUTED_VALUE"""),9.0)</f>
        <v>9</v>
      </c>
      <c r="D675" s="15" t="str">
        <f>IFERROR(__xludf.DUMMYFUNCTION("""COMPUTED_VALUE"""),"MCZ")</f>
        <v>MCZ</v>
      </c>
      <c r="E675" s="15" t="str">
        <f>IFERROR(__xludf.DUMMYFUNCTION("""COMPUTED_VALUE"""),"EDVANIA BEZERRA DAMASCENO ME(0001007335)")</f>
        <v>EDVANIA BEZERRA DAMASCENO ME(0001007335)</v>
      </c>
      <c r="F675" s="15" t="str">
        <f>IFERROR(__xludf.DUMMYFUNCTION("""COMPUTED_VALUE"""),"TRIFIL")</f>
        <v>TRIFIL</v>
      </c>
      <c r="G675" s="15" t="str">
        <f>IFERROR(__xludf.DUMMYFUNCTION("""COMPUTED_VALUE"""),"266817985")</f>
        <v>266817985</v>
      </c>
      <c r="H675" s="15" t="str">
        <f>IFERROR(__xludf.DUMMYFUNCTION("""COMPUTED_VALUE"""),"1306313")</f>
        <v>1306313</v>
      </c>
      <c r="I675" s="15" t="str">
        <f>IFERROR(__xludf.DUMMYFUNCTION("""COMPUTED_VALUE"""),"8177398")</f>
        <v>8177398</v>
      </c>
      <c r="J675" s="15" t="str">
        <f>IFERROR(__xludf.DUMMYFUNCTION("""COMPUTED_VALUE"""),"CIF")</f>
        <v>CIF</v>
      </c>
      <c r="K675" s="15" t="str">
        <f>IFERROR(__xludf.DUMMYFUNCTION("""COMPUTED_VALUE"""),"FSA-1")</f>
        <v>FSA-1</v>
      </c>
      <c r="L675" s="15" t="str">
        <f>IFERROR(__xludf.DUMMYFUNCTION("""COMPUTED_VALUE"""),"AUTORIZADO")</f>
        <v>AUTORIZADO</v>
      </c>
      <c r="M675" s="15" t="str">
        <f>IFERROR(__xludf.DUMMYFUNCTION("""COMPUTED_VALUE"""),"NA ORIGEM")</f>
        <v>NA ORIGEM</v>
      </c>
      <c r="N675" s="15" t="str">
        <f>IFERROR(__xludf.DUMMYFUNCTION("""COMPUTED_VALUE"""),"Antes Prazo")</f>
        <v>Antes Prazo</v>
      </c>
      <c r="O675" s="15" t="str">
        <f>IFERROR(__xludf.DUMMYFUNCTION("""COMPUTED_VALUE"""),"B2B")</f>
        <v>B2B</v>
      </c>
      <c r="P675" s="16">
        <f>IFERROR(__xludf.DUMMYFUNCTION("""COMPUTED_VALUE"""),57.25)</f>
        <v>57.25</v>
      </c>
      <c r="Q675" s="15">
        <f>IFERROR(__xludf.DUMMYFUNCTION("""COMPUTED_VALUE"""),2.0)</f>
        <v>2</v>
      </c>
      <c r="R675" s="15" t="str">
        <f>IFERROR(__xludf.DUMMYFUNCTION("""COMPUTED_VALUE"""),"RODO")</f>
        <v>RODO</v>
      </c>
      <c r="S675" s="15" t="str">
        <f>IFERROR(__xludf.DUMMYFUNCTION("""COMPUTED_VALUE"""),"ITN")</f>
        <v>ITN</v>
      </c>
      <c r="T675" s="15" t="str">
        <f>IFERROR(__xludf.DUMMYFUNCTION("""COMPUTED_VALUE"""),"104")</f>
        <v>104</v>
      </c>
      <c r="U675" s="15" t="str">
        <f>IFERROR(__xludf.DUMMYFUNCTION("""COMPUTED_VALUE"""),"266817985 1306313 8177398 edvania bezerra damasceno me(0001007335) trifil mcz 104")</f>
        <v>266817985 1306313 8177398 edvania bezerra damasceno me(0001007335) trifil mcz 104</v>
      </c>
      <c r="V675" s="15" t="b">
        <f>IFERROR(__xludf.DUMMYFUNCTION("""COMPUTED_VALUE"""),FALSE)</f>
        <v>0</v>
      </c>
    </row>
    <row r="676">
      <c r="A676" s="19">
        <f>IFERROR(__xludf.DUMMYFUNCTION("""COMPUTED_VALUE"""),46304.0)</f>
        <v>46304</v>
      </c>
      <c r="B676" s="19">
        <f>IFERROR(__xludf.DUMMYFUNCTION("""COMPUTED_VALUE"""),46315.0)</f>
        <v>46315</v>
      </c>
      <c r="C676" s="15">
        <f>IFERROR(__xludf.DUMMYFUNCTION("""COMPUTED_VALUE"""),6.0)</f>
        <v>6</v>
      </c>
      <c r="D676" s="15" t="str">
        <f>IFERROR(__xludf.DUMMYFUNCTION("""COMPUTED_VALUE"""),"JDO")</f>
        <v>JDO</v>
      </c>
      <c r="E676" s="15" t="str">
        <f>IFERROR(__xludf.DUMMYFUNCTION("""COMPUTED_VALUE"""),"ALVES ARAGAO &amp; CIA LTDA")</f>
        <v>ALVES ARAGAO &amp; CIA LTDA</v>
      </c>
      <c r="F676" s="15" t="str">
        <f>IFERROR(__xludf.DUMMYFUNCTION("""COMPUTED_VALUE"""),"TRIFIL")</f>
        <v>TRIFIL</v>
      </c>
      <c r="G676" s="15" t="str">
        <f>IFERROR(__xludf.DUMMYFUNCTION("""COMPUTED_VALUE"""),"266817986")</f>
        <v>266817986</v>
      </c>
      <c r="H676" s="15" t="str">
        <f>IFERROR(__xludf.DUMMYFUNCTION("""COMPUTED_VALUE"""),"1306407")</f>
        <v>1306407</v>
      </c>
      <c r="I676" s="15" t="str">
        <f>IFERROR(__xludf.DUMMYFUNCTION("""COMPUTED_VALUE"""),"8177373")</f>
        <v>8177373</v>
      </c>
      <c r="J676" s="15" t="str">
        <f>IFERROR(__xludf.DUMMYFUNCTION("""COMPUTED_VALUE"""),"CIF")</f>
        <v>CIF</v>
      </c>
      <c r="K676" s="15" t="str">
        <f>IFERROR(__xludf.DUMMYFUNCTION("""COMPUTED_VALUE"""),"FSA-1")</f>
        <v>FSA-1</v>
      </c>
      <c r="L676" s="15" t="str">
        <f>IFERROR(__xludf.DUMMYFUNCTION("""COMPUTED_VALUE"""),"AUTORIZADO")</f>
        <v>AUTORIZADO</v>
      </c>
      <c r="M676" s="15" t="str">
        <f>IFERROR(__xludf.DUMMYFUNCTION("""COMPUTED_VALUE"""),"NA ORIGEM")</f>
        <v>NA ORIGEM</v>
      </c>
      <c r="N676" s="15" t="str">
        <f>IFERROR(__xludf.DUMMYFUNCTION("""COMPUTED_VALUE"""),"Antes Prazo")</f>
        <v>Antes Prazo</v>
      </c>
      <c r="O676" s="15" t="str">
        <f>IFERROR(__xludf.DUMMYFUNCTION("""COMPUTED_VALUE"""),"B2B")</f>
        <v>B2B</v>
      </c>
      <c r="P676" s="16">
        <f>IFERROR(__xludf.DUMMYFUNCTION("""COMPUTED_VALUE"""),51.54)</f>
        <v>51.54</v>
      </c>
      <c r="Q676" s="15">
        <f>IFERROR(__xludf.DUMMYFUNCTION("""COMPUTED_VALUE"""),2.0)</f>
        <v>2</v>
      </c>
      <c r="R676" s="15" t="str">
        <f>IFERROR(__xludf.DUMMYFUNCTION("""COMPUTED_VALUE"""),"RODO")</f>
        <v>RODO</v>
      </c>
      <c r="S676" s="15" t="str">
        <f>IFERROR(__xludf.DUMMYFUNCTION("""COMPUTED_VALUE"""),"ITN")</f>
        <v>ITN</v>
      </c>
      <c r="T676" s="15" t="str">
        <f>IFERROR(__xludf.DUMMYFUNCTION("""COMPUTED_VALUE"""),"1")</f>
        <v>1</v>
      </c>
      <c r="U676" s="15" t="str">
        <f>IFERROR(__xludf.DUMMYFUNCTION("""COMPUTED_VALUE"""),"266817986 1306407 8177373 alves aragao &amp; cia ltda trifil jdo 1")</f>
        <v>266817986 1306407 8177373 alves aragao &amp; cia ltda trifil jdo 1</v>
      </c>
      <c r="V676" s="15" t="b">
        <f>IFERROR(__xludf.DUMMYFUNCTION("""COMPUTED_VALUE"""),FALSE)</f>
        <v>0</v>
      </c>
    </row>
    <row r="677">
      <c r="A677" s="19">
        <f>IFERROR(__xludf.DUMMYFUNCTION("""COMPUTED_VALUE"""),46304.0)</f>
        <v>46304</v>
      </c>
      <c r="B677" s="19">
        <f>IFERROR(__xludf.DUMMYFUNCTION("""COMPUTED_VALUE"""),46324.0)</f>
        <v>46324</v>
      </c>
      <c r="C677" s="15">
        <f>IFERROR(__xludf.DUMMYFUNCTION("""COMPUTED_VALUE"""),13.0)</f>
        <v>13</v>
      </c>
      <c r="D677" s="15" t="str">
        <f>IFERROR(__xludf.DUMMYFUNCTION("""COMPUTED_VALUE"""),"PCS")</f>
        <v>PCS</v>
      </c>
      <c r="E677" s="15" t="str">
        <f>IFERROR(__xludf.DUMMYFUNCTION("""COMPUTED_VALUE"""),"ELISETE MADEIRA CARVALHO")</f>
        <v>ELISETE MADEIRA CARVALHO</v>
      </c>
      <c r="F677" s="15" t="str">
        <f>IFERROR(__xludf.DUMMYFUNCTION("""COMPUTED_VALUE"""),"TRIFIL")</f>
        <v>TRIFIL</v>
      </c>
      <c r="G677" s="15" t="str">
        <f>IFERROR(__xludf.DUMMYFUNCTION("""COMPUTED_VALUE"""),"266817987")</f>
        <v>266817987</v>
      </c>
      <c r="H677" s="15" t="str">
        <f>IFERROR(__xludf.DUMMYFUNCTION("""COMPUTED_VALUE"""),"1306346")</f>
        <v>1306346</v>
      </c>
      <c r="I677" s="15" t="str">
        <f>IFERROR(__xludf.DUMMYFUNCTION("""COMPUTED_VALUE"""),"8177399")</f>
        <v>8177399</v>
      </c>
      <c r="J677" s="15" t="str">
        <f>IFERROR(__xludf.DUMMYFUNCTION("""COMPUTED_VALUE"""),"CIF")</f>
        <v>CIF</v>
      </c>
      <c r="K677" s="15" t="str">
        <f>IFERROR(__xludf.DUMMYFUNCTION("""COMPUTED_VALUE"""),"FSA-1")</f>
        <v>FSA-1</v>
      </c>
      <c r="L677" s="15" t="str">
        <f>IFERROR(__xludf.DUMMYFUNCTION("""COMPUTED_VALUE"""),"AUTORIZADO")</f>
        <v>AUTORIZADO</v>
      </c>
      <c r="M677" s="15" t="str">
        <f>IFERROR(__xludf.DUMMYFUNCTION("""COMPUTED_VALUE"""),"NA ORIGEM")</f>
        <v>NA ORIGEM</v>
      </c>
      <c r="N677" s="15" t="str">
        <f>IFERROR(__xludf.DUMMYFUNCTION("""COMPUTED_VALUE"""),"Antes Prazo")</f>
        <v>Antes Prazo</v>
      </c>
      <c r="O677" s="15" t="str">
        <f>IFERROR(__xludf.DUMMYFUNCTION("""COMPUTED_VALUE"""),"B2B")</f>
        <v>B2B</v>
      </c>
      <c r="P677" s="16">
        <f>IFERROR(__xludf.DUMMYFUNCTION("""COMPUTED_VALUE"""),71.9)</f>
        <v>71.9</v>
      </c>
      <c r="Q677" s="15">
        <f>IFERROR(__xludf.DUMMYFUNCTION("""COMPUTED_VALUE"""),1.0)</f>
        <v>1</v>
      </c>
      <c r="R677" s="15" t="str">
        <f>IFERROR(__xludf.DUMMYFUNCTION("""COMPUTED_VALUE"""),"RODO")</f>
        <v>RODO</v>
      </c>
      <c r="S677" s="15" t="str">
        <f>IFERROR(__xludf.DUMMYFUNCTION("""COMPUTED_VALUE"""),"ITN")</f>
        <v>ITN</v>
      </c>
      <c r="T677" s="15" t="str">
        <f>IFERROR(__xludf.DUMMYFUNCTION("""COMPUTED_VALUE"""),"108")</f>
        <v>108</v>
      </c>
      <c r="U677" s="15" t="str">
        <f>IFERROR(__xludf.DUMMYFUNCTION("""COMPUTED_VALUE"""),"266817987 1306346 8177399 elisete madeira carvalho trifil pcs 108")</f>
        <v>266817987 1306346 8177399 elisete madeira carvalho trifil pcs 108</v>
      </c>
      <c r="V677" s="15" t="b">
        <f>IFERROR(__xludf.DUMMYFUNCTION("""COMPUTED_VALUE"""),FALSE)</f>
        <v>0</v>
      </c>
    </row>
    <row r="678">
      <c r="A678" s="19">
        <f>IFERROR(__xludf.DUMMYFUNCTION("""COMPUTED_VALUE"""),46304.0)</f>
        <v>46304</v>
      </c>
      <c r="B678" s="19">
        <f>IFERROR(__xludf.DUMMYFUNCTION("""COMPUTED_VALUE"""),46364.0)</f>
        <v>46364</v>
      </c>
      <c r="C678" s="15">
        <f>IFERROR(__xludf.DUMMYFUNCTION("""COMPUTED_VALUE"""),39.0)</f>
        <v>39</v>
      </c>
      <c r="D678" s="15" t="str">
        <f>IFERROR(__xludf.DUMMYFUNCTION("""COMPUTED_VALUE"""),"BVB")</f>
        <v>BVB</v>
      </c>
      <c r="E678" s="15" t="str">
        <f>IFERROR(__xludf.DUMMYFUNCTION("""COMPUTED_VALUE"""),"53.812.775 MARIA N. M. R. DE OLIVEI")</f>
        <v>53.812.775 MARIA N. M. R. DE OLIVEI</v>
      </c>
      <c r="F678" s="15" t="str">
        <f>IFERROR(__xludf.DUMMYFUNCTION("""COMPUTED_VALUE"""),"TRIFIL")</f>
        <v>TRIFIL</v>
      </c>
      <c r="G678" s="15" t="str">
        <f>IFERROR(__xludf.DUMMYFUNCTION("""COMPUTED_VALUE"""),"266817988")</f>
        <v>266817988</v>
      </c>
      <c r="H678" s="15" t="str">
        <f>IFERROR(__xludf.DUMMYFUNCTION("""COMPUTED_VALUE"""),"1306102")</f>
        <v>1306102</v>
      </c>
      <c r="I678" s="15" t="str">
        <f>IFERROR(__xludf.DUMMYFUNCTION("""COMPUTED_VALUE"""),"8177340")</f>
        <v>8177340</v>
      </c>
      <c r="J678" s="15" t="str">
        <f>IFERROR(__xludf.DUMMYFUNCTION("""COMPUTED_VALUE"""),"CIF")</f>
        <v>CIF</v>
      </c>
      <c r="K678" s="15" t="str">
        <f>IFERROR(__xludf.DUMMYFUNCTION("""COMPUTED_VALUE"""),"(sem célula)")</f>
        <v>(sem célula)</v>
      </c>
      <c r="L678" s="15" t="str">
        <f>IFERROR(__xludf.DUMMYFUNCTION("""COMPUTED_VALUE"""),"AUTORIZADO")</f>
        <v>AUTORIZADO</v>
      </c>
      <c r="M678" s="15" t="str">
        <f>IFERROR(__xludf.DUMMYFUNCTION("""COMPUTED_VALUE"""),"NA ORIGEM")</f>
        <v>NA ORIGEM</v>
      </c>
      <c r="N678" s="15" t="str">
        <f>IFERROR(__xludf.DUMMYFUNCTION("""COMPUTED_VALUE"""),"Antes Prazo")</f>
        <v>Antes Prazo</v>
      </c>
      <c r="O678" s="15" t="str">
        <f>IFERROR(__xludf.DUMMYFUNCTION("""COMPUTED_VALUE"""),"B2B")</f>
        <v>B2B</v>
      </c>
      <c r="P678" s="16">
        <f>IFERROR(__xludf.DUMMYFUNCTION("""COMPUTED_VALUE"""),264.02)</f>
        <v>264.02</v>
      </c>
      <c r="Q678" s="15">
        <f>IFERROR(__xludf.DUMMYFUNCTION("""COMPUTED_VALUE"""),1.0)</f>
        <v>1</v>
      </c>
      <c r="R678" s="15" t="str">
        <f>IFERROR(__xludf.DUMMYFUNCTION("""COMPUTED_VALUE"""),"RODO")</f>
        <v>RODO</v>
      </c>
      <c r="S678" s="15" t="str">
        <f>IFERROR(__xludf.DUMMYFUNCTION("""COMPUTED_VALUE"""),"ITN")</f>
        <v>ITN</v>
      </c>
      <c r="T678" s="15" t="str">
        <f>IFERROR(__xludf.DUMMYFUNCTION("""COMPUTED_VALUE"""),"103")</f>
        <v>103</v>
      </c>
      <c r="U678" s="15" t="str">
        <f>IFERROR(__xludf.DUMMYFUNCTION("""COMPUTED_VALUE"""),"266817988 1306102 8177340 53.812.775 maria n. m. r. de olivei trifil bvb 103")</f>
        <v>266817988 1306102 8177340 53.812.775 maria n. m. r. de olivei trifil bvb 103</v>
      </c>
      <c r="V678" s="15" t="b">
        <f>IFERROR(__xludf.DUMMYFUNCTION("""COMPUTED_VALUE"""),FALSE)</f>
        <v>0</v>
      </c>
    </row>
    <row r="679">
      <c r="A679" s="19">
        <f>IFERROR(__xludf.DUMMYFUNCTION("""COMPUTED_VALUE"""),46304.0)</f>
        <v>46304</v>
      </c>
      <c r="B679" s="19">
        <f>IFERROR(__xludf.DUMMYFUNCTION("""COMPUTED_VALUE"""),46316.0)</f>
        <v>46316</v>
      </c>
      <c r="C679" s="15">
        <f>IFERROR(__xludf.DUMMYFUNCTION("""COMPUTED_VALUE"""),7.0)</f>
        <v>7</v>
      </c>
      <c r="D679" s="15" t="str">
        <f>IFERROR(__xludf.DUMMYFUNCTION("""COMPUTED_VALUE"""),"BSB")</f>
        <v>BSB</v>
      </c>
      <c r="E679" s="15" t="str">
        <f>IFERROR(__xludf.DUMMYFUNCTION("""COMPUTED_VALUE"""),"DASJU COMERCIO CALCADOS LTDA")</f>
        <v>DASJU COMERCIO CALCADOS LTDA</v>
      </c>
      <c r="F679" s="15" t="str">
        <f>IFERROR(__xludf.DUMMYFUNCTION("""COMPUTED_VALUE"""),"TRIFIL")</f>
        <v>TRIFIL</v>
      </c>
      <c r="G679" s="15" t="str">
        <f>IFERROR(__xludf.DUMMYFUNCTION("""COMPUTED_VALUE"""),"266817989")</f>
        <v>266817989</v>
      </c>
      <c r="H679" s="15" t="str">
        <f>IFERROR(__xludf.DUMMYFUNCTION("""COMPUTED_VALUE"""),"1306398")</f>
        <v>1306398</v>
      </c>
      <c r="I679" s="15" t="str">
        <f>IFERROR(__xludf.DUMMYFUNCTION("""COMPUTED_VALUE"""),"8177386")</f>
        <v>8177386</v>
      </c>
      <c r="J679" s="15" t="str">
        <f>IFERROR(__xludf.DUMMYFUNCTION("""COMPUTED_VALUE"""),"CIF")</f>
        <v>CIF</v>
      </c>
      <c r="K679" s="15" t="str">
        <f>IFERROR(__xludf.DUMMYFUNCTION("""COMPUTED_VALUE"""),"(sem célula)")</f>
        <v>(sem célula)</v>
      </c>
      <c r="L679" s="15" t="str">
        <f>IFERROR(__xludf.DUMMYFUNCTION("""COMPUTED_VALUE"""),"AUTORIZADO")</f>
        <v>AUTORIZADO</v>
      </c>
      <c r="M679" s="15" t="str">
        <f>IFERROR(__xludf.DUMMYFUNCTION("""COMPUTED_VALUE"""),"NA ORIGEM")</f>
        <v>NA ORIGEM</v>
      </c>
      <c r="N679" s="15" t="str">
        <f>IFERROR(__xludf.DUMMYFUNCTION("""COMPUTED_VALUE"""),"Antes Prazo")</f>
        <v>Antes Prazo</v>
      </c>
      <c r="O679" s="15" t="str">
        <f>IFERROR(__xludf.DUMMYFUNCTION("""COMPUTED_VALUE"""),"B2B")</f>
        <v>B2B</v>
      </c>
      <c r="P679" s="16">
        <f>IFERROR(__xludf.DUMMYFUNCTION("""COMPUTED_VALUE"""),51.54)</f>
        <v>51.54</v>
      </c>
      <c r="Q679" s="15">
        <f>IFERROR(__xludf.DUMMYFUNCTION("""COMPUTED_VALUE"""),1.0)</f>
        <v>1</v>
      </c>
      <c r="R679" s="15" t="str">
        <f>IFERROR(__xludf.DUMMYFUNCTION("""COMPUTED_VALUE"""),"RODO")</f>
        <v>RODO</v>
      </c>
      <c r="S679" s="15" t="str">
        <f>IFERROR(__xludf.DUMMYFUNCTION("""COMPUTED_VALUE"""),"ITN")</f>
        <v>ITN</v>
      </c>
      <c r="T679" s="15" t="str">
        <f>IFERROR(__xludf.DUMMYFUNCTION("""COMPUTED_VALUE"""),"16")</f>
        <v>16</v>
      </c>
      <c r="U679" s="15" t="str">
        <f>IFERROR(__xludf.DUMMYFUNCTION("""COMPUTED_VALUE"""),"266817989 1306398 8177386 dasju comercio calcados ltda trifil bsb 16")</f>
        <v>266817989 1306398 8177386 dasju comercio calcados ltda trifil bsb 16</v>
      </c>
      <c r="V679" s="15" t="b">
        <f>IFERROR(__xludf.DUMMYFUNCTION("""COMPUTED_VALUE"""),FALSE)</f>
        <v>0</v>
      </c>
    </row>
    <row r="680">
      <c r="A680" s="19">
        <f>IFERROR(__xludf.DUMMYFUNCTION("""COMPUTED_VALUE"""),46304.0)</f>
        <v>46304</v>
      </c>
      <c r="B680" s="19">
        <f>IFERROR(__xludf.DUMMYFUNCTION("""COMPUTED_VALUE"""),46316.0)</f>
        <v>46316</v>
      </c>
      <c r="C680" s="15">
        <f>IFERROR(__xludf.DUMMYFUNCTION("""COMPUTED_VALUE"""),7.0)</f>
        <v>7</v>
      </c>
      <c r="D680" s="15" t="str">
        <f>IFERROR(__xludf.DUMMYFUNCTION("""COMPUTED_VALUE"""),"BSB")</f>
        <v>BSB</v>
      </c>
      <c r="E680" s="15" t="str">
        <f>IFERROR(__xludf.DUMMYFUNCTION("""COMPUTED_VALUE"""),"JOSIMAR RIBEIRO DE ALMEIDA ME")</f>
        <v>JOSIMAR RIBEIRO DE ALMEIDA ME</v>
      </c>
      <c r="F680" s="15" t="str">
        <f>IFERROR(__xludf.DUMMYFUNCTION("""COMPUTED_VALUE"""),"TRIFIL")</f>
        <v>TRIFIL</v>
      </c>
      <c r="G680" s="15" t="str">
        <f>IFERROR(__xludf.DUMMYFUNCTION("""COMPUTED_VALUE"""),"266817990")</f>
        <v>266817990</v>
      </c>
      <c r="H680" s="15" t="str">
        <f>IFERROR(__xludf.DUMMYFUNCTION("""COMPUTED_VALUE"""),"1306502")</f>
        <v>1306502</v>
      </c>
      <c r="I680" s="15" t="str">
        <f>IFERROR(__xludf.DUMMYFUNCTION("""COMPUTED_VALUE"""),"8177400")</f>
        <v>8177400</v>
      </c>
      <c r="J680" s="15" t="str">
        <f>IFERROR(__xludf.DUMMYFUNCTION("""COMPUTED_VALUE"""),"CIF")</f>
        <v>CIF</v>
      </c>
      <c r="K680" s="15" t="str">
        <f>IFERROR(__xludf.DUMMYFUNCTION("""COMPUTED_VALUE"""),"SAO-1")</f>
        <v>SAO-1</v>
      </c>
      <c r="L680" s="15" t="str">
        <f>IFERROR(__xludf.DUMMYFUNCTION("""COMPUTED_VALUE"""),"AUTORIZADO")</f>
        <v>AUTORIZADO</v>
      </c>
      <c r="M680" s="15" t="str">
        <f>IFERROR(__xludf.DUMMYFUNCTION("""COMPUTED_VALUE"""),"NA ORIGEM")</f>
        <v>NA ORIGEM</v>
      </c>
      <c r="N680" s="15" t="str">
        <f>IFERROR(__xludf.DUMMYFUNCTION("""COMPUTED_VALUE"""),"Antes Prazo")</f>
        <v>Antes Prazo</v>
      </c>
      <c r="O680" s="15" t="str">
        <f>IFERROR(__xludf.DUMMYFUNCTION("""COMPUTED_VALUE"""),"B2B")</f>
        <v>B2B</v>
      </c>
      <c r="P680" s="16">
        <f>IFERROR(__xludf.DUMMYFUNCTION("""COMPUTED_VALUE"""),443.72)</f>
        <v>443.72</v>
      </c>
      <c r="Q680" s="15">
        <f>IFERROR(__xludf.DUMMYFUNCTION("""COMPUTED_VALUE"""),26.0)</f>
        <v>26</v>
      </c>
      <c r="R680" s="15" t="str">
        <f>IFERROR(__xludf.DUMMYFUNCTION("""COMPUTED_VALUE"""),"RODO")</f>
        <v>RODO</v>
      </c>
      <c r="S680" s="15" t="str">
        <f>IFERROR(__xludf.DUMMYFUNCTION("""COMPUTED_VALUE"""),"ITN")</f>
        <v>ITN</v>
      </c>
      <c r="T680" s="15" t="str">
        <f>IFERROR(__xludf.DUMMYFUNCTION("""COMPUTED_VALUE"""),"22")</f>
        <v>22</v>
      </c>
      <c r="U680" s="15" t="str">
        <f>IFERROR(__xludf.DUMMYFUNCTION("""COMPUTED_VALUE"""),"266817990 1306502 8177400 josimar ribeiro de almeida me trifil bsb 22")</f>
        <v>266817990 1306502 8177400 josimar ribeiro de almeida me trifil bsb 22</v>
      </c>
      <c r="V680" s="15" t="b">
        <f>IFERROR(__xludf.DUMMYFUNCTION("""COMPUTED_VALUE"""),FALSE)</f>
        <v>0</v>
      </c>
    </row>
    <row r="681">
      <c r="A681" s="19">
        <f>IFERROR(__xludf.DUMMYFUNCTION("""COMPUTED_VALUE"""),46304.0)</f>
        <v>46304</v>
      </c>
      <c r="B681" s="19">
        <f>IFERROR(__xludf.DUMMYFUNCTION("""COMPUTED_VALUE"""),46321.0)</f>
        <v>46321</v>
      </c>
      <c r="C681" s="15">
        <f>IFERROR(__xludf.DUMMYFUNCTION("""COMPUTED_VALUE"""),10.0)</f>
        <v>10</v>
      </c>
      <c r="D681" s="15" t="str">
        <f>IFERROR(__xludf.DUMMYFUNCTION("""COMPUTED_VALUE"""),"BB2")</f>
        <v>BB2</v>
      </c>
      <c r="E681" s="15" t="str">
        <f>IFERROR(__xludf.DUMMYFUNCTION("""COMPUTED_VALUE"""),"HUDSON RAUSY ALBUQUERQUE DA SILVA")</f>
        <v>HUDSON RAUSY ALBUQUERQUE DA SILVA</v>
      </c>
      <c r="F681" s="15" t="str">
        <f>IFERROR(__xludf.DUMMYFUNCTION("""COMPUTED_VALUE"""),"TRIFIL")</f>
        <v>TRIFIL</v>
      </c>
      <c r="G681" s="15" t="str">
        <f>IFERROR(__xludf.DUMMYFUNCTION("""COMPUTED_VALUE"""),"266817991")</f>
        <v>266817991</v>
      </c>
      <c r="H681" s="15" t="str">
        <f>IFERROR(__xludf.DUMMYFUNCTION("""COMPUTED_VALUE"""),"1306341")</f>
        <v>1306341</v>
      </c>
      <c r="I681" s="15" t="str">
        <f>IFERROR(__xludf.DUMMYFUNCTION("""COMPUTED_VALUE"""),"8177387")</f>
        <v>8177387</v>
      </c>
      <c r="J681" s="15" t="str">
        <f>IFERROR(__xludf.DUMMYFUNCTION("""COMPUTED_VALUE"""),"CIF")</f>
        <v>CIF</v>
      </c>
      <c r="K681" s="15" t="str">
        <f>IFERROR(__xludf.DUMMYFUNCTION("""COMPUTED_VALUE"""),"SAO-1")</f>
        <v>SAO-1</v>
      </c>
      <c r="L681" s="15" t="str">
        <f>IFERROR(__xludf.DUMMYFUNCTION("""COMPUTED_VALUE"""),"AUTORIZADO")</f>
        <v>AUTORIZADO</v>
      </c>
      <c r="M681" s="15" t="str">
        <f>IFERROR(__xludf.DUMMYFUNCTION("""COMPUTED_VALUE"""),"NA ORIGEM")</f>
        <v>NA ORIGEM</v>
      </c>
      <c r="N681" s="15" t="str">
        <f>IFERROR(__xludf.DUMMYFUNCTION("""COMPUTED_VALUE"""),"Antes Prazo")</f>
        <v>Antes Prazo</v>
      </c>
      <c r="O681" s="15" t="str">
        <f>IFERROR(__xludf.DUMMYFUNCTION("""COMPUTED_VALUE"""),"B2B")</f>
        <v>B2B</v>
      </c>
      <c r="P681" s="16">
        <f>IFERROR(__xludf.DUMMYFUNCTION("""COMPUTED_VALUE"""),153.74)</f>
        <v>153.74</v>
      </c>
      <c r="Q681" s="15">
        <f>IFERROR(__xludf.DUMMYFUNCTION("""COMPUTED_VALUE"""),7.0)</f>
        <v>7</v>
      </c>
      <c r="R681" s="15" t="str">
        <f>IFERROR(__xludf.DUMMYFUNCTION("""COMPUTED_VALUE"""),"RODO")</f>
        <v>RODO</v>
      </c>
      <c r="S681" s="15" t="str">
        <f>IFERROR(__xludf.DUMMYFUNCTION("""COMPUTED_VALUE"""),"ITN")</f>
        <v>ITN</v>
      </c>
      <c r="T681" s="15" t="str">
        <f>IFERROR(__xludf.DUMMYFUNCTION("""COMPUTED_VALUE"""),"26")</f>
        <v>26</v>
      </c>
      <c r="U681" s="15" t="str">
        <f>IFERROR(__xludf.DUMMYFUNCTION("""COMPUTED_VALUE"""),"266817991 1306341 8177387 hudson rausy albuquerque da silva trifil bb2 26")</f>
        <v>266817991 1306341 8177387 hudson rausy albuquerque da silva trifil bb2 26</v>
      </c>
      <c r="V681" s="15" t="b">
        <f>IFERROR(__xludf.DUMMYFUNCTION("""COMPUTED_VALUE"""),FALSE)</f>
        <v>0</v>
      </c>
    </row>
    <row r="682">
      <c r="A682" s="19">
        <f>IFERROR(__xludf.DUMMYFUNCTION("""COMPUTED_VALUE"""),46304.0)</f>
        <v>46304</v>
      </c>
      <c r="B682" s="19">
        <f>IFERROR(__xludf.DUMMYFUNCTION("""COMPUTED_VALUE"""),46322.0)</f>
        <v>46322</v>
      </c>
      <c r="C682" s="15">
        <f>IFERROR(__xludf.DUMMYFUNCTION("""COMPUTED_VALUE"""),11.0)</f>
        <v>11</v>
      </c>
      <c r="D682" s="15" t="str">
        <f>IFERROR(__xludf.DUMMYFUNCTION("""COMPUTED_VALUE"""),"IGO")</f>
        <v>IGO</v>
      </c>
      <c r="E682" s="15" t="str">
        <f>IFERROR(__xludf.DUMMYFUNCTION("""COMPUTED_VALUE"""),"POSSE CALCADOS E CONFECCOES LTDA - EPP(0")</f>
        <v>POSSE CALCADOS E CONFECCOES LTDA - EPP(0</v>
      </c>
      <c r="F682" s="15" t="str">
        <f>IFERROR(__xludf.DUMMYFUNCTION("""COMPUTED_VALUE"""),"TRIFIL")</f>
        <v>TRIFIL</v>
      </c>
      <c r="G682" s="15" t="str">
        <f>IFERROR(__xludf.DUMMYFUNCTION("""COMPUTED_VALUE"""),"266817992")</f>
        <v>266817992</v>
      </c>
      <c r="H682" s="15" t="str">
        <f>IFERROR(__xludf.DUMMYFUNCTION("""COMPUTED_VALUE"""),"1306359")</f>
        <v>1306359</v>
      </c>
      <c r="I682" s="15" t="str">
        <f>IFERROR(__xludf.DUMMYFUNCTION("""COMPUTED_VALUE"""),"8177374")</f>
        <v>8177374</v>
      </c>
      <c r="J682" s="15" t="str">
        <f>IFERROR(__xludf.DUMMYFUNCTION("""COMPUTED_VALUE"""),"CIF")</f>
        <v>CIF</v>
      </c>
      <c r="K682" s="15" t="str">
        <f>IFERROR(__xludf.DUMMYFUNCTION("""COMPUTED_VALUE"""),"SAO-1")</f>
        <v>SAO-1</v>
      </c>
      <c r="L682" s="15" t="str">
        <f>IFERROR(__xludf.DUMMYFUNCTION("""COMPUTED_VALUE"""),"AUTORIZADO")</f>
        <v>AUTORIZADO</v>
      </c>
      <c r="M682" s="15" t="str">
        <f>IFERROR(__xludf.DUMMYFUNCTION("""COMPUTED_VALUE"""),"NA ORIGEM")</f>
        <v>NA ORIGEM</v>
      </c>
      <c r="N682" s="15" t="str">
        <f>IFERROR(__xludf.DUMMYFUNCTION("""COMPUTED_VALUE"""),"Antes Prazo")</f>
        <v>Antes Prazo</v>
      </c>
      <c r="O682" s="15" t="str">
        <f>IFERROR(__xludf.DUMMYFUNCTION("""COMPUTED_VALUE"""),"B2B")</f>
        <v>B2B</v>
      </c>
      <c r="P682" s="16">
        <f>IFERROR(__xludf.DUMMYFUNCTION("""COMPUTED_VALUE"""),63.12)</f>
        <v>63.12</v>
      </c>
      <c r="Q682" s="15">
        <f>IFERROR(__xludf.DUMMYFUNCTION("""COMPUTED_VALUE"""),1.0)</f>
        <v>1</v>
      </c>
      <c r="R682" s="15" t="str">
        <f>IFERROR(__xludf.DUMMYFUNCTION("""COMPUTED_VALUE"""),"RODO")</f>
        <v>RODO</v>
      </c>
      <c r="S682" s="15" t="str">
        <f>IFERROR(__xludf.DUMMYFUNCTION("""COMPUTED_VALUE"""),"ITN")</f>
        <v>ITN</v>
      </c>
      <c r="T682" s="15" t="str">
        <f>IFERROR(__xludf.DUMMYFUNCTION("""COMPUTED_VALUE"""),"300")</f>
        <v>300</v>
      </c>
      <c r="U682" s="15" t="str">
        <f>IFERROR(__xludf.DUMMYFUNCTION("""COMPUTED_VALUE"""),"266817992 1306359 8177374 posse calcados e confeccoes ltda - epp(0 trifil igo 300")</f>
        <v>266817992 1306359 8177374 posse calcados e confeccoes ltda - epp(0 trifil igo 300</v>
      </c>
      <c r="V682" s="15" t="b">
        <f>IFERROR(__xludf.DUMMYFUNCTION("""COMPUTED_VALUE"""),FALSE)</f>
        <v>0</v>
      </c>
    </row>
    <row r="683">
      <c r="A683" s="19">
        <f>IFERROR(__xludf.DUMMYFUNCTION("""COMPUTED_VALUE"""),46304.0)</f>
        <v>46304</v>
      </c>
      <c r="B683" s="19">
        <f>IFERROR(__xludf.DUMMYFUNCTION("""COMPUTED_VALUE"""),46316.0)</f>
        <v>46316</v>
      </c>
      <c r="C683" s="15">
        <f>IFERROR(__xludf.DUMMYFUNCTION("""COMPUTED_VALUE"""),7.0)</f>
        <v>7</v>
      </c>
      <c r="D683" s="15" t="str">
        <f>IFERROR(__xludf.DUMMYFUNCTION("""COMPUTED_VALUE"""),"GYN")</f>
        <v>GYN</v>
      </c>
      <c r="E683" s="15" t="str">
        <f>IFERROR(__xludf.DUMMYFUNCTION("""COMPUTED_VALUE"""),"DGF COMERCIO DE VESTUARIO LTDA")</f>
        <v>DGF COMERCIO DE VESTUARIO LTDA</v>
      </c>
      <c r="F683" s="15" t="str">
        <f>IFERROR(__xludf.DUMMYFUNCTION("""COMPUTED_VALUE"""),"TRIFIL")</f>
        <v>TRIFIL</v>
      </c>
      <c r="G683" s="15" t="str">
        <f>IFERROR(__xludf.DUMMYFUNCTION("""COMPUTED_VALUE"""),"266817993")</f>
        <v>266817993</v>
      </c>
      <c r="H683" s="15" t="str">
        <f>IFERROR(__xludf.DUMMYFUNCTION("""COMPUTED_VALUE"""),"1306339")</f>
        <v>1306339</v>
      </c>
      <c r="I683" s="15" t="str">
        <f>IFERROR(__xludf.DUMMYFUNCTION("""COMPUTED_VALUE"""),"8177365")</f>
        <v>8177365</v>
      </c>
      <c r="J683" s="15" t="str">
        <f>IFERROR(__xludf.DUMMYFUNCTION("""COMPUTED_VALUE"""),"CIF")</f>
        <v>CIF</v>
      </c>
      <c r="K683" s="15" t="str">
        <f>IFERROR(__xludf.DUMMYFUNCTION("""COMPUTED_VALUE"""),"SAO-1")</f>
        <v>SAO-1</v>
      </c>
      <c r="L683" s="15" t="str">
        <f>IFERROR(__xludf.DUMMYFUNCTION("""COMPUTED_VALUE"""),"AUTORIZADO")</f>
        <v>AUTORIZADO</v>
      </c>
      <c r="M683" s="15" t="str">
        <f>IFERROR(__xludf.DUMMYFUNCTION("""COMPUTED_VALUE"""),"NA ORIGEM")</f>
        <v>NA ORIGEM</v>
      </c>
      <c r="N683" s="15" t="str">
        <f>IFERROR(__xludf.DUMMYFUNCTION("""COMPUTED_VALUE"""),"Antes Prazo")</f>
        <v>Antes Prazo</v>
      </c>
      <c r="O683" s="15" t="str">
        <f>IFERROR(__xludf.DUMMYFUNCTION("""COMPUTED_VALUE"""),"B2B")</f>
        <v>B2B</v>
      </c>
      <c r="P683" s="16">
        <f>IFERROR(__xludf.DUMMYFUNCTION("""COMPUTED_VALUE"""),56.59)</f>
        <v>56.59</v>
      </c>
      <c r="Q683" s="15">
        <f>IFERROR(__xludf.DUMMYFUNCTION("""COMPUTED_VALUE"""),1.0)</f>
        <v>1</v>
      </c>
      <c r="R683" s="15" t="str">
        <f>IFERROR(__xludf.DUMMYFUNCTION("""COMPUTED_VALUE"""),"RODO")</f>
        <v>RODO</v>
      </c>
      <c r="S683" s="15" t="str">
        <f>IFERROR(__xludf.DUMMYFUNCTION("""COMPUTED_VALUE"""),"ITN")</f>
        <v>ITN</v>
      </c>
      <c r="T683" s="15" t="str">
        <f>IFERROR(__xludf.DUMMYFUNCTION("""COMPUTED_VALUE"""),"11")</f>
        <v>11</v>
      </c>
      <c r="U683" s="15" t="str">
        <f>IFERROR(__xludf.DUMMYFUNCTION("""COMPUTED_VALUE"""),"266817993 1306339 8177365 dgf comercio de vestuario ltda trifil gyn 11")</f>
        <v>266817993 1306339 8177365 dgf comercio de vestuario ltda trifil gyn 11</v>
      </c>
      <c r="V683" s="15" t="b">
        <f>IFERROR(__xludf.DUMMYFUNCTION("""COMPUTED_VALUE"""),FALSE)</f>
        <v>0</v>
      </c>
    </row>
    <row r="684">
      <c r="A684" s="19">
        <f>IFERROR(__xludf.DUMMYFUNCTION("""COMPUTED_VALUE"""),46304.0)</f>
        <v>46304</v>
      </c>
      <c r="B684" s="19">
        <f>IFERROR(__xludf.DUMMYFUNCTION("""COMPUTED_VALUE"""),46316.0)</f>
        <v>46316</v>
      </c>
      <c r="C684" s="15">
        <f>IFERROR(__xludf.DUMMYFUNCTION("""COMPUTED_VALUE"""),7.0)</f>
        <v>7</v>
      </c>
      <c r="D684" s="15" t="str">
        <f>IFERROR(__xludf.DUMMYFUNCTION("""COMPUTED_VALUE"""),"GYN")</f>
        <v>GYN</v>
      </c>
      <c r="E684" s="15" t="str">
        <f>IFERROR(__xludf.DUMMYFUNCTION("""COMPUTED_VALUE"""),"WANDERLEIA ALVES ROSA GONCALVES")</f>
        <v>WANDERLEIA ALVES ROSA GONCALVES</v>
      </c>
      <c r="F684" s="15" t="str">
        <f>IFERROR(__xludf.DUMMYFUNCTION("""COMPUTED_VALUE"""),"TRIFIL")</f>
        <v>TRIFIL</v>
      </c>
      <c r="G684" s="15" t="str">
        <f>IFERROR(__xludf.DUMMYFUNCTION("""COMPUTED_VALUE"""),"266817994")</f>
        <v>266817994</v>
      </c>
      <c r="H684" s="15" t="str">
        <f>IFERROR(__xludf.DUMMYFUNCTION("""COMPUTED_VALUE"""),"1306392")</f>
        <v>1306392</v>
      </c>
      <c r="I684" s="15" t="str">
        <f>IFERROR(__xludf.DUMMYFUNCTION("""COMPUTED_VALUE"""),"8177375")</f>
        <v>8177375</v>
      </c>
      <c r="J684" s="15" t="str">
        <f>IFERROR(__xludf.DUMMYFUNCTION("""COMPUTED_VALUE"""),"CIF")</f>
        <v>CIF</v>
      </c>
      <c r="K684" s="15" t="str">
        <f>IFERROR(__xludf.DUMMYFUNCTION("""COMPUTED_VALUE"""),"SAO-1")</f>
        <v>SAO-1</v>
      </c>
      <c r="L684" s="15" t="str">
        <f>IFERROR(__xludf.DUMMYFUNCTION("""COMPUTED_VALUE"""),"AUTORIZADO")</f>
        <v>AUTORIZADO</v>
      </c>
      <c r="M684" s="15" t="str">
        <f>IFERROR(__xludf.DUMMYFUNCTION("""COMPUTED_VALUE"""),"NA ORIGEM")</f>
        <v>NA ORIGEM</v>
      </c>
      <c r="N684" s="15" t="str">
        <f>IFERROR(__xludf.DUMMYFUNCTION("""COMPUTED_VALUE"""),"Antes Prazo")</f>
        <v>Antes Prazo</v>
      </c>
      <c r="O684" s="15" t="str">
        <f>IFERROR(__xludf.DUMMYFUNCTION("""COMPUTED_VALUE"""),"B2B")</f>
        <v>B2B</v>
      </c>
      <c r="P684" s="16">
        <f>IFERROR(__xludf.DUMMYFUNCTION("""COMPUTED_VALUE"""),56.59)</f>
        <v>56.59</v>
      </c>
      <c r="Q684" s="15">
        <f>IFERROR(__xludf.DUMMYFUNCTION("""COMPUTED_VALUE"""),1.0)</f>
        <v>1</v>
      </c>
      <c r="R684" s="15" t="str">
        <f>IFERROR(__xludf.DUMMYFUNCTION("""COMPUTED_VALUE"""),"RODO")</f>
        <v>RODO</v>
      </c>
      <c r="S684" s="15" t="str">
        <f>IFERROR(__xludf.DUMMYFUNCTION("""COMPUTED_VALUE"""),"ITN")</f>
        <v>ITN</v>
      </c>
      <c r="T684" s="15" t="str">
        <f>IFERROR(__xludf.DUMMYFUNCTION("""COMPUTED_VALUE"""),"14")</f>
        <v>14</v>
      </c>
      <c r="U684" s="15" t="str">
        <f>IFERROR(__xludf.DUMMYFUNCTION("""COMPUTED_VALUE"""),"266817994 1306392 8177375 wanderleia alves rosa goncalves trifil gyn 14")</f>
        <v>266817994 1306392 8177375 wanderleia alves rosa goncalves trifil gyn 14</v>
      </c>
      <c r="V684" s="15" t="b">
        <f>IFERROR(__xludf.DUMMYFUNCTION("""COMPUTED_VALUE"""),FALSE)</f>
        <v>0</v>
      </c>
    </row>
    <row r="685">
      <c r="A685" s="19">
        <f>IFERROR(__xludf.DUMMYFUNCTION("""COMPUTED_VALUE"""),46304.0)</f>
        <v>46304</v>
      </c>
      <c r="B685" s="19">
        <f>IFERROR(__xludf.DUMMYFUNCTION("""COMPUTED_VALUE"""),46317.0)</f>
        <v>46317</v>
      </c>
      <c r="C685" s="15">
        <f>IFERROR(__xludf.DUMMYFUNCTION("""COMPUTED_VALUE"""),8.0)</f>
        <v>8</v>
      </c>
      <c r="D685" s="15" t="str">
        <f>IFERROR(__xludf.DUMMYFUNCTION("""COMPUTED_VALUE"""),"GYN")</f>
        <v>GYN</v>
      </c>
      <c r="E685" s="15" t="str">
        <f>IFERROR(__xludf.DUMMYFUNCTION("""COMPUTED_VALUE"""),"PIAN MEIAS LTDA - EPP")</f>
        <v>PIAN MEIAS LTDA - EPP</v>
      </c>
      <c r="F685" s="15" t="str">
        <f>IFERROR(__xludf.DUMMYFUNCTION("""COMPUTED_VALUE"""),"TRIFIL")</f>
        <v>TRIFIL</v>
      </c>
      <c r="G685" s="15" t="str">
        <f>IFERROR(__xludf.DUMMYFUNCTION("""COMPUTED_VALUE"""),"266817995")</f>
        <v>266817995</v>
      </c>
      <c r="H685" s="15" t="str">
        <f>IFERROR(__xludf.DUMMYFUNCTION("""COMPUTED_VALUE"""),"1306461")</f>
        <v>1306461</v>
      </c>
      <c r="I685" s="15" t="str">
        <f>IFERROR(__xludf.DUMMYFUNCTION("""COMPUTED_VALUE"""),"8177388")</f>
        <v>8177388</v>
      </c>
      <c r="J685" s="15" t="str">
        <f>IFERROR(__xludf.DUMMYFUNCTION("""COMPUTED_VALUE"""),"CIF")</f>
        <v>CIF</v>
      </c>
      <c r="K685" s="15" t="str">
        <f>IFERROR(__xludf.DUMMYFUNCTION("""COMPUTED_VALUE"""),"SAO-1")</f>
        <v>SAO-1</v>
      </c>
      <c r="L685" s="15" t="str">
        <f>IFERROR(__xludf.DUMMYFUNCTION("""COMPUTED_VALUE"""),"AUTORIZADO")</f>
        <v>AUTORIZADO</v>
      </c>
      <c r="M685" s="15" t="str">
        <f>IFERROR(__xludf.DUMMYFUNCTION("""COMPUTED_VALUE"""),"NA ORIGEM")</f>
        <v>NA ORIGEM</v>
      </c>
      <c r="N685" s="15" t="str">
        <f>IFERROR(__xludf.DUMMYFUNCTION("""COMPUTED_VALUE"""),"Antes Prazo")</f>
        <v>Antes Prazo</v>
      </c>
      <c r="O685" s="15" t="str">
        <f>IFERROR(__xludf.DUMMYFUNCTION("""COMPUTED_VALUE"""),"B2B")</f>
        <v>B2B</v>
      </c>
      <c r="P685" s="16">
        <f>IFERROR(__xludf.DUMMYFUNCTION("""COMPUTED_VALUE"""),63.12)</f>
        <v>63.12</v>
      </c>
      <c r="Q685" s="15">
        <f>IFERROR(__xludf.DUMMYFUNCTION("""COMPUTED_VALUE"""),1.0)</f>
        <v>1</v>
      </c>
      <c r="R685" s="15" t="str">
        <f>IFERROR(__xludf.DUMMYFUNCTION("""COMPUTED_VALUE"""),"RODO")</f>
        <v>RODO</v>
      </c>
      <c r="S685" s="15" t="str">
        <f>IFERROR(__xludf.DUMMYFUNCTION("""COMPUTED_VALUE"""),"ITN")</f>
        <v>ITN</v>
      </c>
      <c r="T685" s="15" t="str">
        <f>IFERROR(__xludf.DUMMYFUNCTION("""COMPUTED_VALUE"""),"22")</f>
        <v>22</v>
      </c>
      <c r="U685" s="15" t="str">
        <f>IFERROR(__xludf.DUMMYFUNCTION("""COMPUTED_VALUE"""),"266817995 1306461 8177388 pian meias ltda - epp trifil gyn 22")</f>
        <v>266817995 1306461 8177388 pian meias ltda - epp trifil gyn 22</v>
      </c>
      <c r="V685" s="15" t="b">
        <f>IFERROR(__xludf.DUMMYFUNCTION("""COMPUTED_VALUE"""),FALSE)</f>
        <v>0</v>
      </c>
    </row>
    <row r="686">
      <c r="A686" s="19">
        <f>IFERROR(__xludf.DUMMYFUNCTION("""COMPUTED_VALUE"""),46304.0)</f>
        <v>46304</v>
      </c>
      <c r="B686" s="19">
        <f>IFERROR(__xludf.DUMMYFUNCTION("""COMPUTED_VALUE"""),46317.0)</f>
        <v>46317</v>
      </c>
      <c r="C686" s="15">
        <f>IFERROR(__xludf.DUMMYFUNCTION("""COMPUTED_VALUE"""),8.0)</f>
        <v>8</v>
      </c>
      <c r="D686" s="15" t="str">
        <f>IFERROR(__xludf.DUMMYFUNCTION("""COMPUTED_VALUE"""),"ATB")</f>
        <v>ATB</v>
      </c>
      <c r="E686" s="15" t="str">
        <f>IFERROR(__xludf.DUMMYFUNCTION("""COMPUTED_VALUE"""),"ASSOCIACAO CATOLICA RAINHA DAS VIRGENS")</f>
        <v>ASSOCIACAO CATOLICA RAINHA DAS VIRGENS</v>
      </c>
      <c r="F686" s="15" t="str">
        <f>IFERROR(__xludf.DUMMYFUNCTION("""COMPUTED_VALUE"""),"TRIFIL")</f>
        <v>TRIFIL</v>
      </c>
      <c r="G686" s="15" t="str">
        <f>IFERROR(__xludf.DUMMYFUNCTION("""COMPUTED_VALUE"""),"266817996")</f>
        <v>266817996</v>
      </c>
      <c r="H686" s="15" t="str">
        <f>IFERROR(__xludf.DUMMYFUNCTION("""COMPUTED_VALUE"""),"1306061")</f>
        <v>1306061</v>
      </c>
      <c r="I686" s="15" t="str">
        <f>IFERROR(__xludf.DUMMYFUNCTION("""COMPUTED_VALUE"""),"8177376")</f>
        <v>8177376</v>
      </c>
      <c r="J686" s="15" t="str">
        <f>IFERROR(__xludf.DUMMYFUNCTION("""COMPUTED_VALUE"""),"CIF")</f>
        <v>CIF</v>
      </c>
      <c r="K686" s="15" t="str">
        <f>IFERROR(__xludf.DUMMYFUNCTION("""COMPUTED_VALUE"""),"SAO-1")</f>
        <v>SAO-1</v>
      </c>
      <c r="L686" s="15" t="str">
        <f>IFERROR(__xludf.DUMMYFUNCTION("""COMPUTED_VALUE"""),"AUTORIZADO")</f>
        <v>AUTORIZADO</v>
      </c>
      <c r="M686" s="15" t="str">
        <f>IFERROR(__xludf.DUMMYFUNCTION("""COMPUTED_VALUE"""),"NA ORIGEM")</f>
        <v>NA ORIGEM</v>
      </c>
      <c r="N686" s="15" t="str">
        <f>IFERROR(__xludf.DUMMYFUNCTION("""COMPUTED_VALUE"""),"Antes Prazo")</f>
        <v>Antes Prazo</v>
      </c>
      <c r="O686" s="15" t="str">
        <f>IFERROR(__xludf.DUMMYFUNCTION("""COMPUTED_VALUE"""),"B2B")</f>
        <v>B2B</v>
      </c>
      <c r="P686" s="16">
        <f>IFERROR(__xludf.DUMMYFUNCTION("""COMPUTED_VALUE"""),67.52)</f>
        <v>67.52</v>
      </c>
      <c r="Q686" s="15">
        <f>IFERROR(__xludf.DUMMYFUNCTION("""COMPUTED_VALUE"""),7.0)</f>
        <v>7</v>
      </c>
      <c r="R686" s="15" t="str">
        <f>IFERROR(__xludf.DUMMYFUNCTION("""COMPUTED_VALUE"""),"RODO")</f>
        <v>RODO</v>
      </c>
      <c r="S686" s="15" t="str">
        <f>IFERROR(__xludf.DUMMYFUNCTION("""COMPUTED_VALUE"""),"ITN")</f>
        <v>ITN</v>
      </c>
      <c r="T686" s="15" t="str">
        <f>IFERROR(__xludf.DUMMYFUNCTION("""COMPUTED_VALUE"""),"")</f>
        <v/>
      </c>
      <c r="U686" s="15" t="str">
        <f>IFERROR(__xludf.DUMMYFUNCTION("""COMPUTED_VALUE"""),"266817996 1306061 8177376 associacao catolica rainha das virgens trifil atb ")</f>
        <v>266817996 1306061 8177376 associacao catolica rainha das virgens trifil atb </v>
      </c>
      <c r="V686" s="15" t="b">
        <f>IFERROR(__xludf.DUMMYFUNCTION("""COMPUTED_VALUE"""),FALSE)</f>
        <v>0</v>
      </c>
    </row>
    <row r="687">
      <c r="A687" s="19">
        <f>IFERROR(__xludf.DUMMYFUNCTION("""COMPUTED_VALUE"""),46304.0)</f>
        <v>46304</v>
      </c>
      <c r="B687" s="19">
        <f>IFERROR(__xludf.DUMMYFUNCTION("""COMPUTED_VALUE"""),46342.0)</f>
        <v>46342</v>
      </c>
      <c r="C687" s="15">
        <f>IFERROR(__xludf.DUMMYFUNCTION("""COMPUTED_VALUE"""),24.0)</f>
        <v>24</v>
      </c>
      <c r="D687" s="15" t="str">
        <f>IFERROR(__xludf.DUMMYFUNCTION("""COMPUTED_VALUE"""),"PVH")</f>
        <v>PVH</v>
      </c>
      <c r="E687" s="15" t="str">
        <f>IFERROR(__xludf.DUMMYFUNCTION("""COMPUTED_VALUE"""),"BESERRA E CIA LTDA")</f>
        <v>BESERRA E CIA LTDA</v>
      </c>
      <c r="F687" s="15" t="str">
        <f>IFERROR(__xludf.DUMMYFUNCTION("""COMPUTED_VALUE"""),"TRIFIL")</f>
        <v>TRIFIL</v>
      </c>
      <c r="G687" s="15" t="str">
        <f>IFERROR(__xludf.DUMMYFUNCTION("""COMPUTED_VALUE"""),"266817997")</f>
        <v>266817997</v>
      </c>
      <c r="H687" s="15" t="str">
        <f>IFERROR(__xludf.DUMMYFUNCTION("""COMPUTED_VALUE"""),"1306337")</f>
        <v>1306337</v>
      </c>
      <c r="I687" s="15" t="str">
        <f>IFERROR(__xludf.DUMMYFUNCTION("""COMPUTED_VALUE"""),"8177366")</f>
        <v>8177366</v>
      </c>
      <c r="J687" s="15" t="str">
        <f>IFERROR(__xludf.DUMMYFUNCTION("""COMPUTED_VALUE"""),"CIF")</f>
        <v>CIF</v>
      </c>
      <c r="K687" s="15" t="str">
        <f>IFERROR(__xludf.DUMMYFUNCTION("""COMPUTED_VALUE"""),"SAO-1")</f>
        <v>SAO-1</v>
      </c>
      <c r="L687" s="15" t="str">
        <f>IFERROR(__xludf.DUMMYFUNCTION("""COMPUTED_VALUE"""),"AUTORIZADO")</f>
        <v>AUTORIZADO</v>
      </c>
      <c r="M687" s="15" t="str">
        <f>IFERROR(__xludf.DUMMYFUNCTION("""COMPUTED_VALUE"""),"NA ORIGEM")</f>
        <v>NA ORIGEM</v>
      </c>
      <c r="N687" s="15" t="str">
        <f>IFERROR(__xludf.DUMMYFUNCTION("""COMPUTED_VALUE"""),"Antes Prazo")</f>
        <v>Antes Prazo</v>
      </c>
      <c r="O687" s="15" t="str">
        <f>IFERROR(__xludf.DUMMYFUNCTION("""COMPUTED_VALUE"""),"B2B")</f>
        <v>B2B</v>
      </c>
      <c r="P687" s="16">
        <f>IFERROR(__xludf.DUMMYFUNCTION("""COMPUTED_VALUE"""),122.99)</f>
        <v>122.99</v>
      </c>
      <c r="Q687" s="15">
        <f>IFERROR(__xludf.DUMMYFUNCTION("""COMPUTED_VALUE"""),6.0)</f>
        <v>6</v>
      </c>
      <c r="R687" s="15" t="str">
        <f>IFERROR(__xludf.DUMMYFUNCTION("""COMPUTED_VALUE"""),"RODO")</f>
        <v>RODO</v>
      </c>
      <c r="S687" s="15" t="str">
        <f>IFERROR(__xludf.DUMMYFUNCTION("""COMPUTED_VALUE"""),"ITN")</f>
        <v>ITN</v>
      </c>
      <c r="T687" s="15" t="str">
        <f>IFERROR(__xludf.DUMMYFUNCTION("""COMPUTED_VALUE"""),"1")</f>
        <v>1</v>
      </c>
      <c r="U687" s="15" t="str">
        <f>IFERROR(__xludf.DUMMYFUNCTION("""COMPUTED_VALUE"""),"266817997 1306337 8177366 beserra e cia ltda trifil pvh 1")</f>
        <v>266817997 1306337 8177366 beserra e cia ltda trifil pvh 1</v>
      </c>
      <c r="V687" s="15" t="b">
        <f>IFERROR(__xludf.DUMMYFUNCTION("""COMPUTED_VALUE"""),FALSE)</f>
        <v>0</v>
      </c>
    </row>
    <row r="688">
      <c r="A688" s="19">
        <f>IFERROR(__xludf.DUMMYFUNCTION("""COMPUTED_VALUE"""),46304.0)</f>
        <v>46304</v>
      </c>
      <c r="B688" s="19">
        <f>IFERROR(__xludf.DUMMYFUNCTION("""COMPUTED_VALUE"""),46316.0)</f>
        <v>46316</v>
      </c>
      <c r="C688" s="15">
        <f>IFERROR(__xludf.DUMMYFUNCTION("""COMPUTED_VALUE"""),7.0)</f>
        <v>7</v>
      </c>
      <c r="D688" s="15" t="str">
        <f>IFERROR(__xludf.DUMMYFUNCTION("""COMPUTED_VALUE"""),"CWB")</f>
        <v>CWB</v>
      </c>
      <c r="E688" s="15" t="str">
        <f>IFERROR(__xludf.DUMMYFUNCTION("""COMPUTED_VALUE"""),"MILLENA ROUPAS E ACESSORIOS - EIRELI")</f>
        <v>MILLENA ROUPAS E ACESSORIOS - EIRELI</v>
      </c>
      <c r="F688" s="15" t="str">
        <f>IFERROR(__xludf.DUMMYFUNCTION("""COMPUTED_VALUE"""),"TRIFIL")</f>
        <v>TRIFIL</v>
      </c>
      <c r="G688" s="15" t="str">
        <f>IFERROR(__xludf.DUMMYFUNCTION("""COMPUTED_VALUE"""),"266817998")</f>
        <v>266817998</v>
      </c>
      <c r="H688" s="15" t="str">
        <f>IFERROR(__xludf.DUMMYFUNCTION("""COMPUTED_VALUE"""),"1306436")</f>
        <v>1306436</v>
      </c>
      <c r="I688" s="15" t="str">
        <f>IFERROR(__xludf.DUMMYFUNCTION("""COMPUTED_VALUE"""),"8177377")</f>
        <v>8177377</v>
      </c>
      <c r="J688" s="15" t="str">
        <f>IFERROR(__xludf.DUMMYFUNCTION("""COMPUTED_VALUE"""),"CIF")</f>
        <v>CIF</v>
      </c>
      <c r="K688" s="15" t="str">
        <f>IFERROR(__xludf.DUMMYFUNCTION("""COMPUTED_VALUE"""),"FSA-1")</f>
        <v>FSA-1</v>
      </c>
      <c r="L688" s="15" t="str">
        <f>IFERROR(__xludf.DUMMYFUNCTION("""COMPUTED_VALUE"""),"AUTORIZADO")</f>
        <v>AUTORIZADO</v>
      </c>
      <c r="M688" s="15" t="str">
        <f>IFERROR(__xludf.DUMMYFUNCTION("""COMPUTED_VALUE"""),"NA ORIGEM")</f>
        <v>NA ORIGEM</v>
      </c>
      <c r="N688" s="15" t="str">
        <f>IFERROR(__xludf.DUMMYFUNCTION("""COMPUTED_VALUE"""),"Antes Prazo")</f>
        <v>Antes Prazo</v>
      </c>
      <c r="O688" s="15" t="str">
        <f>IFERROR(__xludf.DUMMYFUNCTION("""COMPUTED_VALUE"""),"B2B")</f>
        <v>B2B</v>
      </c>
      <c r="P688" s="16">
        <f>IFERROR(__xludf.DUMMYFUNCTION("""COMPUTED_VALUE"""),47.89)</f>
        <v>47.89</v>
      </c>
      <c r="Q688" s="15">
        <f>IFERROR(__xludf.DUMMYFUNCTION("""COMPUTED_VALUE"""),1.0)</f>
        <v>1</v>
      </c>
      <c r="R688" s="15" t="str">
        <f>IFERROR(__xludf.DUMMYFUNCTION("""COMPUTED_VALUE"""),"RODO")</f>
        <v>RODO</v>
      </c>
      <c r="S688" s="15" t="str">
        <f>IFERROR(__xludf.DUMMYFUNCTION("""COMPUTED_VALUE"""),"ITN")</f>
        <v>ITN</v>
      </c>
      <c r="T688" s="15" t="str">
        <f>IFERROR(__xludf.DUMMYFUNCTION("""COMPUTED_VALUE"""),"14")</f>
        <v>14</v>
      </c>
      <c r="U688" s="15" t="str">
        <f>IFERROR(__xludf.DUMMYFUNCTION("""COMPUTED_VALUE"""),"266817998 1306436 8177377 millena roupas e acessorios - eireli trifil cwb 14")</f>
        <v>266817998 1306436 8177377 millena roupas e acessorios - eireli trifil cwb 14</v>
      </c>
      <c r="V688" s="15" t="b">
        <f>IFERROR(__xludf.DUMMYFUNCTION("""COMPUTED_VALUE"""),FALSE)</f>
        <v>0</v>
      </c>
    </row>
    <row r="689">
      <c r="A689" s="19">
        <f>IFERROR(__xludf.DUMMYFUNCTION("""COMPUTED_VALUE"""),46304.0)</f>
        <v>46304</v>
      </c>
      <c r="B689" s="19">
        <f>IFERROR(__xludf.DUMMYFUNCTION("""COMPUTED_VALUE"""),46317.0)</f>
        <v>46317</v>
      </c>
      <c r="C689" s="15">
        <f>IFERROR(__xludf.DUMMYFUNCTION("""COMPUTED_VALUE"""),8.0)</f>
        <v>8</v>
      </c>
      <c r="D689" s="15" t="str">
        <f>IFERROR(__xludf.DUMMYFUNCTION("""COMPUTED_VALUE"""),"CWB")</f>
        <v>CWB</v>
      </c>
      <c r="E689" s="15" t="str">
        <f>IFERROR(__xludf.DUMMYFUNCTION("""COMPUTED_VALUE"""),"LEONILDA RODRIGUES DA SILVA DE OLIVEIRA")</f>
        <v>LEONILDA RODRIGUES DA SILVA DE OLIVEIRA</v>
      </c>
      <c r="F689" s="15" t="str">
        <f>IFERROR(__xludf.DUMMYFUNCTION("""COMPUTED_VALUE"""),"TRIFIL")</f>
        <v>TRIFIL</v>
      </c>
      <c r="G689" s="15" t="str">
        <f>IFERROR(__xludf.DUMMYFUNCTION("""COMPUTED_VALUE"""),"266817999")</f>
        <v>266817999</v>
      </c>
      <c r="H689" s="15" t="str">
        <f>IFERROR(__xludf.DUMMYFUNCTION("""COMPUTED_VALUE"""),"1306328")</f>
        <v>1306328</v>
      </c>
      <c r="I689" s="15" t="str">
        <f>IFERROR(__xludf.DUMMYFUNCTION("""COMPUTED_VALUE"""),"8177401")</f>
        <v>8177401</v>
      </c>
      <c r="J689" s="15" t="str">
        <f>IFERROR(__xludf.DUMMYFUNCTION("""COMPUTED_VALUE"""),"CIF")</f>
        <v>CIF</v>
      </c>
      <c r="K689" s="15" t="str">
        <f>IFERROR(__xludf.DUMMYFUNCTION("""COMPUTED_VALUE"""),"FSA-1")</f>
        <v>FSA-1</v>
      </c>
      <c r="L689" s="15" t="str">
        <f>IFERROR(__xludf.DUMMYFUNCTION("""COMPUTED_VALUE"""),"AUTORIZADO")</f>
        <v>AUTORIZADO</v>
      </c>
      <c r="M689" s="15" t="str">
        <f>IFERROR(__xludf.DUMMYFUNCTION("""COMPUTED_VALUE"""),"NA ORIGEM")</f>
        <v>NA ORIGEM</v>
      </c>
      <c r="N689" s="15" t="str">
        <f>IFERROR(__xludf.DUMMYFUNCTION("""COMPUTED_VALUE"""),"Antes Prazo")</f>
        <v>Antes Prazo</v>
      </c>
      <c r="O689" s="15" t="str">
        <f>IFERROR(__xludf.DUMMYFUNCTION("""COMPUTED_VALUE"""),"B2B")</f>
        <v>B2B</v>
      </c>
      <c r="P689" s="16">
        <f>IFERROR(__xludf.DUMMYFUNCTION("""COMPUTED_VALUE"""),47.89)</f>
        <v>47.89</v>
      </c>
      <c r="Q689" s="15">
        <f>IFERROR(__xludf.DUMMYFUNCTION("""COMPUTED_VALUE"""),1.0)</f>
        <v>1</v>
      </c>
      <c r="R689" s="15" t="str">
        <f>IFERROR(__xludf.DUMMYFUNCTION("""COMPUTED_VALUE"""),"RODO")</f>
        <v>RODO</v>
      </c>
      <c r="S689" s="15" t="str">
        <f>IFERROR(__xludf.DUMMYFUNCTION("""COMPUTED_VALUE"""),"ITN")</f>
        <v>ITN</v>
      </c>
      <c r="T689" s="15" t="str">
        <f>IFERROR(__xludf.DUMMYFUNCTION("""COMPUTED_VALUE"""),"109")</f>
        <v>109</v>
      </c>
      <c r="U689" s="15" t="str">
        <f>IFERROR(__xludf.DUMMYFUNCTION("""COMPUTED_VALUE"""),"266817999 1306328 8177401 leonilda rodrigues da silva de oliveira trifil cwb 109")</f>
        <v>266817999 1306328 8177401 leonilda rodrigues da silva de oliveira trifil cwb 109</v>
      </c>
      <c r="V689" s="15" t="b">
        <f>IFERROR(__xludf.DUMMYFUNCTION("""COMPUTED_VALUE"""),FALSE)</f>
        <v>0</v>
      </c>
    </row>
    <row r="690">
      <c r="A690" s="19">
        <f>IFERROR(__xludf.DUMMYFUNCTION("""COMPUTED_VALUE"""),46304.0)</f>
        <v>46304</v>
      </c>
      <c r="B690" s="19">
        <f>IFERROR(__xludf.DUMMYFUNCTION("""COMPUTED_VALUE"""),46317.0)</f>
        <v>46317</v>
      </c>
      <c r="C690" s="15">
        <f>IFERROR(__xludf.DUMMYFUNCTION("""COMPUTED_VALUE"""),8.0)</f>
        <v>8</v>
      </c>
      <c r="D690" s="15" t="str">
        <f>IFERROR(__xludf.DUMMYFUNCTION("""COMPUTED_VALUE"""),"CWB")</f>
        <v>CWB</v>
      </c>
      <c r="E690" s="15" t="str">
        <f>IFERROR(__xludf.DUMMYFUNCTION("""COMPUTED_VALUE"""),"TEODORO DE CARVALHO &amp; CIA LTDA")</f>
        <v>TEODORO DE CARVALHO &amp; CIA LTDA</v>
      </c>
      <c r="F690" s="15" t="str">
        <f>IFERROR(__xludf.DUMMYFUNCTION("""COMPUTED_VALUE"""),"TRIFIL")</f>
        <v>TRIFIL</v>
      </c>
      <c r="G690" s="15" t="str">
        <f>IFERROR(__xludf.DUMMYFUNCTION("""COMPUTED_VALUE"""),"266818000")</f>
        <v>266818000</v>
      </c>
      <c r="H690" s="15" t="str">
        <f>IFERROR(__xludf.DUMMYFUNCTION("""COMPUTED_VALUE"""),"1306446")</f>
        <v>1306446</v>
      </c>
      <c r="I690" s="15" t="str">
        <f>IFERROR(__xludf.DUMMYFUNCTION("""COMPUTED_VALUE"""),"8177378")</f>
        <v>8177378</v>
      </c>
      <c r="J690" s="15" t="str">
        <f>IFERROR(__xludf.DUMMYFUNCTION("""COMPUTED_VALUE"""),"CIF")</f>
        <v>CIF</v>
      </c>
      <c r="K690" s="15" t="str">
        <f>IFERROR(__xludf.DUMMYFUNCTION("""COMPUTED_VALUE"""),"FSA-1")</f>
        <v>FSA-1</v>
      </c>
      <c r="L690" s="15" t="str">
        <f>IFERROR(__xludf.DUMMYFUNCTION("""COMPUTED_VALUE"""),"AUTORIZADO")</f>
        <v>AUTORIZADO</v>
      </c>
      <c r="M690" s="15" t="str">
        <f>IFERROR(__xludf.DUMMYFUNCTION("""COMPUTED_VALUE"""),"NA ORIGEM")</f>
        <v>NA ORIGEM</v>
      </c>
      <c r="N690" s="15" t="str">
        <f>IFERROR(__xludf.DUMMYFUNCTION("""COMPUTED_VALUE"""),"Antes Prazo")</f>
        <v>Antes Prazo</v>
      </c>
      <c r="O690" s="15" t="str">
        <f>IFERROR(__xludf.DUMMYFUNCTION("""COMPUTED_VALUE"""),"B2B")</f>
        <v>B2B</v>
      </c>
      <c r="P690" s="16">
        <f>IFERROR(__xludf.DUMMYFUNCTION("""COMPUTED_VALUE"""),47.89)</f>
        <v>47.89</v>
      </c>
      <c r="Q690" s="15">
        <f>IFERROR(__xludf.DUMMYFUNCTION("""COMPUTED_VALUE"""),1.0)</f>
        <v>1</v>
      </c>
      <c r="R690" s="15" t="str">
        <f>IFERROR(__xludf.DUMMYFUNCTION("""COMPUTED_VALUE"""),"RODO")</f>
        <v>RODO</v>
      </c>
      <c r="S690" s="15" t="str">
        <f>IFERROR(__xludf.DUMMYFUNCTION("""COMPUTED_VALUE"""),"ITN")</f>
        <v>ITN</v>
      </c>
      <c r="T690" s="15" t="str">
        <f>IFERROR(__xludf.DUMMYFUNCTION("""COMPUTED_VALUE"""),"102")</f>
        <v>102</v>
      </c>
      <c r="U690" s="15" t="str">
        <f>IFERROR(__xludf.DUMMYFUNCTION("""COMPUTED_VALUE"""),"266818000 1306446 8177378 teodoro de carvalho &amp; cia ltda trifil cwb 102")</f>
        <v>266818000 1306446 8177378 teodoro de carvalho &amp; cia ltda trifil cwb 102</v>
      </c>
      <c r="V690" s="15" t="b">
        <f>IFERROR(__xludf.DUMMYFUNCTION("""COMPUTED_VALUE"""),FALSE)</f>
        <v>0</v>
      </c>
    </row>
    <row r="691">
      <c r="A691" s="19">
        <f>IFERROR(__xludf.DUMMYFUNCTION("""COMPUTED_VALUE"""),46304.0)</f>
        <v>46304</v>
      </c>
      <c r="B691" s="19">
        <f>IFERROR(__xludf.DUMMYFUNCTION("""COMPUTED_VALUE"""),46318.0)</f>
        <v>46318</v>
      </c>
      <c r="C691" s="15">
        <f>IFERROR(__xludf.DUMMYFUNCTION("""COMPUTED_VALUE"""),9.0)</f>
        <v>9</v>
      </c>
      <c r="D691" s="15" t="str">
        <f>IFERROR(__xludf.DUMMYFUNCTION("""COMPUTED_VALUE"""),"CHP")</f>
        <v>CHP</v>
      </c>
      <c r="E691" s="15" t="str">
        <f>IFERROR(__xludf.DUMMYFUNCTION("""COMPUTED_VALUE"""),"DADI MORAES")</f>
        <v>DADI MORAES</v>
      </c>
      <c r="F691" s="15" t="str">
        <f>IFERROR(__xludf.DUMMYFUNCTION("""COMPUTED_VALUE"""),"TRIFIL")</f>
        <v>TRIFIL</v>
      </c>
      <c r="G691" s="15" t="str">
        <f>IFERROR(__xludf.DUMMYFUNCTION("""COMPUTED_VALUE"""),"266818001")</f>
        <v>266818001</v>
      </c>
      <c r="H691" s="15" t="str">
        <f>IFERROR(__xludf.DUMMYFUNCTION("""COMPUTED_VALUE"""),"1306370")</f>
        <v>1306370</v>
      </c>
      <c r="I691" s="15" t="str">
        <f>IFERROR(__xludf.DUMMYFUNCTION("""COMPUTED_VALUE"""),"8177389")</f>
        <v>8177389</v>
      </c>
      <c r="J691" s="15" t="str">
        <f>IFERROR(__xludf.DUMMYFUNCTION("""COMPUTED_VALUE"""),"CIF")</f>
        <v>CIF</v>
      </c>
      <c r="K691" s="15" t="str">
        <f>IFERROR(__xludf.DUMMYFUNCTION("""COMPUTED_VALUE"""),"(sem célula)")</f>
        <v>(sem célula)</v>
      </c>
      <c r="L691" s="15" t="str">
        <f>IFERROR(__xludf.DUMMYFUNCTION("""COMPUTED_VALUE"""),"AUTORIZADO")</f>
        <v>AUTORIZADO</v>
      </c>
      <c r="M691" s="15" t="str">
        <f>IFERROR(__xludf.DUMMYFUNCTION("""COMPUTED_VALUE"""),"NA ORIGEM")</f>
        <v>NA ORIGEM</v>
      </c>
      <c r="N691" s="15" t="str">
        <f>IFERROR(__xludf.DUMMYFUNCTION("""COMPUTED_VALUE"""),"Antes Prazo")</f>
        <v>Antes Prazo</v>
      </c>
      <c r="O691" s="15" t="str">
        <f>IFERROR(__xludf.DUMMYFUNCTION("""COMPUTED_VALUE"""),"B2B")</f>
        <v>B2B</v>
      </c>
      <c r="P691" s="16">
        <f>IFERROR(__xludf.DUMMYFUNCTION("""COMPUTED_VALUE"""),53.7)</f>
        <v>53.7</v>
      </c>
      <c r="Q691" s="15">
        <f>IFERROR(__xludf.DUMMYFUNCTION("""COMPUTED_VALUE"""),1.0)</f>
        <v>1</v>
      </c>
      <c r="R691" s="15" t="str">
        <f>IFERROR(__xludf.DUMMYFUNCTION("""COMPUTED_VALUE"""),"RODO")</f>
        <v>RODO</v>
      </c>
      <c r="S691" s="15" t="str">
        <f>IFERROR(__xludf.DUMMYFUNCTION("""COMPUTED_VALUE"""),"ITN")</f>
        <v>ITN</v>
      </c>
      <c r="T691" s="15" t="str">
        <f>IFERROR(__xludf.DUMMYFUNCTION("""COMPUTED_VALUE"""),"1011")</f>
        <v>1011</v>
      </c>
      <c r="U691" s="15" t="str">
        <f>IFERROR(__xludf.DUMMYFUNCTION("""COMPUTED_VALUE"""),"266818001 1306370 8177389 dadi moraes trifil chp 1011")</f>
        <v>266818001 1306370 8177389 dadi moraes trifil chp 1011</v>
      </c>
      <c r="V691" s="15" t="b">
        <f>IFERROR(__xludf.DUMMYFUNCTION("""COMPUTED_VALUE"""),FALSE)</f>
        <v>0</v>
      </c>
    </row>
    <row r="692">
      <c r="A692" s="19">
        <f>IFERROR(__xludf.DUMMYFUNCTION("""COMPUTED_VALUE"""),46304.0)</f>
        <v>46304</v>
      </c>
      <c r="B692" s="19">
        <f>IFERROR(__xludf.DUMMYFUNCTION("""COMPUTED_VALUE"""),46318.0)</f>
        <v>46318</v>
      </c>
      <c r="C692" s="15">
        <f>IFERROR(__xludf.DUMMYFUNCTION("""COMPUTED_VALUE"""),9.0)</f>
        <v>9</v>
      </c>
      <c r="D692" s="15" t="str">
        <f>IFERROR(__xludf.DUMMYFUNCTION("""COMPUTED_VALUE"""),"IGZ")</f>
        <v>IGZ</v>
      </c>
      <c r="E692" s="15" t="str">
        <f>IFERROR(__xludf.DUMMYFUNCTION("""COMPUTED_VALUE"""),"Long Comercio de Calcados Ltda")</f>
        <v>Long Comercio de Calcados Ltda</v>
      </c>
      <c r="F692" s="15" t="str">
        <f>IFERROR(__xludf.DUMMYFUNCTION("""COMPUTED_VALUE"""),"TRIFIL")</f>
        <v>TRIFIL</v>
      </c>
      <c r="G692" s="15" t="str">
        <f>IFERROR(__xludf.DUMMYFUNCTION("""COMPUTED_VALUE"""),"266818002")</f>
        <v>266818002</v>
      </c>
      <c r="H692" s="15" t="str">
        <f>IFERROR(__xludf.DUMMYFUNCTION("""COMPUTED_VALUE"""),"1306383")</f>
        <v>1306383</v>
      </c>
      <c r="I692" s="15" t="str">
        <f>IFERROR(__xludf.DUMMYFUNCTION("""COMPUTED_VALUE"""),"8177390")</f>
        <v>8177390</v>
      </c>
      <c r="J692" s="15" t="str">
        <f>IFERROR(__xludf.DUMMYFUNCTION("""COMPUTED_VALUE"""),"CIF")</f>
        <v>CIF</v>
      </c>
      <c r="K692" s="15" t="str">
        <f>IFERROR(__xludf.DUMMYFUNCTION("""COMPUTED_VALUE"""),"(sem célula)")</f>
        <v>(sem célula)</v>
      </c>
      <c r="L692" s="15" t="str">
        <f>IFERROR(__xludf.DUMMYFUNCTION("""COMPUTED_VALUE"""),"AUTORIZADO")</f>
        <v>AUTORIZADO</v>
      </c>
      <c r="M692" s="15" t="str">
        <f>IFERROR(__xludf.DUMMYFUNCTION("""COMPUTED_VALUE"""),"NA ORIGEM")</f>
        <v>NA ORIGEM</v>
      </c>
      <c r="N692" s="15" t="str">
        <f>IFERROR(__xludf.DUMMYFUNCTION("""COMPUTED_VALUE"""),"Antes Prazo")</f>
        <v>Antes Prazo</v>
      </c>
      <c r="O692" s="15" t="str">
        <f>IFERROR(__xludf.DUMMYFUNCTION("""COMPUTED_VALUE"""),"B2B")</f>
        <v>B2B</v>
      </c>
      <c r="P692" s="16">
        <f>IFERROR(__xludf.DUMMYFUNCTION("""COMPUTED_VALUE"""),53.7)</f>
        <v>53.7</v>
      </c>
      <c r="Q692" s="15">
        <f>IFERROR(__xludf.DUMMYFUNCTION("""COMPUTED_VALUE"""),1.0)</f>
        <v>1</v>
      </c>
      <c r="R692" s="15" t="str">
        <f>IFERROR(__xludf.DUMMYFUNCTION("""COMPUTED_VALUE"""),"RODO")</f>
        <v>RODO</v>
      </c>
      <c r="S692" s="15" t="str">
        <f>IFERROR(__xludf.DUMMYFUNCTION("""COMPUTED_VALUE"""),"ITN")</f>
        <v>ITN</v>
      </c>
      <c r="T692" s="15" t="str">
        <f>IFERROR(__xludf.DUMMYFUNCTION("""COMPUTED_VALUE"""),"5")</f>
        <v>5</v>
      </c>
      <c r="U692" s="15" t="str">
        <f>IFERROR(__xludf.DUMMYFUNCTION("""COMPUTED_VALUE"""),"266818002 1306383 8177390 long comercio de calcados ltda trifil igz 5")</f>
        <v>266818002 1306383 8177390 long comercio de calcados ltda trifil igz 5</v>
      </c>
      <c r="V692" s="15" t="b">
        <f>IFERROR(__xludf.DUMMYFUNCTION("""COMPUTED_VALUE"""),FALSE)</f>
        <v>0</v>
      </c>
    </row>
    <row r="693">
      <c r="A693" s="19">
        <f>IFERROR(__xludf.DUMMYFUNCTION("""COMPUTED_VALUE"""),46304.0)</f>
        <v>46304</v>
      </c>
      <c r="B693" s="19">
        <f>IFERROR(__xludf.DUMMYFUNCTION("""COMPUTED_VALUE"""),46317.0)</f>
        <v>46317</v>
      </c>
      <c r="C693" s="15">
        <f>IFERROR(__xludf.DUMMYFUNCTION("""COMPUTED_VALUE"""),8.0)</f>
        <v>8</v>
      </c>
      <c r="D693" s="15" t="str">
        <f>IFERROR(__xludf.DUMMYFUNCTION("""COMPUTED_VALUE"""),"LDB")</f>
        <v>LDB</v>
      </c>
      <c r="E693" s="15" t="str">
        <f>IFERROR(__xludf.DUMMYFUNCTION("""COMPUTED_VALUE"""),"J. A DRESS WELL")</f>
        <v>J. A DRESS WELL</v>
      </c>
      <c r="F693" s="15" t="str">
        <f>IFERROR(__xludf.DUMMYFUNCTION("""COMPUTED_VALUE"""),"TRIFIL")</f>
        <v>TRIFIL</v>
      </c>
      <c r="G693" s="15" t="str">
        <f>IFERROR(__xludf.DUMMYFUNCTION("""COMPUTED_VALUE"""),"266818003")</f>
        <v>266818003</v>
      </c>
      <c r="H693" s="15" t="str">
        <f>IFERROR(__xludf.DUMMYFUNCTION("""COMPUTED_VALUE"""),"1306365")</f>
        <v>1306365</v>
      </c>
      <c r="I693" s="15" t="str">
        <f>IFERROR(__xludf.DUMMYFUNCTION("""COMPUTED_VALUE"""),"8177391")</f>
        <v>8177391</v>
      </c>
      <c r="J693" s="15" t="str">
        <f>IFERROR(__xludf.DUMMYFUNCTION("""COMPUTED_VALUE"""),"CIF")</f>
        <v>CIF</v>
      </c>
      <c r="K693" s="15" t="str">
        <f>IFERROR(__xludf.DUMMYFUNCTION("""COMPUTED_VALUE"""),"SAO-1")</f>
        <v>SAO-1</v>
      </c>
      <c r="L693" s="15" t="str">
        <f>IFERROR(__xludf.DUMMYFUNCTION("""COMPUTED_VALUE"""),"AUTORIZADO")</f>
        <v>AUTORIZADO</v>
      </c>
      <c r="M693" s="15" t="str">
        <f>IFERROR(__xludf.DUMMYFUNCTION("""COMPUTED_VALUE"""),"NA ORIGEM")</f>
        <v>NA ORIGEM</v>
      </c>
      <c r="N693" s="15" t="str">
        <f>IFERROR(__xludf.DUMMYFUNCTION("""COMPUTED_VALUE"""),"Antes Prazo")</f>
        <v>Antes Prazo</v>
      </c>
      <c r="O693" s="15" t="str">
        <f>IFERROR(__xludf.DUMMYFUNCTION("""COMPUTED_VALUE"""),"B2B")</f>
        <v>B2B</v>
      </c>
      <c r="P693" s="16">
        <f>IFERROR(__xludf.DUMMYFUNCTION("""COMPUTED_VALUE"""),70.57)</f>
        <v>70.57</v>
      </c>
      <c r="Q693" s="15">
        <f>IFERROR(__xludf.DUMMYFUNCTION("""COMPUTED_VALUE"""),10.0)</f>
        <v>10</v>
      </c>
      <c r="R693" s="15" t="str">
        <f>IFERROR(__xludf.DUMMYFUNCTION("""COMPUTED_VALUE"""),"RODO")</f>
        <v>RODO</v>
      </c>
      <c r="S693" s="15" t="str">
        <f>IFERROR(__xludf.DUMMYFUNCTION("""COMPUTED_VALUE"""),"ITN")</f>
        <v>ITN</v>
      </c>
      <c r="T693" s="15" t="str">
        <f>IFERROR(__xludf.DUMMYFUNCTION("""COMPUTED_VALUE"""),"2")</f>
        <v>2</v>
      </c>
      <c r="U693" s="15" t="str">
        <f>IFERROR(__xludf.DUMMYFUNCTION("""COMPUTED_VALUE"""),"266818003 1306365 8177391 j. a dress well trifil ldb 2")</f>
        <v>266818003 1306365 8177391 j. a dress well trifil ldb 2</v>
      </c>
      <c r="V693" s="15" t="b">
        <f>IFERROR(__xludf.DUMMYFUNCTION("""COMPUTED_VALUE"""),FALSE)</f>
        <v>0</v>
      </c>
    </row>
    <row r="694">
      <c r="A694" s="19">
        <f>IFERROR(__xludf.DUMMYFUNCTION("""COMPUTED_VALUE"""),46304.0)</f>
        <v>46304</v>
      </c>
      <c r="B694" s="19">
        <f>IFERROR(__xludf.DUMMYFUNCTION("""COMPUTED_VALUE"""),46317.0)</f>
        <v>46317</v>
      </c>
      <c r="C694" s="15">
        <f>IFERROR(__xludf.DUMMYFUNCTION("""COMPUTED_VALUE"""),8.0)</f>
        <v>8</v>
      </c>
      <c r="D694" s="15" t="str">
        <f>IFERROR(__xludf.DUMMYFUNCTION("""COMPUTED_VALUE"""),"QJA")</f>
        <v>QJA</v>
      </c>
      <c r="E694" s="15" t="str">
        <f>IFERROR(__xludf.DUMMYFUNCTION("""COMPUTED_VALUE"""),"MARION BAZAR LTDA ME")</f>
        <v>MARION BAZAR LTDA ME</v>
      </c>
      <c r="F694" s="15" t="str">
        <f>IFERROR(__xludf.DUMMYFUNCTION("""COMPUTED_VALUE"""),"TRIFIL")</f>
        <v>TRIFIL</v>
      </c>
      <c r="G694" s="15" t="str">
        <f>IFERROR(__xludf.DUMMYFUNCTION("""COMPUTED_VALUE"""),"266818004")</f>
        <v>266818004</v>
      </c>
      <c r="H694" s="15" t="str">
        <f>IFERROR(__xludf.DUMMYFUNCTION("""COMPUTED_VALUE"""),"1306372")</f>
        <v>1306372</v>
      </c>
      <c r="I694" s="15" t="str">
        <f>IFERROR(__xludf.DUMMYFUNCTION("""COMPUTED_VALUE"""),"8177402")</f>
        <v>8177402</v>
      </c>
      <c r="J694" s="15" t="str">
        <f>IFERROR(__xludf.DUMMYFUNCTION("""COMPUTED_VALUE"""),"CIF")</f>
        <v>CIF</v>
      </c>
      <c r="K694" s="15" t="str">
        <f>IFERROR(__xludf.DUMMYFUNCTION("""COMPUTED_VALUE"""),"SAO-1")</f>
        <v>SAO-1</v>
      </c>
      <c r="L694" s="15" t="str">
        <f>IFERROR(__xludf.DUMMYFUNCTION("""COMPUTED_VALUE"""),"AUTORIZADO")</f>
        <v>AUTORIZADO</v>
      </c>
      <c r="M694" s="15" t="str">
        <f>IFERROR(__xludf.DUMMYFUNCTION("""COMPUTED_VALUE"""),"NA ORIGEM")</f>
        <v>NA ORIGEM</v>
      </c>
      <c r="N694" s="15" t="str">
        <f>IFERROR(__xludf.DUMMYFUNCTION("""COMPUTED_VALUE"""),"Antes Prazo")</f>
        <v>Antes Prazo</v>
      </c>
      <c r="O694" s="15" t="str">
        <f>IFERROR(__xludf.DUMMYFUNCTION("""COMPUTED_VALUE"""),"B2B")</f>
        <v>B2B</v>
      </c>
      <c r="P694" s="16">
        <f>IFERROR(__xludf.DUMMYFUNCTION("""COMPUTED_VALUE"""),60.93)</f>
        <v>60.93</v>
      </c>
      <c r="Q694" s="15">
        <f>IFERROR(__xludf.DUMMYFUNCTION("""COMPUTED_VALUE"""),1.0)</f>
        <v>1</v>
      </c>
      <c r="R694" s="15" t="str">
        <f>IFERROR(__xludf.DUMMYFUNCTION("""COMPUTED_VALUE"""),"RODO")</f>
        <v>RODO</v>
      </c>
      <c r="S694" s="15" t="str">
        <f>IFERROR(__xludf.DUMMYFUNCTION("""COMPUTED_VALUE"""),"ITN")</f>
        <v>ITN</v>
      </c>
      <c r="T694" s="15" t="str">
        <f>IFERROR(__xludf.DUMMYFUNCTION("""COMPUTED_VALUE"""),"1")</f>
        <v>1</v>
      </c>
      <c r="U694" s="15" t="str">
        <f>IFERROR(__xludf.DUMMYFUNCTION("""COMPUTED_VALUE"""),"266818004 1306372 8177402 marion bazar ltda me trifil qja 1")</f>
        <v>266818004 1306372 8177402 marion bazar ltda me trifil qja 1</v>
      </c>
      <c r="V694" s="15" t="b">
        <f>IFERROR(__xludf.DUMMYFUNCTION("""COMPUTED_VALUE"""),FALSE)</f>
        <v>0</v>
      </c>
    </row>
    <row r="695">
      <c r="A695" s="19">
        <f>IFERROR(__xludf.DUMMYFUNCTION("""COMPUTED_VALUE"""),46304.0)</f>
        <v>46304</v>
      </c>
      <c r="B695" s="19">
        <f>IFERROR(__xludf.DUMMYFUNCTION("""COMPUTED_VALUE"""),46317.0)</f>
        <v>46317</v>
      </c>
      <c r="C695" s="15">
        <f>IFERROR(__xludf.DUMMYFUNCTION("""COMPUTED_VALUE"""),8.0)</f>
        <v>8</v>
      </c>
      <c r="D695" s="15" t="str">
        <f>IFERROR(__xludf.DUMMYFUNCTION("""COMPUTED_VALUE"""),"POA")</f>
        <v>POA</v>
      </c>
      <c r="E695" s="15" t="str">
        <f>IFERROR(__xludf.DUMMYFUNCTION("""COMPUTED_VALUE"""),"LUPO BARRA SHOPPING")</f>
        <v>LUPO BARRA SHOPPING</v>
      </c>
      <c r="F695" s="15" t="str">
        <f>IFERROR(__xludf.DUMMYFUNCTION("""COMPUTED_VALUE"""),"TRIFIL")</f>
        <v>TRIFIL</v>
      </c>
      <c r="G695" s="15" t="str">
        <f>IFERROR(__xludf.DUMMYFUNCTION("""COMPUTED_VALUE"""),"266818005")</f>
        <v>266818005</v>
      </c>
      <c r="H695" s="15" t="str">
        <f>IFERROR(__xludf.DUMMYFUNCTION("""COMPUTED_VALUE"""),"1306336")</f>
        <v>1306336</v>
      </c>
      <c r="I695" s="15" t="str">
        <f>IFERROR(__xludf.DUMMYFUNCTION("""COMPUTED_VALUE"""),"8177367")</f>
        <v>8177367</v>
      </c>
      <c r="J695" s="15" t="str">
        <f>IFERROR(__xludf.DUMMYFUNCTION("""COMPUTED_VALUE"""),"CIF")</f>
        <v>CIF</v>
      </c>
      <c r="K695" s="15" t="str">
        <f>IFERROR(__xludf.DUMMYFUNCTION("""COMPUTED_VALUE"""),"FSA-1")</f>
        <v>FSA-1</v>
      </c>
      <c r="L695" s="15" t="str">
        <f>IFERROR(__xludf.DUMMYFUNCTION("""COMPUTED_VALUE"""),"AUTORIZADO")</f>
        <v>AUTORIZADO</v>
      </c>
      <c r="M695" s="15" t="str">
        <f>IFERROR(__xludf.DUMMYFUNCTION("""COMPUTED_VALUE"""),"NA ORIGEM")</f>
        <v>NA ORIGEM</v>
      </c>
      <c r="N695" s="15" t="str">
        <f>IFERROR(__xludf.DUMMYFUNCTION("""COMPUTED_VALUE"""),"Antes Prazo")</f>
        <v>Antes Prazo</v>
      </c>
      <c r="O695" s="15" t="str">
        <f>IFERROR(__xludf.DUMMYFUNCTION("""COMPUTED_VALUE"""),"B2B")</f>
        <v>B2B</v>
      </c>
      <c r="P695" s="16">
        <f>IFERROR(__xludf.DUMMYFUNCTION("""COMPUTED_VALUE"""),60.04)</f>
        <v>60.04</v>
      </c>
      <c r="Q695" s="15">
        <f>IFERROR(__xludf.DUMMYFUNCTION("""COMPUTED_VALUE"""),2.0)</f>
        <v>2</v>
      </c>
      <c r="R695" s="15" t="str">
        <f>IFERROR(__xludf.DUMMYFUNCTION("""COMPUTED_VALUE"""),"RODO")</f>
        <v>RODO</v>
      </c>
      <c r="S695" s="15" t="str">
        <f>IFERROR(__xludf.DUMMYFUNCTION("""COMPUTED_VALUE"""),"ITN")</f>
        <v>ITN</v>
      </c>
      <c r="T695" s="15" t="str">
        <f>IFERROR(__xludf.DUMMYFUNCTION("""COMPUTED_VALUE"""),"81")</f>
        <v>81</v>
      </c>
      <c r="U695" s="15" t="str">
        <f>IFERROR(__xludf.DUMMYFUNCTION("""COMPUTED_VALUE"""),"266818005 1306336 8177367 lupo barra shopping trifil poa 81")</f>
        <v>266818005 1306336 8177367 lupo barra shopping trifil poa 81</v>
      </c>
      <c r="V695" s="15" t="b">
        <f>IFERROR(__xludf.DUMMYFUNCTION("""COMPUTED_VALUE"""),FALSE)</f>
        <v>0</v>
      </c>
    </row>
    <row r="696">
      <c r="A696" s="19">
        <f>IFERROR(__xludf.DUMMYFUNCTION("""COMPUTED_VALUE"""),46304.0)</f>
        <v>46304</v>
      </c>
      <c r="B696" s="19">
        <f>IFERROR(__xludf.DUMMYFUNCTION("""COMPUTED_VALUE"""),46322.0)</f>
        <v>46322</v>
      </c>
      <c r="C696" s="15">
        <f>IFERROR(__xludf.DUMMYFUNCTION("""COMPUTED_VALUE"""),11.0)</f>
        <v>11</v>
      </c>
      <c r="D696" s="15" t="str">
        <f>IFERROR(__xludf.DUMMYFUNCTION("""COMPUTED_VALUE"""),"POA")</f>
        <v>POA</v>
      </c>
      <c r="E696" s="15" t="str">
        <f>IFERROR(__xludf.DUMMYFUNCTION("""COMPUTED_VALUE"""),"A BARATEIRA FASHION")</f>
        <v>A BARATEIRA FASHION</v>
      </c>
      <c r="F696" s="15" t="str">
        <f>IFERROR(__xludf.DUMMYFUNCTION("""COMPUTED_VALUE"""),"TRIFIL")</f>
        <v>TRIFIL</v>
      </c>
      <c r="G696" s="15" t="str">
        <f>IFERROR(__xludf.DUMMYFUNCTION("""COMPUTED_VALUE"""),"266818006")</f>
        <v>266818006</v>
      </c>
      <c r="H696" s="15" t="str">
        <f>IFERROR(__xludf.DUMMYFUNCTION("""COMPUTED_VALUE"""),"1306435")</f>
        <v>1306435</v>
      </c>
      <c r="I696" s="15" t="str">
        <f>IFERROR(__xludf.DUMMYFUNCTION("""COMPUTED_VALUE"""),"8177379")</f>
        <v>8177379</v>
      </c>
      <c r="J696" s="15" t="str">
        <f>IFERROR(__xludf.DUMMYFUNCTION("""COMPUTED_VALUE"""),"CIF")</f>
        <v>CIF</v>
      </c>
      <c r="K696" s="15" t="str">
        <f>IFERROR(__xludf.DUMMYFUNCTION("""COMPUTED_VALUE"""),"FSA-1")</f>
        <v>FSA-1</v>
      </c>
      <c r="L696" s="15" t="str">
        <f>IFERROR(__xludf.DUMMYFUNCTION("""COMPUTED_VALUE"""),"AUTORIZADO")</f>
        <v>AUTORIZADO</v>
      </c>
      <c r="M696" s="15" t="str">
        <f>IFERROR(__xludf.DUMMYFUNCTION("""COMPUTED_VALUE"""),"NA ORIGEM")</f>
        <v>NA ORIGEM</v>
      </c>
      <c r="N696" s="15" t="str">
        <f>IFERROR(__xludf.DUMMYFUNCTION("""COMPUTED_VALUE"""),"Antes Prazo")</f>
        <v>Antes Prazo</v>
      </c>
      <c r="O696" s="15" t="str">
        <f>IFERROR(__xludf.DUMMYFUNCTION("""COMPUTED_VALUE"""),"B2B")</f>
        <v>B2B</v>
      </c>
      <c r="P696" s="16">
        <f>IFERROR(__xludf.DUMMYFUNCTION("""COMPUTED_VALUE"""),67.68)</f>
        <v>67.68</v>
      </c>
      <c r="Q696" s="15">
        <f>IFERROR(__xludf.DUMMYFUNCTION("""COMPUTED_VALUE"""),1.0)</f>
        <v>1</v>
      </c>
      <c r="R696" s="15" t="str">
        <f>IFERROR(__xludf.DUMMYFUNCTION("""COMPUTED_VALUE"""),"RODO")</f>
        <v>RODO</v>
      </c>
      <c r="S696" s="15" t="str">
        <f>IFERROR(__xludf.DUMMYFUNCTION("""COMPUTED_VALUE"""),"ITN")</f>
        <v>ITN</v>
      </c>
      <c r="T696" s="15" t="str">
        <f>IFERROR(__xludf.DUMMYFUNCTION("""COMPUTED_VALUE"""),"101")</f>
        <v>101</v>
      </c>
      <c r="U696" s="15" t="str">
        <f>IFERROR(__xludf.DUMMYFUNCTION("""COMPUTED_VALUE"""),"266818006 1306435 8177379 a barateira fashion trifil poa 101")</f>
        <v>266818006 1306435 8177379 a barateira fashion trifil poa 101</v>
      </c>
      <c r="V696" s="15" t="b">
        <f>IFERROR(__xludf.DUMMYFUNCTION("""COMPUTED_VALUE"""),FALSE)</f>
        <v>0</v>
      </c>
    </row>
    <row r="697">
      <c r="A697" s="19">
        <f>IFERROR(__xludf.DUMMYFUNCTION("""COMPUTED_VALUE"""),46304.0)</f>
        <v>46304</v>
      </c>
      <c r="B697" s="19">
        <f>IFERROR(__xludf.DUMMYFUNCTION("""COMPUTED_VALUE"""),46317.0)</f>
        <v>46317</v>
      </c>
      <c r="C697" s="15">
        <f>IFERROR(__xludf.DUMMYFUNCTION("""COMPUTED_VALUE"""),8.0)</f>
        <v>8</v>
      </c>
      <c r="D697" s="15" t="str">
        <f>IFERROR(__xludf.DUMMYFUNCTION("""COMPUTED_VALUE"""),"QHV")</f>
        <v>QHV</v>
      </c>
      <c r="E697" s="15" t="str">
        <f>IFERROR(__xludf.DUMMYFUNCTION("""COMPUTED_VALUE"""),"CONFECCOES IRMAOS PERIN LTDA")</f>
        <v>CONFECCOES IRMAOS PERIN LTDA</v>
      </c>
      <c r="F697" s="15" t="str">
        <f>IFERROR(__xludf.DUMMYFUNCTION("""COMPUTED_VALUE"""),"TRIFIL")</f>
        <v>TRIFIL</v>
      </c>
      <c r="G697" s="15" t="str">
        <f>IFERROR(__xludf.DUMMYFUNCTION("""COMPUTED_VALUE"""),"266818007")</f>
        <v>266818007</v>
      </c>
      <c r="H697" s="15" t="str">
        <f>IFERROR(__xludf.DUMMYFUNCTION("""COMPUTED_VALUE"""),"1306364")</f>
        <v>1306364</v>
      </c>
      <c r="I697" s="15" t="str">
        <f>IFERROR(__xludf.DUMMYFUNCTION("""COMPUTED_VALUE"""),"8177403")</f>
        <v>8177403</v>
      </c>
      <c r="J697" s="15" t="str">
        <f>IFERROR(__xludf.DUMMYFUNCTION("""COMPUTED_VALUE"""),"CIF")</f>
        <v>CIF</v>
      </c>
      <c r="K697" s="15" t="str">
        <f>IFERROR(__xludf.DUMMYFUNCTION("""COMPUTED_VALUE"""),"FSA-1")</f>
        <v>FSA-1</v>
      </c>
      <c r="L697" s="15" t="str">
        <f>IFERROR(__xludf.DUMMYFUNCTION("""COMPUTED_VALUE"""),"AUTORIZADO")</f>
        <v>AUTORIZADO</v>
      </c>
      <c r="M697" s="15" t="str">
        <f>IFERROR(__xludf.DUMMYFUNCTION("""COMPUTED_VALUE"""),"NA ORIGEM")</f>
        <v>NA ORIGEM</v>
      </c>
      <c r="N697" s="15" t="str">
        <f>IFERROR(__xludf.DUMMYFUNCTION("""COMPUTED_VALUE"""),"Antes Prazo")</f>
        <v>Antes Prazo</v>
      </c>
      <c r="O697" s="15" t="str">
        <f>IFERROR(__xludf.DUMMYFUNCTION("""COMPUTED_VALUE"""),"B2B")</f>
        <v>B2B</v>
      </c>
      <c r="P697" s="16">
        <f>IFERROR(__xludf.DUMMYFUNCTION("""COMPUTED_VALUE"""),60.04)</f>
        <v>60.04</v>
      </c>
      <c r="Q697" s="15">
        <f>IFERROR(__xludf.DUMMYFUNCTION("""COMPUTED_VALUE"""),2.0)</f>
        <v>2</v>
      </c>
      <c r="R697" s="15" t="str">
        <f>IFERROR(__xludf.DUMMYFUNCTION("""COMPUTED_VALUE"""),"RODO")</f>
        <v>RODO</v>
      </c>
      <c r="S697" s="15" t="str">
        <f>IFERROR(__xludf.DUMMYFUNCTION("""COMPUTED_VALUE"""),"ITN")</f>
        <v>ITN</v>
      </c>
      <c r="T697" s="15" t="str">
        <f>IFERROR(__xludf.DUMMYFUNCTION("""COMPUTED_VALUE"""),"117")</f>
        <v>117</v>
      </c>
      <c r="U697" s="15" t="str">
        <f>IFERROR(__xludf.DUMMYFUNCTION("""COMPUTED_VALUE"""),"266818007 1306364 8177403 confeccoes irmaos perin ltda trifil qhv 117")</f>
        <v>266818007 1306364 8177403 confeccoes irmaos perin ltda trifil qhv 117</v>
      </c>
      <c r="V697" s="15" t="b">
        <f>IFERROR(__xludf.DUMMYFUNCTION("""COMPUTED_VALUE"""),FALSE)</f>
        <v>0</v>
      </c>
    </row>
    <row r="698">
      <c r="A698" s="19">
        <f>IFERROR(__xludf.DUMMYFUNCTION("""COMPUTED_VALUE"""),46304.0)</f>
        <v>46304</v>
      </c>
      <c r="B698" s="19">
        <f>IFERROR(__xludf.DUMMYFUNCTION("""COMPUTED_VALUE"""),46321.0)</f>
        <v>46321</v>
      </c>
      <c r="C698" s="15">
        <f>IFERROR(__xludf.DUMMYFUNCTION("""COMPUTED_VALUE"""),10.0)</f>
        <v>10</v>
      </c>
      <c r="D698" s="15" t="str">
        <f>IFERROR(__xludf.DUMMYFUNCTION("""COMPUTED_VALUE"""),"SOS")</f>
        <v>SOS</v>
      </c>
      <c r="E698" s="15" t="str">
        <f>IFERROR(__xludf.DUMMYFUNCTION("""COMPUTED_VALUE"""),"CLAUDIA LUIZA BOCH DA SILVA")</f>
        <v>CLAUDIA LUIZA BOCH DA SILVA</v>
      </c>
      <c r="F698" s="15" t="str">
        <f>IFERROR(__xludf.DUMMYFUNCTION("""COMPUTED_VALUE"""),"TRIFIL")</f>
        <v>TRIFIL</v>
      </c>
      <c r="G698" s="15" t="str">
        <f>IFERROR(__xludf.DUMMYFUNCTION("""COMPUTED_VALUE"""),"266818008")</f>
        <v>266818008</v>
      </c>
      <c r="H698" s="15" t="str">
        <f>IFERROR(__xludf.DUMMYFUNCTION("""COMPUTED_VALUE"""),"1306375")</f>
        <v>1306375</v>
      </c>
      <c r="I698" s="15" t="str">
        <f>IFERROR(__xludf.DUMMYFUNCTION("""COMPUTED_VALUE"""),"8177404")</f>
        <v>8177404</v>
      </c>
      <c r="J698" s="15" t="str">
        <f>IFERROR(__xludf.DUMMYFUNCTION("""COMPUTED_VALUE"""),"CIF")</f>
        <v>CIF</v>
      </c>
      <c r="K698" s="15" t="str">
        <f>IFERROR(__xludf.DUMMYFUNCTION("""COMPUTED_VALUE"""),"FSA-1")</f>
        <v>FSA-1</v>
      </c>
      <c r="L698" s="15" t="str">
        <f>IFERROR(__xludf.DUMMYFUNCTION("""COMPUTED_VALUE"""),"AUTORIZADO")</f>
        <v>AUTORIZADO</v>
      </c>
      <c r="M698" s="15" t="str">
        <f>IFERROR(__xludf.DUMMYFUNCTION("""COMPUTED_VALUE"""),"NA ORIGEM")</f>
        <v>NA ORIGEM</v>
      </c>
      <c r="N698" s="15" t="str">
        <f>IFERROR(__xludf.DUMMYFUNCTION("""COMPUTED_VALUE"""),"Antes Prazo")</f>
        <v>Antes Prazo</v>
      </c>
      <c r="O698" s="15" t="str">
        <f>IFERROR(__xludf.DUMMYFUNCTION("""COMPUTED_VALUE"""),"B2B")</f>
        <v>B2B</v>
      </c>
      <c r="P698" s="16">
        <f>IFERROR(__xludf.DUMMYFUNCTION("""COMPUTED_VALUE"""),79.47)</f>
        <v>79.47</v>
      </c>
      <c r="Q698" s="15">
        <f>IFERROR(__xludf.DUMMYFUNCTION("""COMPUTED_VALUE"""),4.0)</f>
        <v>4</v>
      </c>
      <c r="R698" s="15" t="str">
        <f>IFERROR(__xludf.DUMMYFUNCTION("""COMPUTED_VALUE"""),"RODO")</f>
        <v>RODO</v>
      </c>
      <c r="S698" s="15" t="str">
        <f>IFERROR(__xludf.DUMMYFUNCTION("""COMPUTED_VALUE"""),"ITN")</f>
        <v>ITN</v>
      </c>
      <c r="T698" s="15" t="str">
        <f>IFERROR(__xludf.DUMMYFUNCTION("""COMPUTED_VALUE"""),"116")</f>
        <v>116</v>
      </c>
      <c r="U698" s="15" t="str">
        <f>IFERROR(__xludf.DUMMYFUNCTION("""COMPUTED_VALUE"""),"266818008 1306375 8177404 claudia luiza boch da silva trifil sos 116")</f>
        <v>266818008 1306375 8177404 claudia luiza boch da silva trifil sos 116</v>
      </c>
      <c r="V698" s="15" t="b">
        <f>IFERROR(__xludf.DUMMYFUNCTION("""COMPUTED_VALUE"""),FALSE)</f>
        <v>0</v>
      </c>
    </row>
    <row r="699">
      <c r="A699" s="19">
        <f>IFERROR(__xludf.DUMMYFUNCTION("""COMPUTED_VALUE"""),46304.0)</f>
        <v>46304</v>
      </c>
      <c r="B699" s="19">
        <f>IFERROR(__xludf.DUMMYFUNCTION("""COMPUTED_VALUE"""),46322.0)</f>
        <v>46322</v>
      </c>
      <c r="C699" s="15">
        <f>IFERROR(__xludf.DUMMYFUNCTION("""COMPUTED_VALUE"""),11.0)</f>
        <v>11</v>
      </c>
      <c r="D699" s="15" t="str">
        <f>IFERROR(__xludf.DUMMYFUNCTION("""COMPUTED_VALUE"""),"PET")</f>
        <v>PET</v>
      </c>
      <c r="E699" s="15" t="str">
        <f>IFERROR(__xludf.DUMMYFUNCTION("""COMPUTED_VALUE"""),"MACAPE CALCADOS LTDA - ME")</f>
        <v>MACAPE CALCADOS LTDA - ME</v>
      </c>
      <c r="F699" s="15" t="str">
        <f>IFERROR(__xludf.DUMMYFUNCTION("""COMPUTED_VALUE"""),"TRIFIL")</f>
        <v>TRIFIL</v>
      </c>
      <c r="G699" s="15" t="str">
        <f>IFERROR(__xludf.DUMMYFUNCTION("""COMPUTED_VALUE"""),"266818009")</f>
        <v>266818009</v>
      </c>
      <c r="H699" s="15" t="str">
        <f>IFERROR(__xludf.DUMMYFUNCTION("""COMPUTED_VALUE"""),"1306353")</f>
        <v>1306353</v>
      </c>
      <c r="I699" s="15" t="str">
        <f>IFERROR(__xludf.DUMMYFUNCTION("""COMPUTED_VALUE"""),"8177341")</f>
        <v>8177341</v>
      </c>
      <c r="J699" s="15" t="str">
        <f>IFERROR(__xludf.DUMMYFUNCTION("""COMPUTED_VALUE"""),"CIF")</f>
        <v>CIF</v>
      </c>
      <c r="K699" s="15" t="str">
        <f>IFERROR(__xludf.DUMMYFUNCTION("""COMPUTED_VALUE"""),"FSA-1")</f>
        <v>FSA-1</v>
      </c>
      <c r="L699" s="15" t="str">
        <f>IFERROR(__xludf.DUMMYFUNCTION("""COMPUTED_VALUE"""),"AUTORIZADO")</f>
        <v>AUTORIZADO</v>
      </c>
      <c r="M699" s="15" t="str">
        <f>IFERROR(__xludf.DUMMYFUNCTION("""COMPUTED_VALUE"""),"NA ORIGEM")</f>
        <v>NA ORIGEM</v>
      </c>
      <c r="N699" s="15" t="str">
        <f>IFERROR(__xludf.DUMMYFUNCTION("""COMPUTED_VALUE"""),"Antes Prazo")</f>
        <v>Antes Prazo</v>
      </c>
      <c r="O699" s="15" t="str">
        <f>IFERROR(__xludf.DUMMYFUNCTION("""COMPUTED_VALUE"""),"B2B")</f>
        <v>B2B</v>
      </c>
      <c r="P699" s="16">
        <f>IFERROR(__xludf.DUMMYFUNCTION("""COMPUTED_VALUE"""),67.68)</f>
        <v>67.68</v>
      </c>
      <c r="Q699" s="15">
        <f>IFERROR(__xludf.DUMMYFUNCTION("""COMPUTED_VALUE"""),1.0)</f>
        <v>1</v>
      </c>
      <c r="R699" s="15" t="str">
        <f>IFERROR(__xludf.DUMMYFUNCTION("""COMPUTED_VALUE"""),"RODO")</f>
        <v>RODO</v>
      </c>
      <c r="S699" s="15" t="str">
        <f>IFERROR(__xludf.DUMMYFUNCTION("""COMPUTED_VALUE"""),"ITN")</f>
        <v>ITN</v>
      </c>
      <c r="T699" s="15" t="str">
        <f>IFERROR(__xludf.DUMMYFUNCTION("""COMPUTED_VALUE"""),"101")</f>
        <v>101</v>
      </c>
      <c r="U699" s="15" t="str">
        <f>IFERROR(__xludf.DUMMYFUNCTION("""COMPUTED_VALUE"""),"266818009 1306353 8177341 macape calcados ltda - me trifil pet 101")</f>
        <v>266818009 1306353 8177341 macape calcados ltda - me trifil pet 101</v>
      </c>
      <c r="V699" s="15" t="b">
        <f>IFERROR(__xludf.DUMMYFUNCTION("""COMPUTED_VALUE"""),FALSE)</f>
        <v>0</v>
      </c>
    </row>
    <row r="700">
      <c r="A700" s="19">
        <f>IFERROR(__xludf.DUMMYFUNCTION("""COMPUTED_VALUE"""),46304.0)</f>
        <v>46304</v>
      </c>
      <c r="B700" s="19">
        <f>IFERROR(__xludf.DUMMYFUNCTION("""COMPUTED_VALUE"""),46321.0)</f>
        <v>46321</v>
      </c>
      <c r="C700" s="15">
        <f>IFERROR(__xludf.DUMMYFUNCTION("""COMPUTED_VALUE"""),10.0)</f>
        <v>10</v>
      </c>
      <c r="D700" s="15" t="str">
        <f>IFERROR(__xludf.DUMMYFUNCTION("""COMPUTED_VALUE"""),"GEL")</f>
        <v>GEL</v>
      </c>
      <c r="E700" s="15" t="str">
        <f>IFERROR(__xludf.DUMMYFUNCTION("""COMPUTED_VALUE"""),"NESTOR A.HENKES &amp; CIA.LTDA")</f>
        <v>NESTOR A.HENKES &amp; CIA.LTDA</v>
      </c>
      <c r="F700" s="15" t="str">
        <f>IFERROR(__xludf.DUMMYFUNCTION("""COMPUTED_VALUE"""),"TRIFIL")</f>
        <v>TRIFIL</v>
      </c>
      <c r="G700" s="15" t="str">
        <f>IFERROR(__xludf.DUMMYFUNCTION("""COMPUTED_VALUE"""),"266818010")</f>
        <v>266818010</v>
      </c>
      <c r="H700" s="15" t="str">
        <f>IFERROR(__xludf.DUMMYFUNCTION("""COMPUTED_VALUE"""),"1306443")</f>
        <v>1306443</v>
      </c>
      <c r="I700" s="15" t="str">
        <f>IFERROR(__xludf.DUMMYFUNCTION("""COMPUTED_VALUE"""),"8177380")</f>
        <v>8177380</v>
      </c>
      <c r="J700" s="15" t="str">
        <f>IFERROR(__xludf.DUMMYFUNCTION("""COMPUTED_VALUE"""),"CIF")</f>
        <v>CIF</v>
      </c>
      <c r="K700" s="15" t="str">
        <f>IFERROR(__xludf.DUMMYFUNCTION("""COMPUTED_VALUE"""),"FSA-1")</f>
        <v>FSA-1</v>
      </c>
      <c r="L700" s="15" t="str">
        <f>IFERROR(__xludf.DUMMYFUNCTION("""COMPUTED_VALUE"""),"AUTORIZADO")</f>
        <v>AUTORIZADO</v>
      </c>
      <c r="M700" s="15" t="str">
        <f>IFERROR(__xludf.DUMMYFUNCTION("""COMPUTED_VALUE"""),"NA ORIGEM")</f>
        <v>NA ORIGEM</v>
      </c>
      <c r="N700" s="15" t="str">
        <f>IFERROR(__xludf.DUMMYFUNCTION("""COMPUTED_VALUE"""),"Antes Prazo")</f>
        <v>Antes Prazo</v>
      </c>
      <c r="O700" s="15" t="str">
        <f>IFERROR(__xludf.DUMMYFUNCTION("""COMPUTED_VALUE"""),"B2B")</f>
        <v>B2B</v>
      </c>
      <c r="P700" s="16">
        <f>IFERROR(__xludf.DUMMYFUNCTION("""COMPUTED_VALUE"""),67.68)</f>
        <v>67.68</v>
      </c>
      <c r="Q700" s="15">
        <f>IFERROR(__xludf.DUMMYFUNCTION("""COMPUTED_VALUE"""),1.0)</f>
        <v>1</v>
      </c>
      <c r="R700" s="15" t="str">
        <f>IFERROR(__xludf.DUMMYFUNCTION("""COMPUTED_VALUE"""),"RODO")</f>
        <v>RODO</v>
      </c>
      <c r="S700" s="15" t="str">
        <f>IFERROR(__xludf.DUMMYFUNCTION("""COMPUTED_VALUE"""),"ITN")</f>
        <v>ITN</v>
      </c>
      <c r="T700" s="15" t="str">
        <f>IFERROR(__xludf.DUMMYFUNCTION("""COMPUTED_VALUE"""),"104")</f>
        <v>104</v>
      </c>
      <c r="U700" s="15" t="str">
        <f>IFERROR(__xludf.DUMMYFUNCTION("""COMPUTED_VALUE"""),"266818010 1306443 8177380 nestor a.henkes &amp; cia.ltda trifil gel 104")</f>
        <v>266818010 1306443 8177380 nestor a.henkes &amp; cia.ltda trifil gel 104</v>
      </c>
      <c r="V700" s="15" t="b">
        <f>IFERROR(__xludf.DUMMYFUNCTION("""COMPUTED_VALUE"""),FALSE)</f>
        <v>0</v>
      </c>
    </row>
    <row r="701">
      <c r="A701" s="19">
        <f>IFERROR(__xludf.DUMMYFUNCTION("""COMPUTED_VALUE"""),46304.0)</f>
        <v>46304</v>
      </c>
      <c r="B701" s="19">
        <f>IFERROR(__xludf.DUMMYFUNCTION("""COMPUTED_VALUE"""),46324.0)</f>
        <v>46324</v>
      </c>
      <c r="C701" s="15">
        <f>IFERROR(__xludf.DUMMYFUNCTION("""COMPUTED_VALUE"""),13.0)</f>
        <v>13</v>
      </c>
      <c r="D701" s="15" t="str">
        <f>IFERROR(__xludf.DUMMYFUNCTION("""COMPUTED_VALUE"""),"PFB")</f>
        <v>PFB</v>
      </c>
      <c r="E701" s="15" t="str">
        <f>IFERROR(__xludf.DUMMYFUNCTION("""COMPUTED_VALUE"""),"ESSENCIALE VEST LTDA")</f>
        <v>ESSENCIALE VEST LTDA</v>
      </c>
      <c r="F701" s="15" t="str">
        <f>IFERROR(__xludf.DUMMYFUNCTION("""COMPUTED_VALUE"""),"TRIFIL")</f>
        <v>TRIFIL</v>
      </c>
      <c r="G701" s="15" t="str">
        <f>IFERROR(__xludf.DUMMYFUNCTION("""COMPUTED_VALUE"""),"266818011")</f>
        <v>266818011</v>
      </c>
      <c r="H701" s="15" t="str">
        <f>IFERROR(__xludf.DUMMYFUNCTION("""COMPUTED_VALUE"""),"1306421")</f>
        <v>1306421</v>
      </c>
      <c r="I701" s="15" t="str">
        <f>IFERROR(__xludf.DUMMYFUNCTION("""COMPUTED_VALUE"""),"8177381")</f>
        <v>8177381</v>
      </c>
      <c r="J701" s="15" t="str">
        <f>IFERROR(__xludf.DUMMYFUNCTION("""COMPUTED_VALUE"""),"CIF")</f>
        <v>CIF</v>
      </c>
      <c r="K701" s="15" t="str">
        <f>IFERROR(__xludf.DUMMYFUNCTION("""COMPUTED_VALUE"""),"FSA-1")</f>
        <v>FSA-1</v>
      </c>
      <c r="L701" s="15" t="str">
        <f>IFERROR(__xludf.DUMMYFUNCTION("""COMPUTED_VALUE"""),"AUTORIZADO")</f>
        <v>AUTORIZADO</v>
      </c>
      <c r="M701" s="15" t="str">
        <f>IFERROR(__xludf.DUMMYFUNCTION("""COMPUTED_VALUE"""),"NA ORIGEM")</f>
        <v>NA ORIGEM</v>
      </c>
      <c r="N701" s="15" t="str">
        <f>IFERROR(__xludf.DUMMYFUNCTION("""COMPUTED_VALUE"""),"Antes Prazo")</f>
        <v>Antes Prazo</v>
      </c>
      <c r="O701" s="15" t="str">
        <f>IFERROR(__xludf.DUMMYFUNCTION("""COMPUTED_VALUE"""),"B2B")</f>
        <v>B2B</v>
      </c>
      <c r="P701" s="16">
        <f>IFERROR(__xludf.DUMMYFUNCTION("""COMPUTED_VALUE"""),67.68)</f>
        <v>67.68</v>
      </c>
      <c r="Q701" s="15">
        <f>IFERROR(__xludf.DUMMYFUNCTION("""COMPUTED_VALUE"""),2.0)</f>
        <v>2</v>
      </c>
      <c r="R701" s="15" t="str">
        <f>IFERROR(__xludf.DUMMYFUNCTION("""COMPUTED_VALUE"""),"RODO")</f>
        <v>RODO</v>
      </c>
      <c r="S701" s="15" t="str">
        <f>IFERROR(__xludf.DUMMYFUNCTION("""COMPUTED_VALUE"""),"ITN")</f>
        <v>ITN</v>
      </c>
      <c r="T701" s="15" t="str">
        <f>IFERROR(__xludf.DUMMYFUNCTION("""COMPUTED_VALUE"""),"107")</f>
        <v>107</v>
      </c>
      <c r="U701" s="15" t="str">
        <f>IFERROR(__xludf.DUMMYFUNCTION("""COMPUTED_VALUE"""),"266818011 1306421 8177381 essenciale vest ltda trifil pfb 107")</f>
        <v>266818011 1306421 8177381 essenciale vest ltda trifil pfb 107</v>
      </c>
      <c r="V701" s="15" t="b">
        <f>IFERROR(__xludf.DUMMYFUNCTION("""COMPUTED_VALUE"""),FALSE)</f>
        <v>0</v>
      </c>
    </row>
    <row r="702">
      <c r="A702" s="19">
        <f>IFERROR(__xludf.DUMMYFUNCTION("""COMPUTED_VALUE"""),46304.0)</f>
        <v>46304</v>
      </c>
      <c r="B702" s="19">
        <f>IFERROR(__xludf.DUMMYFUNCTION("""COMPUTED_VALUE"""),46324.0)</f>
        <v>46324</v>
      </c>
      <c r="C702" s="15">
        <f>IFERROR(__xludf.DUMMYFUNCTION("""COMPUTED_VALUE"""),13.0)</f>
        <v>13</v>
      </c>
      <c r="D702" s="15" t="str">
        <f>IFERROR(__xludf.DUMMYFUNCTION("""COMPUTED_VALUE"""),"PFB")</f>
        <v>PFB</v>
      </c>
      <c r="E702" s="15" t="str">
        <f>IFERROR(__xludf.DUMMYFUNCTION("""COMPUTED_VALUE"""),"DO PÉ CONFECÇÕES")</f>
        <v>DO PÉ CONFECÇÕES</v>
      </c>
      <c r="F702" s="15" t="str">
        <f>IFERROR(__xludf.DUMMYFUNCTION("""COMPUTED_VALUE"""),"TRIFIL")</f>
        <v>TRIFIL</v>
      </c>
      <c r="G702" s="15" t="str">
        <f>IFERROR(__xludf.DUMMYFUNCTION("""COMPUTED_VALUE"""),"266818012")</f>
        <v>266818012</v>
      </c>
      <c r="H702" s="15" t="str">
        <f>IFERROR(__xludf.DUMMYFUNCTION("""COMPUTED_VALUE"""),"1306374")</f>
        <v>1306374</v>
      </c>
      <c r="I702" s="15" t="str">
        <f>IFERROR(__xludf.DUMMYFUNCTION("""COMPUTED_VALUE"""),"8177392")</f>
        <v>8177392</v>
      </c>
      <c r="J702" s="15" t="str">
        <f>IFERROR(__xludf.DUMMYFUNCTION("""COMPUTED_VALUE"""),"CIF")</f>
        <v>CIF</v>
      </c>
      <c r="K702" s="15" t="str">
        <f>IFERROR(__xludf.DUMMYFUNCTION("""COMPUTED_VALUE"""),"FSA-1")</f>
        <v>FSA-1</v>
      </c>
      <c r="L702" s="15" t="str">
        <f>IFERROR(__xludf.DUMMYFUNCTION("""COMPUTED_VALUE"""),"AUTORIZADO")</f>
        <v>AUTORIZADO</v>
      </c>
      <c r="M702" s="15" t="str">
        <f>IFERROR(__xludf.DUMMYFUNCTION("""COMPUTED_VALUE"""),"NA ORIGEM")</f>
        <v>NA ORIGEM</v>
      </c>
      <c r="N702" s="15" t="str">
        <f>IFERROR(__xludf.DUMMYFUNCTION("""COMPUTED_VALUE"""),"Antes Prazo")</f>
        <v>Antes Prazo</v>
      </c>
      <c r="O702" s="15" t="str">
        <f>IFERROR(__xludf.DUMMYFUNCTION("""COMPUTED_VALUE"""),"B2B")</f>
        <v>B2B</v>
      </c>
      <c r="P702" s="16">
        <f>IFERROR(__xludf.DUMMYFUNCTION("""COMPUTED_VALUE"""),97.54)</f>
        <v>97.54</v>
      </c>
      <c r="Q702" s="15">
        <f>IFERROR(__xludf.DUMMYFUNCTION("""COMPUTED_VALUE"""),10.0)</f>
        <v>10</v>
      </c>
      <c r="R702" s="15" t="str">
        <f>IFERROR(__xludf.DUMMYFUNCTION("""COMPUTED_VALUE"""),"RODO")</f>
        <v>RODO</v>
      </c>
      <c r="S702" s="15" t="str">
        <f>IFERROR(__xludf.DUMMYFUNCTION("""COMPUTED_VALUE"""),"ITN")</f>
        <v>ITN</v>
      </c>
      <c r="T702" s="15" t="str">
        <f>IFERROR(__xludf.DUMMYFUNCTION("""COMPUTED_VALUE"""),"107")</f>
        <v>107</v>
      </c>
      <c r="U702" s="15" t="str">
        <f>IFERROR(__xludf.DUMMYFUNCTION("""COMPUTED_VALUE"""),"266818012 1306374 8177392 do pé confecções trifil pfb 107")</f>
        <v>266818012 1306374 8177392 do pé confecções trifil pfb 107</v>
      </c>
      <c r="V702" s="15" t="b">
        <f>IFERROR(__xludf.DUMMYFUNCTION("""COMPUTED_VALUE"""),FALSE)</f>
        <v>0</v>
      </c>
    </row>
    <row r="703">
      <c r="A703" s="19">
        <f>IFERROR(__xludf.DUMMYFUNCTION("""COMPUTED_VALUE"""),46304.0)</f>
        <v>46304</v>
      </c>
      <c r="B703" s="19" t="str">
        <f>IFERROR(__xludf.DUMMYFUNCTION("""COMPUTED_VALUE"""),"")</f>
        <v/>
      </c>
      <c r="C703" s="15">
        <f>IFERROR(__xludf.DUMMYFUNCTION("""COMPUTED_VALUE"""),0.0)</f>
        <v>0</v>
      </c>
      <c r="D703" s="15" t="str">
        <f>IFERROR(__xludf.DUMMYFUNCTION("""COMPUTED_VALUE"""),"VIX")</f>
        <v>VIX</v>
      </c>
      <c r="E703" s="15" t="str">
        <f>IFERROR(__xludf.DUMMYFUNCTION("""COMPUTED_VALUE"""),"VCI VANGUARD CONFECCOES IMPORTADAS")</f>
        <v>VCI VANGUARD CONFECCOES IMPORTADAS</v>
      </c>
      <c r="F703" s="15" t="str">
        <f>IFERROR(__xludf.DUMMYFUNCTION("""COMPUTED_VALUE"""),"-")</f>
        <v>-</v>
      </c>
      <c r="G703" s="15" t="str">
        <f>IFERROR(__xludf.DUMMYFUNCTION("""COMPUTED_VALUE"""),"266818324")</f>
        <v>266818324</v>
      </c>
      <c r="H703" s="15" t="str">
        <f>IFERROR(__xludf.DUMMYFUNCTION("""COMPUTED_VALUE"""),"9772")</f>
        <v>9772</v>
      </c>
      <c r="I703" s="15" t="str">
        <f>IFERROR(__xludf.DUMMYFUNCTION("""COMPUTED_VALUE"""),"0")</f>
        <v>0</v>
      </c>
      <c r="J703" s="15" t="str">
        <f>IFERROR(__xludf.DUMMYFUNCTION("""COMPUTED_VALUE"""),"CSG")</f>
        <v>CSG</v>
      </c>
      <c r="K703" s="15" t="str">
        <f>IFERROR(__xludf.DUMMYFUNCTION("""COMPUTED_VALUE"""),"(sem célula)")</f>
        <v>(sem célula)</v>
      </c>
      <c r="L703" s="15" t="str">
        <f>IFERROR(__xludf.DUMMYFUNCTION("""COMPUTED_VALUE"""),"SEM CT-E")</f>
        <v>SEM CT-E</v>
      </c>
      <c r="M703" s="15" t="str">
        <f>IFERROR(__xludf.DUMMYFUNCTION("""COMPUTED_VALUE"""),"NA ORIGEM")</f>
        <v>NA ORIGEM</v>
      </c>
      <c r="N703" s="15" t="str">
        <f>IFERROR(__xludf.DUMMYFUNCTION("""COMPUTED_VALUE"""),"Antes Prazo")</f>
        <v>Antes Prazo</v>
      </c>
      <c r="O703" s="15" t="str">
        <f>IFERROR(__xludf.DUMMYFUNCTION("""COMPUTED_VALUE"""),"(não informada)")</f>
        <v>(não informada)</v>
      </c>
      <c r="P703" s="16">
        <f>IFERROR(__xludf.DUMMYFUNCTION("""COMPUTED_VALUE"""),58.43)</f>
        <v>58.43</v>
      </c>
      <c r="Q703" s="15">
        <f>IFERROR(__xludf.DUMMYFUNCTION("""COMPUTED_VALUE"""),1.0)</f>
        <v>1</v>
      </c>
      <c r="R703" s="15" t="str">
        <f>IFERROR(__xludf.DUMMYFUNCTION("""COMPUTED_VALUE"""),"RODO")</f>
        <v>RODO</v>
      </c>
      <c r="S703" s="15" t="str">
        <f>IFERROR(__xludf.DUMMYFUNCTION("""COMPUTED_VALUE"""),"ITN")</f>
        <v>ITN</v>
      </c>
      <c r="T703" s="15" t="str">
        <f>IFERROR(__xludf.DUMMYFUNCTION("""COMPUTED_VALUE"""),"19")</f>
        <v>19</v>
      </c>
      <c r="U703" s="15" t="str">
        <f>IFERROR(__xludf.DUMMYFUNCTION("""COMPUTED_VALUE"""),"266818324 9772 0 vci vanguard confeccoes importadas - vix 19")</f>
        <v>266818324 9772 0 vci vanguard confeccoes importadas - vix 19</v>
      </c>
      <c r="V703" s="15" t="b">
        <f>IFERROR(__xludf.DUMMYFUNCTION("""COMPUTED_VALUE"""),FALSE)</f>
        <v>0</v>
      </c>
    </row>
    <row r="704">
      <c r="A704" s="19">
        <f>IFERROR(__xludf.DUMMYFUNCTION("""COMPUTED_VALUE"""),46304.0)</f>
        <v>46304</v>
      </c>
      <c r="B704" s="19">
        <f>IFERROR(__xludf.DUMMYFUNCTION("""COMPUTED_VALUE"""),46338.0)</f>
        <v>46338</v>
      </c>
      <c r="C704" s="15">
        <f>IFERROR(__xludf.DUMMYFUNCTION("""COMPUTED_VALUE"""),22.0)</f>
        <v>22</v>
      </c>
      <c r="D704" s="15" t="str">
        <f>IFERROR(__xludf.DUMMYFUNCTION("""COMPUTED_VALUE"""),"PVH")</f>
        <v>PVH</v>
      </c>
      <c r="E704" s="15" t="str">
        <f>IFERROR(__xludf.DUMMYFUNCTION("""COMPUTED_VALUE"""),"MODENA &amp;amp SILVA LTDA ME")</f>
        <v>MODENA &amp;amp SILVA LTDA ME</v>
      </c>
      <c r="F704" s="15" t="str">
        <f>IFERROR(__xludf.DUMMYFUNCTION("""COMPUTED_VALUE"""),"DISCOM")</f>
        <v>DISCOM</v>
      </c>
      <c r="G704" s="15" t="str">
        <f>IFERROR(__xludf.DUMMYFUNCTION("""COMPUTED_VALUE"""),"266829350")</f>
        <v>266829350</v>
      </c>
      <c r="H704" s="15" t="str">
        <f>IFERROR(__xludf.DUMMYFUNCTION("""COMPUTED_VALUE"""),"55857")</f>
        <v>55857</v>
      </c>
      <c r="I704" s="15" t="str">
        <f>IFERROR(__xludf.DUMMYFUNCTION("""COMPUTED_VALUE"""),"8177578")</f>
        <v>8177578</v>
      </c>
      <c r="J704" s="15" t="str">
        <f>IFERROR(__xludf.DUMMYFUNCTION("""COMPUTED_VALUE"""),"CIF")</f>
        <v>CIF</v>
      </c>
      <c r="K704" s="15" t="str">
        <f>IFERROR(__xludf.DUMMYFUNCTION("""COMPUTED_VALUE"""),"(sem célula)")</f>
        <v>(sem célula)</v>
      </c>
      <c r="L704" s="15" t="str">
        <f>IFERROR(__xludf.DUMMYFUNCTION("""COMPUTED_VALUE"""),"AUTORIZADO")</f>
        <v>AUTORIZADO</v>
      </c>
      <c r="M704" s="15" t="str">
        <f>IFERROR(__xludf.DUMMYFUNCTION("""COMPUTED_VALUE"""),"NA ORIGEM")</f>
        <v>NA ORIGEM</v>
      </c>
      <c r="N704" s="15" t="str">
        <f>IFERROR(__xludf.DUMMYFUNCTION("""COMPUTED_VALUE"""),"Antes Prazo")</f>
        <v>Antes Prazo</v>
      </c>
      <c r="O704" s="15" t="str">
        <f>IFERROR(__xludf.DUMMYFUNCTION("""COMPUTED_VALUE"""),"(não informada)")</f>
        <v>(não informada)</v>
      </c>
      <c r="P704" s="16">
        <f>IFERROR(__xludf.DUMMYFUNCTION("""COMPUTED_VALUE"""),737.48)</f>
        <v>737.48</v>
      </c>
      <c r="Q704" s="15">
        <f>IFERROR(__xludf.DUMMYFUNCTION("""COMPUTED_VALUE"""),19.0)</f>
        <v>19</v>
      </c>
      <c r="R704" s="15" t="str">
        <f>IFERROR(__xludf.DUMMYFUNCTION("""COMPUTED_VALUE"""),"RODO")</f>
        <v>RODO</v>
      </c>
      <c r="S704" s="15" t="str">
        <f>IFERROR(__xludf.DUMMYFUNCTION("""COMPUTED_VALUE"""),"ITN")</f>
        <v>ITN</v>
      </c>
      <c r="T704" s="15" t="str">
        <f>IFERROR(__xludf.DUMMYFUNCTION("""COMPUTED_VALUE"""),"1")</f>
        <v>1</v>
      </c>
      <c r="U704" s="15" t="str">
        <f>IFERROR(__xludf.DUMMYFUNCTION("""COMPUTED_VALUE"""),"266829350 55857 8177578 modena &amp;amp silva ltda me discom pvh 1")</f>
        <v>266829350 55857 8177578 modena &amp;amp silva ltda me discom pvh 1</v>
      </c>
      <c r="V704" s="15" t="b">
        <f>IFERROR(__xludf.DUMMYFUNCTION("""COMPUTED_VALUE"""),FALSE)</f>
        <v>0</v>
      </c>
    </row>
    <row r="705">
      <c r="A705" s="19">
        <f>IFERROR(__xludf.DUMMYFUNCTION("""COMPUTED_VALUE"""),46304.0)</f>
        <v>46304</v>
      </c>
      <c r="B705" s="19">
        <f>IFERROR(__xludf.DUMMYFUNCTION("""COMPUTED_VALUE"""),46321.0)</f>
        <v>46321</v>
      </c>
      <c r="C705" s="15">
        <f>IFERROR(__xludf.DUMMYFUNCTION("""COMPUTED_VALUE"""),10.0)</f>
        <v>10</v>
      </c>
      <c r="D705" s="15" t="str">
        <f>IFERROR(__xludf.DUMMYFUNCTION("""COMPUTED_VALUE"""),"MT1")</f>
        <v>MT1</v>
      </c>
      <c r="E705" s="15" t="str">
        <f>IFERROR(__xludf.DUMMYFUNCTION("""COMPUTED_VALUE"""),"ECONOMIZAR COMERCIO DE PRODUTOS FARMACEU")</f>
        <v>ECONOMIZAR COMERCIO DE PRODUTOS FARMACEU</v>
      </c>
      <c r="F705" s="15" t="str">
        <f>IFERROR(__xludf.DUMMYFUNCTION("""COMPUTED_VALUE"""),"DISCOM")</f>
        <v>DISCOM</v>
      </c>
      <c r="G705" s="15" t="str">
        <f>IFERROR(__xludf.DUMMYFUNCTION("""COMPUTED_VALUE"""),"266829351")</f>
        <v>266829351</v>
      </c>
      <c r="H705" s="15" t="str">
        <f>IFERROR(__xludf.DUMMYFUNCTION("""COMPUTED_VALUE"""),"55798")</f>
        <v>55798</v>
      </c>
      <c r="I705" s="15" t="str">
        <f>IFERROR(__xludf.DUMMYFUNCTION("""COMPUTED_VALUE"""),"8177579")</f>
        <v>8177579</v>
      </c>
      <c r="J705" s="15" t="str">
        <f>IFERROR(__xludf.DUMMYFUNCTION("""COMPUTED_VALUE"""),"CIF")</f>
        <v>CIF</v>
      </c>
      <c r="K705" s="15" t="str">
        <f>IFERROR(__xludf.DUMMYFUNCTION("""COMPUTED_VALUE"""),"(sem célula)")</f>
        <v>(sem célula)</v>
      </c>
      <c r="L705" s="15" t="str">
        <f>IFERROR(__xludf.DUMMYFUNCTION("""COMPUTED_VALUE"""),"AUTORIZADO")</f>
        <v>AUTORIZADO</v>
      </c>
      <c r="M705" s="15" t="str">
        <f>IFERROR(__xludf.DUMMYFUNCTION("""COMPUTED_VALUE"""),"NA ORIGEM")</f>
        <v>NA ORIGEM</v>
      </c>
      <c r="N705" s="15" t="str">
        <f>IFERROR(__xludf.DUMMYFUNCTION("""COMPUTED_VALUE"""),"Antes Prazo")</f>
        <v>Antes Prazo</v>
      </c>
      <c r="O705" s="15" t="str">
        <f>IFERROR(__xludf.DUMMYFUNCTION("""COMPUTED_VALUE"""),"(não informada)")</f>
        <v>(não informada)</v>
      </c>
      <c r="P705" s="16">
        <f>IFERROR(__xludf.DUMMYFUNCTION("""COMPUTED_VALUE"""),315.35)</f>
        <v>315.35</v>
      </c>
      <c r="Q705" s="15">
        <f>IFERROR(__xludf.DUMMYFUNCTION("""COMPUTED_VALUE"""),6.0)</f>
        <v>6</v>
      </c>
      <c r="R705" s="15" t="str">
        <f>IFERROR(__xludf.DUMMYFUNCTION("""COMPUTED_VALUE"""),"RODO")</f>
        <v>RODO</v>
      </c>
      <c r="S705" s="15" t="str">
        <f>IFERROR(__xludf.DUMMYFUNCTION("""COMPUTED_VALUE"""),"ITN")</f>
        <v>ITN</v>
      </c>
      <c r="T705" s="15" t="str">
        <f>IFERROR(__xludf.DUMMYFUNCTION("""COMPUTED_VALUE"""),"100")</f>
        <v>100</v>
      </c>
      <c r="U705" s="15" t="str">
        <f>IFERROR(__xludf.DUMMYFUNCTION("""COMPUTED_VALUE"""),"266829351 55798 8177579 economizar comercio de produtos farmaceu discom mt1 100")</f>
        <v>266829351 55798 8177579 economizar comercio de produtos farmaceu discom mt1 100</v>
      </c>
      <c r="V705" s="15" t="b">
        <f>IFERROR(__xludf.DUMMYFUNCTION("""COMPUTED_VALUE"""),FALSE)</f>
        <v>0</v>
      </c>
    </row>
    <row r="706">
      <c r="A706" s="19">
        <f>IFERROR(__xludf.DUMMYFUNCTION("""COMPUTED_VALUE"""),46304.0)</f>
        <v>46304</v>
      </c>
      <c r="B706" s="19">
        <f>IFERROR(__xludf.DUMMYFUNCTION("""COMPUTED_VALUE"""),46322.0)</f>
        <v>46322</v>
      </c>
      <c r="C706" s="15">
        <f>IFERROR(__xludf.DUMMYFUNCTION("""COMPUTED_VALUE"""),11.0)</f>
        <v>11</v>
      </c>
      <c r="D706" s="15" t="str">
        <f>IFERROR(__xludf.DUMMYFUNCTION("""COMPUTED_VALUE"""),"MT2")</f>
        <v>MT2</v>
      </c>
      <c r="E706" s="15" t="str">
        <f>IFERROR(__xludf.DUMMYFUNCTION("""COMPUTED_VALUE"""),"CHEIRO CHEIROSA")</f>
        <v>CHEIRO CHEIROSA</v>
      </c>
      <c r="F706" s="15" t="str">
        <f>IFERROR(__xludf.DUMMYFUNCTION("""COMPUTED_VALUE"""),"DISCOM")</f>
        <v>DISCOM</v>
      </c>
      <c r="G706" s="15" t="str">
        <f>IFERROR(__xludf.DUMMYFUNCTION("""COMPUTED_VALUE"""),"266829353")</f>
        <v>266829353</v>
      </c>
      <c r="H706" s="15" t="str">
        <f>IFERROR(__xludf.DUMMYFUNCTION("""COMPUTED_VALUE"""),"55810")</f>
        <v>55810</v>
      </c>
      <c r="I706" s="15" t="str">
        <f>IFERROR(__xludf.DUMMYFUNCTION("""COMPUTED_VALUE"""),"8177588")</f>
        <v>8177588</v>
      </c>
      <c r="J706" s="15" t="str">
        <f>IFERROR(__xludf.DUMMYFUNCTION("""COMPUTED_VALUE"""),"CIF")</f>
        <v>CIF</v>
      </c>
      <c r="K706" s="15" t="str">
        <f>IFERROR(__xludf.DUMMYFUNCTION("""COMPUTED_VALUE"""),"(sem célula)")</f>
        <v>(sem célula)</v>
      </c>
      <c r="L706" s="15" t="str">
        <f>IFERROR(__xludf.DUMMYFUNCTION("""COMPUTED_VALUE"""),"AUTORIZADO")</f>
        <v>AUTORIZADO</v>
      </c>
      <c r="M706" s="15" t="str">
        <f>IFERROR(__xludf.DUMMYFUNCTION("""COMPUTED_VALUE"""),"NA ORIGEM")</f>
        <v>NA ORIGEM</v>
      </c>
      <c r="N706" s="15" t="str">
        <f>IFERROR(__xludf.DUMMYFUNCTION("""COMPUTED_VALUE"""),"Antes Prazo")</f>
        <v>Antes Prazo</v>
      </c>
      <c r="O706" s="15" t="str">
        <f>IFERROR(__xludf.DUMMYFUNCTION("""COMPUTED_VALUE"""),"(não informada)")</f>
        <v>(não informada)</v>
      </c>
      <c r="P706" s="16">
        <f>IFERROR(__xludf.DUMMYFUNCTION("""COMPUTED_VALUE"""),286.43)</f>
        <v>286.43</v>
      </c>
      <c r="Q706" s="15">
        <f>IFERROR(__xludf.DUMMYFUNCTION("""COMPUTED_VALUE"""),7.0)</f>
        <v>7</v>
      </c>
      <c r="R706" s="15" t="str">
        <f>IFERROR(__xludf.DUMMYFUNCTION("""COMPUTED_VALUE"""),"RODO")</f>
        <v>RODO</v>
      </c>
      <c r="S706" s="15" t="str">
        <f>IFERROR(__xludf.DUMMYFUNCTION("""COMPUTED_VALUE"""),"ITN")</f>
        <v>ITN</v>
      </c>
      <c r="T706" s="15" t="str">
        <f>IFERROR(__xludf.DUMMYFUNCTION("""COMPUTED_VALUE"""),"301")</f>
        <v>301</v>
      </c>
      <c r="U706" s="15" t="str">
        <f>IFERROR(__xludf.DUMMYFUNCTION("""COMPUTED_VALUE"""),"266829353 55810 8177588 cheiro cheirosa discom mt2 301")</f>
        <v>266829353 55810 8177588 cheiro cheirosa discom mt2 301</v>
      </c>
      <c r="V706" s="15" t="b">
        <f>IFERROR(__xludf.DUMMYFUNCTION("""COMPUTED_VALUE"""),FALSE)</f>
        <v>0</v>
      </c>
    </row>
    <row r="707">
      <c r="A707" s="19">
        <f>IFERROR(__xludf.DUMMYFUNCTION("""COMPUTED_VALUE"""),46304.0)</f>
        <v>46304</v>
      </c>
      <c r="B707" s="19">
        <f>IFERROR(__xludf.DUMMYFUNCTION("""COMPUTED_VALUE"""),46311.0)</f>
        <v>46311</v>
      </c>
      <c r="C707" s="15">
        <f>IFERROR(__xludf.DUMMYFUNCTION("""COMPUTED_VALUE"""),4.0)</f>
        <v>4</v>
      </c>
      <c r="D707" s="15" t="str">
        <f>IFERROR(__xludf.DUMMYFUNCTION("""COMPUTED_VALUE"""),"FOR")</f>
        <v>FOR</v>
      </c>
      <c r="E707" s="15" t="str">
        <f>IFERROR(__xludf.DUMMYFUNCTION("""COMPUTED_VALUE"""),"DAG")</f>
        <v>DAG</v>
      </c>
      <c r="F707" s="15" t="str">
        <f>IFERROR(__xludf.DUMMYFUNCTION("""COMPUTED_VALUE"""),"DISCOM")</f>
        <v>DISCOM</v>
      </c>
      <c r="G707" s="15" t="str">
        <f>IFERROR(__xludf.DUMMYFUNCTION("""COMPUTED_VALUE"""),"266829354")</f>
        <v>266829354</v>
      </c>
      <c r="H707" s="15" t="str">
        <f>IFERROR(__xludf.DUMMYFUNCTION("""COMPUTED_VALUE"""),"55814")</f>
        <v>55814</v>
      </c>
      <c r="I707" s="15" t="str">
        <f>IFERROR(__xludf.DUMMYFUNCTION("""COMPUTED_VALUE"""),"8177580")</f>
        <v>8177580</v>
      </c>
      <c r="J707" s="15" t="str">
        <f>IFERROR(__xludf.DUMMYFUNCTION("""COMPUTED_VALUE"""),"CIF")</f>
        <v>CIF</v>
      </c>
      <c r="K707" s="15" t="str">
        <f>IFERROR(__xludf.DUMMYFUNCTION("""COMPUTED_VALUE"""),"FSA-1")</f>
        <v>FSA-1</v>
      </c>
      <c r="L707" s="15" t="str">
        <f>IFERROR(__xludf.DUMMYFUNCTION("""COMPUTED_VALUE"""),"AUTORIZADO")</f>
        <v>AUTORIZADO</v>
      </c>
      <c r="M707" s="15" t="str">
        <f>IFERROR(__xludf.DUMMYFUNCTION("""COMPUTED_VALUE"""),"NA ORIGEM")</f>
        <v>NA ORIGEM</v>
      </c>
      <c r="N707" s="15" t="str">
        <f>IFERROR(__xludf.DUMMYFUNCTION("""COMPUTED_VALUE"""),"Antes Prazo")</f>
        <v>Antes Prazo</v>
      </c>
      <c r="O707" s="15" t="str">
        <f>IFERROR(__xludf.DUMMYFUNCTION("""COMPUTED_VALUE"""),"(não informada)")</f>
        <v>(não informada)</v>
      </c>
      <c r="P707" s="16">
        <f>IFERROR(__xludf.DUMMYFUNCTION("""COMPUTED_VALUE"""),528.92)</f>
        <v>528.92</v>
      </c>
      <c r="Q707" s="15">
        <f>IFERROR(__xludf.DUMMYFUNCTION("""COMPUTED_VALUE"""),3.0)</f>
        <v>3</v>
      </c>
      <c r="R707" s="15" t="str">
        <f>IFERROR(__xludf.DUMMYFUNCTION("""COMPUTED_VALUE"""),"RODO")</f>
        <v>RODO</v>
      </c>
      <c r="S707" s="15" t="str">
        <f>IFERROR(__xludf.DUMMYFUNCTION("""COMPUTED_VALUE"""),"ITN")</f>
        <v>ITN</v>
      </c>
      <c r="T707" s="15" t="str">
        <f>IFERROR(__xludf.DUMMYFUNCTION("""COMPUTED_VALUE"""),"22")</f>
        <v>22</v>
      </c>
      <c r="U707" s="15" t="str">
        <f>IFERROR(__xludf.DUMMYFUNCTION("""COMPUTED_VALUE"""),"266829354 55814 8177580 dag discom for 22")</f>
        <v>266829354 55814 8177580 dag discom for 22</v>
      </c>
      <c r="V707" s="15" t="b">
        <f>IFERROR(__xludf.DUMMYFUNCTION("""COMPUTED_VALUE"""),FALSE)</f>
        <v>0</v>
      </c>
    </row>
    <row r="708">
      <c r="A708" s="19">
        <f>IFERROR(__xludf.DUMMYFUNCTION("""COMPUTED_VALUE"""),46304.0)</f>
        <v>46304</v>
      </c>
      <c r="B708" s="19">
        <f>IFERROR(__xludf.DUMMYFUNCTION("""COMPUTED_VALUE"""),46315.0)</f>
        <v>46315</v>
      </c>
      <c r="C708" s="15">
        <f>IFERROR(__xludf.DUMMYFUNCTION("""COMPUTED_VALUE"""),6.0)</f>
        <v>6</v>
      </c>
      <c r="D708" s="15" t="str">
        <f>IFERROR(__xludf.DUMMYFUNCTION("""COMPUTED_VALUE"""),"FLN")</f>
        <v>FLN</v>
      </c>
      <c r="E708" s="15" t="str">
        <f>IFERROR(__xludf.DUMMYFUNCTION("""COMPUTED_VALUE"""),"R GESSER ME")</f>
        <v>R GESSER ME</v>
      </c>
      <c r="F708" s="15" t="str">
        <f>IFERROR(__xludf.DUMMYFUNCTION("""COMPUTED_VALUE"""),"DISCOM")</f>
        <v>DISCOM</v>
      </c>
      <c r="G708" s="15" t="str">
        <f>IFERROR(__xludf.DUMMYFUNCTION("""COMPUTED_VALUE"""),"266829356")</f>
        <v>266829356</v>
      </c>
      <c r="H708" s="15" t="str">
        <f>IFERROR(__xludf.DUMMYFUNCTION("""COMPUTED_VALUE"""),"55812")</f>
        <v>55812</v>
      </c>
      <c r="I708" s="15" t="str">
        <f>IFERROR(__xludf.DUMMYFUNCTION("""COMPUTED_VALUE"""),"8177581")</f>
        <v>8177581</v>
      </c>
      <c r="J708" s="15" t="str">
        <f>IFERROR(__xludf.DUMMYFUNCTION("""COMPUTED_VALUE"""),"CIF")</f>
        <v>CIF</v>
      </c>
      <c r="K708" s="15" t="str">
        <f>IFERROR(__xludf.DUMMYFUNCTION("""COMPUTED_VALUE"""),"(sem célula)")</f>
        <v>(sem célula)</v>
      </c>
      <c r="L708" s="15" t="str">
        <f>IFERROR(__xludf.DUMMYFUNCTION("""COMPUTED_VALUE"""),"AUTORIZADO")</f>
        <v>AUTORIZADO</v>
      </c>
      <c r="M708" s="15" t="str">
        <f>IFERROR(__xludf.DUMMYFUNCTION("""COMPUTED_VALUE"""),"NA ORIGEM")</f>
        <v>NA ORIGEM</v>
      </c>
      <c r="N708" s="15" t="str">
        <f>IFERROR(__xludf.DUMMYFUNCTION("""COMPUTED_VALUE"""),"Antes Prazo")</f>
        <v>Antes Prazo</v>
      </c>
      <c r="O708" s="15" t="str">
        <f>IFERROR(__xludf.DUMMYFUNCTION("""COMPUTED_VALUE"""),"(não informada)")</f>
        <v>(não informada)</v>
      </c>
      <c r="P708" s="16">
        <f>IFERROR(__xludf.DUMMYFUNCTION("""COMPUTED_VALUE"""),104.22)</f>
        <v>104.22</v>
      </c>
      <c r="Q708" s="15">
        <f>IFERROR(__xludf.DUMMYFUNCTION("""COMPUTED_VALUE"""),2.0)</f>
        <v>2</v>
      </c>
      <c r="R708" s="15" t="str">
        <f>IFERROR(__xludf.DUMMYFUNCTION("""COMPUTED_VALUE"""),"RODO")</f>
        <v>RODO</v>
      </c>
      <c r="S708" s="15" t="str">
        <f>IFERROR(__xludf.DUMMYFUNCTION("""COMPUTED_VALUE"""),"ITN")</f>
        <v>ITN</v>
      </c>
      <c r="T708" s="15" t="str">
        <f>IFERROR(__xludf.DUMMYFUNCTION("""COMPUTED_VALUE"""),"8")</f>
        <v>8</v>
      </c>
      <c r="U708" s="15" t="str">
        <f>IFERROR(__xludf.DUMMYFUNCTION("""COMPUTED_VALUE"""),"266829356 55812 8177581 r gesser me discom fln 8")</f>
        <v>266829356 55812 8177581 r gesser me discom fln 8</v>
      </c>
      <c r="V708" s="15" t="b">
        <f>IFERROR(__xludf.DUMMYFUNCTION("""COMPUTED_VALUE"""),FALSE)</f>
        <v>0</v>
      </c>
    </row>
    <row r="709">
      <c r="A709" s="19">
        <f>IFERROR(__xludf.DUMMYFUNCTION("""COMPUTED_VALUE"""),46304.0)</f>
        <v>46304</v>
      </c>
      <c r="B709" s="19">
        <f>IFERROR(__xludf.DUMMYFUNCTION("""COMPUTED_VALUE"""),46317.0)</f>
        <v>46317</v>
      </c>
      <c r="C709" s="15">
        <f>IFERROR(__xludf.DUMMYFUNCTION("""COMPUTED_VALUE"""),8.0)</f>
        <v>8</v>
      </c>
      <c r="D709" s="15" t="str">
        <f>IFERROR(__xludf.DUMMYFUNCTION("""COMPUTED_VALUE"""),"MT2")</f>
        <v>MT2</v>
      </c>
      <c r="E709" s="15" t="str">
        <f>IFERROR(__xludf.DUMMYFUNCTION("""COMPUTED_VALUE"""),"MIX VARIEDADES E COSMETICOS LTDA")</f>
        <v>MIX VARIEDADES E COSMETICOS LTDA</v>
      </c>
      <c r="F709" s="15" t="str">
        <f>IFERROR(__xludf.DUMMYFUNCTION("""COMPUTED_VALUE"""),"DISCOM")</f>
        <v>DISCOM</v>
      </c>
      <c r="G709" s="15" t="str">
        <f>IFERROR(__xludf.DUMMYFUNCTION("""COMPUTED_VALUE"""),"266829358")</f>
        <v>266829358</v>
      </c>
      <c r="H709" s="15" t="str">
        <f>IFERROR(__xludf.DUMMYFUNCTION("""COMPUTED_VALUE"""),"55837")</f>
        <v>55837</v>
      </c>
      <c r="I709" s="15" t="str">
        <f>IFERROR(__xludf.DUMMYFUNCTION("""COMPUTED_VALUE"""),"8177582")</f>
        <v>8177582</v>
      </c>
      <c r="J709" s="15" t="str">
        <f>IFERROR(__xludf.DUMMYFUNCTION("""COMPUTED_VALUE"""),"CIF")</f>
        <v>CIF</v>
      </c>
      <c r="K709" s="15" t="str">
        <f>IFERROR(__xludf.DUMMYFUNCTION("""COMPUTED_VALUE"""),"(sem célula)")</f>
        <v>(sem célula)</v>
      </c>
      <c r="L709" s="15" t="str">
        <f>IFERROR(__xludf.DUMMYFUNCTION("""COMPUTED_VALUE"""),"AUTORIZADO")</f>
        <v>AUTORIZADO</v>
      </c>
      <c r="M709" s="15" t="str">
        <f>IFERROR(__xludf.DUMMYFUNCTION("""COMPUTED_VALUE"""),"NA ORIGEM")</f>
        <v>NA ORIGEM</v>
      </c>
      <c r="N709" s="15" t="str">
        <f>IFERROR(__xludf.DUMMYFUNCTION("""COMPUTED_VALUE"""),"Antes Prazo")</f>
        <v>Antes Prazo</v>
      </c>
      <c r="O709" s="15" t="str">
        <f>IFERROR(__xludf.DUMMYFUNCTION("""COMPUTED_VALUE"""),"(não informada)")</f>
        <v>(não informada)</v>
      </c>
      <c r="P709" s="16">
        <f>IFERROR(__xludf.DUMMYFUNCTION("""COMPUTED_VALUE"""),265.82)</f>
        <v>265.82</v>
      </c>
      <c r="Q709" s="15">
        <f>IFERROR(__xludf.DUMMYFUNCTION("""COMPUTED_VALUE"""),5.0)</f>
        <v>5</v>
      </c>
      <c r="R709" s="15" t="str">
        <f>IFERROR(__xludf.DUMMYFUNCTION("""COMPUTED_VALUE"""),"RODO")</f>
        <v>RODO</v>
      </c>
      <c r="S709" s="15" t="str">
        <f>IFERROR(__xludf.DUMMYFUNCTION("""COMPUTED_VALUE"""),"ITN")</f>
        <v>ITN</v>
      </c>
      <c r="T709" s="15" t="str">
        <f>IFERROR(__xludf.DUMMYFUNCTION("""COMPUTED_VALUE"""),"101")</f>
        <v>101</v>
      </c>
      <c r="U709" s="15" t="str">
        <f>IFERROR(__xludf.DUMMYFUNCTION("""COMPUTED_VALUE"""),"266829358 55837 8177582 mix variedades e cosmeticos ltda discom mt2 101")</f>
        <v>266829358 55837 8177582 mix variedades e cosmeticos ltda discom mt2 101</v>
      </c>
      <c r="V709" s="15" t="b">
        <f>IFERROR(__xludf.DUMMYFUNCTION("""COMPUTED_VALUE"""),FALSE)</f>
        <v>0</v>
      </c>
    </row>
    <row r="710">
      <c r="A710" s="19">
        <f>IFERROR(__xludf.DUMMYFUNCTION("""COMPUTED_VALUE"""),46304.0)</f>
        <v>46304</v>
      </c>
      <c r="B710" s="19">
        <f>IFERROR(__xludf.DUMMYFUNCTION("""COMPUTED_VALUE"""),46321.0)</f>
        <v>46321</v>
      </c>
      <c r="C710" s="15">
        <f>IFERROR(__xludf.DUMMYFUNCTION("""COMPUTED_VALUE"""),10.0)</f>
        <v>10</v>
      </c>
      <c r="D710" s="15" t="str">
        <f>IFERROR(__xludf.DUMMYFUNCTION("""COMPUTED_VALUE"""),"MT1")</f>
        <v>MT1</v>
      </c>
      <c r="E710" s="15" t="str">
        <f>IFERROR(__xludf.DUMMYFUNCTION("""COMPUTED_VALUE"""),"REDE DE FARMACIAS ECONOMIZAR")</f>
        <v>REDE DE FARMACIAS ECONOMIZAR</v>
      </c>
      <c r="F710" s="15" t="str">
        <f>IFERROR(__xludf.DUMMYFUNCTION("""COMPUTED_VALUE"""),"DISCOM")</f>
        <v>DISCOM</v>
      </c>
      <c r="G710" s="15" t="str">
        <f>IFERROR(__xludf.DUMMYFUNCTION("""COMPUTED_VALUE"""),"266829359")</f>
        <v>266829359</v>
      </c>
      <c r="H710" s="15" t="str">
        <f>IFERROR(__xludf.DUMMYFUNCTION("""COMPUTED_VALUE"""),"55796")</f>
        <v>55796</v>
      </c>
      <c r="I710" s="15" t="str">
        <f>IFERROR(__xludf.DUMMYFUNCTION("""COMPUTED_VALUE"""),"8177583")</f>
        <v>8177583</v>
      </c>
      <c r="J710" s="15" t="str">
        <f>IFERROR(__xludf.DUMMYFUNCTION("""COMPUTED_VALUE"""),"CIF")</f>
        <v>CIF</v>
      </c>
      <c r="K710" s="15" t="str">
        <f>IFERROR(__xludf.DUMMYFUNCTION("""COMPUTED_VALUE"""),"(sem célula)")</f>
        <v>(sem célula)</v>
      </c>
      <c r="L710" s="15" t="str">
        <f>IFERROR(__xludf.DUMMYFUNCTION("""COMPUTED_VALUE"""),"AUTORIZADO")</f>
        <v>AUTORIZADO</v>
      </c>
      <c r="M710" s="15" t="str">
        <f>IFERROR(__xludf.DUMMYFUNCTION("""COMPUTED_VALUE"""),"NA ORIGEM")</f>
        <v>NA ORIGEM</v>
      </c>
      <c r="N710" s="15" t="str">
        <f>IFERROR(__xludf.DUMMYFUNCTION("""COMPUTED_VALUE"""),"Antes Prazo")</f>
        <v>Antes Prazo</v>
      </c>
      <c r="O710" s="15" t="str">
        <f>IFERROR(__xludf.DUMMYFUNCTION("""COMPUTED_VALUE"""),"(não informada)")</f>
        <v>(não informada)</v>
      </c>
      <c r="P710" s="16">
        <f>IFERROR(__xludf.DUMMYFUNCTION("""COMPUTED_VALUE"""),307.09)</f>
        <v>307.09</v>
      </c>
      <c r="Q710" s="15">
        <f>IFERROR(__xludf.DUMMYFUNCTION("""COMPUTED_VALUE"""),5.0)</f>
        <v>5</v>
      </c>
      <c r="R710" s="15" t="str">
        <f>IFERROR(__xludf.DUMMYFUNCTION("""COMPUTED_VALUE"""),"RODO")</f>
        <v>RODO</v>
      </c>
      <c r="S710" s="15" t="str">
        <f>IFERROR(__xludf.DUMMYFUNCTION("""COMPUTED_VALUE"""),"ITN")</f>
        <v>ITN</v>
      </c>
      <c r="T710" s="15" t="str">
        <f>IFERROR(__xludf.DUMMYFUNCTION("""COMPUTED_VALUE"""),"100")</f>
        <v>100</v>
      </c>
      <c r="U710" s="15" t="str">
        <f>IFERROR(__xludf.DUMMYFUNCTION("""COMPUTED_VALUE"""),"266829359 55796 8177583 rede de farmacias economizar discom mt1 100")</f>
        <v>266829359 55796 8177583 rede de farmacias economizar discom mt1 100</v>
      </c>
      <c r="V710" s="15" t="b">
        <f>IFERROR(__xludf.DUMMYFUNCTION("""COMPUTED_VALUE"""),FALSE)</f>
        <v>0</v>
      </c>
    </row>
    <row r="711">
      <c r="A711" s="19">
        <f>IFERROR(__xludf.DUMMYFUNCTION("""COMPUTED_VALUE"""),46304.0)</f>
        <v>46304</v>
      </c>
      <c r="B711" s="19">
        <f>IFERROR(__xludf.DUMMYFUNCTION("""COMPUTED_VALUE"""),46321.0)</f>
        <v>46321</v>
      </c>
      <c r="C711" s="15">
        <f>IFERROR(__xludf.DUMMYFUNCTION("""COMPUTED_VALUE"""),10.0)</f>
        <v>10</v>
      </c>
      <c r="D711" s="15" t="str">
        <f>IFERROR(__xludf.DUMMYFUNCTION("""COMPUTED_VALUE"""),"MSS")</f>
        <v>MSS</v>
      </c>
      <c r="E711" s="15" t="str">
        <f>IFERROR(__xludf.DUMMYFUNCTION("""COMPUTED_VALUE"""),"ATACADAO DAS UTILIDADES E EMBALAGENS LTD")</f>
        <v>ATACADAO DAS UTILIDADES E EMBALAGENS LTD</v>
      </c>
      <c r="F711" s="15" t="str">
        <f>IFERROR(__xludf.DUMMYFUNCTION("""COMPUTED_VALUE"""),"DISCOM")</f>
        <v>DISCOM</v>
      </c>
      <c r="G711" s="15" t="str">
        <f>IFERROR(__xludf.DUMMYFUNCTION("""COMPUTED_VALUE"""),"266829360")</f>
        <v>266829360</v>
      </c>
      <c r="H711" s="15" t="str">
        <f>IFERROR(__xludf.DUMMYFUNCTION("""COMPUTED_VALUE"""),"55831")</f>
        <v>55831</v>
      </c>
      <c r="I711" s="15" t="str">
        <f>IFERROR(__xludf.DUMMYFUNCTION("""COMPUTED_VALUE"""),"8177584")</f>
        <v>8177584</v>
      </c>
      <c r="J711" s="15" t="str">
        <f>IFERROR(__xludf.DUMMYFUNCTION("""COMPUTED_VALUE"""),"CIF")</f>
        <v>CIF</v>
      </c>
      <c r="K711" s="15" t="str">
        <f>IFERROR(__xludf.DUMMYFUNCTION("""COMPUTED_VALUE"""),"(sem célula)")</f>
        <v>(sem célula)</v>
      </c>
      <c r="L711" s="15" t="str">
        <f>IFERROR(__xludf.DUMMYFUNCTION("""COMPUTED_VALUE"""),"AUTORIZADO")</f>
        <v>AUTORIZADO</v>
      </c>
      <c r="M711" s="15" t="str">
        <f>IFERROR(__xludf.DUMMYFUNCTION("""COMPUTED_VALUE"""),"NA ORIGEM")</f>
        <v>NA ORIGEM</v>
      </c>
      <c r="N711" s="15" t="str">
        <f>IFERROR(__xludf.DUMMYFUNCTION("""COMPUTED_VALUE"""),"Antes Prazo")</f>
        <v>Antes Prazo</v>
      </c>
      <c r="O711" s="15" t="str">
        <f>IFERROR(__xludf.DUMMYFUNCTION("""COMPUTED_VALUE"""),"(não informada)")</f>
        <v>(não informada)</v>
      </c>
      <c r="P711" s="16">
        <f>IFERROR(__xludf.DUMMYFUNCTION("""COMPUTED_VALUE"""),226.43)</f>
        <v>226.43</v>
      </c>
      <c r="Q711" s="15">
        <f>IFERROR(__xludf.DUMMYFUNCTION("""COMPUTED_VALUE"""),7.0)</f>
        <v>7</v>
      </c>
      <c r="R711" s="15" t="str">
        <f>IFERROR(__xludf.DUMMYFUNCTION("""COMPUTED_VALUE"""),"RODO")</f>
        <v>RODO</v>
      </c>
      <c r="S711" s="15" t="str">
        <f>IFERROR(__xludf.DUMMYFUNCTION("""COMPUTED_VALUE"""),"ITN")</f>
        <v>ITN</v>
      </c>
      <c r="T711" s="15" t="str">
        <f>IFERROR(__xludf.DUMMYFUNCTION("""COMPUTED_VALUE"""),"201")</f>
        <v>201</v>
      </c>
      <c r="U711" s="15" t="str">
        <f>IFERROR(__xludf.DUMMYFUNCTION("""COMPUTED_VALUE"""),"266829360 55831 8177584 atacadao das utilidades e embalagens ltd discom mss 201")</f>
        <v>266829360 55831 8177584 atacadao das utilidades e embalagens ltd discom mss 201</v>
      </c>
      <c r="V711" s="15" t="b">
        <f>IFERROR(__xludf.DUMMYFUNCTION("""COMPUTED_VALUE"""),FALSE)</f>
        <v>0</v>
      </c>
    </row>
    <row r="712">
      <c r="A712" s="19">
        <f>IFERROR(__xludf.DUMMYFUNCTION("""COMPUTED_VALUE"""),46304.0)</f>
        <v>46304</v>
      </c>
      <c r="B712" s="19">
        <f>IFERROR(__xludf.DUMMYFUNCTION("""COMPUTED_VALUE"""),46321.0)</f>
        <v>46321</v>
      </c>
      <c r="C712" s="15">
        <f>IFERROR(__xludf.DUMMYFUNCTION("""COMPUTED_VALUE"""),10.0)</f>
        <v>10</v>
      </c>
      <c r="D712" s="15" t="str">
        <f>IFERROR(__xludf.DUMMYFUNCTION("""COMPUTED_VALUE"""),"MT1")</f>
        <v>MT1</v>
      </c>
      <c r="E712" s="15" t="str">
        <f>IFERROR(__xludf.DUMMYFUNCTION("""COMPUTED_VALUE"""),"ECONOMIZAR C DE P FARMACEITICOS LTDA ME")</f>
        <v>ECONOMIZAR C DE P FARMACEITICOS LTDA ME</v>
      </c>
      <c r="F712" s="15" t="str">
        <f>IFERROR(__xludf.DUMMYFUNCTION("""COMPUTED_VALUE"""),"DISCOM")</f>
        <v>DISCOM</v>
      </c>
      <c r="G712" s="15" t="str">
        <f>IFERROR(__xludf.DUMMYFUNCTION("""COMPUTED_VALUE"""),"266829361")</f>
        <v>266829361</v>
      </c>
      <c r="H712" s="15" t="str">
        <f>IFERROR(__xludf.DUMMYFUNCTION("""COMPUTED_VALUE"""),"55792")</f>
        <v>55792</v>
      </c>
      <c r="I712" s="15" t="str">
        <f>IFERROR(__xludf.DUMMYFUNCTION("""COMPUTED_VALUE"""),"8177585")</f>
        <v>8177585</v>
      </c>
      <c r="J712" s="15" t="str">
        <f>IFERROR(__xludf.DUMMYFUNCTION("""COMPUTED_VALUE"""),"CIF")</f>
        <v>CIF</v>
      </c>
      <c r="K712" s="15" t="str">
        <f>IFERROR(__xludf.DUMMYFUNCTION("""COMPUTED_VALUE"""),"(sem célula)")</f>
        <v>(sem célula)</v>
      </c>
      <c r="L712" s="15" t="str">
        <f>IFERROR(__xludf.DUMMYFUNCTION("""COMPUTED_VALUE"""),"AUTORIZADO")</f>
        <v>AUTORIZADO</v>
      </c>
      <c r="M712" s="15" t="str">
        <f>IFERROR(__xludf.DUMMYFUNCTION("""COMPUTED_VALUE"""),"NA ORIGEM")</f>
        <v>NA ORIGEM</v>
      </c>
      <c r="N712" s="15" t="str">
        <f>IFERROR(__xludf.DUMMYFUNCTION("""COMPUTED_VALUE"""),"Antes Prazo")</f>
        <v>Antes Prazo</v>
      </c>
      <c r="O712" s="15" t="str">
        <f>IFERROR(__xludf.DUMMYFUNCTION("""COMPUTED_VALUE"""),"(não informada)")</f>
        <v>(não informada)</v>
      </c>
      <c r="P712" s="16">
        <f>IFERROR(__xludf.DUMMYFUNCTION("""COMPUTED_VALUE"""),312.9)</f>
        <v>312.9</v>
      </c>
      <c r="Q712" s="15">
        <f>IFERROR(__xludf.DUMMYFUNCTION("""COMPUTED_VALUE"""),6.0)</f>
        <v>6</v>
      </c>
      <c r="R712" s="15" t="str">
        <f>IFERROR(__xludf.DUMMYFUNCTION("""COMPUTED_VALUE"""),"RODO")</f>
        <v>RODO</v>
      </c>
      <c r="S712" s="15" t="str">
        <f>IFERROR(__xludf.DUMMYFUNCTION("""COMPUTED_VALUE"""),"ITN")</f>
        <v>ITN</v>
      </c>
      <c r="T712" s="15" t="str">
        <f>IFERROR(__xludf.DUMMYFUNCTION("""COMPUTED_VALUE"""),"200")</f>
        <v>200</v>
      </c>
      <c r="U712" s="15" t="str">
        <f>IFERROR(__xludf.DUMMYFUNCTION("""COMPUTED_VALUE"""),"266829361 55792 8177585 economizar c de p farmaceiticos ltda me discom mt1 200")</f>
        <v>266829361 55792 8177585 economizar c de p farmaceiticos ltda me discom mt1 200</v>
      </c>
      <c r="V712" s="15" t="b">
        <f>IFERROR(__xludf.DUMMYFUNCTION("""COMPUTED_VALUE"""),FALSE)</f>
        <v>0</v>
      </c>
    </row>
    <row r="713">
      <c r="A713" s="19">
        <f>IFERROR(__xludf.DUMMYFUNCTION("""COMPUTED_VALUE"""),46304.0)</f>
        <v>46304</v>
      </c>
      <c r="B713" s="19">
        <f>IFERROR(__xludf.DUMMYFUNCTION("""COMPUTED_VALUE"""),46317.0)</f>
        <v>46317</v>
      </c>
      <c r="C713" s="15">
        <f>IFERROR(__xludf.DUMMYFUNCTION("""COMPUTED_VALUE"""),8.0)</f>
        <v>8</v>
      </c>
      <c r="D713" s="15" t="str">
        <f>IFERROR(__xludf.DUMMYFUNCTION("""COMPUTED_VALUE"""),"MT2")</f>
        <v>MT2</v>
      </c>
      <c r="E713" s="15" t="str">
        <f>IFERROR(__xludf.DUMMYFUNCTION("""COMPUTED_VALUE"""),"REDE DE COSMETICOS LTDA")</f>
        <v>REDE DE COSMETICOS LTDA</v>
      </c>
      <c r="F713" s="15" t="str">
        <f>IFERROR(__xludf.DUMMYFUNCTION("""COMPUTED_VALUE"""),"DISCOM")</f>
        <v>DISCOM</v>
      </c>
      <c r="G713" s="15" t="str">
        <f>IFERROR(__xludf.DUMMYFUNCTION("""COMPUTED_VALUE"""),"266829362")</f>
        <v>266829362</v>
      </c>
      <c r="H713" s="15" t="str">
        <f>IFERROR(__xludf.DUMMYFUNCTION("""COMPUTED_VALUE"""),"55797")</f>
        <v>55797</v>
      </c>
      <c r="I713" s="15" t="str">
        <f>IFERROR(__xludf.DUMMYFUNCTION("""COMPUTED_VALUE"""),"8177586")</f>
        <v>8177586</v>
      </c>
      <c r="J713" s="15" t="str">
        <f>IFERROR(__xludf.DUMMYFUNCTION("""COMPUTED_VALUE"""),"CIF")</f>
        <v>CIF</v>
      </c>
      <c r="K713" s="15" t="str">
        <f>IFERROR(__xludf.DUMMYFUNCTION("""COMPUTED_VALUE"""),"(sem célula)")</f>
        <v>(sem célula)</v>
      </c>
      <c r="L713" s="15" t="str">
        <f>IFERROR(__xludf.DUMMYFUNCTION("""COMPUTED_VALUE"""),"AUTORIZADO")</f>
        <v>AUTORIZADO</v>
      </c>
      <c r="M713" s="15" t="str">
        <f>IFERROR(__xludf.DUMMYFUNCTION("""COMPUTED_VALUE"""),"NA ORIGEM")</f>
        <v>NA ORIGEM</v>
      </c>
      <c r="N713" s="15" t="str">
        <f>IFERROR(__xludf.DUMMYFUNCTION("""COMPUTED_VALUE"""),"Antes Prazo")</f>
        <v>Antes Prazo</v>
      </c>
      <c r="O713" s="15" t="str">
        <f>IFERROR(__xludf.DUMMYFUNCTION("""COMPUTED_VALUE"""),"(não informada)")</f>
        <v>(não informada)</v>
      </c>
      <c r="P713" s="16">
        <f>IFERROR(__xludf.DUMMYFUNCTION("""COMPUTED_VALUE"""),351.41)</f>
        <v>351.41</v>
      </c>
      <c r="Q713" s="15">
        <f>IFERROR(__xludf.DUMMYFUNCTION("""COMPUTED_VALUE"""),9.0)</f>
        <v>9</v>
      </c>
      <c r="R713" s="15" t="str">
        <f>IFERROR(__xludf.DUMMYFUNCTION("""COMPUTED_VALUE"""),"RODO")</f>
        <v>RODO</v>
      </c>
      <c r="S713" s="15" t="str">
        <f>IFERROR(__xludf.DUMMYFUNCTION("""COMPUTED_VALUE"""),"ITN")</f>
        <v>ITN</v>
      </c>
      <c r="T713" s="15" t="str">
        <f>IFERROR(__xludf.DUMMYFUNCTION("""COMPUTED_VALUE"""),"101")</f>
        <v>101</v>
      </c>
      <c r="U713" s="15" t="str">
        <f>IFERROR(__xludf.DUMMYFUNCTION("""COMPUTED_VALUE"""),"266829362 55797 8177586 rede de cosmeticos ltda discom mt2 101")</f>
        <v>266829362 55797 8177586 rede de cosmeticos ltda discom mt2 101</v>
      </c>
      <c r="V713" s="15" t="b">
        <f>IFERROR(__xludf.DUMMYFUNCTION("""COMPUTED_VALUE"""),FALSE)</f>
        <v>0</v>
      </c>
    </row>
    <row r="714">
      <c r="A714" s="19">
        <f>IFERROR(__xludf.DUMMYFUNCTION("""COMPUTED_VALUE"""),46304.0)</f>
        <v>46304</v>
      </c>
      <c r="B714" s="19">
        <f>IFERROR(__xludf.DUMMYFUNCTION("""COMPUTED_VALUE"""),46317.0)</f>
        <v>46317</v>
      </c>
      <c r="C714" s="15">
        <f>IFERROR(__xludf.DUMMYFUNCTION("""COMPUTED_VALUE"""),8.0)</f>
        <v>8</v>
      </c>
      <c r="D714" s="15" t="str">
        <f>IFERROR(__xludf.DUMMYFUNCTION("""COMPUTED_VALUE"""),"MT1")</f>
        <v>MT1</v>
      </c>
      <c r="E714" s="15" t="str">
        <f>IFERROR(__xludf.DUMMYFUNCTION("""COMPUTED_VALUE"""),"ECONOMIZAR C DE P FARMACEUTICOS LTDA ME")</f>
        <v>ECONOMIZAR C DE P FARMACEUTICOS LTDA ME</v>
      </c>
      <c r="F714" s="15" t="str">
        <f>IFERROR(__xludf.DUMMYFUNCTION("""COMPUTED_VALUE"""),"DISCOM")</f>
        <v>DISCOM</v>
      </c>
      <c r="G714" s="15" t="str">
        <f>IFERROR(__xludf.DUMMYFUNCTION("""COMPUTED_VALUE"""),"266829363")</f>
        <v>266829363</v>
      </c>
      <c r="H714" s="15" t="str">
        <f>IFERROR(__xludf.DUMMYFUNCTION("""COMPUTED_VALUE"""),"55795")</f>
        <v>55795</v>
      </c>
      <c r="I714" s="15" t="str">
        <f>IFERROR(__xludf.DUMMYFUNCTION("""COMPUTED_VALUE"""),"8177573")</f>
        <v>8177573</v>
      </c>
      <c r="J714" s="15" t="str">
        <f>IFERROR(__xludf.DUMMYFUNCTION("""COMPUTED_VALUE"""),"CIF")</f>
        <v>CIF</v>
      </c>
      <c r="K714" s="15" t="str">
        <f>IFERROR(__xludf.DUMMYFUNCTION("""COMPUTED_VALUE"""),"(sem célula)")</f>
        <v>(sem célula)</v>
      </c>
      <c r="L714" s="15" t="str">
        <f>IFERROR(__xludf.DUMMYFUNCTION("""COMPUTED_VALUE"""),"AUTORIZADO")</f>
        <v>AUTORIZADO</v>
      </c>
      <c r="M714" s="15" t="str">
        <f>IFERROR(__xludf.DUMMYFUNCTION("""COMPUTED_VALUE"""),"NA ORIGEM")</f>
        <v>NA ORIGEM</v>
      </c>
      <c r="N714" s="15" t="str">
        <f>IFERROR(__xludf.DUMMYFUNCTION("""COMPUTED_VALUE"""),"Antes Prazo")</f>
        <v>Antes Prazo</v>
      </c>
      <c r="O714" s="15" t="str">
        <f>IFERROR(__xludf.DUMMYFUNCTION("""COMPUTED_VALUE"""),"(não informada)")</f>
        <v>(não informada)</v>
      </c>
      <c r="P714" s="16">
        <f>IFERROR(__xludf.DUMMYFUNCTION("""COMPUTED_VALUE"""),362.21)</f>
        <v>362.21</v>
      </c>
      <c r="Q714" s="15">
        <f>IFERROR(__xludf.DUMMYFUNCTION("""COMPUTED_VALUE"""),7.0)</f>
        <v>7</v>
      </c>
      <c r="R714" s="15" t="str">
        <f>IFERROR(__xludf.DUMMYFUNCTION("""COMPUTED_VALUE"""),"RODO")</f>
        <v>RODO</v>
      </c>
      <c r="S714" s="15" t="str">
        <f>IFERROR(__xludf.DUMMYFUNCTION("""COMPUTED_VALUE"""),"ITN")</f>
        <v>ITN</v>
      </c>
      <c r="T714" s="15" t="str">
        <f>IFERROR(__xludf.DUMMYFUNCTION("""COMPUTED_VALUE"""),"409")</f>
        <v>409</v>
      </c>
      <c r="U714" s="15" t="str">
        <f>IFERROR(__xludf.DUMMYFUNCTION("""COMPUTED_VALUE"""),"266829363 55795 8177573 economizar c de p farmaceuticos ltda me discom mt1 409")</f>
        <v>266829363 55795 8177573 economizar c de p farmaceuticos ltda me discom mt1 409</v>
      </c>
      <c r="V714" s="15" t="b">
        <f>IFERROR(__xludf.DUMMYFUNCTION("""COMPUTED_VALUE"""),FALSE)</f>
        <v>0</v>
      </c>
    </row>
    <row r="715">
      <c r="A715" s="19">
        <f>IFERROR(__xludf.DUMMYFUNCTION("""COMPUTED_VALUE"""),46304.0)</f>
        <v>46304</v>
      </c>
      <c r="B715" s="19">
        <f>IFERROR(__xludf.DUMMYFUNCTION("""COMPUTED_VALUE"""),46316.0)</f>
        <v>46316</v>
      </c>
      <c r="C715" s="15">
        <f>IFERROR(__xludf.DUMMYFUNCTION("""COMPUTED_VALUE"""),7.0)</f>
        <v>7</v>
      </c>
      <c r="D715" s="15" t="str">
        <f>IFERROR(__xludf.DUMMYFUNCTION("""COMPUTED_VALUE"""),"MT3")</f>
        <v>MT3</v>
      </c>
      <c r="E715" s="15" t="str">
        <f>IFERROR(__xludf.DUMMYFUNCTION("""COMPUTED_VALUE"""),"MELO UTILIDADES EIRELI")</f>
        <v>MELO UTILIDADES EIRELI</v>
      </c>
      <c r="F715" s="15" t="str">
        <f>IFERROR(__xludf.DUMMYFUNCTION("""COMPUTED_VALUE"""),"DISCOM")</f>
        <v>DISCOM</v>
      </c>
      <c r="G715" s="15" t="str">
        <f>IFERROR(__xludf.DUMMYFUNCTION("""COMPUTED_VALUE"""),"266829364")</f>
        <v>266829364</v>
      </c>
      <c r="H715" s="15" t="str">
        <f>IFERROR(__xludf.DUMMYFUNCTION("""COMPUTED_VALUE"""),"55836")</f>
        <v>55836</v>
      </c>
      <c r="I715" s="15" t="str">
        <f>IFERROR(__xludf.DUMMYFUNCTION("""COMPUTED_VALUE"""),"8177574")</f>
        <v>8177574</v>
      </c>
      <c r="J715" s="15" t="str">
        <f>IFERROR(__xludf.DUMMYFUNCTION("""COMPUTED_VALUE"""),"CIF")</f>
        <v>CIF</v>
      </c>
      <c r="K715" s="15" t="str">
        <f>IFERROR(__xludf.DUMMYFUNCTION("""COMPUTED_VALUE"""),"(sem célula)")</f>
        <v>(sem célula)</v>
      </c>
      <c r="L715" s="15" t="str">
        <f>IFERROR(__xludf.DUMMYFUNCTION("""COMPUTED_VALUE"""),"AUTORIZADO")</f>
        <v>AUTORIZADO</v>
      </c>
      <c r="M715" s="15" t="str">
        <f>IFERROR(__xludf.DUMMYFUNCTION("""COMPUTED_VALUE"""),"NA ORIGEM")</f>
        <v>NA ORIGEM</v>
      </c>
      <c r="N715" s="15" t="str">
        <f>IFERROR(__xludf.DUMMYFUNCTION("""COMPUTED_VALUE"""),"Antes Prazo")</f>
        <v>Antes Prazo</v>
      </c>
      <c r="O715" s="15" t="str">
        <f>IFERROR(__xludf.DUMMYFUNCTION("""COMPUTED_VALUE"""),"(não informada)")</f>
        <v>(não informada)</v>
      </c>
      <c r="P715" s="16">
        <f>IFERROR(__xludf.DUMMYFUNCTION("""COMPUTED_VALUE"""),414.63)</f>
        <v>414.63</v>
      </c>
      <c r="Q715" s="15">
        <f>IFERROR(__xludf.DUMMYFUNCTION("""COMPUTED_VALUE"""),10.0)</f>
        <v>10</v>
      </c>
      <c r="R715" s="15" t="str">
        <f>IFERROR(__xludf.DUMMYFUNCTION("""COMPUTED_VALUE"""),"RODO")</f>
        <v>RODO</v>
      </c>
      <c r="S715" s="15" t="str">
        <f>IFERROR(__xludf.DUMMYFUNCTION("""COMPUTED_VALUE"""),"ITN")</f>
        <v>ITN</v>
      </c>
      <c r="T715" s="15" t="str">
        <f>IFERROR(__xludf.DUMMYFUNCTION("""COMPUTED_VALUE"""),"3")</f>
        <v>3</v>
      </c>
      <c r="U715" s="15" t="str">
        <f>IFERROR(__xludf.DUMMYFUNCTION("""COMPUTED_VALUE"""),"266829364 55836 8177574 melo utilidades eireli discom mt3 3")</f>
        <v>266829364 55836 8177574 melo utilidades eireli discom mt3 3</v>
      </c>
      <c r="V715" s="15" t="b">
        <f>IFERROR(__xludf.DUMMYFUNCTION("""COMPUTED_VALUE"""),FALSE)</f>
        <v>0</v>
      </c>
    </row>
    <row r="716">
      <c r="A716" s="19">
        <f>IFERROR(__xludf.DUMMYFUNCTION("""COMPUTED_VALUE"""),46304.0)</f>
        <v>46304</v>
      </c>
      <c r="B716" s="19">
        <f>IFERROR(__xludf.DUMMYFUNCTION("""COMPUTED_VALUE"""),46321.0)</f>
        <v>46321</v>
      </c>
      <c r="C716" s="15">
        <f>IFERROR(__xludf.DUMMYFUNCTION("""COMPUTED_VALUE"""),10.0)</f>
        <v>10</v>
      </c>
      <c r="D716" s="15" t="str">
        <f>IFERROR(__xludf.DUMMYFUNCTION("""COMPUTED_VALUE"""),"MT1")</f>
        <v>MT1</v>
      </c>
      <c r="E716" s="15" t="str">
        <f>IFERROR(__xludf.DUMMYFUNCTION("""COMPUTED_VALUE"""),"SL DROGARIA LTDA")</f>
        <v>SL DROGARIA LTDA</v>
      </c>
      <c r="F716" s="15" t="str">
        <f>IFERROR(__xludf.DUMMYFUNCTION("""COMPUTED_VALUE"""),"DISCOM")</f>
        <v>DISCOM</v>
      </c>
      <c r="G716" s="15" t="str">
        <f>IFERROR(__xludf.DUMMYFUNCTION("""COMPUTED_VALUE"""),"266829365")</f>
        <v>266829365</v>
      </c>
      <c r="H716" s="15" t="str">
        <f>IFERROR(__xludf.DUMMYFUNCTION("""COMPUTED_VALUE"""),"55839")</f>
        <v>55839</v>
      </c>
      <c r="I716" s="15" t="str">
        <f>IFERROR(__xludf.DUMMYFUNCTION("""COMPUTED_VALUE"""),"8177575")</f>
        <v>8177575</v>
      </c>
      <c r="J716" s="15" t="str">
        <f>IFERROR(__xludf.DUMMYFUNCTION("""COMPUTED_VALUE"""),"CIF")</f>
        <v>CIF</v>
      </c>
      <c r="K716" s="15" t="str">
        <f>IFERROR(__xludf.DUMMYFUNCTION("""COMPUTED_VALUE"""),"(sem célula)")</f>
        <v>(sem célula)</v>
      </c>
      <c r="L716" s="15" t="str">
        <f>IFERROR(__xludf.DUMMYFUNCTION("""COMPUTED_VALUE"""),"AUTORIZADO")</f>
        <v>AUTORIZADO</v>
      </c>
      <c r="M716" s="15" t="str">
        <f>IFERROR(__xludf.DUMMYFUNCTION("""COMPUTED_VALUE"""),"NA ORIGEM")</f>
        <v>NA ORIGEM</v>
      </c>
      <c r="N716" s="15" t="str">
        <f>IFERROR(__xludf.DUMMYFUNCTION("""COMPUTED_VALUE"""),"Antes Prazo")</f>
        <v>Antes Prazo</v>
      </c>
      <c r="O716" s="15" t="str">
        <f>IFERROR(__xludf.DUMMYFUNCTION("""COMPUTED_VALUE"""),"(não informada)")</f>
        <v>(não informada)</v>
      </c>
      <c r="P716" s="16">
        <f>IFERROR(__xludf.DUMMYFUNCTION("""COMPUTED_VALUE"""),219.34)</f>
        <v>219.34</v>
      </c>
      <c r="Q716" s="15">
        <f>IFERROR(__xludf.DUMMYFUNCTION("""COMPUTED_VALUE"""),2.0)</f>
        <v>2</v>
      </c>
      <c r="R716" s="15" t="str">
        <f>IFERROR(__xludf.DUMMYFUNCTION("""COMPUTED_VALUE"""),"RODO")</f>
        <v>RODO</v>
      </c>
      <c r="S716" s="15" t="str">
        <f>IFERROR(__xludf.DUMMYFUNCTION("""COMPUTED_VALUE"""),"ITN")</f>
        <v>ITN</v>
      </c>
      <c r="T716" s="15" t="str">
        <f>IFERROR(__xludf.DUMMYFUNCTION("""COMPUTED_VALUE"""),"200")</f>
        <v>200</v>
      </c>
      <c r="U716" s="15" t="str">
        <f>IFERROR(__xludf.DUMMYFUNCTION("""COMPUTED_VALUE"""),"266829365 55839 8177575 sl drogaria ltda discom mt1 200")</f>
        <v>266829365 55839 8177575 sl drogaria ltda discom mt1 200</v>
      </c>
      <c r="V716" s="15" t="b">
        <f>IFERROR(__xludf.DUMMYFUNCTION("""COMPUTED_VALUE"""),FALSE)</f>
        <v>0</v>
      </c>
    </row>
    <row r="717">
      <c r="A717" s="19">
        <f>IFERROR(__xludf.DUMMYFUNCTION("""COMPUTED_VALUE"""),46304.0)</f>
        <v>46304</v>
      </c>
      <c r="B717" s="19">
        <f>IFERROR(__xludf.DUMMYFUNCTION("""COMPUTED_VALUE"""),46316.0)</f>
        <v>46316</v>
      </c>
      <c r="C717" s="15">
        <f>IFERROR(__xludf.DUMMYFUNCTION("""COMPUTED_VALUE"""),7.0)</f>
        <v>7</v>
      </c>
      <c r="D717" s="15" t="str">
        <f>IFERROR(__xludf.DUMMYFUNCTION("""COMPUTED_VALUE"""),"FOR")</f>
        <v>FOR</v>
      </c>
      <c r="E717" s="15" t="str">
        <f>IFERROR(__xludf.DUMMYFUNCTION("""COMPUTED_VALUE"""),"CHARMOSA COSMETICOS E VARIEDADES LTDA")</f>
        <v>CHARMOSA COSMETICOS E VARIEDADES LTDA</v>
      </c>
      <c r="F717" s="15" t="str">
        <f>IFERROR(__xludf.DUMMYFUNCTION("""COMPUTED_VALUE"""),"DISCOM")</f>
        <v>DISCOM</v>
      </c>
      <c r="G717" s="15" t="str">
        <f>IFERROR(__xludf.DUMMYFUNCTION("""COMPUTED_VALUE"""),"266830416")</f>
        <v>266830416</v>
      </c>
      <c r="H717" s="15" t="str">
        <f>IFERROR(__xludf.DUMMYFUNCTION("""COMPUTED_VALUE"""),"55841")</f>
        <v>55841</v>
      </c>
      <c r="I717" s="15" t="str">
        <f>IFERROR(__xludf.DUMMYFUNCTION("""COMPUTED_VALUE"""),"8177576")</f>
        <v>8177576</v>
      </c>
      <c r="J717" s="15" t="str">
        <f>IFERROR(__xludf.DUMMYFUNCTION("""COMPUTED_VALUE"""),"CIF")</f>
        <v>CIF</v>
      </c>
      <c r="K717" s="15" t="str">
        <f>IFERROR(__xludf.DUMMYFUNCTION("""COMPUTED_VALUE"""),"FSA-1")</f>
        <v>FSA-1</v>
      </c>
      <c r="L717" s="15" t="str">
        <f>IFERROR(__xludf.DUMMYFUNCTION("""COMPUTED_VALUE"""),"AUTORIZADO")</f>
        <v>AUTORIZADO</v>
      </c>
      <c r="M717" s="15" t="str">
        <f>IFERROR(__xludf.DUMMYFUNCTION("""COMPUTED_VALUE"""),"NA ORIGEM")</f>
        <v>NA ORIGEM</v>
      </c>
      <c r="N717" s="15" t="str">
        <f>IFERROR(__xludf.DUMMYFUNCTION("""COMPUTED_VALUE"""),"Antes Prazo")</f>
        <v>Antes Prazo</v>
      </c>
      <c r="O717" s="15" t="str">
        <f>IFERROR(__xludf.DUMMYFUNCTION("""COMPUTED_VALUE"""),"(não informada)")</f>
        <v>(não informada)</v>
      </c>
      <c r="P717" s="16">
        <f>IFERROR(__xludf.DUMMYFUNCTION("""COMPUTED_VALUE"""),208.26)</f>
        <v>208.26</v>
      </c>
      <c r="Q717" s="15">
        <f>IFERROR(__xludf.DUMMYFUNCTION("""COMPUTED_VALUE"""),3.0)</f>
        <v>3</v>
      </c>
      <c r="R717" s="15" t="str">
        <f>IFERROR(__xludf.DUMMYFUNCTION("""COMPUTED_VALUE"""),"RODO")</f>
        <v>RODO</v>
      </c>
      <c r="S717" s="15" t="str">
        <f>IFERROR(__xludf.DUMMYFUNCTION("""COMPUTED_VALUE"""),"ITN")</f>
        <v>ITN</v>
      </c>
      <c r="T717" s="15" t="str">
        <f>IFERROR(__xludf.DUMMYFUNCTION("""COMPUTED_VALUE"""),"103")</f>
        <v>103</v>
      </c>
      <c r="U717" s="15" t="str">
        <f>IFERROR(__xludf.DUMMYFUNCTION("""COMPUTED_VALUE"""),"266830416 55841 8177576 charmosa cosmeticos e variedades ltda discom for 103")</f>
        <v>266830416 55841 8177576 charmosa cosmeticos e variedades ltda discom for 103</v>
      </c>
      <c r="V717" s="15" t="b">
        <f>IFERROR(__xludf.DUMMYFUNCTION("""COMPUTED_VALUE"""),FALSE)</f>
        <v>0</v>
      </c>
    </row>
    <row r="718">
      <c r="A718" s="19">
        <f>IFERROR(__xludf.DUMMYFUNCTION("""COMPUTED_VALUE"""),46304.0)</f>
        <v>46304</v>
      </c>
      <c r="B718" s="19">
        <f>IFERROR(__xludf.DUMMYFUNCTION("""COMPUTED_VALUE"""),46315.0)</f>
        <v>46315</v>
      </c>
      <c r="C718" s="15">
        <f>IFERROR(__xludf.DUMMYFUNCTION("""COMPUTED_VALUE"""),6.0)</f>
        <v>6</v>
      </c>
      <c r="D718" s="15" t="str">
        <f>IFERROR(__xludf.DUMMYFUNCTION("""COMPUTED_VALUE"""),"FLN")</f>
        <v>FLN</v>
      </c>
      <c r="E718" s="15" t="str">
        <f>IFERROR(__xludf.DUMMYFUNCTION("""COMPUTED_VALUE"""),"ABSOLUTA COSMÉTICOS E PERFUMES")</f>
        <v>ABSOLUTA COSMÉTICOS E PERFUMES</v>
      </c>
      <c r="F718" s="15" t="str">
        <f>IFERROR(__xludf.DUMMYFUNCTION("""COMPUTED_VALUE"""),"DISCOM")</f>
        <v>DISCOM</v>
      </c>
      <c r="G718" s="15" t="str">
        <f>IFERROR(__xludf.DUMMYFUNCTION("""COMPUTED_VALUE"""),"266830420")</f>
        <v>266830420</v>
      </c>
      <c r="H718" s="15" t="str">
        <f>IFERROR(__xludf.DUMMYFUNCTION("""COMPUTED_VALUE"""),"55811")</f>
        <v>55811</v>
      </c>
      <c r="I718" s="15" t="str">
        <f>IFERROR(__xludf.DUMMYFUNCTION("""COMPUTED_VALUE"""),"8177589")</f>
        <v>8177589</v>
      </c>
      <c r="J718" s="15" t="str">
        <f>IFERROR(__xludf.DUMMYFUNCTION("""COMPUTED_VALUE"""),"CIF")</f>
        <v>CIF</v>
      </c>
      <c r="K718" s="15" t="str">
        <f>IFERROR(__xludf.DUMMYFUNCTION("""COMPUTED_VALUE"""),"FSA-1")</f>
        <v>FSA-1</v>
      </c>
      <c r="L718" s="15" t="str">
        <f>IFERROR(__xludf.DUMMYFUNCTION("""COMPUTED_VALUE"""),"AUTORIZADO")</f>
        <v>AUTORIZADO</v>
      </c>
      <c r="M718" s="15" t="str">
        <f>IFERROR(__xludf.DUMMYFUNCTION("""COMPUTED_VALUE"""),"NA ORIGEM")</f>
        <v>NA ORIGEM</v>
      </c>
      <c r="N718" s="15" t="str">
        <f>IFERROR(__xludf.DUMMYFUNCTION("""COMPUTED_VALUE"""),"Antes Prazo")</f>
        <v>Antes Prazo</v>
      </c>
      <c r="O718" s="15" t="str">
        <f>IFERROR(__xludf.DUMMYFUNCTION("""COMPUTED_VALUE"""),"(não informada)")</f>
        <v>(não informada)</v>
      </c>
      <c r="P718" s="16">
        <f>IFERROR(__xludf.DUMMYFUNCTION("""COMPUTED_VALUE"""),105.61)</f>
        <v>105.61</v>
      </c>
      <c r="Q718" s="15">
        <f>IFERROR(__xludf.DUMMYFUNCTION("""COMPUTED_VALUE"""),4.0)</f>
        <v>4</v>
      </c>
      <c r="R718" s="15" t="str">
        <f>IFERROR(__xludf.DUMMYFUNCTION("""COMPUTED_VALUE"""),"RODO")</f>
        <v>RODO</v>
      </c>
      <c r="S718" s="15" t="str">
        <f>IFERROR(__xludf.DUMMYFUNCTION("""COMPUTED_VALUE"""),"ITN")</f>
        <v>ITN</v>
      </c>
      <c r="T718" s="15" t="str">
        <f>IFERROR(__xludf.DUMMYFUNCTION("""COMPUTED_VALUE"""),"6")</f>
        <v>6</v>
      </c>
      <c r="U718" s="15" t="str">
        <f>IFERROR(__xludf.DUMMYFUNCTION("""COMPUTED_VALUE"""),"266830420 55811 8177589 absoluta cosméticos e perfumes discom fln 6")</f>
        <v>266830420 55811 8177589 absoluta cosméticos e perfumes discom fln 6</v>
      </c>
      <c r="V718" s="15" t="b">
        <f>IFERROR(__xludf.DUMMYFUNCTION("""COMPUTED_VALUE"""),FALSE)</f>
        <v>0</v>
      </c>
    </row>
    <row r="719">
      <c r="A719" s="19">
        <f>IFERROR(__xludf.DUMMYFUNCTION("""COMPUTED_VALUE"""),46304.0)</f>
        <v>46304</v>
      </c>
      <c r="B719" s="19">
        <f>IFERROR(__xludf.DUMMYFUNCTION("""COMPUTED_VALUE"""),46316.0)</f>
        <v>46316</v>
      </c>
      <c r="C719" s="15">
        <f>IFERROR(__xludf.DUMMYFUNCTION("""COMPUTED_VALUE"""),7.0)</f>
        <v>7</v>
      </c>
      <c r="D719" s="15" t="str">
        <f>IFERROR(__xludf.DUMMYFUNCTION("""COMPUTED_VALUE"""),"CAU")</f>
        <v>CAU</v>
      </c>
      <c r="E719" s="15" t="str">
        <f>IFERROR(__xludf.DUMMYFUNCTION("""COMPUTED_VALUE"""),"AF SOARES")</f>
        <v>AF SOARES</v>
      </c>
      <c r="F719" s="15" t="str">
        <f>IFERROR(__xludf.DUMMYFUNCTION("""COMPUTED_VALUE"""),"DISCOM")</f>
        <v>DISCOM</v>
      </c>
      <c r="G719" s="15" t="str">
        <f>IFERROR(__xludf.DUMMYFUNCTION("""COMPUTED_VALUE"""),"266830424")</f>
        <v>266830424</v>
      </c>
      <c r="H719" s="15" t="str">
        <f>IFERROR(__xludf.DUMMYFUNCTION("""COMPUTED_VALUE"""),"55858")</f>
        <v>55858</v>
      </c>
      <c r="I719" s="15" t="str">
        <f>IFERROR(__xludf.DUMMYFUNCTION("""COMPUTED_VALUE"""),"8177618")</f>
        <v>8177618</v>
      </c>
      <c r="J719" s="15" t="str">
        <f>IFERROR(__xludf.DUMMYFUNCTION("""COMPUTED_VALUE"""),"CIF")</f>
        <v>CIF</v>
      </c>
      <c r="K719" s="15" t="str">
        <f>IFERROR(__xludf.DUMMYFUNCTION("""COMPUTED_VALUE"""),"FSA-1")</f>
        <v>FSA-1</v>
      </c>
      <c r="L719" s="15" t="str">
        <f>IFERROR(__xludf.DUMMYFUNCTION("""COMPUTED_VALUE"""),"AUTORIZADO")</f>
        <v>AUTORIZADO</v>
      </c>
      <c r="M719" s="15" t="str">
        <f>IFERROR(__xludf.DUMMYFUNCTION("""COMPUTED_VALUE"""),"NA ORIGEM")</f>
        <v>NA ORIGEM</v>
      </c>
      <c r="N719" s="15" t="str">
        <f>IFERROR(__xludf.DUMMYFUNCTION("""COMPUTED_VALUE"""),"Antes Prazo")</f>
        <v>Antes Prazo</v>
      </c>
      <c r="O719" s="15" t="str">
        <f>IFERROR(__xludf.DUMMYFUNCTION("""COMPUTED_VALUE"""),"(não informada)")</f>
        <v>(não informada)</v>
      </c>
      <c r="P719" s="16">
        <f>IFERROR(__xludf.DUMMYFUNCTION("""COMPUTED_VALUE"""),369.9)</f>
        <v>369.9</v>
      </c>
      <c r="Q719" s="15">
        <f>IFERROR(__xludf.DUMMYFUNCTION("""COMPUTED_VALUE"""),11.0)</f>
        <v>11</v>
      </c>
      <c r="R719" s="15" t="str">
        <f>IFERROR(__xludf.DUMMYFUNCTION("""COMPUTED_VALUE"""),"RODO")</f>
        <v>RODO</v>
      </c>
      <c r="S719" s="15" t="str">
        <f>IFERROR(__xludf.DUMMYFUNCTION("""COMPUTED_VALUE"""),"ITN")</f>
        <v>ITN</v>
      </c>
      <c r="T719" s="15" t="str">
        <f>IFERROR(__xludf.DUMMYFUNCTION("""COMPUTED_VALUE"""),"106")</f>
        <v>106</v>
      </c>
      <c r="U719" s="15" t="str">
        <f>IFERROR(__xludf.DUMMYFUNCTION("""COMPUTED_VALUE"""),"266830424 55858 8177618 af soares discom cau 106")</f>
        <v>266830424 55858 8177618 af soares discom cau 106</v>
      </c>
      <c r="V719" s="15" t="b">
        <f>IFERROR(__xludf.DUMMYFUNCTION("""COMPUTED_VALUE"""),FALSE)</f>
        <v>0</v>
      </c>
    </row>
    <row r="720">
      <c r="A720" s="19">
        <f>IFERROR(__xludf.DUMMYFUNCTION("""COMPUTED_VALUE"""),46304.0)</f>
        <v>46304</v>
      </c>
      <c r="B720" s="19">
        <f>IFERROR(__xludf.DUMMYFUNCTION("""COMPUTED_VALUE"""),46325.0)</f>
        <v>46325</v>
      </c>
      <c r="C720" s="15">
        <f>IFERROR(__xludf.DUMMYFUNCTION("""COMPUTED_VALUE"""),14.0)</f>
        <v>14</v>
      </c>
      <c r="D720" s="15" t="str">
        <f>IFERROR(__xludf.DUMMYFUNCTION("""COMPUTED_VALUE"""),"MT3")</f>
        <v>MT3</v>
      </c>
      <c r="E720" s="15" t="str">
        <f>IFERROR(__xludf.DUMMYFUNCTION("""COMPUTED_VALUE"""),"LUANA PERCILIA S. CAVALCANTE LTDA")</f>
        <v>LUANA PERCILIA S. CAVALCANTE LTDA</v>
      </c>
      <c r="F720" s="15" t="str">
        <f>IFERROR(__xludf.DUMMYFUNCTION("""COMPUTED_VALUE"""),"DISCOM")</f>
        <v>DISCOM</v>
      </c>
      <c r="G720" s="15" t="str">
        <f>IFERROR(__xludf.DUMMYFUNCTION("""COMPUTED_VALUE"""),"266830427")</f>
        <v>266830427</v>
      </c>
      <c r="H720" s="15" t="str">
        <f>IFERROR(__xludf.DUMMYFUNCTION("""COMPUTED_VALUE"""),"55832")</f>
        <v>55832</v>
      </c>
      <c r="I720" s="15" t="str">
        <f>IFERROR(__xludf.DUMMYFUNCTION("""COMPUTED_VALUE"""),"8177606")</f>
        <v>8177606</v>
      </c>
      <c r="J720" s="15" t="str">
        <f>IFERROR(__xludf.DUMMYFUNCTION("""COMPUTED_VALUE"""),"CIF")</f>
        <v>CIF</v>
      </c>
      <c r="K720" s="15" t="str">
        <f>IFERROR(__xludf.DUMMYFUNCTION("""COMPUTED_VALUE"""),"(sem célula)")</f>
        <v>(sem célula)</v>
      </c>
      <c r="L720" s="15" t="str">
        <f>IFERROR(__xludf.DUMMYFUNCTION("""COMPUTED_VALUE"""),"AUTORIZADO")</f>
        <v>AUTORIZADO</v>
      </c>
      <c r="M720" s="15" t="str">
        <f>IFERROR(__xludf.DUMMYFUNCTION("""COMPUTED_VALUE"""),"NA ORIGEM")</f>
        <v>NA ORIGEM</v>
      </c>
      <c r="N720" s="15" t="str">
        <f>IFERROR(__xludf.DUMMYFUNCTION("""COMPUTED_VALUE"""),"Antes Prazo")</f>
        <v>Antes Prazo</v>
      </c>
      <c r="O720" s="15" t="str">
        <f>IFERROR(__xludf.DUMMYFUNCTION("""COMPUTED_VALUE"""),"(não informada)")</f>
        <v>(não informada)</v>
      </c>
      <c r="P720" s="16">
        <f>IFERROR(__xludf.DUMMYFUNCTION("""COMPUTED_VALUE"""),291.78)</f>
        <v>291.78</v>
      </c>
      <c r="Q720" s="15">
        <f>IFERROR(__xludf.DUMMYFUNCTION("""COMPUTED_VALUE"""),7.0)</f>
        <v>7</v>
      </c>
      <c r="R720" s="15" t="str">
        <f>IFERROR(__xludf.DUMMYFUNCTION("""COMPUTED_VALUE"""),"RODO")</f>
        <v>RODO</v>
      </c>
      <c r="S720" s="15" t="str">
        <f>IFERROR(__xludf.DUMMYFUNCTION("""COMPUTED_VALUE"""),"ITN")</f>
        <v>ITN</v>
      </c>
      <c r="T720" s="15" t="str">
        <f>IFERROR(__xludf.DUMMYFUNCTION("""COMPUTED_VALUE"""),"100")</f>
        <v>100</v>
      </c>
      <c r="U720" s="15" t="str">
        <f>IFERROR(__xludf.DUMMYFUNCTION("""COMPUTED_VALUE"""),"266830427 55832 8177606 luana percilia s. cavalcante ltda discom mt3 100")</f>
        <v>266830427 55832 8177606 luana percilia s. cavalcante ltda discom mt3 100</v>
      </c>
      <c r="V720" s="15" t="b">
        <f>IFERROR(__xludf.DUMMYFUNCTION("""COMPUTED_VALUE"""),FALSE)</f>
        <v>0</v>
      </c>
    </row>
    <row r="721">
      <c r="A721" s="19">
        <f>IFERROR(__xludf.DUMMYFUNCTION("""COMPUTED_VALUE"""),46304.0)</f>
        <v>46304</v>
      </c>
      <c r="B721" s="19">
        <f>IFERROR(__xludf.DUMMYFUNCTION("""COMPUTED_VALUE"""),46322.0)</f>
        <v>46322</v>
      </c>
      <c r="C721" s="15">
        <f>IFERROR(__xludf.DUMMYFUNCTION("""COMPUTED_VALUE"""),11.0)</f>
        <v>11</v>
      </c>
      <c r="D721" s="15" t="str">
        <f>IFERROR(__xludf.DUMMYFUNCTION("""COMPUTED_VALUE"""),"MT1")</f>
        <v>MT1</v>
      </c>
      <c r="E721" s="15" t="str">
        <f>IFERROR(__xludf.DUMMYFUNCTION("""COMPUTED_VALUE"""),"FARMACIA ECONOMIZAR")</f>
        <v>FARMACIA ECONOMIZAR</v>
      </c>
      <c r="F721" s="15" t="str">
        <f>IFERROR(__xludf.DUMMYFUNCTION("""COMPUTED_VALUE"""),"DISCOM")</f>
        <v>DISCOM</v>
      </c>
      <c r="G721" s="15" t="str">
        <f>IFERROR(__xludf.DUMMYFUNCTION("""COMPUTED_VALUE"""),"266830431")</f>
        <v>266830431</v>
      </c>
      <c r="H721" s="15" t="str">
        <f>IFERROR(__xludf.DUMMYFUNCTION("""COMPUTED_VALUE"""),"55791")</f>
        <v>55791</v>
      </c>
      <c r="I721" s="15" t="str">
        <f>IFERROR(__xludf.DUMMYFUNCTION("""COMPUTED_VALUE"""),"8177590")</f>
        <v>8177590</v>
      </c>
      <c r="J721" s="15" t="str">
        <f>IFERROR(__xludf.DUMMYFUNCTION("""COMPUTED_VALUE"""),"CIF")</f>
        <v>CIF</v>
      </c>
      <c r="K721" s="15" t="str">
        <f>IFERROR(__xludf.DUMMYFUNCTION("""COMPUTED_VALUE"""),"(sem célula)")</f>
        <v>(sem célula)</v>
      </c>
      <c r="L721" s="15" t="str">
        <f>IFERROR(__xludf.DUMMYFUNCTION("""COMPUTED_VALUE"""),"AUTORIZADO")</f>
        <v>AUTORIZADO</v>
      </c>
      <c r="M721" s="15" t="str">
        <f>IFERROR(__xludf.DUMMYFUNCTION("""COMPUTED_VALUE"""),"NA ORIGEM")</f>
        <v>NA ORIGEM</v>
      </c>
      <c r="N721" s="15" t="str">
        <f>IFERROR(__xludf.DUMMYFUNCTION("""COMPUTED_VALUE"""),"Antes Prazo")</f>
        <v>Antes Prazo</v>
      </c>
      <c r="O721" s="15" t="str">
        <f>IFERROR(__xludf.DUMMYFUNCTION("""COMPUTED_VALUE"""),"(não informada)")</f>
        <v>(não informada)</v>
      </c>
      <c r="P721" s="16">
        <f>IFERROR(__xludf.DUMMYFUNCTION("""COMPUTED_VALUE"""),368.81)</f>
        <v>368.81</v>
      </c>
      <c r="Q721" s="15">
        <f>IFERROR(__xludf.DUMMYFUNCTION("""COMPUTED_VALUE"""),8.0)</f>
        <v>8</v>
      </c>
      <c r="R721" s="15" t="str">
        <f>IFERROR(__xludf.DUMMYFUNCTION("""COMPUTED_VALUE"""),"RODO")</f>
        <v>RODO</v>
      </c>
      <c r="S721" s="15" t="str">
        <f>IFERROR(__xludf.DUMMYFUNCTION("""COMPUTED_VALUE"""),"ITN")</f>
        <v>ITN</v>
      </c>
      <c r="T721" s="15" t="str">
        <f>IFERROR(__xludf.DUMMYFUNCTION("""COMPUTED_VALUE"""),"100")</f>
        <v>100</v>
      </c>
      <c r="U721" s="15" t="str">
        <f>IFERROR(__xludf.DUMMYFUNCTION("""COMPUTED_VALUE"""),"266830431 55791 8177590 farmacia economizar discom mt1 100")</f>
        <v>266830431 55791 8177590 farmacia economizar discom mt1 100</v>
      </c>
      <c r="V721" s="15" t="b">
        <f>IFERROR(__xludf.DUMMYFUNCTION("""COMPUTED_VALUE"""),FALSE)</f>
        <v>0</v>
      </c>
    </row>
    <row r="722">
      <c r="A722" s="19">
        <f>IFERROR(__xludf.DUMMYFUNCTION("""COMPUTED_VALUE"""),46304.0)</f>
        <v>46304</v>
      </c>
      <c r="B722" s="19">
        <f>IFERROR(__xludf.DUMMYFUNCTION("""COMPUTED_VALUE"""),46317.0)</f>
        <v>46317</v>
      </c>
      <c r="C722" s="15">
        <f>IFERROR(__xludf.DUMMYFUNCTION("""COMPUTED_VALUE"""),8.0)</f>
        <v>8</v>
      </c>
      <c r="D722" s="15" t="str">
        <f>IFERROR(__xludf.DUMMYFUNCTION("""COMPUTED_VALUE"""),"MT1")</f>
        <v>MT1</v>
      </c>
      <c r="E722" s="15" t="str">
        <f>IFERROR(__xludf.DUMMYFUNCTION("""COMPUTED_VALUE"""),"ECONOMIZAR COMERCIO DE PRODUTOS FARMACEU")</f>
        <v>ECONOMIZAR COMERCIO DE PRODUTOS FARMACEU</v>
      </c>
      <c r="F722" s="15" t="str">
        <f>IFERROR(__xludf.DUMMYFUNCTION("""COMPUTED_VALUE"""),"DISCOM")</f>
        <v>DISCOM</v>
      </c>
      <c r="G722" s="15" t="str">
        <f>IFERROR(__xludf.DUMMYFUNCTION("""COMPUTED_VALUE"""),"266830435")</f>
        <v>266830435</v>
      </c>
      <c r="H722" s="15" t="str">
        <f>IFERROR(__xludf.DUMMYFUNCTION("""COMPUTED_VALUE"""),"55794")</f>
        <v>55794</v>
      </c>
      <c r="I722" s="15" t="str">
        <f>IFERROR(__xludf.DUMMYFUNCTION("""COMPUTED_VALUE"""),"8177591")</f>
        <v>8177591</v>
      </c>
      <c r="J722" s="15" t="str">
        <f>IFERROR(__xludf.DUMMYFUNCTION("""COMPUTED_VALUE"""),"CIF")</f>
        <v>CIF</v>
      </c>
      <c r="K722" s="15" t="str">
        <f>IFERROR(__xludf.DUMMYFUNCTION("""COMPUTED_VALUE"""),"(sem célula)")</f>
        <v>(sem célula)</v>
      </c>
      <c r="L722" s="15" t="str">
        <f>IFERROR(__xludf.DUMMYFUNCTION("""COMPUTED_VALUE"""),"AUTORIZADO")</f>
        <v>AUTORIZADO</v>
      </c>
      <c r="M722" s="15" t="str">
        <f>IFERROR(__xludf.DUMMYFUNCTION("""COMPUTED_VALUE"""),"NA ORIGEM")</f>
        <v>NA ORIGEM</v>
      </c>
      <c r="N722" s="15" t="str">
        <f>IFERROR(__xludf.DUMMYFUNCTION("""COMPUTED_VALUE"""),"Antes Prazo")</f>
        <v>Antes Prazo</v>
      </c>
      <c r="O722" s="15" t="str">
        <f>IFERROR(__xludf.DUMMYFUNCTION("""COMPUTED_VALUE"""),"(não informada)")</f>
        <v>(não informada)</v>
      </c>
      <c r="P722" s="16">
        <f>IFERROR(__xludf.DUMMYFUNCTION("""COMPUTED_VALUE"""),367.51)</f>
        <v>367.51</v>
      </c>
      <c r="Q722" s="15">
        <f>IFERROR(__xludf.DUMMYFUNCTION("""COMPUTED_VALUE"""),7.0)</f>
        <v>7</v>
      </c>
      <c r="R722" s="15" t="str">
        <f>IFERROR(__xludf.DUMMYFUNCTION("""COMPUTED_VALUE"""),"RODO")</f>
        <v>RODO</v>
      </c>
      <c r="S722" s="15" t="str">
        <f>IFERROR(__xludf.DUMMYFUNCTION("""COMPUTED_VALUE"""),"ITN")</f>
        <v>ITN</v>
      </c>
      <c r="T722" s="15" t="str">
        <f>IFERROR(__xludf.DUMMYFUNCTION("""COMPUTED_VALUE"""),"409")</f>
        <v>409</v>
      </c>
      <c r="U722" s="15" t="str">
        <f>IFERROR(__xludf.DUMMYFUNCTION("""COMPUTED_VALUE"""),"266830435 55794 8177591 economizar comercio de produtos farmaceu discom mt1 409")</f>
        <v>266830435 55794 8177591 economizar comercio de produtos farmaceu discom mt1 409</v>
      </c>
      <c r="V722" s="15" t="b">
        <f>IFERROR(__xludf.DUMMYFUNCTION("""COMPUTED_VALUE"""),FALSE)</f>
        <v>0</v>
      </c>
    </row>
    <row r="723">
      <c r="A723" s="19">
        <f>IFERROR(__xludf.DUMMYFUNCTION("""COMPUTED_VALUE"""),46304.0)</f>
        <v>46304</v>
      </c>
      <c r="B723" s="19">
        <f>IFERROR(__xludf.DUMMYFUNCTION("""COMPUTED_VALUE"""),46317.0)</f>
        <v>46317</v>
      </c>
      <c r="C723" s="15">
        <f>IFERROR(__xludf.DUMMYFUNCTION("""COMPUTED_VALUE"""),8.0)</f>
        <v>8</v>
      </c>
      <c r="D723" s="15" t="str">
        <f>IFERROR(__xludf.DUMMYFUNCTION("""COMPUTED_VALUE"""),"MT1")</f>
        <v>MT1</v>
      </c>
      <c r="E723" s="15" t="str">
        <f>IFERROR(__xludf.DUMMYFUNCTION("""COMPUTED_VALUE"""),"ECONOMIZAR COM DE PROD FARM LTDA ME")</f>
        <v>ECONOMIZAR COM DE PROD FARM LTDA ME</v>
      </c>
      <c r="F723" s="15" t="str">
        <f>IFERROR(__xludf.DUMMYFUNCTION("""COMPUTED_VALUE"""),"DISCOM")</f>
        <v>DISCOM</v>
      </c>
      <c r="G723" s="15" t="str">
        <f>IFERROR(__xludf.DUMMYFUNCTION("""COMPUTED_VALUE"""),"266830439")</f>
        <v>266830439</v>
      </c>
      <c r="H723" s="15" t="str">
        <f>IFERROR(__xludf.DUMMYFUNCTION("""COMPUTED_VALUE"""),"55790")</f>
        <v>55790</v>
      </c>
      <c r="I723" s="15" t="str">
        <f>IFERROR(__xludf.DUMMYFUNCTION("""COMPUTED_VALUE"""),"8177592")</f>
        <v>8177592</v>
      </c>
      <c r="J723" s="15" t="str">
        <f>IFERROR(__xludf.DUMMYFUNCTION("""COMPUTED_VALUE"""),"CIF")</f>
        <v>CIF</v>
      </c>
      <c r="K723" s="15" t="str">
        <f>IFERROR(__xludf.DUMMYFUNCTION("""COMPUTED_VALUE"""),"(sem célula)")</f>
        <v>(sem célula)</v>
      </c>
      <c r="L723" s="15" t="str">
        <f>IFERROR(__xludf.DUMMYFUNCTION("""COMPUTED_VALUE"""),"AUTORIZADO")</f>
        <v>AUTORIZADO</v>
      </c>
      <c r="M723" s="15" t="str">
        <f>IFERROR(__xludf.DUMMYFUNCTION("""COMPUTED_VALUE"""),"NA ORIGEM")</f>
        <v>NA ORIGEM</v>
      </c>
      <c r="N723" s="15" t="str">
        <f>IFERROR(__xludf.DUMMYFUNCTION("""COMPUTED_VALUE"""),"Antes Prazo")</f>
        <v>Antes Prazo</v>
      </c>
      <c r="O723" s="15" t="str">
        <f>IFERROR(__xludf.DUMMYFUNCTION("""COMPUTED_VALUE"""),"(não informada)")</f>
        <v>(não informada)</v>
      </c>
      <c r="P723" s="16">
        <f>IFERROR(__xludf.DUMMYFUNCTION("""COMPUTED_VALUE"""),358.24)</f>
        <v>358.24</v>
      </c>
      <c r="Q723" s="15">
        <f>IFERROR(__xludf.DUMMYFUNCTION("""COMPUTED_VALUE"""),7.0)</f>
        <v>7</v>
      </c>
      <c r="R723" s="15" t="str">
        <f>IFERROR(__xludf.DUMMYFUNCTION("""COMPUTED_VALUE"""),"RODO")</f>
        <v>RODO</v>
      </c>
      <c r="S723" s="15" t="str">
        <f>IFERROR(__xludf.DUMMYFUNCTION("""COMPUTED_VALUE"""),"ITN")</f>
        <v>ITN</v>
      </c>
      <c r="T723" s="15" t="str">
        <f>IFERROR(__xludf.DUMMYFUNCTION("""COMPUTED_VALUE"""),"409")</f>
        <v>409</v>
      </c>
      <c r="U723" s="15" t="str">
        <f>IFERROR(__xludf.DUMMYFUNCTION("""COMPUTED_VALUE"""),"266830439 55790 8177592 economizar com de prod farm ltda me discom mt1 409")</f>
        <v>266830439 55790 8177592 economizar com de prod farm ltda me discom mt1 409</v>
      </c>
      <c r="V723" s="15" t="b">
        <f>IFERROR(__xludf.DUMMYFUNCTION("""COMPUTED_VALUE"""),FALSE)</f>
        <v>0</v>
      </c>
    </row>
    <row r="724">
      <c r="A724" s="19">
        <f>IFERROR(__xludf.DUMMYFUNCTION("""COMPUTED_VALUE"""),46304.0)</f>
        <v>46304</v>
      </c>
      <c r="B724" s="19">
        <f>IFERROR(__xludf.DUMMYFUNCTION("""COMPUTED_VALUE"""),46314.0)</f>
        <v>46314</v>
      </c>
      <c r="C724" s="15">
        <f>IFERROR(__xludf.DUMMYFUNCTION("""COMPUTED_VALUE"""),5.0)</f>
        <v>5</v>
      </c>
      <c r="D724" s="15" t="str">
        <f>IFERROR(__xludf.DUMMYFUNCTION("""COMPUTED_VALUE"""),"REC")</f>
        <v>REC</v>
      </c>
      <c r="E724" s="15" t="str">
        <f>IFERROR(__xludf.DUMMYFUNCTION("""COMPUTED_VALUE"""),"BECOREL")</f>
        <v>BECOREL</v>
      </c>
      <c r="F724" s="15" t="str">
        <f>IFERROR(__xludf.DUMMYFUNCTION("""COMPUTED_VALUE"""),"DISCOM")</f>
        <v>DISCOM</v>
      </c>
      <c r="G724" s="15" t="str">
        <f>IFERROR(__xludf.DUMMYFUNCTION("""COMPUTED_VALUE"""),"266830443")</f>
        <v>266830443</v>
      </c>
      <c r="H724" s="15" t="str">
        <f>IFERROR(__xludf.DUMMYFUNCTION("""COMPUTED_VALUE"""),"55840")</f>
        <v>55840</v>
      </c>
      <c r="I724" s="15" t="str">
        <f>IFERROR(__xludf.DUMMYFUNCTION("""COMPUTED_VALUE"""),"8177607")</f>
        <v>8177607</v>
      </c>
      <c r="J724" s="15" t="str">
        <f>IFERROR(__xludf.DUMMYFUNCTION("""COMPUTED_VALUE"""),"CIF")</f>
        <v>CIF</v>
      </c>
      <c r="K724" s="15" t="str">
        <f>IFERROR(__xludf.DUMMYFUNCTION("""COMPUTED_VALUE"""),"FSA-1")</f>
        <v>FSA-1</v>
      </c>
      <c r="L724" s="15" t="str">
        <f>IFERROR(__xludf.DUMMYFUNCTION("""COMPUTED_VALUE"""),"AUTORIZADO")</f>
        <v>AUTORIZADO</v>
      </c>
      <c r="M724" s="15" t="str">
        <f>IFERROR(__xludf.DUMMYFUNCTION("""COMPUTED_VALUE"""),"NA ORIGEM")</f>
        <v>NA ORIGEM</v>
      </c>
      <c r="N724" s="15" t="str">
        <f>IFERROR(__xludf.DUMMYFUNCTION("""COMPUTED_VALUE"""),"Antes Prazo")</f>
        <v>Antes Prazo</v>
      </c>
      <c r="O724" s="15" t="str">
        <f>IFERROR(__xludf.DUMMYFUNCTION("""COMPUTED_VALUE"""),"(não informada)")</f>
        <v>(não informada)</v>
      </c>
      <c r="P724" s="16">
        <f>IFERROR(__xludf.DUMMYFUNCTION("""COMPUTED_VALUE"""),285.82)</f>
        <v>285.82</v>
      </c>
      <c r="Q724" s="15">
        <f>IFERROR(__xludf.DUMMYFUNCTION("""COMPUTED_VALUE"""),13.0)</f>
        <v>13</v>
      </c>
      <c r="R724" s="15" t="str">
        <f>IFERROR(__xludf.DUMMYFUNCTION("""COMPUTED_VALUE"""),"RODO")</f>
        <v>RODO</v>
      </c>
      <c r="S724" s="15" t="str">
        <f>IFERROR(__xludf.DUMMYFUNCTION("""COMPUTED_VALUE"""),"ITN")</f>
        <v>ITN</v>
      </c>
      <c r="T724" s="15" t="str">
        <f>IFERROR(__xludf.DUMMYFUNCTION("""COMPUTED_VALUE"""),"55")</f>
        <v>55</v>
      </c>
      <c r="U724" s="15" t="str">
        <f>IFERROR(__xludf.DUMMYFUNCTION("""COMPUTED_VALUE"""),"266830443 55840 8177607 becorel discom rec 55")</f>
        <v>266830443 55840 8177607 becorel discom rec 55</v>
      </c>
      <c r="V724" s="15" t="b">
        <f>IFERROR(__xludf.DUMMYFUNCTION("""COMPUTED_VALUE"""),FALSE)</f>
        <v>0</v>
      </c>
    </row>
    <row r="725">
      <c r="A725" s="19">
        <f>IFERROR(__xludf.DUMMYFUNCTION("""COMPUTED_VALUE"""),46304.0)</f>
        <v>46304</v>
      </c>
      <c r="B725" s="19">
        <f>IFERROR(__xludf.DUMMYFUNCTION("""COMPUTED_VALUE"""),46317.0)</f>
        <v>46317</v>
      </c>
      <c r="C725" s="15">
        <f>IFERROR(__xludf.DUMMYFUNCTION("""COMPUTED_VALUE"""),8.0)</f>
        <v>8</v>
      </c>
      <c r="D725" s="15" t="str">
        <f>IFERROR(__xludf.DUMMYFUNCTION("""COMPUTED_VALUE"""),"NAT")</f>
        <v>NAT</v>
      </c>
      <c r="E725" s="15" t="str">
        <f>IFERROR(__xludf.DUMMYFUNCTION("""COMPUTED_VALUE"""),"CASA DA BELEZA")</f>
        <v>CASA DA BELEZA</v>
      </c>
      <c r="F725" s="15" t="str">
        <f>IFERROR(__xludf.DUMMYFUNCTION("""COMPUTED_VALUE"""),"DISCOM")</f>
        <v>DISCOM</v>
      </c>
      <c r="G725" s="15" t="str">
        <f>IFERROR(__xludf.DUMMYFUNCTION("""COMPUTED_VALUE"""),"266830448")</f>
        <v>266830448</v>
      </c>
      <c r="H725" s="15" t="str">
        <f>IFERROR(__xludf.DUMMYFUNCTION("""COMPUTED_VALUE"""),"55856")</f>
        <v>55856</v>
      </c>
      <c r="I725" s="15" t="str">
        <f>IFERROR(__xludf.DUMMYFUNCTION("""COMPUTED_VALUE"""),"8177608")</f>
        <v>8177608</v>
      </c>
      <c r="J725" s="15" t="str">
        <f>IFERROR(__xludf.DUMMYFUNCTION("""COMPUTED_VALUE"""),"CIF")</f>
        <v>CIF</v>
      </c>
      <c r="K725" s="15" t="str">
        <f>IFERROR(__xludf.DUMMYFUNCTION("""COMPUTED_VALUE"""),"FSA-1")</f>
        <v>FSA-1</v>
      </c>
      <c r="L725" s="15" t="str">
        <f>IFERROR(__xludf.DUMMYFUNCTION("""COMPUTED_VALUE"""),"AUTORIZADO")</f>
        <v>AUTORIZADO</v>
      </c>
      <c r="M725" s="15" t="str">
        <f>IFERROR(__xludf.DUMMYFUNCTION("""COMPUTED_VALUE"""),"NA ORIGEM")</f>
        <v>NA ORIGEM</v>
      </c>
      <c r="N725" s="15" t="str">
        <f>IFERROR(__xludf.DUMMYFUNCTION("""COMPUTED_VALUE"""),"Antes Prazo")</f>
        <v>Antes Prazo</v>
      </c>
      <c r="O725" s="15" t="str">
        <f>IFERROR(__xludf.DUMMYFUNCTION("""COMPUTED_VALUE"""),"(não informada)")</f>
        <v>(não informada)</v>
      </c>
      <c r="P725" s="16">
        <f>IFERROR(__xludf.DUMMYFUNCTION("""COMPUTED_VALUE"""),246.35)</f>
        <v>246.35</v>
      </c>
      <c r="Q725" s="15">
        <f>IFERROR(__xludf.DUMMYFUNCTION("""COMPUTED_VALUE"""),4.0)</f>
        <v>4</v>
      </c>
      <c r="R725" s="15" t="str">
        <f>IFERROR(__xludf.DUMMYFUNCTION("""COMPUTED_VALUE"""),"RODO")</f>
        <v>RODO</v>
      </c>
      <c r="S725" s="15" t="str">
        <f>IFERROR(__xludf.DUMMYFUNCTION("""COMPUTED_VALUE"""),"ITN")</f>
        <v>ITN</v>
      </c>
      <c r="T725" s="15" t="str">
        <f>IFERROR(__xludf.DUMMYFUNCTION("""COMPUTED_VALUE"""),"106")</f>
        <v>106</v>
      </c>
      <c r="U725" s="15" t="str">
        <f>IFERROR(__xludf.DUMMYFUNCTION("""COMPUTED_VALUE"""),"266830448 55856 8177608 casa da beleza discom nat 106")</f>
        <v>266830448 55856 8177608 casa da beleza discom nat 106</v>
      </c>
      <c r="V725" s="15" t="b">
        <f>IFERROR(__xludf.DUMMYFUNCTION("""COMPUTED_VALUE"""),FALSE)</f>
        <v>0</v>
      </c>
    </row>
    <row r="726">
      <c r="A726" s="19">
        <f>IFERROR(__xludf.DUMMYFUNCTION("""COMPUTED_VALUE"""),46304.0)</f>
        <v>46304</v>
      </c>
      <c r="B726" s="19">
        <f>IFERROR(__xludf.DUMMYFUNCTION("""COMPUTED_VALUE"""),46323.0)</f>
        <v>46323</v>
      </c>
      <c r="C726" s="15">
        <f>IFERROR(__xludf.DUMMYFUNCTION("""COMPUTED_VALUE"""),12.0)</f>
        <v>12</v>
      </c>
      <c r="D726" s="15" t="str">
        <f>IFERROR(__xludf.DUMMYFUNCTION("""COMPUTED_VALUE"""),"MT1")</f>
        <v>MT1</v>
      </c>
      <c r="E726" s="15" t="str">
        <f>IFERROR(__xludf.DUMMYFUNCTION("""COMPUTED_VALUE"""),"ECONOMIZAR C DE P FARMACEUTICOS LTDA ME")</f>
        <v>ECONOMIZAR C DE P FARMACEUTICOS LTDA ME</v>
      </c>
      <c r="F726" s="15" t="str">
        <f>IFERROR(__xludf.DUMMYFUNCTION("""COMPUTED_VALUE"""),"DISCOM")</f>
        <v>DISCOM</v>
      </c>
      <c r="G726" s="15" t="str">
        <f>IFERROR(__xludf.DUMMYFUNCTION("""COMPUTED_VALUE"""),"266830451")</f>
        <v>266830451</v>
      </c>
      <c r="H726" s="15" t="str">
        <f>IFERROR(__xludf.DUMMYFUNCTION("""COMPUTED_VALUE"""),"55793")</f>
        <v>55793</v>
      </c>
      <c r="I726" s="15" t="str">
        <f>IFERROR(__xludf.DUMMYFUNCTION("""COMPUTED_VALUE"""),"8177598")</f>
        <v>8177598</v>
      </c>
      <c r="J726" s="15" t="str">
        <f>IFERROR(__xludf.DUMMYFUNCTION("""COMPUTED_VALUE"""),"CIF")</f>
        <v>CIF</v>
      </c>
      <c r="K726" s="15" t="str">
        <f>IFERROR(__xludf.DUMMYFUNCTION("""COMPUTED_VALUE"""),"(sem célula)")</f>
        <v>(sem célula)</v>
      </c>
      <c r="L726" s="15" t="str">
        <f>IFERROR(__xludf.DUMMYFUNCTION("""COMPUTED_VALUE"""),"AUTORIZADO")</f>
        <v>AUTORIZADO</v>
      </c>
      <c r="M726" s="15" t="str">
        <f>IFERROR(__xludf.DUMMYFUNCTION("""COMPUTED_VALUE"""),"NA ORIGEM")</f>
        <v>NA ORIGEM</v>
      </c>
      <c r="N726" s="15" t="str">
        <f>IFERROR(__xludf.DUMMYFUNCTION("""COMPUTED_VALUE"""),"Antes Prazo")</f>
        <v>Antes Prazo</v>
      </c>
      <c r="O726" s="15" t="str">
        <f>IFERROR(__xludf.DUMMYFUNCTION("""COMPUTED_VALUE"""),"(não informada)")</f>
        <v>(não informada)</v>
      </c>
      <c r="P726" s="16">
        <f>IFERROR(__xludf.DUMMYFUNCTION("""COMPUTED_VALUE"""),285.63)</f>
        <v>285.63</v>
      </c>
      <c r="Q726" s="15">
        <f>IFERROR(__xludf.DUMMYFUNCTION("""COMPUTED_VALUE"""),5.0)</f>
        <v>5</v>
      </c>
      <c r="R726" s="15" t="str">
        <f>IFERROR(__xludf.DUMMYFUNCTION("""COMPUTED_VALUE"""),"RODO")</f>
        <v>RODO</v>
      </c>
      <c r="S726" s="15" t="str">
        <f>IFERROR(__xludf.DUMMYFUNCTION("""COMPUTED_VALUE"""),"ITN")</f>
        <v>ITN</v>
      </c>
      <c r="T726" s="15" t="str">
        <f>IFERROR(__xludf.DUMMYFUNCTION("""COMPUTED_VALUE"""),"200")</f>
        <v>200</v>
      </c>
      <c r="U726" s="15" t="str">
        <f>IFERROR(__xludf.DUMMYFUNCTION("""COMPUTED_VALUE"""),"266830451 55793 8177598 economizar c de p farmaceuticos ltda me discom mt1 200")</f>
        <v>266830451 55793 8177598 economizar c de p farmaceuticos ltda me discom mt1 200</v>
      </c>
      <c r="V726" s="15" t="b">
        <f>IFERROR(__xludf.DUMMYFUNCTION("""COMPUTED_VALUE"""),FALSE)</f>
        <v>0</v>
      </c>
    </row>
    <row r="727">
      <c r="A727" s="19">
        <f>IFERROR(__xludf.DUMMYFUNCTION("""COMPUTED_VALUE"""),46304.0)</f>
        <v>46304</v>
      </c>
      <c r="B727" s="19">
        <f>IFERROR(__xludf.DUMMYFUNCTION("""COMPUTED_VALUE"""),46314.0)</f>
        <v>46314</v>
      </c>
      <c r="C727" s="15">
        <f>IFERROR(__xludf.DUMMYFUNCTION("""COMPUTED_VALUE"""),5.0)</f>
        <v>5</v>
      </c>
      <c r="D727" s="15" t="str">
        <f>IFERROR(__xludf.DUMMYFUNCTION("""COMPUTED_VALUE"""),"RIO")</f>
        <v>RIO</v>
      </c>
      <c r="E727" s="15" t="str">
        <f>IFERROR(__xludf.DUMMYFUNCTION("""COMPUTED_VALUE"""),"ESMATES E ESMALTES COMERCIO DE PERFUMERI")</f>
        <v>ESMATES E ESMALTES COMERCIO DE PERFUMERI</v>
      </c>
      <c r="F727" s="15" t="str">
        <f>IFERROR(__xludf.DUMMYFUNCTION("""COMPUTED_VALUE"""),"DISCOM")</f>
        <v>DISCOM</v>
      </c>
      <c r="G727" s="15" t="str">
        <f>IFERROR(__xludf.DUMMYFUNCTION("""COMPUTED_VALUE"""),"266830454")</f>
        <v>266830454</v>
      </c>
      <c r="H727" s="15" t="str">
        <f>IFERROR(__xludf.DUMMYFUNCTION("""COMPUTED_VALUE"""),"55855")</f>
        <v>55855</v>
      </c>
      <c r="I727" s="15" t="str">
        <f>IFERROR(__xludf.DUMMYFUNCTION("""COMPUTED_VALUE"""),"8177630")</f>
        <v>8177630</v>
      </c>
      <c r="J727" s="15" t="str">
        <f>IFERROR(__xludf.DUMMYFUNCTION("""COMPUTED_VALUE"""),"CIF")</f>
        <v>CIF</v>
      </c>
      <c r="K727" s="15" t="str">
        <f>IFERROR(__xludf.DUMMYFUNCTION("""COMPUTED_VALUE"""),"(sem célula)")</f>
        <v>(sem célula)</v>
      </c>
      <c r="L727" s="15" t="str">
        <f>IFERROR(__xludf.DUMMYFUNCTION("""COMPUTED_VALUE"""),"AUTORIZADO")</f>
        <v>AUTORIZADO</v>
      </c>
      <c r="M727" s="15" t="str">
        <f>IFERROR(__xludf.DUMMYFUNCTION("""COMPUTED_VALUE"""),"NA ORIGEM")</f>
        <v>NA ORIGEM</v>
      </c>
      <c r="N727" s="15" t="str">
        <f>IFERROR(__xludf.DUMMYFUNCTION("""COMPUTED_VALUE"""),"Antes Prazo")</f>
        <v>Antes Prazo</v>
      </c>
      <c r="O727" s="15" t="str">
        <f>IFERROR(__xludf.DUMMYFUNCTION("""COMPUTED_VALUE"""),"(não informada)")</f>
        <v>(não informada)</v>
      </c>
      <c r="P727" s="16">
        <f>IFERROR(__xludf.DUMMYFUNCTION("""COMPUTED_VALUE"""),959.68)</f>
        <v>959.68</v>
      </c>
      <c r="Q727" s="15">
        <f>IFERROR(__xludf.DUMMYFUNCTION("""COMPUTED_VALUE"""),1.0)</f>
        <v>1</v>
      </c>
      <c r="R727" s="15" t="str">
        <f>IFERROR(__xludf.DUMMYFUNCTION("""COMPUTED_VALUE"""),"RODO")</f>
        <v>RODO</v>
      </c>
      <c r="S727" s="15" t="str">
        <f>IFERROR(__xludf.DUMMYFUNCTION("""COMPUTED_VALUE"""),"ITN")</f>
        <v>ITN</v>
      </c>
      <c r="T727" s="15" t="str">
        <f>IFERROR(__xludf.DUMMYFUNCTION("""COMPUTED_VALUE"""),"36")</f>
        <v>36</v>
      </c>
      <c r="U727" s="15" t="str">
        <f>IFERROR(__xludf.DUMMYFUNCTION("""COMPUTED_VALUE"""),"266830454 55855 8177630 esmates e esmaltes comercio de perfumeri discom rio 36")</f>
        <v>266830454 55855 8177630 esmates e esmaltes comercio de perfumeri discom rio 36</v>
      </c>
      <c r="V727" s="15" t="b">
        <f>IFERROR(__xludf.DUMMYFUNCTION("""COMPUTED_VALUE"""),FALSE)</f>
        <v>0</v>
      </c>
    </row>
    <row r="728">
      <c r="A728" s="19">
        <f>IFERROR(__xludf.DUMMYFUNCTION("""COMPUTED_VALUE"""),46304.0)</f>
        <v>46304</v>
      </c>
      <c r="B728" s="19">
        <f>IFERROR(__xludf.DUMMYFUNCTION("""COMPUTED_VALUE"""),46314.0)</f>
        <v>46314</v>
      </c>
      <c r="C728" s="15">
        <f>IFERROR(__xludf.DUMMYFUNCTION("""COMPUTED_VALUE"""),5.0)</f>
        <v>5</v>
      </c>
      <c r="D728" s="15" t="str">
        <f>IFERROR(__xludf.DUMMYFUNCTION("""COMPUTED_VALUE"""),"DIQ")</f>
        <v>DIQ</v>
      </c>
      <c r="E728" s="15" t="str">
        <f>IFERROR(__xludf.DUMMYFUNCTION("""COMPUTED_VALUE"""),"DOUGLAS MATHEUS MAIA")</f>
        <v>DOUGLAS MATHEUS MAIA</v>
      </c>
      <c r="F728" s="15" t="str">
        <f>IFERROR(__xludf.DUMMYFUNCTION("""COMPUTED_VALUE"""),"DISCOM")</f>
        <v>DISCOM</v>
      </c>
      <c r="G728" s="15" t="str">
        <f>IFERROR(__xludf.DUMMYFUNCTION("""COMPUTED_VALUE"""),"266830458")</f>
        <v>266830458</v>
      </c>
      <c r="H728" s="15" t="str">
        <f>IFERROR(__xludf.DUMMYFUNCTION("""COMPUTED_VALUE"""),"55822")</f>
        <v>55822</v>
      </c>
      <c r="I728" s="15" t="str">
        <f>IFERROR(__xludf.DUMMYFUNCTION("""COMPUTED_VALUE"""),"8177609")</f>
        <v>8177609</v>
      </c>
      <c r="J728" s="15" t="str">
        <f>IFERROR(__xludf.DUMMYFUNCTION("""COMPUTED_VALUE"""),"CIF")</f>
        <v>CIF</v>
      </c>
      <c r="K728" s="15" t="str">
        <f>IFERROR(__xludf.DUMMYFUNCTION("""COMPUTED_VALUE"""),"(sem célula)")</f>
        <v>(sem célula)</v>
      </c>
      <c r="L728" s="15" t="str">
        <f>IFERROR(__xludf.DUMMYFUNCTION("""COMPUTED_VALUE"""),"AUTORIZADO")</f>
        <v>AUTORIZADO</v>
      </c>
      <c r="M728" s="15" t="str">
        <f>IFERROR(__xludf.DUMMYFUNCTION("""COMPUTED_VALUE"""),"NA ORIGEM")</f>
        <v>NA ORIGEM</v>
      </c>
      <c r="N728" s="15" t="str">
        <f>IFERROR(__xludf.DUMMYFUNCTION("""COMPUTED_VALUE"""),"Antes Prazo")</f>
        <v>Antes Prazo</v>
      </c>
      <c r="O728" s="15" t="str">
        <f>IFERROR(__xludf.DUMMYFUNCTION("""COMPUTED_VALUE"""),"(não informada)")</f>
        <v>(não informada)</v>
      </c>
      <c r="P728" s="16">
        <f>IFERROR(__xludf.DUMMYFUNCTION("""COMPUTED_VALUE"""),35.75)</f>
        <v>35.75</v>
      </c>
      <c r="Q728" s="15">
        <f>IFERROR(__xludf.DUMMYFUNCTION("""COMPUTED_VALUE"""),1.0)</f>
        <v>1</v>
      </c>
      <c r="R728" s="15" t="str">
        <f>IFERROR(__xludf.DUMMYFUNCTION("""COMPUTED_VALUE"""),"RODO")</f>
        <v>RODO</v>
      </c>
      <c r="S728" s="15" t="str">
        <f>IFERROR(__xludf.DUMMYFUNCTION("""COMPUTED_VALUE"""),"ITN")</f>
        <v>ITN</v>
      </c>
      <c r="T728" s="15" t="str">
        <f>IFERROR(__xludf.DUMMYFUNCTION("""COMPUTED_VALUE"""),"2")</f>
        <v>2</v>
      </c>
      <c r="U728" s="15" t="str">
        <f>IFERROR(__xludf.DUMMYFUNCTION("""COMPUTED_VALUE"""),"266830458 55822 8177609 douglas matheus maia discom diq 2")</f>
        <v>266830458 55822 8177609 douglas matheus maia discom diq 2</v>
      </c>
      <c r="V728" s="15" t="b">
        <f>IFERROR(__xludf.DUMMYFUNCTION("""COMPUTED_VALUE"""),FALSE)</f>
        <v>0</v>
      </c>
    </row>
    <row r="729">
      <c r="A729" s="19">
        <f>IFERROR(__xludf.DUMMYFUNCTION("""COMPUTED_VALUE"""),46304.0)</f>
        <v>46304</v>
      </c>
      <c r="B729" s="19">
        <f>IFERROR(__xludf.DUMMYFUNCTION("""COMPUTED_VALUE"""),46317.0)</f>
        <v>46317</v>
      </c>
      <c r="C729" s="15">
        <f>IFERROR(__xludf.DUMMYFUNCTION("""COMPUTED_VALUE"""),8.0)</f>
        <v>8</v>
      </c>
      <c r="D729" s="15" t="str">
        <f>IFERROR(__xludf.DUMMYFUNCTION("""COMPUTED_VALUE"""),"ATB")</f>
        <v>ATB</v>
      </c>
      <c r="E729" s="15" t="str">
        <f>IFERROR(__xludf.DUMMYFUNCTION("""COMPUTED_VALUE"""),"LEONARDO MORAES")</f>
        <v>LEONARDO MORAES</v>
      </c>
      <c r="F729" s="15" t="str">
        <f>IFERROR(__xludf.DUMMYFUNCTION("""COMPUTED_VALUE"""),"DISCOM")</f>
        <v>DISCOM</v>
      </c>
      <c r="G729" s="15" t="str">
        <f>IFERROR(__xludf.DUMMYFUNCTION("""COMPUTED_VALUE"""),"266830461")</f>
        <v>266830461</v>
      </c>
      <c r="H729" s="15" t="str">
        <f>IFERROR(__xludf.DUMMYFUNCTION("""COMPUTED_VALUE"""),"55816")</f>
        <v>55816</v>
      </c>
      <c r="I729" s="15" t="str">
        <f>IFERROR(__xludf.DUMMYFUNCTION("""COMPUTED_VALUE"""),"8177599")</f>
        <v>8177599</v>
      </c>
      <c r="J729" s="15" t="str">
        <f>IFERROR(__xludf.DUMMYFUNCTION("""COMPUTED_VALUE"""),"CIF")</f>
        <v>CIF</v>
      </c>
      <c r="K729" s="15" t="str">
        <f>IFERROR(__xludf.DUMMYFUNCTION("""COMPUTED_VALUE"""),"(sem célula)")</f>
        <v>(sem célula)</v>
      </c>
      <c r="L729" s="15" t="str">
        <f>IFERROR(__xludf.DUMMYFUNCTION("""COMPUTED_VALUE"""),"AUTORIZADO")</f>
        <v>AUTORIZADO</v>
      </c>
      <c r="M729" s="15" t="str">
        <f>IFERROR(__xludf.DUMMYFUNCTION("""COMPUTED_VALUE"""),"NA ORIGEM")</f>
        <v>NA ORIGEM</v>
      </c>
      <c r="N729" s="15" t="str">
        <f>IFERROR(__xludf.DUMMYFUNCTION("""COMPUTED_VALUE"""),"Antes Prazo")</f>
        <v>Antes Prazo</v>
      </c>
      <c r="O729" s="15" t="str">
        <f>IFERROR(__xludf.DUMMYFUNCTION("""COMPUTED_VALUE"""),"(não informada)")</f>
        <v>(não informada)</v>
      </c>
      <c r="P729" s="16">
        <f>IFERROR(__xludf.DUMMYFUNCTION("""COMPUTED_VALUE"""),40.95)</f>
        <v>40.95</v>
      </c>
      <c r="Q729" s="15">
        <f>IFERROR(__xludf.DUMMYFUNCTION("""COMPUTED_VALUE"""),1.0)</f>
        <v>1</v>
      </c>
      <c r="R729" s="15" t="str">
        <f>IFERROR(__xludf.DUMMYFUNCTION("""COMPUTED_VALUE"""),"RODO")</f>
        <v>RODO</v>
      </c>
      <c r="S729" s="15" t="str">
        <f>IFERROR(__xludf.DUMMYFUNCTION("""COMPUTED_VALUE"""),"ITN")</f>
        <v>ITN</v>
      </c>
      <c r="T729" s="15" t="str">
        <f>IFERROR(__xludf.DUMMYFUNCTION("""COMPUTED_VALUE"""),"106")</f>
        <v>106</v>
      </c>
      <c r="U729" s="15" t="str">
        <f>IFERROR(__xludf.DUMMYFUNCTION("""COMPUTED_VALUE"""),"266830461 55816 8177599 leonardo moraes discom atb 106")</f>
        <v>266830461 55816 8177599 leonardo moraes discom atb 106</v>
      </c>
      <c r="V729" s="15" t="b">
        <f>IFERROR(__xludf.DUMMYFUNCTION("""COMPUTED_VALUE"""),FALSE)</f>
        <v>0</v>
      </c>
    </row>
    <row r="730">
      <c r="A730" s="19">
        <f>IFERROR(__xludf.DUMMYFUNCTION("""COMPUTED_VALUE"""),46304.0)</f>
        <v>46304</v>
      </c>
      <c r="B730" s="19">
        <f>IFERROR(__xludf.DUMMYFUNCTION("""COMPUTED_VALUE"""),46314.0)</f>
        <v>46314</v>
      </c>
      <c r="C730" s="15">
        <f>IFERROR(__xludf.DUMMYFUNCTION("""COMPUTED_VALUE"""),5.0)</f>
        <v>5</v>
      </c>
      <c r="D730" s="15" t="str">
        <f>IFERROR(__xludf.DUMMYFUNCTION("""COMPUTED_VALUE"""),"ARU")</f>
        <v>ARU</v>
      </c>
      <c r="E730" s="15" t="str">
        <f>IFERROR(__xludf.DUMMYFUNCTION("""COMPUTED_VALUE"""),"MAYNARA PUGLISEL")</f>
        <v>MAYNARA PUGLISEL</v>
      </c>
      <c r="F730" s="15" t="str">
        <f>IFERROR(__xludf.DUMMYFUNCTION("""COMPUTED_VALUE"""),"DISCOM")</f>
        <v>DISCOM</v>
      </c>
      <c r="G730" s="15" t="str">
        <f>IFERROR(__xludf.DUMMYFUNCTION("""COMPUTED_VALUE"""),"266830465")</f>
        <v>266830465</v>
      </c>
      <c r="H730" s="15" t="str">
        <f>IFERROR(__xludf.DUMMYFUNCTION("""COMPUTED_VALUE"""),"55826")</f>
        <v>55826</v>
      </c>
      <c r="I730" s="15" t="str">
        <f>IFERROR(__xludf.DUMMYFUNCTION("""COMPUTED_VALUE"""),"8177600")</f>
        <v>8177600</v>
      </c>
      <c r="J730" s="15" t="str">
        <f>IFERROR(__xludf.DUMMYFUNCTION("""COMPUTED_VALUE"""),"CIF")</f>
        <v>CIF</v>
      </c>
      <c r="K730" s="15" t="str">
        <f>IFERROR(__xludf.DUMMYFUNCTION("""COMPUTED_VALUE"""),"(sem célula)")</f>
        <v>(sem célula)</v>
      </c>
      <c r="L730" s="15" t="str">
        <f>IFERROR(__xludf.DUMMYFUNCTION("""COMPUTED_VALUE"""),"AUTORIZADO")</f>
        <v>AUTORIZADO</v>
      </c>
      <c r="M730" s="15" t="str">
        <f>IFERROR(__xludf.DUMMYFUNCTION("""COMPUTED_VALUE"""),"NA ORIGEM")</f>
        <v>NA ORIGEM</v>
      </c>
      <c r="N730" s="15" t="str">
        <f>IFERROR(__xludf.DUMMYFUNCTION("""COMPUTED_VALUE"""),"Antes Prazo")</f>
        <v>Antes Prazo</v>
      </c>
      <c r="O730" s="15" t="str">
        <f>IFERROR(__xludf.DUMMYFUNCTION("""COMPUTED_VALUE"""),"(não informada)")</f>
        <v>(não informada)</v>
      </c>
      <c r="P730" s="16">
        <f>IFERROR(__xludf.DUMMYFUNCTION("""COMPUTED_VALUE"""),52.53)</f>
        <v>52.53</v>
      </c>
      <c r="Q730" s="15">
        <f>IFERROR(__xludf.DUMMYFUNCTION("""COMPUTED_VALUE"""),1.0)</f>
        <v>1</v>
      </c>
      <c r="R730" s="15" t="str">
        <f>IFERROR(__xludf.DUMMYFUNCTION("""COMPUTED_VALUE"""),"RODO")</f>
        <v>RODO</v>
      </c>
      <c r="S730" s="15" t="str">
        <f>IFERROR(__xludf.DUMMYFUNCTION("""COMPUTED_VALUE"""),"ITN")</f>
        <v>ITN</v>
      </c>
      <c r="T730" s="15" t="str">
        <f>IFERROR(__xludf.DUMMYFUNCTION("""COMPUTED_VALUE"""),"107")</f>
        <v>107</v>
      </c>
      <c r="U730" s="15" t="str">
        <f>IFERROR(__xludf.DUMMYFUNCTION("""COMPUTED_VALUE"""),"266830465 55826 8177600 maynara puglisel discom aru 107")</f>
        <v>266830465 55826 8177600 maynara puglisel discom aru 107</v>
      </c>
      <c r="V730" s="15" t="b">
        <f>IFERROR(__xludf.DUMMYFUNCTION("""COMPUTED_VALUE"""),FALSE)</f>
        <v>0</v>
      </c>
    </row>
    <row r="731">
      <c r="A731" s="19">
        <f>IFERROR(__xludf.DUMMYFUNCTION("""COMPUTED_VALUE"""),46304.0)</f>
        <v>46304</v>
      </c>
      <c r="B731" s="19">
        <f>IFERROR(__xludf.DUMMYFUNCTION("""COMPUTED_VALUE"""),46315.0)</f>
        <v>46315</v>
      </c>
      <c r="C731" s="15">
        <f>IFERROR(__xludf.DUMMYFUNCTION("""COMPUTED_VALUE"""),6.0)</f>
        <v>6</v>
      </c>
      <c r="D731" s="15" t="str">
        <f>IFERROR(__xludf.DUMMYFUNCTION("""COMPUTED_VALUE"""),"BTB")</f>
        <v>BTB</v>
      </c>
      <c r="E731" s="15" t="str">
        <f>IFERROR(__xludf.DUMMYFUNCTION("""COMPUTED_VALUE"""),"MARIANE VASCONCELOS SILVA")</f>
        <v>MARIANE VASCONCELOS SILVA</v>
      </c>
      <c r="F731" s="15" t="str">
        <f>IFERROR(__xludf.DUMMYFUNCTION("""COMPUTED_VALUE"""),"DISCOM")</f>
        <v>DISCOM</v>
      </c>
      <c r="G731" s="15" t="str">
        <f>IFERROR(__xludf.DUMMYFUNCTION("""COMPUTED_VALUE"""),"266830468")</f>
        <v>266830468</v>
      </c>
      <c r="H731" s="15" t="str">
        <f>IFERROR(__xludf.DUMMYFUNCTION("""COMPUTED_VALUE"""),"55818")</f>
        <v>55818</v>
      </c>
      <c r="I731" s="15" t="str">
        <f>IFERROR(__xludf.DUMMYFUNCTION("""COMPUTED_VALUE"""),"8177601")</f>
        <v>8177601</v>
      </c>
      <c r="J731" s="15" t="str">
        <f>IFERROR(__xludf.DUMMYFUNCTION("""COMPUTED_VALUE"""),"CIF")</f>
        <v>CIF</v>
      </c>
      <c r="K731" s="15" t="str">
        <f>IFERROR(__xludf.DUMMYFUNCTION("""COMPUTED_VALUE"""),"(sem célula)")</f>
        <v>(sem célula)</v>
      </c>
      <c r="L731" s="15" t="str">
        <f>IFERROR(__xludf.DUMMYFUNCTION("""COMPUTED_VALUE"""),"AUTORIZADO")</f>
        <v>AUTORIZADO</v>
      </c>
      <c r="M731" s="15" t="str">
        <f>IFERROR(__xludf.DUMMYFUNCTION("""COMPUTED_VALUE"""),"NA ORIGEM")</f>
        <v>NA ORIGEM</v>
      </c>
      <c r="N731" s="15" t="str">
        <f>IFERROR(__xludf.DUMMYFUNCTION("""COMPUTED_VALUE"""),"Antes Prazo")</f>
        <v>Antes Prazo</v>
      </c>
      <c r="O731" s="15" t="str">
        <f>IFERROR(__xludf.DUMMYFUNCTION("""COMPUTED_VALUE"""),"(não informada)")</f>
        <v>(não informada)</v>
      </c>
      <c r="P731" s="16">
        <f>IFERROR(__xludf.DUMMYFUNCTION("""COMPUTED_VALUE"""),62.41)</f>
        <v>62.41</v>
      </c>
      <c r="Q731" s="15">
        <f>IFERROR(__xludf.DUMMYFUNCTION("""COMPUTED_VALUE"""),1.0)</f>
        <v>1</v>
      </c>
      <c r="R731" s="15" t="str">
        <f>IFERROR(__xludf.DUMMYFUNCTION("""COMPUTED_VALUE"""),"RODO")</f>
        <v>RODO</v>
      </c>
      <c r="S731" s="15" t="str">
        <f>IFERROR(__xludf.DUMMYFUNCTION("""COMPUTED_VALUE"""),"ITN")</f>
        <v>ITN</v>
      </c>
      <c r="T731" s="15" t="str">
        <f>IFERROR(__xludf.DUMMYFUNCTION("""COMPUTED_VALUE"""),"686")</f>
        <v>686</v>
      </c>
      <c r="U731" s="15" t="str">
        <f>IFERROR(__xludf.DUMMYFUNCTION("""COMPUTED_VALUE"""),"266830468 55818 8177601 mariane vasconcelos silva discom btb 686")</f>
        <v>266830468 55818 8177601 mariane vasconcelos silva discom btb 686</v>
      </c>
      <c r="V731" s="15" t="b">
        <f>IFERROR(__xludf.DUMMYFUNCTION("""COMPUTED_VALUE"""),FALSE)</f>
        <v>0</v>
      </c>
    </row>
    <row r="732">
      <c r="A732" s="19">
        <f>IFERROR(__xludf.DUMMYFUNCTION("""COMPUTED_VALUE"""),46304.0)</f>
        <v>46304</v>
      </c>
      <c r="B732" s="19">
        <f>IFERROR(__xludf.DUMMYFUNCTION("""COMPUTED_VALUE"""),46316.0)</f>
        <v>46316</v>
      </c>
      <c r="C732" s="15">
        <f>IFERROR(__xludf.DUMMYFUNCTION("""COMPUTED_VALUE"""),7.0)</f>
        <v>7</v>
      </c>
      <c r="D732" s="15" t="str">
        <f>IFERROR(__xludf.DUMMYFUNCTION("""COMPUTED_VALUE"""),"BAU")</f>
        <v>BAU</v>
      </c>
      <c r="E732" s="15" t="str">
        <f>IFERROR(__xludf.DUMMYFUNCTION("""COMPUTED_VALUE"""),"BEATRIZ LIMA")</f>
        <v>BEATRIZ LIMA</v>
      </c>
      <c r="F732" s="15" t="str">
        <f>IFERROR(__xludf.DUMMYFUNCTION("""COMPUTED_VALUE"""),"DISCOM")</f>
        <v>DISCOM</v>
      </c>
      <c r="G732" s="15" t="str">
        <f>IFERROR(__xludf.DUMMYFUNCTION("""COMPUTED_VALUE"""),"266830471")</f>
        <v>266830471</v>
      </c>
      <c r="H732" s="15" t="str">
        <f>IFERROR(__xludf.DUMMYFUNCTION("""COMPUTED_VALUE"""),"55821")</f>
        <v>55821</v>
      </c>
      <c r="I732" s="15" t="str">
        <f>IFERROR(__xludf.DUMMYFUNCTION("""COMPUTED_VALUE"""),"8177602")</f>
        <v>8177602</v>
      </c>
      <c r="J732" s="15" t="str">
        <f>IFERROR(__xludf.DUMMYFUNCTION("""COMPUTED_VALUE"""),"CIF")</f>
        <v>CIF</v>
      </c>
      <c r="K732" s="15" t="str">
        <f>IFERROR(__xludf.DUMMYFUNCTION("""COMPUTED_VALUE"""),"(sem célula)")</f>
        <v>(sem célula)</v>
      </c>
      <c r="L732" s="15" t="str">
        <f>IFERROR(__xludf.DUMMYFUNCTION("""COMPUTED_VALUE"""),"AUTORIZADO")</f>
        <v>AUTORIZADO</v>
      </c>
      <c r="M732" s="15" t="str">
        <f>IFERROR(__xludf.DUMMYFUNCTION("""COMPUTED_VALUE"""),"NA ORIGEM")</f>
        <v>NA ORIGEM</v>
      </c>
      <c r="N732" s="15" t="str">
        <f>IFERROR(__xludf.DUMMYFUNCTION("""COMPUTED_VALUE"""),"Antes Prazo")</f>
        <v>Antes Prazo</v>
      </c>
      <c r="O732" s="15" t="str">
        <f>IFERROR(__xludf.DUMMYFUNCTION("""COMPUTED_VALUE"""),"(não informada)")</f>
        <v>(não informada)</v>
      </c>
      <c r="P732" s="16">
        <f>IFERROR(__xludf.DUMMYFUNCTION("""COMPUTED_VALUE"""),41.17)</f>
        <v>41.17</v>
      </c>
      <c r="Q732" s="15">
        <f>IFERROR(__xludf.DUMMYFUNCTION("""COMPUTED_VALUE"""),1.0)</f>
        <v>1</v>
      </c>
      <c r="R732" s="15" t="str">
        <f>IFERROR(__xludf.DUMMYFUNCTION("""COMPUTED_VALUE"""),"RODO")</f>
        <v>RODO</v>
      </c>
      <c r="S732" s="15" t="str">
        <f>IFERROR(__xludf.DUMMYFUNCTION("""COMPUTED_VALUE"""),"ITN")</f>
        <v>ITN</v>
      </c>
      <c r="T732" s="15" t="str">
        <f>IFERROR(__xludf.DUMMYFUNCTION("""COMPUTED_VALUE"""),"112")</f>
        <v>112</v>
      </c>
      <c r="U732" s="15" t="str">
        <f>IFERROR(__xludf.DUMMYFUNCTION("""COMPUTED_VALUE"""),"266830471 55821 8177602 beatriz lima discom bau 112")</f>
        <v>266830471 55821 8177602 beatriz lima discom bau 112</v>
      </c>
      <c r="V732" s="15" t="b">
        <f>IFERROR(__xludf.DUMMYFUNCTION("""COMPUTED_VALUE"""),FALSE)</f>
        <v>0</v>
      </c>
    </row>
    <row r="733">
      <c r="A733" s="19">
        <f>IFERROR(__xludf.DUMMYFUNCTION("""COMPUTED_VALUE"""),46304.0)</f>
        <v>46304</v>
      </c>
      <c r="B733" s="19">
        <f>IFERROR(__xludf.DUMMYFUNCTION("""COMPUTED_VALUE"""),46314.0)</f>
        <v>46314</v>
      </c>
      <c r="C733" s="15">
        <f>IFERROR(__xludf.DUMMYFUNCTION("""COMPUTED_VALUE"""),5.0)</f>
        <v>5</v>
      </c>
      <c r="D733" s="15" t="str">
        <f>IFERROR(__xludf.DUMMYFUNCTION("""COMPUTED_VALUE"""),"BSB")</f>
        <v>BSB</v>
      </c>
      <c r="E733" s="15" t="str">
        <f>IFERROR(__xludf.DUMMYFUNCTION("""COMPUTED_VALUE"""),"ARLETE ARAO")</f>
        <v>ARLETE ARAO</v>
      </c>
      <c r="F733" s="15" t="str">
        <f>IFERROR(__xludf.DUMMYFUNCTION("""COMPUTED_VALUE"""),"DISCOM")</f>
        <v>DISCOM</v>
      </c>
      <c r="G733" s="15" t="str">
        <f>IFERROR(__xludf.DUMMYFUNCTION("""COMPUTED_VALUE"""),"266830475")</f>
        <v>266830475</v>
      </c>
      <c r="H733" s="15" t="str">
        <f>IFERROR(__xludf.DUMMYFUNCTION("""COMPUTED_VALUE"""),"55838")</f>
        <v>55838</v>
      </c>
      <c r="I733" s="15" t="str">
        <f>IFERROR(__xludf.DUMMYFUNCTION("""COMPUTED_VALUE"""),"8177610")</f>
        <v>8177610</v>
      </c>
      <c r="J733" s="15" t="str">
        <f>IFERROR(__xludf.DUMMYFUNCTION("""COMPUTED_VALUE"""),"CIF")</f>
        <v>CIF</v>
      </c>
      <c r="K733" s="15" t="str">
        <f>IFERROR(__xludf.DUMMYFUNCTION("""COMPUTED_VALUE"""),"(sem célula)")</f>
        <v>(sem célula)</v>
      </c>
      <c r="L733" s="15" t="str">
        <f>IFERROR(__xludf.DUMMYFUNCTION("""COMPUTED_VALUE"""),"AUTORIZADO")</f>
        <v>AUTORIZADO</v>
      </c>
      <c r="M733" s="15" t="str">
        <f>IFERROR(__xludf.DUMMYFUNCTION("""COMPUTED_VALUE"""),"NA ORIGEM")</f>
        <v>NA ORIGEM</v>
      </c>
      <c r="N733" s="15" t="str">
        <f>IFERROR(__xludf.DUMMYFUNCTION("""COMPUTED_VALUE"""),"Antes Prazo")</f>
        <v>Antes Prazo</v>
      </c>
      <c r="O733" s="15" t="str">
        <f>IFERROR(__xludf.DUMMYFUNCTION("""COMPUTED_VALUE"""),"(não informada)")</f>
        <v>(não informada)</v>
      </c>
      <c r="P733" s="16">
        <f>IFERROR(__xludf.DUMMYFUNCTION("""COMPUTED_VALUE"""),49.12)</f>
        <v>49.12</v>
      </c>
      <c r="Q733" s="15">
        <f>IFERROR(__xludf.DUMMYFUNCTION("""COMPUTED_VALUE"""),1.0)</f>
        <v>1</v>
      </c>
      <c r="R733" s="15" t="str">
        <f>IFERROR(__xludf.DUMMYFUNCTION("""COMPUTED_VALUE"""),"RODO")</f>
        <v>RODO</v>
      </c>
      <c r="S733" s="15" t="str">
        <f>IFERROR(__xludf.DUMMYFUNCTION("""COMPUTED_VALUE"""),"ITN")</f>
        <v>ITN</v>
      </c>
      <c r="T733" s="15" t="str">
        <f>IFERROR(__xludf.DUMMYFUNCTION("""COMPUTED_VALUE"""),"66")</f>
        <v>66</v>
      </c>
      <c r="U733" s="15" t="str">
        <f>IFERROR(__xludf.DUMMYFUNCTION("""COMPUTED_VALUE"""),"266830475 55838 8177610 arlete arao discom bsb 66")</f>
        <v>266830475 55838 8177610 arlete arao discom bsb 66</v>
      </c>
      <c r="V733" s="15" t="b">
        <f>IFERROR(__xludf.DUMMYFUNCTION("""COMPUTED_VALUE"""),FALSE)</f>
        <v>0</v>
      </c>
    </row>
    <row r="734">
      <c r="A734" s="19">
        <f>IFERROR(__xludf.DUMMYFUNCTION("""COMPUTED_VALUE"""),46304.0)</f>
        <v>46304</v>
      </c>
      <c r="B734" s="19">
        <f>IFERROR(__xludf.DUMMYFUNCTION("""COMPUTED_VALUE"""),46315.0)</f>
        <v>46315</v>
      </c>
      <c r="C734" s="15">
        <f>IFERROR(__xludf.DUMMYFUNCTION("""COMPUTED_VALUE"""),6.0)</f>
        <v>6</v>
      </c>
      <c r="D734" s="15" t="str">
        <f>IFERROR(__xludf.DUMMYFUNCTION("""COMPUTED_VALUE"""),"FLN")</f>
        <v>FLN</v>
      </c>
      <c r="E734" s="15" t="str">
        <f>IFERROR(__xludf.DUMMYFUNCTION("""COMPUTED_VALUE"""),"RENATA NAEGELE")</f>
        <v>RENATA NAEGELE</v>
      </c>
      <c r="F734" s="15" t="str">
        <f>IFERROR(__xludf.DUMMYFUNCTION("""COMPUTED_VALUE"""),"DISCOM")</f>
        <v>DISCOM</v>
      </c>
      <c r="G734" s="15" t="str">
        <f>IFERROR(__xludf.DUMMYFUNCTION("""COMPUTED_VALUE"""),"266830478")</f>
        <v>266830478</v>
      </c>
      <c r="H734" s="15" t="str">
        <f>IFERROR(__xludf.DUMMYFUNCTION("""COMPUTED_VALUE"""),"55819")</f>
        <v>55819</v>
      </c>
      <c r="I734" s="15" t="str">
        <f>IFERROR(__xludf.DUMMYFUNCTION("""COMPUTED_VALUE"""),"8177611")</f>
        <v>8177611</v>
      </c>
      <c r="J734" s="15" t="str">
        <f>IFERROR(__xludf.DUMMYFUNCTION("""COMPUTED_VALUE"""),"CIF")</f>
        <v>CIF</v>
      </c>
      <c r="K734" s="15" t="str">
        <f>IFERROR(__xludf.DUMMYFUNCTION("""COMPUTED_VALUE"""),"FSA-1")</f>
        <v>FSA-1</v>
      </c>
      <c r="L734" s="15" t="str">
        <f>IFERROR(__xludf.DUMMYFUNCTION("""COMPUTED_VALUE"""),"AUTORIZADO")</f>
        <v>AUTORIZADO</v>
      </c>
      <c r="M734" s="15" t="str">
        <f>IFERROR(__xludf.DUMMYFUNCTION("""COMPUTED_VALUE"""),"NA ORIGEM")</f>
        <v>NA ORIGEM</v>
      </c>
      <c r="N734" s="15" t="str">
        <f>IFERROR(__xludf.DUMMYFUNCTION("""COMPUTED_VALUE"""),"Antes Prazo")</f>
        <v>Antes Prazo</v>
      </c>
      <c r="O734" s="15" t="str">
        <f>IFERROR(__xludf.DUMMYFUNCTION("""COMPUTED_VALUE"""),"(não informada)")</f>
        <v>(não informada)</v>
      </c>
      <c r="P734" s="16">
        <f>IFERROR(__xludf.DUMMYFUNCTION("""COMPUTED_VALUE"""),49.92)</f>
        <v>49.92</v>
      </c>
      <c r="Q734" s="15">
        <f>IFERROR(__xludf.DUMMYFUNCTION("""COMPUTED_VALUE"""),1.0)</f>
        <v>1</v>
      </c>
      <c r="R734" s="15" t="str">
        <f>IFERROR(__xludf.DUMMYFUNCTION("""COMPUTED_VALUE"""),"RODO")</f>
        <v>RODO</v>
      </c>
      <c r="S734" s="15" t="str">
        <f>IFERROR(__xludf.DUMMYFUNCTION("""COMPUTED_VALUE"""),"ITN")</f>
        <v>ITN</v>
      </c>
      <c r="T734" s="15" t="str">
        <f>IFERROR(__xludf.DUMMYFUNCTION("""COMPUTED_VALUE"""),"4")</f>
        <v>4</v>
      </c>
      <c r="U734" s="15" t="str">
        <f>IFERROR(__xludf.DUMMYFUNCTION("""COMPUTED_VALUE"""),"266830478 55819 8177611 renata naegele discom fln 4")</f>
        <v>266830478 55819 8177611 renata naegele discom fln 4</v>
      </c>
      <c r="V734" s="15" t="b">
        <f>IFERROR(__xludf.DUMMYFUNCTION("""COMPUTED_VALUE"""),FALSE)</f>
        <v>0</v>
      </c>
    </row>
    <row r="735">
      <c r="A735" s="19">
        <f>IFERROR(__xludf.DUMMYFUNCTION("""COMPUTED_VALUE"""),46304.0)</f>
        <v>46304</v>
      </c>
      <c r="B735" s="19">
        <f>IFERROR(__xludf.DUMMYFUNCTION("""COMPUTED_VALUE"""),46311.0)</f>
        <v>46311</v>
      </c>
      <c r="C735" s="15">
        <f>IFERROR(__xludf.DUMMYFUNCTION("""COMPUTED_VALUE"""),4.0)</f>
        <v>4</v>
      </c>
      <c r="D735" s="15" t="str">
        <f>IFERROR(__xludf.DUMMYFUNCTION("""COMPUTED_VALUE"""),"FOR")</f>
        <v>FOR</v>
      </c>
      <c r="E735" s="15" t="str">
        <f>IFERROR(__xludf.DUMMYFUNCTION("""COMPUTED_VALUE"""),"FABY GONCALVES")</f>
        <v>FABY GONCALVES</v>
      </c>
      <c r="F735" s="15" t="str">
        <f>IFERROR(__xludf.DUMMYFUNCTION("""COMPUTED_VALUE"""),"DISCOM")</f>
        <v>DISCOM</v>
      </c>
      <c r="G735" s="15" t="str">
        <f>IFERROR(__xludf.DUMMYFUNCTION("""COMPUTED_VALUE"""),"266830482")</f>
        <v>266830482</v>
      </c>
      <c r="H735" s="15" t="str">
        <f>IFERROR(__xludf.DUMMYFUNCTION("""COMPUTED_VALUE"""),"55817")</f>
        <v>55817</v>
      </c>
      <c r="I735" s="15" t="str">
        <f>IFERROR(__xludf.DUMMYFUNCTION("""COMPUTED_VALUE"""),"8177603")</f>
        <v>8177603</v>
      </c>
      <c r="J735" s="15" t="str">
        <f>IFERROR(__xludf.DUMMYFUNCTION("""COMPUTED_VALUE"""),"CIF")</f>
        <v>CIF</v>
      </c>
      <c r="K735" s="15" t="str">
        <f>IFERROR(__xludf.DUMMYFUNCTION("""COMPUTED_VALUE"""),"FSA-1")</f>
        <v>FSA-1</v>
      </c>
      <c r="L735" s="15" t="str">
        <f>IFERROR(__xludf.DUMMYFUNCTION("""COMPUTED_VALUE"""),"AUTORIZADO")</f>
        <v>AUTORIZADO</v>
      </c>
      <c r="M735" s="15" t="str">
        <f>IFERROR(__xludf.DUMMYFUNCTION("""COMPUTED_VALUE"""),"NA ORIGEM")</f>
        <v>NA ORIGEM</v>
      </c>
      <c r="N735" s="15" t="str">
        <f>IFERROR(__xludf.DUMMYFUNCTION("""COMPUTED_VALUE"""),"Antes Prazo")</f>
        <v>Antes Prazo</v>
      </c>
      <c r="O735" s="15" t="str">
        <f>IFERROR(__xludf.DUMMYFUNCTION("""COMPUTED_VALUE"""),"(não informada)")</f>
        <v>(não informada)</v>
      </c>
      <c r="P735" s="16">
        <f>IFERROR(__xludf.DUMMYFUNCTION("""COMPUTED_VALUE"""),55.47)</f>
        <v>55.47</v>
      </c>
      <c r="Q735" s="15">
        <f>IFERROR(__xludf.DUMMYFUNCTION("""COMPUTED_VALUE"""),1.0)</f>
        <v>1</v>
      </c>
      <c r="R735" s="15" t="str">
        <f>IFERROR(__xludf.DUMMYFUNCTION("""COMPUTED_VALUE"""),"RODO")</f>
        <v>RODO</v>
      </c>
      <c r="S735" s="15" t="str">
        <f>IFERROR(__xludf.DUMMYFUNCTION("""COMPUTED_VALUE"""),"ITN")</f>
        <v>ITN</v>
      </c>
      <c r="T735" s="15" t="str">
        <f>IFERROR(__xludf.DUMMYFUNCTION("""COMPUTED_VALUE"""),"27")</f>
        <v>27</v>
      </c>
      <c r="U735" s="15" t="str">
        <f>IFERROR(__xludf.DUMMYFUNCTION("""COMPUTED_VALUE"""),"266830482 55817 8177603 faby goncalves discom for 27")</f>
        <v>266830482 55817 8177603 faby goncalves discom for 27</v>
      </c>
      <c r="V735" s="15" t="b">
        <f>IFERROR(__xludf.DUMMYFUNCTION("""COMPUTED_VALUE"""),FALSE)</f>
        <v>0</v>
      </c>
    </row>
    <row r="736">
      <c r="A736" s="19">
        <f>IFERROR(__xludf.DUMMYFUNCTION("""COMPUTED_VALUE"""),46304.0)</f>
        <v>46304</v>
      </c>
      <c r="B736" s="19">
        <f>IFERROR(__xludf.DUMMYFUNCTION("""COMPUTED_VALUE"""),46351.0)</f>
        <v>46351</v>
      </c>
      <c r="C736" s="15">
        <f>IFERROR(__xludf.DUMMYFUNCTION("""COMPUTED_VALUE"""),30.0)</f>
        <v>30</v>
      </c>
      <c r="D736" s="15" t="str">
        <f>IFERROR(__xludf.DUMMYFUNCTION("""COMPUTED_VALUE"""),"BVB")</f>
        <v>BVB</v>
      </c>
      <c r="E736" s="15" t="str">
        <f>IFERROR(__xludf.DUMMYFUNCTION("""COMPUTED_VALUE"""),"TATIANE FERREIRA DA SILVA")</f>
        <v>TATIANE FERREIRA DA SILVA</v>
      </c>
      <c r="F736" s="15" t="str">
        <f>IFERROR(__xludf.DUMMYFUNCTION("""COMPUTED_VALUE"""),"DISCOM")</f>
        <v>DISCOM</v>
      </c>
      <c r="G736" s="15" t="str">
        <f>IFERROR(__xludf.DUMMYFUNCTION("""COMPUTED_VALUE"""),"266830486")</f>
        <v>266830486</v>
      </c>
      <c r="H736" s="15" t="str">
        <f>IFERROR(__xludf.DUMMYFUNCTION("""COMPUTED_VALUE"""),"55828")</f>
        <v>55828</v>
      </c>
      <c r="I736" s="15" t="str">
        <f>IFERROR(__xludf.DUMMYFUNCTION("""COMPUTED_VALUE"""),"8177612")</f>
        <v>8177612</v>
      </c>
      <c r="J736" s="15" t="str">
        <f>IFERROR(__xludf.DUMMYFUNCTION("""COMPUTED_VALUE"""),"CIF")</f>
        <v>CIF</v>
      </c>
      <c r="K736" s="15" t="str">
        <f>IFERROR(__xludf.DUMMYFUNCTION("""COMPUTED_VALUE"""),"(sem célula)")</f>
        <v>(sem célula)</v>
      </c>
      <c r="L736" s="15" t="str">
        <f>IFERROR(__xludf.DUMMYFUNCTION("""COMPUTED_VALUE"""),"AUTORIZADO")</f>
        <v>AUTORIZADO</v>
      </c>
      <c r="M736" s="15" t="str">
        <f>IFERROR(__xludf.DUMMYFUNCTION("""COMPUTED_VALUE"""),"NA ORIGEM")</f>
        <v>NA ORIGEM</v>
      </c>
      <c r="N736" s="15" t="str">
        <f>IFERROR(__xludf.DUMMYFUNCTION("""COMPUTED_VALUE"""),"Antes Prazo")</f>
        <v>Antes Prazo</v>
      </c>
      <c r="O736" s="15" t="str">
        <f>IFERROR(__xludf.DUMMYFUNCTION("""COMPUTED_VALUE"""),"(não informada)")</f>
        <v>(não informada)</v>
      </c>
      <c r="P736" s="16">
        <f>IFERROR(__xludf.DUMMYFUNCTION("""COMPUTED_VALUE"""),162.9)</f>
        <v>162.9</v>
      </c>
      <c r="Q736" s="15">
        <f>IFERROR(__xludf.DUMMYFUNCTION("""COMPUTED_VALUE"""),1.0)</f>
        <v>1</v>
      </c>
      <c r="R736" s="15" t="str">
        <f>IFERROR(__xludf.DUMMYFUNCTION("""COMPUTED_VALUE"""),"RODO")</f>
        <v>RODO</v>
      </c>
      <c r="S736" s="15" t="str">
        <f>IFERROR(__xludf.DUMMYFUNCTION("""COMPUTED_VALUE"""),"ITN")</f>
        <v>ITN</v>
      </c>
      <c r="T736" s="15" t="str">
        <f>IFERROR(__xludf.DUMMYFUNCTION("""COMPUTED_VALUE"""),"1")</f>
        <v>1</v>
      </c>
      <c r="U736" s="15" t="str">
        <f>IFERROR(__xludf.DUMMYFUNCTION("""COMPUTED_VALUE"""),"266830486 55828 8177612 tatiane ferreira da silva discom bvb 1")</f>
        <v>266830486 55828 8177612 tatiane ferreira da silva discom bvb 1</v>
      </c>
      <c r="V736" s="15" t="b">
        <f>IFERROR(__xludf.DUMMYFUNCTION("""COMPUTED_VALUE"""),FALSE)</f>
        <v>0</v>
      </c>
    </row>
    <row r="737">
      <c r="A737" s="19">
        <f>IFERROR(__xludf.DUMMYFUNCTION("""COMPUTED_VALUE"""),46304.0)</f>
        <v>46304</v>
      </c>
      <c r="B737" s="19">
        <f>IFERROR(__xludf.DUMMYFUNCTION("""COMPUTED_VALUE"""),46311.0)</f>
        <v>46311</v>
      </c>
      <c r="C737" s="15">
        <f>IFERROR(__xludf.DUMMYFUNCTION("""COMPUTED_VALUE"""),4.0)</f>
        <v>4</v>
      </c>
      <c r="D737" s="15" t="str">
        <f>IFERROR(__xludf.DUMMYFUNCTION("""COMPUTED_VALUE"""),"FOR")</f>
        <v>FOR</v>
      </c>
      <c r="E737" s="15" t="str">
        <f>IFERROR(__xludf.DUMMYFUNCTION("""COMPUTED_VALUE"""),"DAG")</f>
        <v>DAG</v>
      </c>
      <c r="F737" s="15" t="str">
        <f>IFERROR(__xludf.DUMMYFUNCTION("""COMPUTED_VALUE"""),"DISCOM")</f>
        <v>DISCOM</v>
      </c>
      <c r="G737" s="15" t="str">
        <f>IFERROR(__xludf.DUMMYFUNCTION("""COMPUTED_VALUE"""),"266830490")</f>
        <v>266830490</v>
      </c>
      <c r="H737" s="15" t="str">
        <f>IFERROR(__xludf.DUMMYFUNCTION("""COMPUTED_VALUE"""),"55815")</f>
        <v>55815</v>
      </c>
      <c r="I737" s="15" t="str">
        <f>IFERROR(__xludf.DUMMYFUNCTION("""COMPUTED_VALUE"""),"8177593")</f>
        <v>8177593</v>
      </c>
      <c r="J737" s="15" t="str">
        <f>IFERROR(__xludf.DUMMYFUNCTION("""COMPUTED_VALUE"""),"CIF")</f>
        <v>CIF</v>
      </c>
      <c r="K737" s="15" t="str">
        <f>IFERROR(__xludf.DUMMYFUNCTION("""COMPUTED_VALUE"""),"FSA-1")</f>
        <v>FSA-1</v>
      </c>
      <c r="L737" s="15" t="str">
        <f>IFERROR(__xludf.DUMMYFUNCTION("""COMPUTED_VALUE"""),"AUTORIZADO")</f>
        <v>AUTORIZADO</v>
      </c>
      <c r="M737" s="15" t="str">
        <f>IFERROR(__xludf.DUMMYFUNCTION("""COMPUTED_VALUE"""),"NA ORIGEM")</f>
        <v>NA ORIGEM</v>
      </c>
      <c r="N737" s="15" t="str">
        <f>IFERROR(__xludf.DUMMYFUNCTION("""COMPUTED_VALUE"""),"Antes Prazo")</f>
        <v>Antes Prazo</v>
      </c>
      <c r="O737" s="15" t="str">
        <f>IFERROR(__xludf.DUMMYFUNCTION("""COMPUTED_VALUE"""),"(não informada)")</f>
        <v>(não informada)</v>
      </c>
      <c r="P737" s="16">
        <f>IFERROR(__xludf.DUMMYFUNCTION("""COMPUTED_VALUE"""),438.95)</f>
        <v>438.95</v>
      </c>
      <c r="Q737" s="15">
        <f>IFERROR(__xludf.DUMMYFUNCTION("""COMPUTED_VALUE"""),1.0)</f>
        <v>1</v>
      </c>
      <c r="R737" s="15" t="str">
        <f>IFERROR(__xludf.DUMMYFUNCTION("""COMPUTED_VALUE"""),"RODO")</f>
        <v>RODO</v>
      </c>
      <c r="S737" s="15" t="str">
        <f>IFERROR(__xludf.DUMMYFUNCTION("""COMPUTED_VALUE"""),"ITN")</f>
        <v>ITN</v>
      </c>
      <c r="T737" s="15" t="str">
        <f>IFERROR(__xludf.DUMMYFUNCTION("""COMPUTED_VALUE"""),"22")</f>
        <v>22</v>
      </c>
      <c r="U737" s="15" t="str">
        <f>IFERROR(__xludf.DUMMYFUNCTION("""COMPUTED_VALUE"""),"266830490 55815 8177593 dag discom for 22")</f>
        <v>266830490 55815 8177593 dag discom for 22</v>
      </c>
      <c r="V737" s="15" t="b">
        <f>IFERROR(__xludf.DUMMYFUNCTION("""COMPUTED_VALUE"""),FALSE)</f>
        <v>0</v>
      </c>
    </row>
    <row r="738">
      <c r="A738" s="19">
        <f>IFERROR(__xludf.DUMMYFUNCTION("""COMPUTED_VALUE"""),46304.0)</f>
        <v>46304</v>
      </c>
      <c r="B738" s="19">
        <f>IFERROR(__xludf.DUMMYFUNCTION("""COMPUTED_VALUE"""),46338.0)</f>
        <v>46338</v>
      </c>
      <c r="C738" s="15">
        <f>IFERROR(__xludf.DUMMYFUNCTION("""COMPUTED_VALUE"""),22.0)</f>
        <v>22</v>
      </c>
      <c r="D738" s="15" t="str">
        <f>IFERROR(__xludf.DUMMYFUNCTION("""COMPUTED_VALUE"""),"PVH")</f>
        <v>PVH</v>
      </c>
      <c r="E738" s="15" t="str">
        <f>IFERROR(__xludf.DUMMYFUNCTION("""COMPUTED_VALUE"""),"TOP BIJU ACESSORIOS E PRESENTES LTDA")</f>
        <v>TOP BIJU ACESSORIOS E PRESENTES LTDA</v>
      </c>
      <c r="F738" s="15" t="str">
        <f>IFERROR(__xludf.DUMMYFUNCTION("""COMPUTED_VALUE"""),"DISCOM")</f>
        <v>DISCOM</v>
      </c>
      <c r="G738" s="15" t="str">
        <f>IFERROR(__xludf.DUMMYFUNCTION("""COMPUTED_VALUE"""),"266830493")</f>
        <v>266830493</v>
      </c>
      <c r="H738" s="15" t="str">
        <f>IFERROR(__xludf.DUMMYFUNCTION("""COMPUTED_VALUE"""),"55808")</f>
        <v>55808</v>
      </c>
      <c r="I738" s="15" t="str">
        <f>IFERROR(__xludf.DUMMYFUNCTION("""COMPUTED_VALUE"""),"8177594")</f>
        <v>8177594</v>
      </c>
      <c r="J738" s="15" t="str">
        <f>IFERROR(__xludf.DUMMYFUNCTION("""COMPUTED_VALUE"""),"CIF")</f>
        <v>CIF</v>
      </c>
      <c r="K738" s="15" t="str">
        <f>IFERROR(__xludf.DUMMYFUNCTION("""COMPUTED_VALUE"""),"(sem célula)")</f>
        <v>(sem célula)</v>
      </c>
      <c r="L738" s="15" t="str">
        <f>IFERROR(__xludf.DUMMYFUNCTION("""COMPUTED_VALUE"""),"AUTORIZADO")</f>
        <v>AUTORIZADO</v>
      </c>
      <c r="M738" s="15" t="str">
        <f>IFERROR(__xludf.DUMMYFUNCTION("""COMPUTED_VALUE"""),"NA ORIGEM")</f>
        <v>NA ORIGEM</v>
      </c>
      <c r="N738" s="15" t="str">
        <f>IFERROR(__xludf.DUMMYFUNCTION("""COMPUTED_VALUE"""),"Antes Prazo")</f>
        <v>Antes Prazo</v>
      </c>
      <c r="O738" s="15" t="str">
        <f>IFERROR(__xludf.DUMMYFUNCTION("""COMPUTED_VALUE"""),"(não informada)")</f>
        <v>(não informada)</v>
      </c>
      <c r="P738" s="16">
        <f>IFERROR(__xludf.DUMMYFUNCTION("""COMPUTED_VALUE"""),230.56)</f>
        <v>230.56</v>
      </c>
      <c r="Q738" s="15">
        <f>IFERROR(__xludf.DUMMYFUNCTION("""COMPUTED_VALUE"""),1.0)</f>
        <v>1</v>
      </c>
      <c r="R738" s="15" t="str">
        <f>IFERROR(__xludf.DUMMYFUNCTION("""COMPUTED_VALUE"""),"RODO")</f>
        <v>RODO</v>
      </c>
      <c r="S738" s="15" t="str">
        <f>IFERROR(__xludf.DUMMYFUNCTION("""COMPUTED_VALUE"""),"ITN")</f>
        <v>ITN</v>
      </c>
      <c r="T738" s="15" t="str">
        <f>IFERROR(__xludf.DUMMYFUNCTION("""COMPUTED_VALUE"""),"7")</f>
        <v>7</v>
      </c>
      <c r="U738" s="15" t="str">
        <f>IFERROR(__xludf.DUMMYFUNCTION("""COMPUTED_VALUE"""),"266830493 55808 8177594 top biju acessorios e presentes ltda discom pvh 7")</f>
        <v>266830493 55808 8177594 top biju acessorios e presentes ltda discom pvh 7</v>
      </c>
      <c r="V738" s="15" t="b">
        <f>IFERROR(__xludf.DUMMYFUNCTION("""COMPUTED_VALUE"""),FALSE)</f>
        <v>0</v>
      </c>
    </row>
    <row r="739">
      <c r="A739" s="19">
        <f>IFERROR(__xludf.DUMMYFUNCTION("""COMPUTED_VALUE"""),46304.0)</f>
        <v>46304</v>
      </c>
      <c r="B739" s="19">
        <f>IFERROR(__xludf.DUMMYFUNCTION("""COMPUTED_VALUE"""),46311.0)</f>
        <v>46311</v>
      </c>
      <c r="C739" s="15">
        <f>IFERROR(__xludf.DUMMYFUNCTION("""COMPUTED_VALUE"""),4.0)</f>
        <v>4</v>
      </c>
      <c r="D739" s="15" t="str">
        <f>IFERROR(__xludf.DUMMYFUNCTION("""COMPUTED_VALUE"""),"SSA")</f>
        <v>SSA</v>
      </c>
      <c r="E739" s="15" t="str">
        <f>IFERROR(__xludf.DUMMYFUNCTION("""COMPUTED_VALUE"""),"FRANCIS BARBARA FERREIRA FREIRE")</f>
        <v>FRANCIS BARBARA FERREIRA FREIRE</v>
      </c>
      <c r="F739" s="15" t="str">
        <f>IFERROR(__xludf.DUMMYFUNCTION("""COMPUTED_VALUE"""),"DISCOM")</f>
        <v>DISCOM</v>
      </c>
      <c r="G739" s="15" t="str">
        <f>IFERROR(__xludf.DUMMYFUNCTION("""COMPUTED_VALUE"""),"266830496")</f>
        <v>266830496</v>
      </c>
      <c r="H739" s="15" t="str">
        <f>IFERROR(__xludf.DUMMYFUNCTION("""COMPUTED_VALUE"""),"55820")</f>
        <v>55820</v>
      </c>
      <c r="I739" s="15" t="str">
        <f>IFERROR(__xludf.DUMMYFUNCTION("""COMPUTED_VALUE"""),"8177595")</f>
        <v>8177595</v>
      </c>
      <c r="J739" s="15" t="str">
        <f>IFERROR(__xludf.DUMMYFUNCTION("""COMPUTED_VALUE"""),"CIF")</f>
        <v>CIF</v>
      </c>
      <c r="K739" s="15" t="str">
        <f>IFERROR(__xludf.DUMMYFUNCTION("""COMPUTED_VALUE"""),"FSA-1")</f>
        <v>FSA-1</v>
      </c>
      <c r="L739" s="15" t="str">
        <f>IFERROR(__xludf.DUMMYFUNCTION("""COMPUTED_VALUE"""),"AUTORIZADO")</f>
        <v>AUTORIZADO</v>
      </c>
      <c r="M739" s="15" t="str">
        <f>IFERROR(__xludf.DUMMYFUNCTION("""COMPUTED_VALUE"""),"NA ORIGEM")</f>
        <v>NA ORIGEM</v>
      </c>
      <c r="N739" s="15" t="str">
        <f>IFERROR(__xludf.DUMMYFUNCTION("""COMPUTED_VALUE"""),"Antes Prazo")</f>
        <v>Antes Prazo</v>
      </c>
      <c r="O739" s="15" t="str">
        <f>IFERROR(__xludf.DUMMYFUNCTION("""COMPUTED_VALUE"""),"(não informada)")</f>
        <v>(não informada)</v>
      </c>
      <c r="P739" s="16">
        <f>IFERROR(__xludf.DUMMYFUNCTION("""COMPUTED_VALUE"""),120.34)</f>
        <v>120.34</v>
      </c>
      <c r="Q739" s="15">
        <f>IFERROR(__xludf.DUMMYFUNCTION("""COMPUTED_VALUE"""),1.0)</f>
        <v>1</v>
      </c>
      <c r="R739" s="15" t="str">
        <f>IFERROR(__xludf.DUMMYFUNCTION("""COMPUTED_VALUE"""),"RODO")</f>
        <v>RODO</v>
      </c>
      <c r="S739" s="15" t="str">
        <f>IFERROR(__xludf.DUMMYFUNCTION("""COMPUTED_VALUE"""),"ITN")</f>
        <v>ITN</v>
      </c>
      <c r="T739" s="15" t="str">
        <f>IFERROR(__xludf.DUMMYFUNCTION("""COMPUTED_VALUE"""),"104")</f>
        <v>104</v>
      </c>
      <c r="U739" s="15" t="str">
        <f>IFERROR(__xludf.DUMMYFUNCTION("""COMPUTED_VALUE"""),"266830496 55820 8177595 francis barbara ferreira freire discom ssa 104")</f>
        <v>266830496 55820 8177595 francis barbara ferreira freire discom ssa 104</v>
      </c>
      <c r="V739" s="15" t="b">
        <f>IFERROR(__xludf.DUMMYFUNCTION("""COMPUTED_VALUE"""),FALSE)</f>
        <v>0</v>
      </c>
    </row>
    <row r="740">
      <c r="A740" s="19">
        <f>IFERROR(__xludf.DUMMYFUNCTION("""COMPUTED_VALUE"""),46304.0)</f>
        <v>46304</v>
      </c>
      <c r="B740" s="19">
        <f>IFERROR(__xludf.DUMMYFUNCTION("""COMPUTED_VALUE"""),46314.0)</f>
        <v>46314</v>
      </c>
      <c r="C740" s="15">
        <f>IFERROR(__xludf.DUMMYFUNCTION("""COMPUTED_VALUE"""),5.0)</f>
        <v>5</v>
      </c>
      <c r="D740" s="15" t="str">
        <f>IFERROR(__xludf.DUMMYFUNCTION("""COMPUTED_VALUE"""),"DIQ")</f>
        <v>DIQ</v>
      </c>
      <c r="E740" s="15" t="str">
        <f>IFERROR(__xludf.DUMMYFUNCTION("""COMPUTED_VALUE"""),"DOUGLAS MATHEUS MAIA")</f>
        <v>DOUGLAS MATHEUS MAIA</v>
      </c>
      <c r="F740" s="15" t="str">
        <f>IFERROR(__xludf.DUMMYFUNCTION("""COMPUTED_VALUE"""),"DISCOM")</f>
        <v>DISCOM</v>
      </c>
      <c r="G740" s="15" t="str">
        <f>IFERROR(__xludf.DUMMYFUNCTION("""COMPUTED_VALUE"""),"266830500")</f>
        <v>266830500</v>
      </c>
      <c r="H740" s="15" t="str">
        <f>IFERROR(__xludf.DUMMYFUNCTION("""COMPUTED_VALUE"""),"55823")</f>
        <v>55823</v>
      </c>
      <c r="I740" s="15" t="str">
        <f>IFERROR(__xludf.DUMMYFUNCTION("""COMPUTED_VALUE"""),"8177604")</f>
        <v>8177604</v>
      </c>
      <c r="J740" s="15" t="str">
        <f>IFERROR(__xludf.DUMMYFUNCTION("""COMPUTED_VALUE"""),"CIF")</f>
        <v>CIF</v>
      </c>
      <c r="K740" s="15" t="str">
        <f>IFERROR(__xludf.DUMMYFUNCTION("""COMPUTED_VALUE"""),"(sem célula)")</f>
        <v>(sem célula)</v>
      </c>
      <c r="L740" s="15" t="str">
        <f>IFERROR(__xludf.DUMMYFUNCTION("""COMPUTED_VALUE"""),"AUTORIZADO")</f>
        <v>AUTORIZADO</v>
      </c>
      <c r="M740" s="15" t="str">
        <f>IFERROR(__xludf.DUMMYFUNCTION("""COMPUTED_VALUE"""),"NA ORIGEM")</f>
        <v>NA ORIGEM</v>
      </c>
      <c r="N740" s="15" t="str">
        <f>IFERROR(__xludf.DUMMYFUNCTION("""COMPUTED_VALUE"""),"Antes Prazo")</f>
        <v>Antes Prazo</v>
      </c>
      <c r="O740" s="15" t="str">
        <f>IFERROR(__xludf.DUMMYFUNCTION("""COMPUTED_VALUE"""),"(não informada)")</f>
        <v>(não informada)</v>
      </c>
      <c r="P740" s="16">
        <f>IFERROR(__xludf.DUMMYFUNCTION("""COMPUTED_VALUE"""),35.9)</f>
        <v>35.9</v>
      </c>
      <c r="Q740" s="15">
        <f>IFERROR(__xludf.DUMMYFUNCTION("""COMPUTED_VALUE"""),1.0)</f>
        <v>1</v>
      </c>
      <c r="R740" s="15" t="str">
        <f>IFERROR(__xludf.DUMMYFUNCTION("""COMPUTED_VALUE"""),"RODO")</f>
        <v>RODO</v>
      </c>
      <c r="S740" s="15" t="str">
        <f>IFERROR(__xludf.DUMMYFUNCTION("""COMPUTED_VALUE"""),"ITN")</f>
        <v>ITN</v>
      </c>
      <c r="T740" s="15" t="str">
        <f>IFERROR(__xludf.DUMMYFUNCTION("""COMPUTED_VALUE"""),"2")</f>
        <v>2</v>
      </c>
      <c r="U740" s="15" t="str">
        <f>IFERROR(__xludf.DUMMYFUNCTION("""COMPUTED_VALUE"""),"266830500 55823 8177604 douglas matheus maia discom diq 2")</f>
        <v>266830500 55823 8177604 douglas matheus maia discom diq 2</v>
      </c>
      <c r="V740" s="15" t="b">
        <f>IFERROR(__xludf.DUMMYFUNCTION("""COMPUTED_VALUE"""),FALSE)</f>
        <v>0</v>
      </c>
    </row>
    <row r="741">
      <c r="A741" s="19">
        <f>IFERROR(__xludf.DUMMYFUNCTION("""COMPUTED_VALUE"""),46304.0)</f>
        <v>46304</v>
      </c>
      <c r="B741" s="19">
        <f>IFERROR(__xludf.DUMMYFUNCTION("""COMPUTED_VALUE"""),46324.0)</f>
        <v>46324</v>
      </c>
      <c r="C741" s="15">
        <f>IFERROR(__xludf.DUMMYFUNCTION("""COMPUTED_VALUE"""),13.0)</f>
        <v>13</v>
      </c>
      <c r="D741" s="15" t="str">
        <f>IFERROR(__xludf.DUMMYFUNCTION("""COMPUTED_VALUE"""),"PMW")</f>
        <v>PMW</v>
      </c>
      <c r="E741" s="15" t="str">
        <f>IFERROR(__xludf.DUMMYFUNCTION("""COMPUTED_VALUE"""),"KASSIMILA DOS SANTOS SILVA")</f>
        <v>KASSIMILA DOS SANTOS SILVA</v>
      </c>
      <c r="F741" s="15" t="str">
        <f>IFERROR(__xludf.DUMMYFUNCTION("""COMPUTED_VALUE"""),"DISCOM")</f>
        <v>DISCOM</v>
      </c>
      <c r="G741" s="15" t="str">
        <f>IFERROR(__xludf.DUMMYFUNCTION("""COMPUTED_VALUE"""),"266830503")</f>
        <v>266830503</v>
      </c>
      <c r="H741" s="15" t="str">
        <f>IFERROR(__xludf.DUMMYFUNCTION("""COMPUTED_VALUE"""),"55825")</f>
        <v>55825</v>
      </c>
      <c r="I741" s="15" t="str">
        <f>IFERROR(__xludf.DUMMYFUNCTION("""COMPUTED_VALUE"""),"8177613")</f>
        <v>8177613</v>
      </c>
      <c r="J741" s="15" t="str">
        <f>IFERROR(__xludf.DUMMYFUNCTION("""COMPUTED_VALUE"""),"CIF")</f>
        <v>CIF</v>
      </c>
      <c r="K741" s="15" t="str">
        <f>IFERROR(__xludf.DUMMYFUNCTION("""COMPUTED_VALUE"""),"(sem célula)")</f>
        <v>(sem célula)</v>
      </c>
      <c r="L741" s="15" t="str">
        <f>IFERROR(__xludf.DUMMYFUNCTION("""COMPUTED_VALUE"""),"AUTORIZADO")</f>
        <v>AUTORIZADO</v>
      </c>
      <c r="M741" s="15" t="str">
        <f>IFERROR(__xludf.DUMMYFUNCTION("""COMPUTED_VALUE"""),"NA ORIGEM")</f>
        <v>NA ORIGEM</v>
      </c>
      <c r="N741" s="15" t="str">
        <f>IFERROR(__xludf.DUMMYFUNCTION("""COMPUTED_VALUE"""),"Antes Prazo")</f>
        <v>Antes Prazo</v>
      </c>
      <c r="O741" s="15" t="str">
        <f>IFERROR(__xludf.DUMMYFUNCTION("""COMPUTED_VALUE"""),"(não informada)")</f>
        <v>(não informada)</v>
      </c>
      <c r="P741" s="16">
        <f>IFERROR(__xludf.DUMMYFUNCTION("""COMPUTED_VALUE"""),170.29)</f>
        <v>170.29</v>
      </c>
      <c r="Q741" s="15">
        <f>IFERROR(__xludf.DUMMYFUNCTION("""COMPUTED_VALUE"""),1.0)</f>
        <v>1</v>
      </c>
      <c r="R741" s="15" t="str">
        <f>IFERROR(__xludf.DUMMYFUNCTION("""COMPUTED_VALUE"""),"RODO")</f>
        <v>RODO</v>
      </c>
      <c r="S741" s="15" t="str">
        <f>IFERROR(__xludf.DUMMYFUNCTION("""COMPUTED_VALUE"""),"ITN")</f>
        <v>ITN</v>
      </c>
      <c r="T741" s="15" t="str">
        <f>IFERROR(__xludf.DUMMYFUNCTION("""COMPUTED_VALUE"""),"104")</f>
        <v>104</v>
      </c>
      <c r="U741" s="15" t="str">
        <f>IFERROR(__xludf.DUMMYFUNCTION("""COMPUTED_VALUE"""),"266830503 55825 8177613 kassimila dos santos silva discom pmw 104")</f>
        <v>266830503 55825 8177613 kassimila dos santos silva discom pmw 104</v>
      </c>
      <c r="V741" s="15" t="b">
        <f>IFERROR(__xludf.DUMMYFUNCTION("""COMPUTED_VALUE"""),FALSE)</f>
        <v>0</v>
      </c>
    </row>
    <row r="742">
      <c r="A742" s="19">
        <f>IFERROR(__xludf.DUMMYFUNCTION("""COMPUTED_VALUE"""),46304.0)</f>
        <v>46304</v>
      </c>
      <c r="B742" s="19">
        <f>IFERROR(__xludf.DUMMYFUNCTION("""COMPUTED_VALUE"""),46315.0)</f>
        <v>46315</v>
      </c>
      <c r="C742" s="15">
        <f>IFERROR(__xludf.DUMMYFUNCTION("""COMPUTED_VALUE"""),6.0)</f>
        <v>6</v>
      </c>
      <c r="D742" s="15" t="str">
        <f>IFERROR(__xludf.DUMMYFUNCTION("""COMPUTED_VALUE"""),"SJK")</f>
        <v>SJK</v>
      </c>
      <c r="E742" s="15" t="str">
        <f>IFERROR(__xludf.DUMMYFUNCTION("""COMPUTED_VALUE"""),"VITORIA RAYSSA COSTA OLIVEIRA")</f>
        <v>VITORIA RAYSSA COSTA OLIVEIRA</v>
      </c>
      <c r="F742" s="15" t="str">
        <f>IFERROR(__xludf.DUMMYFUNCTION("""COMPUTED_VALUE"""),"DISCOM")</f>
        <v>DISCOM</v>
      </c>
      <c r="G742" s="15" t="str">
        <f>IFERROR(__xludf.DUMMYFUNCTION("""COMPUTED_VALUE"""),"266830505")</f>
        <v>266830505</v>
      </c>
      <c r="H742" s="15" t="str">
        <f>IFERROR(__xludf.DUMMYFUNCTION("""COMPUTED_VALUE"""),"55827")</f>
        <v>55827</v>
      </c>
      <c r="I742" s="15" t="str">
        <f>IFERROR(__xludf.DUMMYFUNCTION("""COMPUTED_VALUE"""),"8177614")</f>
        <v>8177614</v>
      </c>
      <c r="J742" s="15" t="str">
        <f>IFERROR(__xludf.DUMMYFUNCTION("""COMPUTED_VALUE"""),"CIF")</f>
        <v>CIF</v>
      </c>
      <c r="K742" s="15" t="str">
        <f>IFERROR(__xludf.DUMMYFUNCTION("""COMPUTED_VALUE"""),"(sem célula)")</f>
        <v>(sem célula)</v>
      </c>
      <c r="L742" s="15" t="str">
        <f>IFERROR(__xludf.DUMMYFUNCTION("""COMPUTED_VALUE"""),"AUTORIZADO")</f>
        <v>AUTORIZADO</v>
      </c>
      <c r="M742" s="15" t="str">
        <f>IFERROR(__xludf.DUMMYFUNCTION("""COMPUTED_VALUE"""),"NA ORIGEM")</f>
        <v>NA ORIGEM</v>
      </c>
      <c r="N742" s="15" t="str">
        <f>IFERROR(__xludf.DUMMYFUNCTION("""COMPUTED_VALUE"""),"Antes Prazo")</f>
        <v>Antes Prazo</v>
      </c>
      <c r="O742" s="15" t="str">
        <f>IFERROR(__xludf.DUMMYFUNCTION("""COMPUTED_VALUE"""),"(não informada)")</f>
        <v>(não informada)</v>
      </c>
      <c r="P742" s="16">
        <f>IFERROR(__xludf.DUMMYFUNCTION("""COMPUTED_VALUE"""),40.97)</f>
        <v>40.97</v>
      </c>
      <c r="Q742" s="15">
        <f>IFERROR(__xludf.DUMMYFUNCTION("""COMPUTED_VALUE"""),1.0)</f>
        <v>1</v>
      </c>
      <c r="R742" s="15" t="str">
        <f>IFERROR(__xludf.DUMMYFUNCTION("""COMPUTED_VALUE"""),"RODO")</f>
        <v>RODO</v>
      </c>
      <c r="S742" s="15" t="str">
        <f>IFERROR(__xludf.DUMMYFUNCTION("""COMPUTED_VALUE"""),"ITN")</f>
        <v>ITN</v>
      </c>
      <c r="T742" s="15" t="str">
        <f>IFERROR(__xludf.DUMMYFUNCTION("""COMPUTED_VALUE"""),"105")</f>
        <v>105</v>
      </c>
      <c r="U742" s="15" t="str">
        <f>IFERROR(__xludf.DUMMYFUNCTION("""COMPUTED_VALUE"""),"266830505 55827 8177614 vitoria rayssa costa oliveira discom sjk 105")</f>
        <v>266830505 55827 8177614 vitoria rayssa costa oliveira discom sjk 105</v>
      </c>
      <c r="V742" s="15" t="b">
        <f>IFERROR(__xludf.DUMMYFUNCTION("""COMPUTED_VALUE"""),FALSE)</f>
        <v>0</v>
      </c>
    </row>
    <row r="743">
      <c r="A743" s="19">
        <f>IFERROR(__xludf.DUMMYFUNCTION("""COMPUTED_VALUE"""),46304.0)</f>
        <v>46304</v>
      </c>
      <c r="B743" s="19">
        <f>IFERROR(__xludf.DUMMYFUNCTION("""COMPUTED_VALUE"""),46317.0)</f>
        <v>46317</v>
      </c>
      <c r="C743" s="15">
        <f>IFERROR(__xludf.DUMMYFUNCTION("""COMPUTED_VALUE"""),8.0)</f>
        <v>8</v>
      </c>
      <c r="D743" s="15" t="str">
        <f>IFERROR(__xludf.DUMMYFUNCTION("""COMPUTED_VALUE"""),"MSS")</f>
        <v>MSS</v>
      </c>
      <c r="E743" s="15" t="str">
        <f>IFERROR(__xludf.DUMMYFUNCTION("""COMPUTED_VALUE"""),"YOLANDA SOUZA")</f>
        <v>YOLANDA SOUZA</v>
      </c>
      <c r="F743" s="15" t="str">
        <f>IFERROR(__xludf.DUMMYFUNCTION("""COMPUTED_VALUE"""),"DISCOM")</f>
        <v>DISCOM</v>
      </c>
      <c r="G743" s="15" t="str">
        <f>IFERROR(__xludf.DUMMYFUNCTION("""COMPUTED_VALUE"""),"266830507")</f>
        <v>266830507</v>
      </c>
      <c r="H743" s="15" t="str">
        <f>IFERROR(__xludf.DUMMYFUNCTION("""COMPUTED_VALUE"""),"55824")</f>
        <v>55824</v>
      </c>
      <c r="I743" s="15" t="str">
        <f>IFERROR(__xludf.DUMMYFUNCTION("""COMPUTED_VALUE"""),"8177605")</f>
        <v>8177605</v>
      </c>
      <c r="J743" s="15" t="str">
        <f>IFERROR(__xludf.DUMMYFUNCTION("""COMPUTED_VALUE"""),"CIF")</f>
        <v>CIF</v>
      </c>
      <c r="K743" s="15" t="str">
        <f>IFERROR(__xludf.DUMMYFUNCTION("""COMPUTED_VALUE"""),"(sem célula)")</f>
        <v>(sem célula)</v>
      </c>
      <c r="L743" s="15" t="str">
        <f>IFERROR(__xludf.DUMMYFUNCTION("""COMPUTED_VALUE"""),"AUTORIZADO")</f>
        <v>AUTORIZADO</v>
      </c>
      <c r="M743" s="15" t="str">
        <f>IFERROR(__xludf.DUMMYFUNCTION("""COMPUTED_VALUE"""),"NA ORIGEM")</f>
        <v>NA ORIGEM</v>
      </c>
      <c r="N743" s="15" t="str">
        <f>IFERROR(__xludf.DUMMYFUNCTION("""COMPUTED_VALUE"""),"Antes Prazo")</f>
        <v>Antes Prazo</v>
      </c>
      <c r="O743" s="15" t="str">
        <f>IFERROR(__xludf.DUMMYFUNCTION("""COMPUTED_VALUE"""),"(não informada)")</f>
        <v>(não informada)</v>
      </c>
      <c r="P743" s="16">
        <f>IFERROR(__xludf.DUMMYFUNCTION("""COMPUTED_VALUE"""),50.06)</f>
        <v>50.06</v>
      </c>
      <c r="Q743" s="15">
        <f>IFERROR(__xludf.DUMMYFUNCTION("""COMPUTED_VALUE"""),1.0)</f>
        <v>1</v>
      </c>
      <c r="R743" s="15" t="str">
        <f>IFERROR(__xludf.DUMMYFUNCTION("""COMPUTED_VALUE"""),"RODO")</f>
        <v>RODO</v>
      </c>
      <c r="S743" s="15" t="str">
        <f>IFERROR(__xludf.DUMMYFUNCTION("""COMPUTED_VALUE"""),"ITN")</f>
        <v>ITN</v>
      </c>
      <c r="T743" s="15" t="str">
        <f>IFERROR(__xludf.DUMMYFUNCTION("""COMPUTED_VALUE"""),"6")</f>
        <v>6</v>
      </c>
      <c r="U743" s="15" t="str">
        <f>IFERROR(__xludf.DUMMYFUNCTION("""COMPUTED_VALUE"""),"266830507 55824 8177605 yolanda souza discom mss 6")</f>
        <v>266830507 55824 8177605 yolanda souza discom mss 6</v>
      </c>
      <c r="V743" s="15" t="b">
        <f>IFERROR(__xludf.DUMMYFUNCTION("""COMPUTED_VALUE"""),FALSE)</f>
        <v>0</v>
      </c>
    </row>
    <row r="744">
      <c r="A744" s="19">
        <f>IFERROR(__xludf.DUMMYFUNCTION("""COMPUTED_VALUE"""),46304.0)</f>
        <v>46304</v>
      </c>
      <c r="B744" s="19">
        <f>IFERROR(__xludf.DUMMYFUNCTION("""COMPUTED_VALUE"""),46317.0)</f>
        <v>46317</v>
      </c>
      <c r="C744" s="15">
        <f>IFERROR(__xludf.DUMMYFUNCTION("""COMPUTED_VALUE"""),8.0)</f>
        <v>8</v>
      </c>
      <c r="D744" s="15" t="str">
        <f>IFERROR(__xludf.DUMMYFUNCTION("""COMPUTED_VALUE"""),"MSS")</f>
        <v>MSS</v>
      </c>
      <c r="E744" s="15" t="str">
        <f>IFERROR(__xludf.DUMMYFUNCTION("""COMPUTED_VALUE"""),"MARIA EDUARDA ALVES CLEMENTE")</f>
        <v>MARIA EDUARDA ALVES CLEMENTE</v>
      </c>
      <c r="F744" s="15" t="str">
        <f>IFERROR(__xludf.DUMMYFUNCTION("""COMPUTED_VALUE"""),"DISCOM")</f>
        <v>DISCOM</v>
      </c>
      <c r="G744" s="15" t="str">
        <f>IFERROR(__xludf.DUMMYFUNCTION("""COMPUTED_VALUE"""),"266831434")</f>
        <v>266831434</v>
      </c>
      <c r="H744" s="15" t="str">
        <f>IFERROR(__xludf.DUMMYFUNCTION("""COMPUTED_VALUE"""),"55809")</f>
        <v>55809</v>
      </c>
      <c r="I744" s="15" t="str">
        <f>IFERROR(__xludf.DUMMYFUNCTION("""COMPUTED_VALUE"""),"8177587")</f>
        <v>8177587</v>
      </c>
      <c r="J744" s="15" t="str">
        <f>IFERROR(__xludf.DUMMYFUNCTION("""COMPUTED_VALUE"""),"CIF")</f>
        <v>CIF</v>
      </c>
      <c r="K744" s="15" t="str">
        <f>IFERROR(__xludf.DUMMYFUNCTION("""COMPUTED_VALUE"""),"(sem célula)")</f>
        <v>(sem célula)</v>
      </c>
      <c r="L744" s="15" t="str">
        <f>IFERROR(__xludf.DUMMYFUNCTION("""COMPUTED_VALUE"""),"AUTORIZADO")</f>
        <v>AUTORIZADO</v>
      </c>
      <c r="M744" s="15" t="str">
        <f>IFERROR(__xludf.DUMMYFUNCTION("""COMPUTED_VALUE"""),"NA ORIGEM")</f>
        <v>NA ORIGEM</v>
      </c>
      <c r="N744" s="15" t="str">
        <f>IFERROR(__xludf.DUMMYFUNCTION("""COMPUTED_VALUE"""),"Antes Prazo")</f>
        <v>Antes Prazo</v>
      </c>
      <c r="O744" s="15" t="str">
        <f>IFERROR(__xludf.DUMMYFUNCTION("""COMPUTED_VALUE"""),"(não informada)")</f>
        <v>(não informada)</v>
      </c>
      <c r="P744" s="16">
        <f>IFERROR(__xludf.DUMMYFUNCTION("""COMPUTED_VALUE"""),105.95)</f>
        <v>105.95</v>
      </c>
      <c r="Q744" s="15">
        <f>IFERROR(__xludf.DUMMYFUNCTION("""COMPUTED_VALUE"""),2.0)</f>
        <v>2</v>
      </c>
      <c r="R744" s="15" t="str">
        <f>IFERROR(__xludf.DUMMYFUNCTION("""COMPUTED_VALUE"""),"RODO")</f>
        <v>RODO</v>
      </c>
      <c r="S744" s="15" t="str">
        <f>IFERROR(__xludf.DUMMYFUNCTION("""COMPUTED_VALUE"""),"ITN")</f>
        <v>ITN</v>
      </c>
      <c r="T744" s="15" t="str">
        <f>IFERROR(__xludf.DUMMYFUNCTION("""COMPUTED_VALUE"""),"9")</f>
        <v>9</v>
      </c>
      <c r="U744" s="15" t="str">
        <f>IFERROR(__xludf.DUMMYFUNCTION("""COMPUTED_VALUE"""),"266831434 55809 8177587 maria eduarda alves clemente discom mss 9")</f>
        <v>266831434 55809 8177587 maria eduarda alves clemente discom mss 9</v>
      </c>
      <c r="V744" s="15" t="b">
        <f>IFERROR(__xludf.DUMMYFUNCTION("""COMPUTED_VALUE"""),FALSE)</f>
        <v>0</v>
      </c>
    </row>
    <row r="745">
      <c r="A745" s="19">
        <f>IFERROR(__xludf.DUMMYFUNCTION("""COMPUTED_VALUE"""),46304.0)</f>
        <v>46304</v>
      </c>
      <c r="B745" s="19">
        <f>IFERROR(__xludf.DUMMYFUNCTION("""COMPUTED_VALUE"""),46316.0)</f>
        <v>46316</v>
      </c>
      <c r="C745" s="15">
        <f>IFERROR(__xludf.DUMMYFUNCTION("""COMPUTED_VALUE"""),7.0)</f>
        <v>7</v>
      </c>
      <c r="D745" s="15" t="str">
        <f>IFERROR(__xludf.DUMMYFUNCTION("""COMPUTED_VALUE"""),"SOD")</f>
        <v>SOD</v>
      </c>
      <c r="E745" s="15" t="str">
        <f>IFERROR(__xludf.DUMMYFUNCTION("""COMPUTED_VALUE"""),"IPANEMA IND. PROD. VETERINARIOS LTDA")</f>
        <v>IPANEMA IND. PROD. VETERINARIOS LTDA</v>
      </c>
      <c r="F745" s="15" t="str">
        <f>IFERROR(__xludf.DUMMYFUNCTION("""COMPUTED_VALUE"""),"BAHIAFLEX ETIQUETAS E ROTULOS")</f>
        <v>BAHIAFLEX ETIQUETAS E ROTULOS</v>
      </c>
      <c r="G745" s="15" t="str">
        <f>IFERROR(__xludf.DUMMYFUNCTION("""COMPUTED_VALUE"""),"266832298")</f>
        <v>266832298</v>
      </c>
      <c r="H745" s="15" t="str">
        <f>IFERROR(__xludf.DUMMYFUNCTION("""COMPUTED_VALUE"""),"11092")</f>
        <v>11092</v>
      </c>
      <c r="I745" s="15" t="str">
        <f>IFERROR(__xludf.DUMMYFUNCTION("""COMPUTED_VALUE"""),"0")</f>
        <v>0</v>
      </c>
      <c r="J745" s="15" t="str">
        <f>IFERROR(__xludf.DUMMYFUNCTION("""COMPUTED_VALUE"""),"CIF")</f>
        <v>CIF</v>
      </c>
      <c r="K745" s="15" t="str">
        <f>IFERROR(__xludf.DUMMYFUNCTION("""COMPUTED_VALUE"""),"(sem célula)")</f>
        <v>(sem célula)</v>
      </c>
      <c r="L745" s="15" t="str">
        <f>IFERROR(__xludf.DUMMYFUNCTION("""COMPUTED_VALUE"""),"SEM CT-E")</f>
        <v>SEM CT-E</v>
      </c>
      <c r="M745" s="15" t="str">
        <f>IFERROR(__xludf.DUMMYFUNCTION("""COMPUTED_VALUE"""),"NA ORIGEM")</f>
        <v>NA ORIGEM</v>
      </c>
      <c r="N745" s="15" t="str">
        <f>IFERROR(__xludf.DUMMYFUNCTION("""COMPUTED_VALUE"""),"Antes Prazo")</f>
        <v>Antes Prazo</v>
      </c>
      <c r="O745" s="15" t="str">
        <f>IFERROR(__xludf.DUMMYFUNCTION("""COMPUTED_VALUE"""),"(não informada)")</f>
        <v>(não informada)</v>
      </c>
      <c r="P745" s="16">
        <f>IFERROR(__xludf.DUMMYFUNCTION("""COMPUTED_VALUE"""),338.31)</f>
        <v>338.31</v>
      </c>
      <c r="Q745" s="15">
        <f>IFERROR(__xludf.DUMMYFUNCTION("""COMPUTED_VALUE"""),1.0)</f>
        <v>1</v>
      </c>
      <c r="R745" s="15" t="str">
        <f>IFERROR(__xludf.DUMMYFUNCTION("""COMPUTED_VALUE"""),"RODO")</f>
        <v>RODO</v>
      </c>
      <c r="S745" s="15" t="str">
        <f>IFERROR(__xludf.DUMMYFUNCTION("""COMPUTED_VALUE"""),"ITN")</f>
        <v>ITN</v>
      </c>
      <c r="T745" s="15" t="str">
        <f>IFERROR(__xludf.DUMMYFUNCTION("""COMPUTED_VALUE"""),"116")</f>
        <v>116</v>
      </c>
      <c r="U745" s="15" t="str">
        <f>IFERROR(__xludf.DUMMYFUNCTION("""COMPUTED_VALUE"""),"266832298 11092 0 ipanema ind. prod. veterinarios ltda bahiaflex etiquetas e rotulos sod 116")</f>
        <v>266832298 11092 0 ipanema ind. prod. veterinarios ltda bahiaflex etiquetas e rotulos sod 116</v>
      </c>
      <c r="V745" s="15" t="b">
        <f>IFERROR(__xludf.DUMMYFUNCTION("""COMPUTED_VALUE"""),FALSE)</f>
        <v>0</v>
      </c>
    </row>
    <row r="746">
      <c r="A746" s="19">
        <f>IFERROR(__xludf.DUMMYFUNCTION("""COMPUTED_VALUE"""),46304.0)</f>
        <v>46304</v>
      </c>
      <c r="B746" s="19">
        <f>IFERROR(__xludf.DUMMYFUNCTION("""COMPUTED_VALUE"""),46314.0)</f>
        <v>46314</v>
      </c>
      <c r="C746" s="15">
        <f>IFERROR(__xludf.DUMMYFUNCTION("""COMPUTED_VALUE"""),5.0)</f>
        <v>5</v>
      </c>
      <c r="D746" s="15" t="str">
        <f>IFERROR(__xludf.DUMMYFUNCTION("""COMPUTED_VALUE"""),"RIO")</f>
        <v>RIO</v>
      </c>
      <c r="E746" s="15" t="str">
        <f>IFERROR(__xludf.DUMMYFUNCTION("""COMPUTED_VALUE"""),"CIDADE MARAVILHOSA INDUSTRIA E COMERCIO")</f>
        <v>CIDADE MARAVILHOSA INDUSTRIA E COMERCIO</v>
      </c>
      <c r="F746" s="15" t="str">
        <f>IFERROR(__xludf.DUMMYFUNCTION("""COMPUTED_VALUE"""),"EMPORIO BIBOCA")</f>
        <v>EMPORIO BIBOCA</v>
      </c>
      <c r="G746" s="15" t="str">
        <f>IFERROR(__xludf.DUMMYFUNCTION("""COMPUTED_VALUE"""),"266832662")</f>
        <v>266832662</v>
      </c>
      <c r="H746" s="15" t="str">
        <f>IFERROR(__xludf.DUMMYFUNCTION("""COMPUTED_VALUE"""),"1872")</f>
        <v>1872</v>
      </c>
      <c r="I746" s="15" t="str">
        <f>IFERROR(__xludf.DUMMYFUNCTION("""COMPUTED_VALUE"""),"8177627")</f>
        <v>8177627</v>
      </c>
      <c r="J746" s="15" t="str">
        <f>IFERROR(__xludf.DUMMYFUNCTION("""COMPUTED_VALUE"""),"FOB")</f>
        <v>FOB</v>
      </c>
      <c r="K746" s="15" t="str">
        <f>IFERROR(__xludf.DUMMYFUNCTION("""COMPUTED_VALUE"""),"(sem célula)")</f>
        <v>(sem célula)</v>
      </c>
      <c r="L746" s="15" t="str">
        <f>IFERROR(__xludf.DUMMYFUNCTION("""COMPUTED_VALUE"""),"AUTORIZADO")</f>
        <v>AUTORIZADO</v>
      </c>
      <c r="M746" s="15" t="str">
        <f>IFERROR(__xludf.DUMMYFUNCTION("""COMPUTED_VALUE"""),"NA ORIGEM")</f>
        <v>NA ORIGEM</v>
      </c>
      <c r="N746" s="15" t="str">
        <f>IFERROR(__xludf.DUMMYFUNCTION("""COMPUTED_VALUE"""),"Antes Prazo")</f>
        <v>Antes Prazo</v>
      </c>
      <c r="O746" s="15" t="str">
        <f>IFERROR(__xludf.DUMMYFUNCTION("""COMPUTED_VALUE"""),"(não informada)")</f>
        <v>(não informada)</v>
      </c>
      <c r="P746" s="16">
        <f>IFERROR(__xludf.DUMMYFUNCTION("""COMPUTED_VALUE"""),67.72)</f>
        <v>67.72</v>
      </c>
      <c r="Q746" s="15">
        <f>IFERROR(__xludf.DUMMYFUNCTION("""COMPUTED_VALUE"""),1.0)</f>
        <v>1</v>
      </c>
      <c r="R746" s="15" t="str">
        <f>IFERROR(__xludf.DUMMYFUNCTION("""COMPUTED_VALUE"""),"RODO")</f>
        <v>RODO</v>
      </c>
      <c r="S746" s="15" t="str">
        <f>IFERROR(__xludf.DUMMYFUNCTION("""COMPUTED_VALUE"""),"ITN")</f>
        <v>ITN</v>
      </c>
      <c r="T746" s="15" t="str">
        <f>IFERROR(__xludf.DUMMYFUNCTION("""COMPUTED_VALUE"""),"99")</f>
        <v>99</v>
      </c>
      <c r="U746" s="15" t="str">
        <f>IFERROR(__xludf.DUMMYFUNCTION("""COMPUTED_VALUE"""),"266832662 1872 8177627 cidade maravilhosa industria e comercio emporio biboca rio 99")</f>
        <v>266832662 1872 8177627 cidade maravilhosa industria e comercio emporio biboca rio 99</v>
      </c>
      <c r="V746" s="15" t="b">
        <f>IFERROR(__xludf.DUMMYFUNCTION("""COMPUTED_VALUE"""),FALSE)</f>
        <v>0</v>
      </c>
    </row>
    <row r="747">
      <c r="A747" s="19">
        <f>IFERROR(__xludf.DUMMYFUNCTION("""COMPUTED_VALUE"""),46304.0)</f>
        <v>46304</v>
      </c>
      <c r="B747" s="19">
        <f>IFERROR(__xludf.DUMMYFUNCTION("""COMPUTED_VALUE"""),46322.0)</f>
        <v>46322</v>
      </c>
      <c r="C747" s="15">
        <f>IFERROR(__xludf.DUMMYFUNCTION("""COMPUTED_VALUE"""),11.0)</f>
        <v>11</v>
      </c>
      <c r="D747" s="15" t="str">
        <f>IFERROR(__xludf.DUMMYFUNCTION("""COMPUTED_VALUE"""),"ITJ")</f>
        <v>ITJ</v>
      </c>
      <c r="E747" s="15" t="str">
        <f>IFERROR(__xludf.DUMMYFUNCTION("""COMPUTED_VALUE"""),"EDSON PLINIO")</f>
        <v>EDSON PLINIO</v>
      </c>
      <c r="F747" s="15" t="str">
        <f>IFERROR(__xludf.DUMMYFUNCTION("""COMPUTED_VALUE"""),"DATEN TECNOLOGIA")</f>
        <v>DATEN TECNOLOGIA</v>
      </c>
      <c r="G747" s="15" t="str">
        <f>IFERROR(__xludf.DUMMYFUNCTION("""COMPUTED_VALUE"""),"266834263")</f>
        <v>266834263</v>
      </c>
      <c r="H747" s="15" t="str">
        <f>IFERROR(__xludf.DUMMYFUNCTION("""COMPUTED_VALUE"""),"107278")</f>
        <v>107278</v>
      </c>
      <c r="I747" s="15" t="str">
        <f>IFERROR(__xludf.DUMMYFUNCTION("""COMPUTED_VALUE"""),"8177619")</f>
        <v>8177619</v>
      </c>
      <c r="J747" s="15" t="str">
        <f>IFERROR(__xludf.DUMMYFUNCTION("""COMPUTED_VALUE"""),"CIF")</f>
        <v>CIF</v>
      </c>
      <c r="K747" s="15" t="str">
        <f>IFERROR(__xludf.DUMMYFUNCTION("""COMPUTED_VALUE"""),"FSA-1")</f>
        <v>FSA-1</v>
      </c>
      <c r="L747" s="15" t="str">
        <f>IFERROR(__xludf.DUMMYFUNCTION("""COMPUTED_VALUE"""),"AUTORIZADO")</f>
        <v>AUTORIZADO</v>
      </c>
      <c r="M747" s="15" t="str">
        <f>IFERROR(__xludf.DUMMYFUNCTION("""COMPUTED_VALUE"""),"NA ORIGEM")</f>
        <v>NA ORIGEM</v>
      </c>
      <c r="N747" s="15" t="str">
        <f>IFERROR(__xludf.DUMMYFUNCTION("""COMPUTED_VALUE"""),"Antes Prazo")</f>
        <v>Antes Prazo</v>
      </c>
      <c r="O747" s="15" t="str">
        <f>IFERROR(__xludf.DUMMYFUNCTION("""COMPUTED_VALUE"""),"(não informada)")</f>
        <v>(não informada)</v>
      </c>
      <c r="P747" s="16">
        <f>IFERROR(__xludf.DUMMYFUNCTION("""COMPUTED_VALUE"""),139.21)</f>
        <v>139.21</v>
      </c>
      <c r="Q747" s="15">
        <f>IFERROR(__xludf.DUMMYFUNCTION("""COMPUTED_VALUE"""),1.0)</f>
        <v>1</v>
      </c>
      <c r="R747" s="15" t="str">
        <f>IFERROR(__xludf.DUMMYFUNCTION("""COMPUTED_VALUE"""),"RODO")</f>
        <v>RODO</v>
      </c>
      <c r="S747" s="15" t="str">
        <f>IFERROR(__xludf.DUMMYFUNCTION("""COMPUTED_VALUE"""),"ITN")</f>
        <v>ITN</v>
      </c>
      <c r="T747" s="15" t="str">
        <f>IFERROR(__xludf.DUMMYFUNCTION("""COMPUTED_VALUE"""),"11")</f>
        <v>11</v>
      </c>
      <c r="U747" s="15" t="str">
        <f>IFERROR(__xludf.DUMMYFUNCTION("""COMPUTED_VALUE"""),"266834263 107278 8177619 edson plinio daten tecnologia itj 11")</f>
        <v>266834263 107278 8177619 edson plinio daten tecnologia itj 11</v>
      </c>
      <c r="V747" s="15" t="b">
        <f>IFERROR(__xludf.DUMMYFUNCTION("""COMPUTED_VALUE"""),TRUE)</f>
        <v>1</v>
      </c>
    </row>
    <row r="748">
      <c r="A748" s="19">
        <f>IFERROR(__xludf.DUMMYFUNCTION("""COMPUTED_VALUE"""),46304.0)</f>
        <v>46304</v>
      </c>
      <c r="B748" s="19">
        <f>IFERROR(__xludf.DUMMYFUNCTION("""COMPUTED_VALUE"""),46323.0)</f>
        <v>46323</v>
      </c>
      <c r="C748" s="15">
        <f>IFERROR(__xludf.DUMMYFUNCTION("""COMPUTED_VALUE"""),12.0)</f>
        <v>12</v>
      </c>
      <c r="D748" s="15" t="str">
        <f>IFERROR(__xludf.DUMMYFUNCTION("""COMPUTED_VALUE"""),"BUQ")</f>
        <v>BUQ</v>
      </c>
      <c r="E748" s="15" t="str">
        <f>IFERROR(__xludf.DUMMYFUNCTION("""COMPUTED_VALUE"""),"MCE MONTAGEM")</f>
        <v>MCE MONTAGEM</v>
      </c>
      <c r="F748" s="15" t="str">
        <f>IFERROR(__xludf.DUMMYFUNCTION("""COMPUTED_VALUE"""),"DATEN TECNOLOGIA")</f>
        <v>DATEN TECNOLOGIA</v>
      </c>
      <c r="G748" s="15" t="str">
        <f>IFERROR(__xludf.DUMMYFUNCTION("""COMPUTED_VALUE"""),"266834265")</f>
        <v>266834265</v>
      </c>
      <c r="H748" s="15" t="str">
        <f>IFERROR(__xludf.DUMMYFUNCTION("""COMPUTED_VALUE"""),"107277")</f>
        <v>107277</v>
      </c>
      <c r="I748" s="15" t="str">
        <f>IFERROR(__xludf.DUMMYFUNCTION("""COMPUTED_VALUE"""),"8177620")</f>
        <v>8177620</v>
      </c>
      <c r="J748" s="15" t="str">
        <f>IFERROR(__xludf.DUMMYFUNCTION("""COMPUTED_VALUE"""),"CIF")</f>
        <v>CIF</v>
      </c>
      <c r="K748" s="15" t="str">
        <f>IFERROR(__xludf.DUMMYFUNCTION("""COMPUTED_VALUE"""),"FSA-1")</f>
        <v>FSA-1</v>
      </c>
      <c r="L748" s="15" t="str">
        <f>IFERROR(__xludf.DUMMYFUNCTION("""COMPUTED_VALUE"""),"AUTORIZADO")</f>
        <v>AUTORIZADO</v>
      </c>
      <c r="M748" s="15" t="str">
        <f>IFERROR(__xludf.DUMMYFUNCTION("""COMPUTED_VALUE"""),"NA ORIGEM")</f>
        <v>NA ORIGEM</v>
      </c>
      <c r="N748" s="15" t="str">
        <f>IFERROR(__xludf.DUMMYFUNCTION("""COMPUTED_VALUE"""),"Antes Prazo")</f>
        <v>Antes Prazo</v>
      </c>
      <c r="O748" s="15" t="str">
        <f>IFERROR(__xludf.DUMMYFUNCTION("""COMPUTED_VALUE"""),"(não informada)")</f>
        <v>(não informada)</v>
      </c>
      <c r="P748" s="16">
        <f>IFERROR(__xludf.DUMMYFUNCTION("""COMPUTED_VALUE"""),155.51)</f>
        <v>155.51</v>
      </c>
      <c r="Q748" s="15">
        <f>IFERROR(__xludf.DUMMYFUNCTION("""COMPUTED_VALUE"""),1.0)</f>
        <v>1</v>
      </c>
      <c r="R748" s="15" t="str">
        <f>IFERROR(__xludf.DUMMYFUNCTION("""COMPUTED_VALUE"""),"RODO")</f>
        <v>RODO</v>
      </c>
      <c r="S748" s="15" t="str">
        <f>IFERROR(__xludf.DUMMYFUNCTION("""COMPUTED_VALUE"""),"ITN")</f>
        <v>ITN</v>
      </c>
      <c r="T748" s="15" t="str">
        <f>IFERROR(__xludf.DUMMYFUNCTION("""COMPUTED_VALUE"""),"1")</f>
        <v>1</v>
      </c>
      <c r="U748" s="15" t="str">
        <f>IFERROR(__xludf.DUMMYFUNCTION("""COMPUTED_VALUE"""),"266834265 107277 8177620 mce montagem daten tecnologia buq 1")</f>
        <v>266834265 107277 8177620 mce montagem daten tecnologia buq 1</v>
      </c>
      <c r="V748" s="15" t="b">
        <f>IFERROR(__xludf.DUMMYFUNCTION("""COMPUTED_VALUE"""),TRUE)</f>
        <v>1</v>
      </c>
    </row>
    <row r="749">
      <c r="A749" s="19">
        <f>IFERROR(__xludf.DUMMYFUNCTION("""COMPUTED_VALUE"""),46304.0)</f>
        <v>46304</v>
      </c>
      <c r="B749" s="19">
        <f>IFERROR(__xludf.DUMMYFUNCTION("""COMPUTED_VALUE"""),46318.0)</f>
        <v>46318</v>
      </c>
      <c r="C749" s="15">
        <f>IFERROR(__xludf.DUMMYFUNCTION("""COMPUTED_VALUE"""),9.0)</f>
        <v>9</v>
      </c>
      <c r="D749" s="15" t="str">
        <f>IFERROR(__xludf.DUMMYFUNCTION("""COMPUTED_VALUE"""),"NAT")</f>
        <v>NAT</v>
      </c>
      <c r="E749" s="15" t="str">
        <f>IFERROR(__xludf.DUMMYFUNCTION("""COMPUTED_VALUE"""),"W SERVICOS E ASSIST TEC INFORM LTDA")</f>
        <v>W SERVICOS E ASSIST TEC INFORM LTDA</v>
      </c>
      <c r="F749" s="15" t="str">
        <f>IFERROR(__xludf.DUMMYFUNCTION("""COMPUTED_VALUE"""),"DATEN TECNOLOGIA")</f>
        <v>DATEN TECNOLOGIA</v>
      </c>
      <c r="G749" s="15" t="str">
        <f>IFERROR(__xludf.DUMMYFUNCTION("""COMPUTED_VALUE"""),"266834266")</f>
        <v>266834266</v>
      </c>
      <c r="H749" s="15" t="str">
        <f>IFERROR(__xludf.DUMMYFUNCTION("""COMPUTED_VALUE"""),"107242, 107275")</f>
        <v>107242, 107275</v>
      </c>
      <c r="I749" s="15" t="str">
        <f>IFERROR(__xludf.DUMMYFUNCTION("""COMPUTED_VALUE"""),"8177615")</f>
        <v>8177615</v>
      </c>
      <c r="J749" s="15" t="str">
        <f>IFERROR(__xludf.DUMMYFUNCTION("""COMPUTED_VALUE"""),"CIF")</f>
        <v>CIF</v>
      </c>
      <c r="K749" s="15" t="str">
        <f>IFERROR(__xludf.DUMMYFUNCTION("""COMPUTED_VALUE"""),"FSA-1")</f>
        <v>FSA-1</v>
      </c>
      <c r="L749" s="15" t="str">
        <f>IFERROR(__xludf.DUMMYFUNCTION("""COMPUTED_VALUE"""),"AUTORIZADO")</f>
        <v>AUTORIZADO</v>
      </c>
      <c r="M749" s="15" t="str">
        <f>IFERROR(__xludf.DUMMYFUNCTION("""COMPUTED_VALUE"""),"NA ORIGEM")</f>
        <v>NA ORIGEM</v>
      </c>
      <c r="N749" s="15" t="str">
        <f>IFERROR(__xludf.DUMMYFUNCTION("""COMPUTED_VALUE"""),"Antes Prazo")</f>
        <v>Antes Prazo</v>
      </c>
      <c r="O749" s="15" t="str">
        <f>IFERROR(__xludf.DUMMYFUNCTION("""COMPUTED_VALUE"""),"(não informada)")</f>
        <v>(não informada)</v>
      </c>
      <c r="P749" s="16">
        <f>IFERROR(__xludf.DUMMYFUNCTION("""COMPUTED_VALUE"""),96.56)</f>
        <v>96.56</v>
      </c>
      <c r="Q749" s="15">
        <f>IFERROR(__xludf.DUMMYFUNCTION("""COMPUTED_VALUE"""),2.0)</f>
        <v>2</v>
      </c>
      <c r="R749" s="15" t="str">
        <f>IFERROR(__xludf.DUMMYFUNCTION("""COMPUTED_VALUE"""),"RODO")</f>
        <v>RODO</v>
      </c>
      <c r="S749" s="15" t="str">
        <f>IFERROR(__xludf.DUMMYFUNCTION("""COMPUTED_VALUE"""),"ITN")</f>
        <v>ITN</v>
      </c>
      <c r="T749" s="15" t="str">
        <f>IFERROR(__xludf.DUMMYFUNCTION("""COMPUTED_VALUE"""),"5")</f>
        <v>5</v>
      </c>
      <c r="U749" s="15" t="str">
        <f>IFERROR(__xludf.DUMMYFUNCTION("""COMPUTED_VALUE"""),"266834266 107242, 107275 8177615 w servicos e assist tec inform ltda daten tecnologia nat 5")</f>
        <v>266834266 107242, 107275 8177615 w servicos e assist tec inform ltda daten tecnologia nat 5</v>
      </c>
      <c r="V749" s="15" t="b">
        <f>IFERROR(__xludf.DUMMYFUNCTION("""COMPUTED_VALUE"""),TRUE)</f>
        <v>1</v>
      </c>
    </row>
    <row r="750">
      <c r="A750" s="19">
        <f>IFERROR(__xludf.DUMMYFUNCTION("""COMPUTED_VALUE"""),46304.0)</f>
        <v>46304</v>
      </c>
      <c r="B750" s="19">
        <f>IFERROR(__xludf.DUMMYFUNCTION("""COMPUTED_VALUE"""),46318.0)</f>
        <v>46318</v>
      </c>
      <c r="C750" s="15">
        <f>IFERROR(__xludf.DUMMYFUNCTION("""COMPUTED_VALUE"""),9.0)</f>
        <v>9</v>
      </c>
      <c r="D750" s="15" t="str">
        <f>IFERROR(__xludf.DUMMYFUNCTION("""COMPUTED_VALUE"""),"MCZ")</f>
        <v>MCZ</v>
      </c>
      <c r="E750" s="15" t="str">
        <f>IFERROR(__xludf.DUMMYFUNCTION("""COMPUTED_VALUE"""),"COMPUAL INFORMATICA")</f>
        <v>COMPUAL INFORMATICA</v>
      </c>
      <c r="F750" s="15" t="str">
        <f>IFERROR(__xludf.DUMMYFUNCTION("""COMPUTED_VALUE"""),"DATEN TECNOLOGIA")</f>
        <v>DATEN TECNOLOGIA</v>
      </c>
      <c r="G750" s="15" t="str">
        <f>IFERROR(__xludf.DUMMYFUNCTION("""COMPUTED_VALUE"""),"266834267")</f>
        <v>266834267</v>
      </c>
      <c r="H750" s="15" t="str">
        <f>IFERROR(__xludf.DUMMYFUNCTION("""COMPUTED_VALUE"""),"107225, 107253, 107260")</f>
        <v>107225, 107253, 107260</v>
      </c>
      <c r="I750" s="15" t="str">
        <f>IFERROR(__xludf.DUMMYFUNCTION("""COMPUTED_VALUE"""),"8177621")</f>
        <v>8177621</v>
      </c>
      <c r="J750" s="15" t="str">
        <f>IFERROR(__xludf.DUMMYFUNCTION("""COMPUTED_VALUE"""),"CIF")</f>
        <v>CIF</v>
      </c>
      <c r="K750" s="15" t="str">
        <f>IFERROR(__xludf.DUMMYFUNCTION("""COMPUTED_VALUE"""),"FSA-1")</f>
        <v>FSA-1</v>
      </c>
      <c r="L750" s="15" t="str">
        <f>IFERROR(__xludf.DUMMYFUNCTION("""COMPUTED_VALUE"""),"AUTORIZADO")</f>
        <v>AUTORIZADO</v>
      </c>
      <c r="M750" s="15" t="str">
        <f>IFERROR(__xludf.DUMMYFUNCTION("""COMPUTED_VALUE"""),"NA ORIGEM")</f>
        <v>NA ORIGEM</v>
      </c>
      <c r="N750" s="15" t="str">
        <f>IFERROR(__xludf.DUMMYFUNCTION("""COMPUTED_VALUE"""),"Antes Prazo")</f>
        <v>Antes Prazo</v>
      </c>
      <c r="O750" s="15" t="str">
        <f>IFERROR(__xludf.DUMMYFUNCTION("""COMPUTED_VALUE"""),"(não informada)")</f>
        <v>(não informada)</v>
      </c>
      <c r="P750" s="16">
        <f>IFERROR(__xludf.DUMMYFUNCTION("""COMPUTED_VALUE"""),85.87)</f>
        <v>85.87</v>
      </c>
      <c r="Q750" s="15">
        <f>IFERROR(__xludf.DUMMYFUNCTION("""COMPUTED_VALUE"""),3.0)</f>
        <v>3</v>
      </c>
      <c r="R750" s="15" t="str">
        <f>IFERROR(__xludf.DUMMYFUNCTION("""COMPUTED_VALUE"""),"RODO")</f>
        <v>RODO</v>
      </c>
      <c r="S750" s="15" t="str">
        <f>IFERROR(__xludf.DUMMYFUNCTION("""COMPUTED_VALUE"""),"ITN")</f>
        <v>ITN</v>
      </c>
      <c r="T750" s="15" t="str">
        <f>IFERROR(__xludf.DUMMYFUNCTION("""COMPUTED_VALUE"""),"6")</f>
        <v>6</v>
      </c>
      <c r="U750" s="15" t="str">
        <f>IFERROR(__xludf.DUMMYFUNCTION("""COMPUTED_VALUE"""),"266834267 107225, 107253, 107260 8177621 compual informatica daten tecnologia mcz 6")</f>
        <v>266834267 107225, 107253, 107260 8177621 compual informatica daten tecnologia mcz 6</v>
      </c>
      <c r="V750" s="15" t="b">
        <f>IFERROR(__xludf.DUMMYFUNCTION("""COMPUTED_VALUE"""),TRUE)</f>
        <v>1</v>
      </c>
    </row>
    <row r="751">
      <c r="A751" s="19">
        <f>IFERROR(__xludf.DUMMYFUNCTION("""COMPUTED_VALUE"""),46304.0)</f>
        <v>46304</v>
      </c>
      <c r="B751" s="19">
        <f>IFERROR(__xludf.DUMMYFUNCTION("""COMPUTED_VALUE"""),46321.0)</f>
        <v>46321</v>
      </c>
      <c r="C751" s="15">
        <f>IFERROR(__xludf.DUMMYFUNCTION("""COMPUTED_VALUE"""),10.0)</f>
        <v>10</v>
      </c>
      <c r="D751" s="15" t="str">
        <f>IFERROR(__xludf.DUMMYFUNCTION("""COMPUTED_VALUE"""),"BSB")</f>
        <v>BSB</v>
      </c>
      <c r="E751" s="15" t="str">
        <f>IFERROR(__xludf.DUMMYFUNCTION("""COMPUTED_VALUE"""),"FERNANDO JOSE FERNANDES FILHO 0066122988")</f>
        <v>FERNANDO JOSE FERNANDES FILHO 0066122988</v>
      </c>
      <c r="F751" s="15" t="str">
        <f>IFERROR(__xludf.DUMMYFUNCTION("""COMPUTED_VALUE"""),"DATEN TECNOLOGIA")</f>
        <v>DATEN TECNOLOGIA</v>
      </c>
      <c r="G751" s="15" t="str">
        <f>IFERROR(__xludf.DUMMYFUNCTION("""COMPUTED_VALUE"""),"266834268")</f>
        <v>266834268</v>
      </c>
      <c r="H751" s="15" t="str">
        <f>IFERROR(__xludf.DUMMYFUNCTION("""COMPUTED_VALUE"""),"107254, 107258")</f>
        <v>107254, 107258</v>
      </c>
      <c r="I751" s="15" t="str">
        <f>IFERROR(__xludf.DUMMYFUNCTION("""COMPUTED_VALUE"""),"8177622")</f>
        <v>8177622</v>
      </c>
      <c r="J751" s="15" t="str">
        <f>IFERROR(__xludf.DUMMYFUNCTION("""COMPUTED_VALUE"""),"CIF")</f>
        <v>CIF</v>
      </c>
      <c r="K751" s="15" t="str">
        <f>IFERROR(__xludf.DUMMYFUNCTION("""COMPUTED_VALUE"""),"(sem célula)")</f>
        <v>(sem célula)</v>
      </c>
      <c r="L751" s="15" t="str">
        <f>IFERROR(__xludf.DUMMYFUNCTION("""COMPUTED_VALUE"""),"AUTORIZADO")</f>
        <v>AUTORIZADO</v>
      </c>
      <c r="M751" s="15" t="str">
        <f>IFERROR(__xludf.DUMMYFUNCTION("""COMPUTED_VALUE"""),"NA ORIGEM")</f>
        <v>NA ORIGEM</v>
      </c>
      <c r="N751" s="15" t="str">
        <f>IFERROR(__xludf.DUMMYFUNCTION("""COMPUTED_VALUE"""),"Antes Prazo")</f>
        <v>Antes Prazo</v>
      </c>
      <c r="O751" s="15" t="str">
        <f>IFERROR(__xludf.DUMMYFUNCTION("""COMPUTED_VALUE"""),"(não informada)")</f>
        <v>(não informada)</v>
      </c>
      <c r="P751" s="16">
        <f>IFERROR(__xludf.DUMMYFUNCTION("""COMPUTED_VALUE"""),122.47)</f>
        <v>122.47</v>
      </c>
      <c r="Q751" s="15">
        <f>IFERROR(__xludf.DUMMYFUNCTION("""COMPUTED_VALUE"""),1.0)</f>
        <v>1</v>
      </c>
      <c r="R751" s="15" t="str">
        <f>IFERROR(__xludf.DUMMYFUNCTION("""COMPUTED_VALUE"""),"RODO")</f>
        <v>RODO</v>
      </c>
      <c r="S751" s="15" t="str">
        <f>IFERROR(__xludf.DUMMYFUNCTION("""COMPUTED_VALUE"""),"ITN")</f>
        <v>ITN</v>
      </c>
      <c r="T751" s="15" t="str">
        <f>IFERROR(__xludf.DUMMYFUNCTION("""COMPUTED_VALUE"""),"22")</f>
        <v>22</v>
      </c>
      <c r="U751" s="15" t="str">
        <f>IFERROR(__xludf.DUMMYFUNCTION("""COMPUTED_VALUE"""),"266834268 107254, 107258 8177622 fernando jose fernandes filho 0066122988 daten tecnologia bsb 22")</f>
        <v>266834268 107254, 107258 8177622 fernando jose fernandes filho 0066122988 daten tecnologia bsb 22</v>
      </c>
      <c r="V751" s="15" t="b">
        <f>IFERROR(__xludf.DUMMYFUNCTION("""COMPUTED_VALUE"""),TRUE)</f>
        <v>1</v>
      </c>
    </row>
    <row r="752">
      <c r="A752" s="19">
        <f>IFERROR(__xludf.DUMMYFUNCTION("""COMPUTED_VALUE"""),46304.0)</f>
        <v>46304</v>
      </c>
      <c r="B752" s="19">
        <f>IFERROR(__xludf.DUMMYFUNCTION("""COMPUTED_VALUE"""),46321.0)</f>
        <v>46321</v>
      </c>
      <c r="C752" s="15">
        <f>IFERROR(__xludf.DUMMYFUNCTION("""COMPUTED_VALUE"""),10.0)</f>
        <v>10</v>
      </c>
      <c r="D752" s="15" t="str">
        <f>IFERROR(__xludf.DUMMYFUNCTION("""COMPUTED_VALUE"""),"BHZ")</f>
        <v>BHZ</v>
      </c>
      <c r="E752" s="15" t="str">
        <f>IFERROR(__xludf.DUMMYFUNCTION("""COMPUTED_VALUE"""),"MOISEIS DA FONSECA LOPES 03704723657")</f>
        <v>MOISEIS DA FONSECA LOPES 03704723657</v>
      </c>
      <c r="F752" s="15" t="str">
        <f>IFERROR(__xludf.DUMMYFUNCTION("""COMPUTED_VALUE"""),"DATEN TECNOLOGIA")</f>
        <v>DATEN TECNOLOGIA</v>
      </c>
      <c r="G752" s="15" t="str">
        <f>IFERROR(__xludf.DUMMYFUNCTION("""COMPUTED_VALUE"""),"266834270")</f>
        <v>266834270</v>
      </c>
      <c r="H752" s="15" t="str">
        <f>IFERROR(__xludf.DUMMYFUNCTION("""COMPUTED_VALUE"""),"107255, 107256, 107261")</f>
        <v>107255, 107256, 107261</v>
      </c>
      <c r="I752" s="15" t="str">
        <f>IFERROR(__xludf.DUMMYFUNCTION("""COMPUTED_VALUE"""),"8177616")</f>
        <v>8177616</v>
      </c>
      <c r="J752" s="15" t="str">
        <f>IFERROR(__xludf.DUMMYFUNCTION("""COMPUTED_VALUE"""),"CIF")</f>
        <v>CIF</v>
      </c>
      <c r="K752" s="15" t="str">
        <f>IFERROR(__xludf.DUMMYFUNCTION("""COMPUTED_VALUE"""),"(sem célula)")</f>
        <v>(sem célula)</v>
      </c>
      <c r="L752" s="15" t="str">
        <f>IFERROR(__xludf.DUMMYFUNCTION("""COMPUTED_VALUE"""),"AUTORIZADO")</f>
        <v>AUTORIZADO</v>
      </c>
      <c r="M752" s="15" t="str">
        <f>IFERROR(__xludf.DUMMYFUNCTION("""COMPUTED_VALUE"""),"NA ORIGEM")</f>
        <v>NA ORIGEM</v>
      </c>
      <c r="N752" s="15" t="str">
        <f>IFERROR(__xludf.DUMMYFUNCTION("""COMPUTED_VALUE"""),"Antes Prazo")</f>
        <v>Antes Prazo</v>
      </c>
      <c r="O752" s="15" t="str">
        <f>IFERROR(__xludf.DUMMYFUNCTION("""COMPUTED_VALUE"""),"(não informada)")</f>
        <v>(não informada)</v>
      </c>
      <c r="P752" s="16">
        <f>IFERROR(__xludf.DUMMYFUNCTION("""COMPUTED_VALUE"""),118.41)</f>
        <v>118.41</v>
      </c>
      <c r="Q752" s="15">
        <f>IFERROR(__xludf.DUMMYFUNCTION("""COMPUTED_VALUE"""),2.0)</f>
        <v>2</v>
      </c>
      <c r="R752" s="15" t="str">
        <f>IFERROR(__xludf.DUMMYFUNCTION("""COMPUTED_VALUE"""),"RODO")</f>
        <v>RODO</v>
      </c>
      <c r="S752" s="15" t="str">
        <f>IFERROR(__xludf.DUMMYFUNCTION("""COMPUTED_VALUE"""),"ITN")</f>
        <v>ITN</v>
      </c>
      <c r="T752" s="15" t="str">
        <f>IFERROR(__xludf.DUMMYFUNCTION("""COMPUTED_VALUE"""),"30")</f>
        <v>30</v>
      </c>
      <c r="U752" s="15" t="str">
        <f>IFERROR(__xludf.DUMMYFUNCTION("""COMPUTED_VALUE"""),"266834270 107255, 107256, 107261 8177616 moiseis da fonseca lopes 03704723657 daten tecnologia bhz 30")</f>
        <v>266834270 107255, 107256, 107261 8177616 moiseis da fonseca lopes 03704723657 daten tecnologia bhz 30</v>
      </c>
      <c r="V752" s="15" t="b">
        <f>IFERROR(__xludf.DUMMYFUNCTION("""COMPUTED_VALUE"""),TRUE)</f>
        <v>1</v>
      </c>
    </row>
    <row r="753">
      <c r="A753" s="19">
        <f>IFERROR(__xludf.DUMMYFUNCTION("""COMPUTED_VALUE"""),46304.0)</f>
        <v>46304</v>
      </c>
      <c r="B753" s="19">
        <f>IFERROR(__xludf.DUMMYFUNCTION("""COMPUTED_VALUE"""),46321.0)</f>
        <v>46321</v>
      </c>
      <c r="C753" s="15">
        <f>IFERROR(__xludf.DUMMYFUNCTION("""COMPUTED_VALUE"""),10.0)</f>
        <v>10</v>
      </c>
      <c r="D753" s="15" t="str">
        <f>IFERROR(__xludf.DUMMYFUNCTION("""COMPUTED_VALUE"""),"RIO")</f>
        <v>RIO</v>
      </c>
      <c r="E753" s="15" t="str">
        <f>IFERROR(__xludf.DUMMYFUNCTION("""COMPUTED_VALUE"""),"PRO 200 INFORMATICA LTDA")</f>
        <v>PRO 200 INFORMATICA LTDA</v>
      </c>
      <c r="F753" s="15" t="str">
        <f>IFERROR(__xludf.DUMMYFUNCTION("""COMPUTED_VALUE"""),"DATEN TECNOLOGIA")</f>
        <v>DATEN TECNOLOGIA</v>
      </c>
      <c r="G753" s="15" t="str">
        <f>IFERROR(__xludf.DUMMYFUNCTION("""COMPUTED_VALUE"""),"266834271")</f>
        <v>266834271</v>
      </c>
      <c r="H753" s="15" t="str">
        <f>IFERROR(__xludf.DUMMYFUNCTION("""COMPUTED_VALUE"""),"107257")</f>
        <v>107257</v>
      </c>
      <c r="I753" s="15" t="str">
        <f>IFERROR(__xludf.DUMMYFUNCTION("""COMPUTED_VALUE"""),"8177623")</f>
        <v>8177623</v>
      </c>
      <c r="J753" s="15" t="str">
        <f>IFERROR(__xludf.DUMMYFUNCTION("""COMPUTED_VALUE"""),"CIF")</f>
        <v>CIF</v>
      </c>
      <c r="K753" s="15" t="str">
        <f>IFERROR(__xludf.DUMMYFUNCTION("""COMPUTED_VALUE"""),"(sem célula)")</f>
        <v>(sem célula)</v>
      </c>
      <c r="L753" s="15" t="str">
        <f>IFERROR(__xludf.DUMMYFUNCTION("""COMPUTED_VALUE"""),"AUTORIZADO")</f>
        <v>AUTORIZADO</v>
      </c>
      <c r="M753" s="15" t="str">
        <f>IFERROR(__xludf.DUMMYFUNCTION("""COMPUTED_VALUE"""),"NA ORIGEM")</f>
        <v>NA ORIGEM</v>
      </c>
      <c r="N753" s="15" t="str">
        <f>IFERROR(__xludf.DUMMYFUNCTION("""COMPUTED_VALUE"""),"Antes Prazo")</f>
        <v>Antes Prazo</v>
      </c>
      <c r="O753" s="15" t="str">
        <f>IFERROR(__xludf.DUMMYFUNCTION("""COMPUTED_VALUE"""),"(não informada)")</f>
        <v>(não informada)</v>
      </c>
      <c r="P753" s="16">
        <f>IFERROR(__xludf.DUMMYFUNCTION("""COMPUTED_VALUE"""),103.77)</f>
        <v>103.77</v>
      </c>
      <c r="Q753" s="15">
        <f>IFERROR(__xludf.DUMMYFUNCTION("""COMPUTED_VALUE"""),1.0)</f>
        <v>1</v>
      </c>
      <c r="R753" s="15" t="str">
        <f>IFERROR(__xludf.DUMMYFUNCTION("""COMPUTED_VALUE"""),"RODO")</f>
        <v>RODO</v>
      </c>
      <c r="S753" s="15" t="str">
        <f>IFERROR(__xludf.DUMMYFUNCTION("""COMPUTED_VALUE"""),"ITN")</f>
        <v>ITN</v>
      </c>
      <c r="T753" s="15" t="str">
        <f>IFERROR(__xludf.DUMMYFUNCTION("""COMPUTED_VALUE"""),"5")</f>
        <v>5</v>
      </c>
      <c r="U753" s="15" t="str">
        <f>IFERROR(__xludf.DUMMYFUNCTION("""COMPUTED_VALUE"""),"266834271 107257 8177623 pro 200 informatica ltda daten tecnologia rio 5")</f>
        <v>266834271 107257 8177623 pro 200 informatica ltda daten tecnologia rio 5</v>
      </c>
      <c r="V753" s="15" t="b">
        <f>IFERROR(__xludf.DUMMYFUNCTION("""COMPUTED_VALUE"""),TRUE)</f>
        <v>1</v>
      </c>
    </row>
    <row r="754">
      <c r="A754" s="19">
        <f>IFERROR(__xludf.DUMMYFUNCTION("""COMPUTED_VALUE"""),46304.0)</f>
        <v>46304</v>
      </c>
      <c r="B754" s="19">
        <f>IFERROR(__xludf.DUMMYFUNCTION("""COMPUTED_VALUE"""),46317.0)</f>
        <v>46317</v>
      </c>
      <c r="C754" s="15">
        <f>IFERROR(__xludf.DUMMYFUNCTION("""COMPUTED_VALUE"""),8.0)</f>
        <v>8</v>
      </c>
      <c r="D754" s="15" t="str">
        <f>IFERROR(__xludf.DUMMYFUNCTION("""COMPUTED_VALUE"""),"FSA")</f>
        <v>FSA</v>
      </c>
      <c r="E754" s="15" t="str">
        <f>IFERROR(__xludf.DUMMYFUNCTION("""COMPUTED_VALUE"""),"KONTTATO INFORMATICA LTDA")</f>
        <v>KONTTATO INFORMATICA LTDA</v>
      </c>
      <c r="F754" s="15" t="str">
        <f>IFERROR(__xludf.DUMMYFUNCTION("""COMPUTED_VALUE"""),"DATEN TECNOLOGIA")</f>
        <v>DATEN TECNOLOGIA</v>
      </c>
      <c r="G754" s="15" t="str">
        <f>IFERROR(__xludf.DUMMYFUNCTION("""COMPUTED_VALUE"""),"266834273")</f>
        <v>266834273</v>
      </c>
      <c r="H754" s="15" t="str">
        <f>IFERROR(__xludf.DUMMYFUNCTION("""COMPUTED_VALUE"""),"107259")</f>
        <v>107259</v>
      </c>
      <c r="I754" s="15" t="str">
        <f>IFERROR(__xludf.DUMMYFUNCTION("""COMPUTED_VALUE"""),"8177624")</f>
        <v>8177624</v>
      </c>
      <c r="J754" s="15" t="str">
        <f>IFERROR(__xludf.DUMMYFUNCTION("""COMPUTED_VALUE"""),"CIF")</f>
        <v>CIF</v>
      </c>
      <c r="K754" s="15" t="str">
        <f>IFERROR(__xludf.DUMMYFUNCTION("""COMPUTED_VALUE"""),"(sem célula)")</f>
        <v>(sem célula)</v>
      </c>
      <c r="L754" s="15" t="str">
        <f>IFERROR(__xludf.DUMMYFUNCTION("""COMPUTED_VALUE"""),"AUTORIZADO")</f>
        <v>AUTORIZADO</v>
      </c>
      <c r="M754" s="15" t="str">
        <f>IFERROR(__xludf.DUMMYFUNCTION("""COMPUTED_VALUE"""),"NA ORIGEM")</f>
        <v>NA ORIGEM</v>
      </c>
      <c r="N754" s="15" t="str">
        <f>IFERROR(__xludf.DUMMYFUNCTION("""COMPUTED_VALUE"""),"Antes Prazo")</f>
        <v>Antes Prazo</v>
      </c>
      <c r="O754" s="15" t="str">
        <f>IFERROR(__xludf.DUMMYFUNCTION("""COMPUTED_VALUE"""),"(não informada)")</f>
        <v>(não informada)</v>
      </c>
      <c r="P754" s="16">
        <f>IFERROR(__xludf.DUMMYFUNCTION("""COMPUTED_VALUE"""),131.21)</f>
        <v>131.21</v>
      </c>
      <c r="Q754" s="15">
        <f>IFERROR(__xludf.DUMMYFUNCTION("""COMPUTED_VALUE"""),1.0)</f>
        <v>1</v>
      </c>
      <c r="R754" s="15" t="str">
        <f>IFERROR(__xludf.DUMMYFUNCTION("""COMPUTED_VALUE"""),"RODO")</f>
        <v>RODO</v>
      </c>
      <c r="S754" s="15" t="str">
        <f>IFERROR(__xludf.DUMMYFUNCTION("""COMPUTED_VALUE"""),"ITN")</f>
        <v>ITN</v>
      </c>
      <c r="T754" s="15" t="str">
        <f>IFERROR(__xludf.DUMMYFUNCTION("""COMPUTED_VALUE"""),"22")</f>
        <v>22</v>
      </c>
      <c r="U754" s="15" t="str">
        <f>IFERROR(__xludf.DUMMYFUNCTION("""COMPUTED_VALUE"""),"266834273 107259 8177624 konttato informatica ltda daten tecnologia fsa 22")</f>
        <v>266834273 107259 8177624 konttato informatica ltda daten tecnologia fsa 22</v>
      </c>
      <c r="V754" s="15" t="b">
        <f>IFERROR(__xludf.DUMMYFUNCTION("""COMPUTED_VALUE"""),TRUE)</f>
        <v>1</v>
      </c>
    </row>
    <row r="755">
      <c r="A755" s="19">
        <f>IFERROR(__xludf.DUMMYFUNCTION("""COMPUTED_VALUE"""),46304.0)</f>
        <v>46304</v>
      </c>
      <c r="B755" s="19">
        <f>IFERROR(__xludf.DUMMYFUNCTION("""COMPUTED_VALUE"""),46321.0)</f>
        <v>46321</v>
      </c>
      <c r="C755" s="15">
        <f>IFERROR(__xludf.DUMMYFUNCTION("""COMPUTED_VALUE"""),10.0)</f>
        <v>10</v>
      </c>
      <c r="D755" s="15" t="str">
        <f>IFERROR(__xludf.DUMMYFUNCTION("""COMPUTED_VALUE"""),"BAU")</f>
        <v>BAU</v>
      </c>
      <c r="E755" s="15" t="str">
        <f>IFERROR(__xludf.DUMMYFUNCTION("""COMPUTED_VALUE"""),"M.F. INFORMATICA")</f>
        <v>M.F. INFORMATICA</v>
      </c>
      <c r="F755" s="15" t="str">
        <f>IFERROR(__xludf.DUMMYFUNCTION("""COMPUTED_VALUE"""),"DATEN TECNOLOGIA")</f>
        <v>DATEN TECNOLOGIA</v>
      </c>
      <c r="G755" s="15" t="str">
        <f>IFERROR(__xludf.DUMMYFUNCTION("""COMPUTED_VALUE"""),"266834274")</f>
        <v>266834274</v>
      </c>
      <c r="H755" s="15" t="str">
        <f>IFERROR(__xludf.DUMMYFUNCTION("""COMPUTED_VALUE"""),"107262")</f>
        <v>107262</v>
      </c>
      <c r="I755" s="15" t="str">
        <f>IFERROR(__xludf.DUMMYFUNCTION("""COMPUTED_VALUE"""),"8177617")</f>
        <v>8177617</v>
      </c>
      <c r="J755" s="15" t="str">
        <f>IFERROR(__xludf.DUMMYFUNCTION("""COMPUTED_VALUE"""),"CIF")</f>
        <v>CIF</v>
      </c>
      <c r="K755" s="15" t="str">
        <f>IFERROR(__xludf.DUMMYFUNCTION("""COMPUTED_VALUE"""),"(sem célula)")</f>
        <v>(sem célula)</v>
      </c>
      <c r="L755" s="15" t="str">
        <f>IFERROR(__xludf.DUMMYFUNCTION("""COMPUTED_VALUE"""),"AUTORIZADO")</f>
        <v>AUTORIZADO</v>
      </c>
      <c r="M755" s="15" t="str">
        <f>IFERROR(__xludf.DUMMYFUNCTION("""COMPUTED_VALUE"""),"NA ORIGEM")</f>
        <v>NA ORIGEM</v>
      </c>
      <c r="N755" s="15" t="str">
        <f>IFERROR(__xludf.DUMMYFUNCTION("""COMPUTED_VALUE"""),"Antes Prazo")</f>
        <v>Antes Prazo</v>
      </c>
      <c r="O755" s="15" t="str">
        <f>IFERROR(__xludf.DUMMYFUNCTION("""COMPUTED_VALUE"""),"(não informada)")</f>
        <v>(não informada)</v>
      </c>
      <c r="P755" s="16">
        <f>IFERROR(__xludf.DUMMYFUNCTION("""COMPUTED_VALUE"""),127.64)</f>
        <v>127.64</v>
      </c>
      <c r="Q755" s="15">
        <f>IFERROR(__xludf.DUMMYFUNCTION("""COMPUTED_VALUE"""),2.0)</f>
        <v>2</v>
      </c>
      <c r="R755" s="15" t="str">
        <f>IFERROR(__xludf.DUMMYFUNCTION("""COMPUTED_VALUE"""),"RODO")</f>
        <v>RODO</v>
      </c>
      <c r="S755" s="15" t="str">
        <f>IFERROR(__xludf.DUMMYFUNCTION("""COMPUTED_VALUE"""),"ITN")</f>
        <v>ITN</v>
      </c>
      <c r="T755" s="15" t="str">
        <f>IFERROR(__xludf.DUMMYFUNCTION("""COMPUTED_VALUE"""),"5")</f>
        <v>5</v>
      </c>
      <c r="U755" s="15" t="str">
        <f>IFERROR(__xludf.DUMMYFUNCTION("""COMPUTED_VALUE"""),"266834274 107262 8177617 m.f. informatica daten tecnologia bau 5")</f>
        <v>266834274 107262 8177617 m.f. informatica daten tecnologia bau 5</v>
      </c>
      <c r="V755" s="15" t="b">
        <f>IFERROR(__xludf.DUMMYFUNCTION("""COMPUTED_VALUE"""),TRUE)</f>
        <v>1</v>
      </c>
    </row>
    <row r="756">
      <c r="A756" s="19">
        <f>IFERROR(__xludf.DUMMYFUNCTION("""COMPUTED_VALUE"""),46304.0)</f>
        <v>46304</v>
      </c>
      <c r="B756" s="19">
        <f>IFERROR(__xludf.DUMMYFUNCTION("""COMPUTED_VALUE"""),46318.0)</f>
        <v>46318</v>
      </c>
      <c r="C756" s="15">
        <f>IFERROR(__xludf.DUMMYFUNCTION("""COMPUTED_VALUE"""),9.0)</f>
        <v>9</v>
      </c>
      <c r="D756" s="15" t="str">
        <f>IFERROR(__xludf.DUMMYFUNCTION("""COMPUTED_VALUE"""),"REC")</f>
        <v>REC</v>
      </c>
      <c r="E756" s="15" t="str">
        <f>IFERROR(__xludf.DUMMYFUNCTION("""COMPUTED_VALUE"""),"LUCAS RAMOS SILVA DE OLIVEIRA")</f>
        <v>LUCAS RAMOS SILVA DE OLIVEIRA</v>
      </c>
      <c r="F756" s="15" t="str">
        <f>IFERROR(__xludf.DUMMYFUNCTION("""COMPUTED_VALUE"""),"DATEN TECNOLOGIA")</f>
        <v>DATEN TECNOLOGIA</v>
      </c>
      <c r="G756" s="15" t="str">
        <f>IFERROR(__xludf.DUMMYFUNCTION("""COMPUTED_VALUE"""),"266834275")</f>
        <v>266834275</v>
      </c>
      <c r="H756" s="15" t="str">
        <f>IFERROR(__xludf.DUMMYFUNCTION("""COMPUTED_VALUE"""),"107263")</f>
        <v>107263</v>
      </c>
      <c r="I756" s="15" t="str">
        <f>IFERROR(__xludf.DUMMYFUNCTION("""COMPUTED_VALUE"""),"8177625")</f>
        <v>8177625</v>
      </c>
      <c r="J756" s="15" t="str">
        <f>IFERROR(__xludf.DUMMYFUNCTION("""COMPUTED_VALUE"""),"CIF")</f>
        <v>CIF</v>
      </c>
      <c r="K756" s="15" t="str">
        <f>IFERROR(__xludf.DUMMYFUNCTION("""COMPUTED_VALUE"""),"FSA-1")</f>
        <v>FSA-1</v>
      </c>
      <c r="L756" s="15" t="str">
        <f>IFERROR(__xludf.DUMMYFUNCTION("""COMPUTED_VALUE"""),"AUTORIZADO")</f>
        <v>AUTORIZADO</v>
      </c>
      <c r="M756" s="15" t="str">
        <f>IFERROR(__xludf.DUMMYFUNCTION("""COMPUTED_VALUE"""),"NA ORIGEM")</f>
        <v>NA ORIGEM</v>
      </c>
      <c r="N756" s="15" t="str">
        <f>IFERROR(__xludf.DUMMYFUNCTION("""COMPUTED_VALUE"""),"Antes Prazo")</f>
        <v>Antes Prazo</v>
      </c>
      <c r="O756" s="15" t="str">
        <f>IFERROR(__xludf.DUMMYFUNCTION("""COMPUTED_VALUE"""),"(não informada)")</f>
        <v>(não informada)</v>
      </c>
      <c r="P756" s="16">
        <f>IFERROR(__xludf.DUMMYFUNCTION("""COMPUTED_VALUE"""),173.6)</f>
        <v>173.6</v>
      </c>
      <c r="Q756" s="15">
        <f>IFERROR(__xludf.DUMMYFUNCTION("""COMPUTED_VALUE"""),1.0)</f>
        <v>1</v>
      </c>
      <c r="R756" s="15" t="str">
        <f>IFERROR(__xludf.DUMMYFUNCTION("""COMPUTED_VALUE"""),"RODO")</f>
        <v>RODO</v>
      </c>
      <c r="S756" s="15" t="str">
        <f>IFERROR(__xludf.DUMMYFUNCTION("""COMPUTED_VALUE"""),"ITN")</f>
        <v>ITN</v>
      </c>
      <c r="T756" s="15" t="str">
        <f>IFERROR(__xludf.DUMMYFUNCTION("""COMPUTED_VALUE"""),"2")</f>
        <v>2</v>
      </c>
      <c r="U756" s="15" t="str">
        <f>IFERROR(__xludf.DUMMYFUNCTION("""COMPUTED_VALUE"""),"266834275 107263 8177625 lucas ramos silva de oliveira daten tecnologia rec 2")</f>
        <v>266834275 107263 8177625 lucas ramos silva de oliveira daten tecnologia rec 2</v>
      </c>
      <c r="V756" s="15" t="b">
        <f>IFERROR(__xludf.DUMMYFUNCTION("""COMPUTED_VALUE"""),TRUE)</f>
        <v>1</v>
      </c>
    </row>
    <row r="757">
      <c r="A757" s="19">
        <f>IFERROR(__xludf.DUMMYFUNCTION("""COMPUTED_VALUE"""),46304.0)</f>
        <v>46304</v>
      </c>
      <c r="B757" s="19">
        <f>IFERROR(__xludf.DUMMYFUNCTION("""COMPUTED_VALUE"""),46321.0)</f>
        <v>46321</v>
      </c>
      <c r="C757" s="15">
        <f>IFERROR(__xludf.DUMMYFUNCTION("""COMPUTED_VALUE"""),10.0)</f>
        <v>10</v>
      </c>
      <c r="D757" s="15" t="str">
        <f>IFERROR(__xludf.DUMMYFUNCTION("""COMPUTED_VALUE"""),"ABS")</f>
        <v>ABS</v>
      </c>
      <c r="E757" s="15" t="str">
        <f>IFERROR(__xludf.DUMMYFUNCTION("""COMPUTED_VALUE"""),"SAGARA INFORMATICA LTDA")</f>
        <v>SAGARA INFORMATICA LTDA</v>
      </c>
      <c r="F757" s="15" t="str">
        <f>IFERROR(__xludf.DUMMYFUNCTION("""COMPUTED_VALUE"""),"DATEN TECNOLOGIA")</f>
        <v>DATEN TECNOLOGIA</v>
      </c>
      <c r="G757" s="15" t="str">
        <f>IFERROR(__xludf.DUMMYFUNCTION("""COMPUTED_VALUE"""),"266834276")</f>
        <v>266834276</v>
      </c>
      <c r="H757" s="15" t="str">
        <f>IFERROR(__xludf.DUMMYFUNCTION("""COMPUTED_VALUE"""),"107264")</f>
        <v>107264</v>
      </c>
      <c r="I757" s="15" t="str">
        <f>IFERROR(__xludf.DUMMYFUNCTION("""COMPUTED_VALUE"""),"8177626")</f>
        <v>8177626</v>
      </c>
      <c r="J757" s="15" t="str">
        <f>IFERROR(__xludf.DUMMYFUNCTION("""COMPUTED_VALUE"""),"CIF")</f>
        <v>CIF</v>
      </c>
      <c r="K757" s="15" t="str">
        <f>IFERROR(__xludf.DUMMYFUNCTION("""COMPUTED_VALUE"""),"(sem célula)")</f>
        <v>(sem célula)</v>
      </c>
      <c r="L757" s="15" t="str">
        <f>IFERROR(__xludf.DUMMYFUNCTION("""COMPUTED_VALUE"""),"AUTORIZADO")</f>
        <v>AUTORIZADO</v>
      </c>
      <c r="M757" s="15" t="str">
        <f>IFERROR(__xludf.DUMMYFUNCTION("""COMPUTED_VALUE"""),"NA ORIGEM")</f>
        <v>NA ORIGEM</v>
      </c>
      <c r="N757" s="15" t="str">
        <f>IFERROR(__xludf.DUMMYFUNCTION("""COMPUTED_VALUE"""),"Antes Prazo")</f>
        <v>Antes Prazo</v>
      </c>
      <c r="O757" s="15" t="str">
        <f>IFERROR(__xludf.DUMMYFUNCTION("""COMPUTED_VALUE"""),"(não informada)")</f>
        <v>(não informada)</v>
      </c>
      <c r="P757" s="16">
        <f>IFERROR(__xludf.DUMMYFUNCTION("""COMPUTED_VALUE"""),191.58)</f>
        <v>191.58</v>
      </c>
      <c r="Q757" s="15">
        <f>IFERROR(__xludf.DUMMYFUNCTION("""COMPUTED_VALUE"""),1.0)</f>
        <v>1</v>
      </c>
      <c r="R757" s="15" t="str">
        <f>IFERROR(__xludf.DUMMYFUNCTION("""COMPUTED_VALUE"""),"RODO")</f>
        <v>RODO</v>
      </c>
      <c r="S757" s="15" t="str">
        <f>IFERROR(__xludf.DUMMYFUNCTION("""COMPUTED_VALUE"""),"ITN")</f>
        <v>ITN</v>
      </c>
      <c r="T757" s="15" t="str">
        <f>IFERROR(__xludf.DUMMYFUNCTION("""COMPUTED_VALUE"""),"970")</f>
        <v>970</v>
      </c>
      <c r="U757" s="15" t="str">
        <f>IFERROR(__xludf.DUMMYFUNCTION("""COMPUTED_VALUE"""),"266834276 107264 8177626 sagara informatica ltda daten tecnologia abs 970")</f>
        <v>266834276 107264 8177626 sagara informatica ltda daten tecnologia abs 970</v>
      </c>
      <c r="V757" s="15" t="b">
        <f>IFERROR(__xludf.DUMMYFUNCTION("""COMPUTED_VALUE"""),TRUE)</f>
        <v>1</v>
      </c>
    </row>
    <row r="758">
      <c r="A758" s="19">
        <f>IFERROR(__xludf.DUMMYFUNCTION("""COMPUTED_VALUE"""),46304.0)</f>
        <v>46304</v>
      </c>
      <c r="B758" s="19">
        <f>IFERROR(__xludf.DUMMYFUNCTION("""COMPUTED_VALUE"""),46316.0)</f>
        <v>46316</v>
      </c>
      <c r="C758" s="15">
        <f>IFERROR(__xludf.DUMMYFUNCTION("""COMPUTED_VALUE"""),7.0)</f>
        <v>7</v>
      </c>
      <c r="D758" s="15" t="str">
        <f>IFERROR(__xludf.DUMMYFUNCTION("""COMPUTED_VALUE"""),"BCG")</f>
        <v>BCG</v>
      </c>
      <c r="E758" s="15" t="str">
        <f>IFERROR(__xludf.DUMMYFUNCTION("""COMPUTED_VALUE"""),"AMAZON SERVICOS DE VAREJO DO BRASIL LTDA")</f>
        <v>AMAZON SERVICOS DE VAREJO DO BRASIL LTDA</v>
      </c>
      <c r="F758" s="15" t="str">
        <f>IFERROR(__xludf.DUMMYFUNCTION("""COMPUTED_VALUE"""),"LINK DO BRASIL PRODUTOS ELETRONICOS LTDA")</f>
        <v>LINK DO BRASIL PRODUTOS ELETRONICOS LTDA</v>
      </c>
      <c r="G758" s="15" t="str">
        <f>IFERROR(__xludf.DUMMYFUNCTION("""COMPUTED_VALUE"""),"266835327")</f>
        <v>266835327</v>
      </c>
      <c r="H758" s="15" t="str">
        <f>IFERROR(__xludf.DUMMYFUNCTION("""COMPUTED_VALUE"""),"39464")</f>
        <v>39464</v>
      </c>
      <c r="I758" s="15" t="str">
        <f>IFERROR(__xludf.DUMMYFUNCTION("""COMPUTED_VALUE"""),"8177628")</f>
        <v>8177628</v>
      </c>
      <c r="J758" s="15" t="str">
        <f>IFERROR(__xludf.DUMMYFUNCTION("""COMPUTED_VALUE"""),"CIF")</f>
        <v>CIF</v>
      </c>
      <c r="K758" s="15" t="str">
        <f>IFERROR(__xludf.DUMMYFUNCTION("""COMPUTED_VALUE"""),"(sem célula)")</f>
        <v>(sem célula)</v>
      </c>
      <c r="L758" s="15" t="str">
        <f>IFERROR(__xludf.DUMMYFUNCTION("""COMPUTED_VALUE"""),"AUTORIZADO")</f>
        <v>AUTORIZADO</v>
      </c>
      <c r="M758" s="15" t="str">
        <f>IFERROR(__xludf.DUMMYFUNCTION("""COMPUTED_VALUE"""),"NA ORIGEM")</f>
        <v>NA ORIGEM</v>
      </c>
      <c r="N758" s="15" t="str">
        <f>IFERROR(__xludf.DUMMYFUNCTION("""COMPUTED_VALUE"""),"Antes Prazo")</f>
        <v>Antes Prazo</v>
      </c>
      <c r="O758" s="15" t="str">
        <f>IFERROR(__xludf.DUMMYFUNCTION("""COMPUTED_VALUE"""),"(não informada)")</f>
        <v>(não informada)</v>
      </c>
      <c r="P758" s="16">
        <f>IFERROR(__xludf.DUMMYFUNCTION("""COMPUTED_VALUE"""),1254.68)</f>
        <v>1254.68</v>
      </c>
      <c r="Q758" s="15">
        <f>IFERROR(__xludf.DUMMYFUNCTION("""COMPUTED_VALUE"""),46.0)</f>
        <v>46</v>
      </c>
      <c r="R758" s="15" t="str">
        <f>IFERROR(__xludf.DUMMYFUNCTION("""COMPUTED_VALUE"""),"RODO")</f>
        <v>RODO</v>
      </c>
      <c r="S758" s="15" t="str">
        <f>IFERROR(__xludf.DUMMYFUNCTION("""COMPUTED_VALUE"""),"ITN")</f>
        <v>ITN</v>
      </c>
      <c r="T758" s="15" t="str">
        <f>IFERROR(__xludf.DUMMYFUNCTION("""COMPUTED_VALUE"""),"133")</f>
        <v>133</v>
      </c>
      <c r="U758" s="15" t="str">
        <f>IFERROR(__xludf.DUMMYFUNCTION("""COMPUTED_VALUE"""),"266835327 39464 8177628 amazon servicos de varejo do brasil ltda link do brasil produtos eletronicos ltda bcg 133")</f>
        <v>266835327 39464 8177628 amazon servicos de varejo do brasil ltda link do brasil produtos eletronicos ltda bcg 133</v>
      </c>
      <c r="V758" s="15" t="b">
        <f>IFERROR(__xludf.DUMMYFUNCTION("""COMPUTED_VALUE"""),FALSE)</f>
        <v>0</v>
      </c>
    </row>
    <row r="759">
      <c r="A759" s="19">
        <f>IFERROR(__xludf.DUMMYFUNCTION("""COMPUTED_VALUE"""),46304.0)</f>
        <v>46304</v>
      </c>
      <c r="B759" s="19">
        <f>IFERROR(__xludf.DUMMYFUNCTION("""COMPUTED_VALUE"""),46318.0)</f>
        <v>46318</v>
      </c>
      <c r="C759" s="15">
        <f>IFERROR(__xludf.DUMMYFUNCTION("""COMPUTED_VALUE"""),9.0)</f>
        <v>9</v>
      </c>
      <c r="D759" s="15" t="str">
        <f>IFERROR(__xludf.DUMMYFUNCTION("""COMPUTED_VALUE"""),"BEL")</f>
        <v>BEL</v>
      </c>
      <c r="E759" s="15" t="str">
        <f>IFERROR(__xludf.DUMMYFUNCTION("""COMPUTED_VALUE"""),"PB FARMA LTDA")</f>
        <v>PB FARMA LTDA</v>
      </c>
      <c r="F759" s="15" t="str">
        <f>IFERROR(__xludf.DUMMYFUNCTION("""COMPUTED_VALUE"""),"DISCOM")</f>
        <v>DISCOM</v>
      </c>
      <c r="G759" s="15" t="str">
        <f>IFERROR(__xludf.DUMMYFUNCTION("""COMPUTED_VALUE"""),"266837696")</f>
        <v>266837696</v>
      </c>
      <c r="H759" s="15" t="str">
        <f>IFERROR(__xludf.DUMMYFUNCTION("""COMPUTED_VALUE"""),"55707")</f>
        <v>55707</v>
      </c>
      <c r="I759" s="15" t="str">
        <f>IFERROR(__xludf.DUMMYFUNCTION("""COMPUTED_VALUE"""),"8177596")</f>
        <v>8177596</v>
      </c>
      <c r="J759" s="15" t="str">
        <f>IFERROR(__xludf.DUMMYFUNCTION("""COMPUTED_VALUE"""),"CIF")</f>
        <v>CIF</v>
      </c>
      <c r="K759" s="15" t="str">
        <f>IFERROR(__xludf.DUMMYFUNCTION("""COMPUTED_VALUE"""),"FSA-1")</f>
        <v>FSA-1</v>
      </c>
      <c r="L759" s="15" t="str">
        <f>IFERROR(__xludf.DUMMYFUNCTION("""COMPUTED_VALUE"""),"AUTORIZADO")</f>
        <v>AUTORIZADO</v>
      </c>
      <c r="M759" s="15" t="str">
        <f>IFERROR(__xludf.DUMMYFUNCTION("""COMPUTED_VALUE"""),"NA ORIGEM")</f>
        <v>NA ORIGEM</v>
      </c>
      <c r="N759" s="15" t="str">
        <f>IFERROR(__xludf.DUMMYFUNCTION("""COMPUTED_VALUE"""),"Antes Prazo")</f>
        <v>Antes Prazo</v>
      </c>
      <c r="O759" s="15" t="str">
        <f>IFERROR(__xludf.DUMMYFUNCTION("""COMPUTED_VALUE"""),"(não informada)")</f>
        <v>(não informada)</v>
      </c>
      <c r="P759" s="16">
        <f>IFERROR(__xludf.DUMMYFUNCTION("""COMPUTED_VALUE"""),113.2)</f>
        <v>113.2</v>
      </c>
      <c r="Q759" s="15">
        <f>IFERROR(__xludf.DUMMYFUNCTION("""COMPUTED_VALUE"""),1.0)</f>
        <v>1</v>
      </c>
      <c r="R759" s="15" t="str">
        <f>IFERROR(__xludf.DUMMYFUNCTION("""COMPUTED_VALUE"""),"RODO")</f>
        <v>RODO</v>
      </c>
      <c r="S759" s="15" t="str">
        <f>IFERROR(__xludf.DUMMYFUNCTION("""COMPUTED_VALUE"""),"ITN")</f>
        <v>ITN</v>
      </c>
      <c r="T759" s="15" t="str">
        <f>IFERROR(__xludf.DUMMYFUNCTION("""COMPUTED_VALUE"""),"16")</f>
        <v>16</v>
      </c>
      <c r="U759" s="15" t="str">
        <f>IFERROR(__xludf.DUMMYFUNCTION("""COMPUTED_VALUE"""),"266837696 55707 8177596 pb farma ltda discom bel 16")</f>
        <v>266837696 55707 8177596 pb farma ltda discom bel 16</v>
      </c>
      <c r="V759" s="15" t="b">
        <f>IFERROR(__xludf.DUMMYFUNCTION("""COMPUTED_VALUE"""),FALSE)</f>
        <v>0</v>
      </c>
    </row>
    <row r="760">
      <c r="A760" s="19">
        <f>IFERROR(__xludf.DUMMYFUNCTION("""COMPUTED_VALUE"""),46304.0)</f>
        <v>46304</v>
      </c>
      <c r="B760" s="19">
        <f>IFERROR(__xludf.DUMMYFUNCTION("""COMPUTED_VALUE"""),46316.0)</f>
        <v>46316</v>
      </c>
      <c r="C760" s="15">
        <f>IFERROR(__xludf.DUMMYFUNCTION("""COMPUTED_VALUE"""),7.0)</f>
        <v>7</v>
      </c>
      <c r="D760" s="15" t="str">
        <f>IFERROR(__xludf.DUMMYFUNCTION("""COMPUTED_VALUE"""),"CCT")</f>
        <v>CCT</v>
      </c>
      <c r="E760" s="15" t="str">
        <f>IFERROR(__xludf.DUMMYFUNCTION("""COMPUTED_VALUE"""),"COML BOM DIA LTDA")</f>
        <v>COML BOM DIA LTDA</v>
      </c>
      <c r="F760" s="15" t="str">
        <f>IFERROR(__xludf.DUMMYFUNCTION("""COMPUTED_VALUE"""),"TRIFIL")</f>
        <v>TRIFIL</v>
      </c>
      <c r="G760" s="15" t="str">
        <f>IFERROR(__xludf.DUMMYFUNCTION("""COMPUTED_VALUE"""),"266840091")</f>
        <v>266840091</v>
      </c>
      <c r="H760" s="15" t="str">
        <f>IFERROR(__xludf.DUMMYFUNCTION("""COMPUTED_VALUE"""),"1306593")</f>
        <v>1306593</v>
      </c>
      <c r="I760" s="15" t="str">
        <f>IFERROR(__xludf.DUMMYFUNCTION("""COMPUTED_VALUE"""),"8177413")</f>
        <v>8177413</v>
      </c>
      <c r="J760" s="15" t="str">
        <f>IFERROR(__xludf.DUMMYFUNCTION("""COMPUTED_VALUE"""),"CIF")</f>
        <v>CIF</v>
      </c>
      <c r="K760" s="15" t="str">
        <f>IFERROR(__xludf.DUMMYFUNCTION("""COMPUTED_VALUE"""),"SAO-1")</f>
        <v>SAO-1</v>
      </c>
      <c r="L760" s="15" t="str">
        <f>IFERROR(__xludf.DUMMYFUNCTION("""COMPUTED_VALUE"""),"AUTORIZADO")</f>
        <v>AUTORIZADO</v>
      </c>
      <c r="M760" s="15" t="str">
        <f>IFERROR(__xludf.DUMMYFUNCTION("""COMPUTED_VALUE"""),"NA ORIGEM")</f>
        <v>NA ORIGEM</v>
      </c>
      <c r="N760" s="15" t="str">
        <f>IFERROR(__xludf.DUMMYFUNCTION("""COMPUTED_VALUE"""),"Antes Prazo")</f>
        <v>Antes Prazo</v>
      </c>
      <c r="O760" s="15" t="str">
        <f>IFERROR(__xludf.DUMMYFUNCTION("""COMPUTED_VALUE"""),"B2B")</f>
        <v>B2B</v>
      </c>
      <c r="P760" s="16">
        <f>IFERROR(__xludf.DUMMYFUNCTION("""COMPUTED_VALUE"""),51.48)</f>
        <v>51.48</v>
      </c>
      <c r="Q760" s="15">
        <f>IFERROR(__xludf.DUMMYFUNCTION("""COMPUTED_VALUE"""),4.0)</f>
        <v>4</v>
      </c>
      <c r="R760" s="15" t="str">
        <f>IFERROR(__xludf.DUMMYFUNCTION("""COMPUTED_VALUE"""),"RODO")</f>
        <v>RODO</v>
      </c>
      <c r="S760" s="15" t="str">
        <f>IFERROR(__xludf.DUMMYFUNCTION("""COMPUTED_VALUE"""),"ITN")</f>
        <v>ITN</v>
      </c>
      <c r="T760" s="15" t="str">
        <f>IFERROR(__xludf.DUMMYFUNCTION("""COMPUTED_VALUE"""),"102")</f>
        <v>102</v>
      </c>
      <c r="U760" s="15" t="str">
        <f>IFERROR(__xludf.DUMMYFUNCTION("""COMPUTED_VALUE"""),"266840091 1306593 8177413 coml bom dia ltda trifil cct 102")</f>
        <v>266840091 1306593 8177413 coml bom dia ltda trifil cct 102</v>
      </c>
      <c r="V760" s="15" t="b">
        <f>IFERROR(__xludf.DUMMYFUNCTION("""COMPUTED_VALUE"""),FALSE)</f>
        <v>0</v>
      </c>
    </row>
    <row r="761">
      <c r="A761" s="19">
        <f>IFERROR(__xludf.DUMMYFUNCTION("""COMPUTED_VALUE"""),46304.0)</f>
        <v>46304</v>
      </c>
      <c r="B761" s="19">
        <f>IFERROR(__xludf.DUMMYFUNCTION("""COMPUTED_VALUE"""),46316.0)</f>
        <v>46316</v>
      </c>
      <c r="C761" s="15">
        <f>IFERROR(__xludf.DUMMYFUNCTION("""COMPUTED_VALUE"""),7.0)</f>
        <v>7</v>
      </c>
      <c r="D761" s="15" t="str">
        <f>IFERROR(__xludf.DUMMYFUNCTION("""COMPUTED_VALUE"""),"SSZ")</f>
        <v>SSZ</v>
      </c>
      <c r="E761" s="15" t="str">
        <f>IFERROR(__xludf.DUMMYFUNCTION("""COMPUTED_VALUE"""),"EL BANAT &amp; FILHO LTDA.")</f>
        <v>EL BANAT &amp; FILHO LTDA.</v>
      </c>
      <c r="F761" s="15" t="str">
        <f>IFERROR(__xludf.DUMMYFUNCTION("""COMPUTED_VALUE"""),"TRIFIL")</f>
        <v>TRIFIL</v>
      </c>
      <c r="G761" s="15" t="str">
        <f>IFERROR(__xludf.DUMMYFUNCTION("""COMPUTED_VALUE"""),"266840092")</f>
        <v>266840092</v>
      </c>
      <c r="H761" s="15" t="str">
        <f>IFERROR(__xludf.DUMMYFUNCTION("""COMPUTED_VALUE"""),"1306205")</f>
        <v>1306205</v>
      </c>
      <c r="I761" s="15" t="str">
        <f>IFERROR(__xludf.DUMMYFUNCTION("""COMPUTED_VALUE"""),"8177499")</f>
        <v>8177499</v>
      </c>
      <c r="J761" s="15" t="str">
        <f>IFERROR(__xludf.DUMMYFUNCTION("""COMPUTED_VALUE"""),"CIF")</f>
        <v>CIF</v>
      </c>
      <c r="K761" s="15" t="str">
        <f>IFERROR(__xludf.DUMMYFUNCTION("""COMPUTED_VALUE"""),"(sem célula)")</f>
        <v>(sem célula)</v>
      </c>
      <c r="L761" s="15" t="str">
        <f>IFERROR(__xludf.DUMMYFUNCTION("""COMPUTED_VALUE"""),"AUTORIZADO")</f>
        <v>AUTORIZADO</v>
      </c>
      <c r="M761" s="15" t="str">
        <f>IFERROR(__xludf.DUMMYFUNCTION("""COMPUTED_VALUE"""),"NA ORIGEM")</f>
        <v>NA ORIGEM</v>
      </c>
      <c r="N761" s="15" t="str">
        <f>IFERROR(__xludf.DUMMYFUNCTION("""COMPUTED_VALUE"""),"Antes Prazo")</f>
        <v>Antes Prazo</v>
      </c>
      <c r="O761" s="15" t="str">
        <f>IFERROR(__xludf.DUMMYFUNCTION("""COMPUTED_VALUE"""),"B2B")</f>
        <v>B2B</v>
      </c>
      <c r="P761" s="16">
        <f>IFERROR(__xludf.DUMMYFUNCTION("""COMPUTED_VALUE"""),38.46)</f>
        <v>38.46</v>
      </c>
      <c r="Q761" s="15">
        <f>IFERROR(__xludf.DUMMYFUNCTION("""COMPUTED_VALUE"""),1.0)</f>
        <v>1</v>
      </c>
      <c r="R761" s="15" t="str">
        <f>IFERROR(__xludf.DUMMYFUNCTION("""COMPUTED_VALUE"""),"RODO")</f>
        <v>RODO</v>
      </c>
      <c r="S761" s="15" t="str">
        <f>IFERROR(__xludf.DUMMYFUNCTION("""COMPUTED_VALUE"""),"ITN")</f>
        <v>ITN</v>
      </c>
      <c r="T761" s="15" t="str">
        <f>IFERROR(__xludf.DUMMYFUNCTION("""COMPUTED_VALUE"""),"105")</f>
        <v>105</v>
      </c>
      <c r="U761" s="15" t="str">
        <f>IFERROR(__xludf.DUMMYFUNCTION("""COMPUTED_VALUE"""),"266840092 1306205 8177499 el banat &amp; filho ltda. trifil ssz 105")</f>
        <v>266840092 1306205 8177499 el banat &amp; filho ltda. trifil ssz 105</v>
      </c>
      <c r="V761" s="15" t="b">
        <f>IFERROR(__xludf.DUMMYFUNCTION("""COMPUTED_VALUE"""),FALSE)</f>
        <v>0</v>
      </c>
    </row>
    <row r="762">
      <c r="A762" s="19">
        <f>IFERROR(__xludf.DUMMYFUNCTION("""COMPUTED_VALUE"""),46304.0)</f>
        <v>46304</v>
      </c>
      <c r="B762" s="19">
        <f>IFERROR(__xludf.DUMMYFUNCTION("""COMPUTED_VALUE"""),46316.0)</f>
        <v>46316</v>
      </c>
      <c r="C762" s="15">
        <f>IFERROR(__xludf.DUMMYFUNCTION("""COMPUTED_VALUE"""),7.0)</f>
        <v>7</v>
      </c>
      <c r="D762" s="15" t="str">
        <f>IFERROR(__xludf.DUMMYFUNCTION("""COMPUTED_VALUE"""),"SJK")</f>
        <v>SJK</v>
      </c>
      <c r="E762" s="15" t="str">
        <f>IFERROR(__xludf.DUMMYFUNCTION("""COMPUTED_VALUE"""),"XAVIER CALÇADOS")</f>
        <v>XAVIER CALÇADOS</v>
      </c>
      <c r="F762" s="15" t="str">
        <f>IFERROR(__xludf.DUMMYFUNCTION("""COMPUTED_VALUE"""),"TRIFIL")</f>
        <v>TRIFIL</v>
      </c>
      <c r="G762" s="15" t="str">
        <f>IFERROR(__xludf.DUMMYFUNCTION("""COMPUTED_VALUE"""),"266840093")</f>
        <v>266840093</v>
      </c>
      <c r="H762" s="15" t="str">
        <f>IFERROR(__xludf.DUMMYFUNCTION("""COMPUTED_VALUE"""),"1306373")</f>
        <v>1306373</v>
      </c>
      <c r="I762" s="15" t="str">
        <f>IFERROR(__xludf.DUMMYFUNCTION("""COMPUTED_VALUE"""),"8177500")</f>
        <v>8177500</v>
      </c>
      <c r="J762" s="15" t="str">
        <f>IFERROR(__xludf.DUMMYFUNCTION("""COMPUTED_VALUE"""),"CIF")</f>
        <v>CIF</v>
      </c>
      <c r="K762" s="15" t="str">
        <f>IFERROR(__xludf.DUMMYFUNCTION("""COMPUTED_VALUE"""),"(sem célula)")</f>
        <v>(sem célula)</v>
      </c>
      <c r="L762" s="15" t="str">
        <f>IFERROR(__xludf.DUMMYFUNCTION("""COMPUTED_VALUE"""),"AUTORIZADO")</f>
        <v>AUTORIZADO</v>
      </c>
      <c r="M762" s="15" t="str">
        <f>IFERROR(__xludf.DUMMYFUNCTION("""COMPUTED_VALUE"""),"NA ORIGEM")</f>
        <v>NA ORIGEM</v>
      </c>
      <c r="N762" s="15" t="str">
        <f>IFERROR(__xludf.DUMMYFUNCTION("""COMPUTED_VALUE"""),"Antes Prazo")</f>
        <v>Antes Prazo</v>
      </c>
      <c r="O762" s="15" t="str">
        <f>IFERROR(__xludf.DUMMYFUNCTION("""COMPUTED_VALUE"""),"B2B")</f>
        <v>B2B</v>
      </c>
      <c r="P762" s="16">
        <f>IFERROR(__xludf.DUMMYFUNCTION("""COMPUTED_VALUE"""),38.46)</f>
        <v>38.46</v>
      </c>
      <c r="Q762" s="15">
        <f>IFERROR(__xludf.DUMMYFUNCTION("""COMPUTED_VALUE"""),1.0)</f>
        <v>1</v>
      </c>
      <c r="R762" s="15" t="str">
        <f>IFERROR(__xludf.DUMMYFUNCTION("""COMPUTED_VALUE"""),"RODO")</f>
        <v>RODO</v>
      </c>
      <c r="S762" s="15" t="str">
        <f>IFERROR(__xludf.DUMMYFUNCTION("""COMPUTED_VALUE"""),"ITN")</f>
        <v>ITN</v>
      </c>
      <c r="T762" s="15" t="str">
        <f>IFERROR(__xludf.DUMMYFUNCTION("""COMPUTED_VALUE"""),"102")</f>
        <v>102</v>
      </c>
      <c r="U762" s="15" t="str">
        <f>IFERROR(__xludf.DUMMYFUNCTION("""COMPUTED_VALUE"""),"266840093 1306373 8177500 xavier calçados trifil sjk 102")</f>
        <v>266840093 1306373 8177500 xavier calçados trifil sjk 102</v>
      </c>
      <c r="V762" s="15" t="b">
        <f>IFERROR(__xludf.DUMMYFUNCTION("""COMPUTED_VALUE"""),FALSE)</f>
        <v>0</v>
      </c>
    </row>
    <row r="763">
      <c r="A763" s="19">
        <f>IFERROR(__xludf.DUMMYFUNCTION("""COMPUTED_VALUE"""),46304.0)</f>
        <v>46304</v>
      </c>
      <c r="B763" s="19">
        <f>IFERROR(__xludf.DUMMYFUNCTION("""COMPUTED_VALUE"""),46317.0)</f>
        <v>46317</v>
      </c>
      <c r="C763" s="15">
        <f>IFERROR(__xludf.DUMMYFUNCTION("""COMPUTED_VALUE"""),8.0)</f>
        <v>8</v>
      </c>
      <c r="D763" s="15" t="str">
        <f>IFERROR(__xludf.DUMMYFUNCTION("""COMPUTED_VALUE"""),"CPQ")</f>
        <v>CPQ</v>
      </c>
      <c r="E763" s="15" t="str">
        <f>IFERROR(__xludf.DUMMYFUNCTION("""COMPUTED_VALUE"""),"MALHA BOA CONFECCAO E COMERCIODE ROUPAS")</f>
        <v>MALHA BOA CONFECCAO E COMERCIODE ROUPAS</v>
      </c>
      <c r="F763" s="15" t="str">
        <f>IFERROR(__xludf.DUMMYFUNCTION("""COMPUTED_VALUE"""),"TRIFIL")</f>
        <v>TRIFIL</v>
      </c>
      <c r="G763" s="15" t="str">
        <f>IFERROR(__xludf.DUMMYFUNCTION("""COMPUTED_VALUE"""),"266840094")</f>
        <v>266840094</v>
      </c>
      <c r="H763" s="15" t="str">
        <f>IFERROR(__xludf.DUMMYFUNCTION("""COMPUTED_VALUE"""),"1306349")</f>
        <v>1306349</v>
      </c>
      <c r="I763" s="15" t="str">
        <f>IFERROR(__xludf.DUMMYFUNCTION("""COMPUTED_VALUE"""),"8177501")</f>
        <v>8177501</v>
      </c>
      <c r="J763" s="15" t="str">
        <f>IFERROR(__xludf.DUMMYFUNCTION("""COMPUTED_VALUE"""),"CIF")</f>
        <v>CIF</v>
      </c>
      <c r="K763" s="15" t="str">
        <f>IFERROR(__xludf.DUMMYFUNCTION("""COMPUTED_VALUE"""),"(sem célula)")</f>
        <v>(sem célula)</v>
      </c>
      <c r="L763" s="15" t="str">
        <f>IFERROR(__xludf.DUMMYFUNCTION("""COMPUTED_VALUE"""),"AUTORIZADO")</f>
        <v>AUTORIZADO</v>
      </c>
      <c r="M763" s="15" t="str">
        <f>IFERROR(__xludf.DUMMYFUNCTION("""COMPUTED_VALUE"""),"NA ORIGEM")</f>
        <v>NA ORIGEM</v>
      </c>
      <c r="N763" s="15" t="str">
        <f>IFERROR(__xludf.DUMMYFUNCTION("""COMPUTED_VALUE"""),"Antes Prazo")</f>
        <v>Antes Prazo</v>
      </c>
      <c r="O763" s="15" t="str">
        <f>IFERROR(__xludf.DUMMYFUNCTION("""COMPUTED_VALUE"""),"B2B")</f>
        <v>B2B</v>
      </c>
      <c r="P763" s="16">
        <f>IFERROR(__xludf.DUMMYFUNCTION("""COMPUTED_VALUE"""),38.46)</f>
        <v>38.46</v>
      </c>
      <c r="Q763" s="15">
        <f>IFERROR(__xludf.DUMMYFUNCTION("""COMPUTED_VALUE"""),1.0)</f>
        <v>1</v>
      </c>
      <c r="R763" s="15" t="str">
        <f>IFERROR(__xludf.DUMMYFUNCTION("""COMPUTED_VALUE"""),"RODO")</f>
        <v>RODO</v>
      </c>
      <c r="S763" s="15" t="str">
        <f>IFERROR(__xludf.DUMMYFUNCTION("""COMPUTED_VALUE"""),"ITN")</f>
        <v>ITN</v>
      </c>
      <c r="T763" s="15" t="str">
        <f>IFERROR(__xludf.DUMMYFUNCTION("""COMPUTED_VALUE"""),"115")</f>
        <v>115</v>
      </c>
      <c r="U763" s="15" t="str">
        <f>IFERROR(__xludf.DUMMYFUNCTION("""COMPUTED_VALUE"""),"266840094 1306349 8177501 malha boa confeccao e comerciode roupas trifil cpq 115")</f>
        <v>266840094 1306349 8177501 malha boa confeccao e comerciode roupas trifil cpq 115</v>
      </c>
      <c r="V763" s="15" t="b">
        <f>IFERROR(__xludf.DUMMYFUNCTION("""COMPUTED_VALUE"""),FALSE)</f>
        <v>0</v>
      </c>
    </row>
    <row r="764">
      <c r="A764" s="19">
        <f>IFERROR(__xludf.DUMMYFUNCTION("""COMPUTED_VALUE"""),46304.0)</f>
        <v>46304</v>
      </c>
      <c r="B764" s="19">
        <f>IFERROR(__xludf.DUMMYFUNCTION("""COMPUTED_VALUE"""),46316.0)</f>
        <v>46316</v>
      </c>
      <c r="C764" s="15">
        <f>IFERROR(__xludf.DUMMYFUNCTION("""COMPUTED_VALUE"""),7.0)</f>
        <v>7</v>
      </c>
      <c r="D764" s="15" t="str">
        <f>IFERROR(__xludf.DUMMYFUNCTION("""COMPUTED_VALUE"""),"CPQ")</f>
        <v>CPQ</v>
      </c>
      <c r="E764" s="15" t="str">
        <f>IFERROR(__xludf.DUMMYFUNCTION("""COMPUTED_VALUE"""),"KAMBELL COM DE ROUPAS E CALC LTDA ME")</f>
        <v>KAMBELL COM DE ROUPAS E CALC LTDA ME</v>
      </c>
      <c r="F764" s="15" t="str">
        <f>IFERROR(__xludf.DUMMYFUNCTION("""COMPUTED_VALUE"""),"TRIFIL")</f>
        <v>TRIFIL</v>
      </c>
      <c r="G764" s="15" t="str">
        <f>IFERROR(__xludf.DUMMYFUNCTION("""COMPUTED_VALUE"""),"266840096")</f>
        <v>266840096</v>
      </c>
      <c r="H764" s="15" t="str">
        <f>IFERROR(__xludf.DUMMYFUNCTION("""COMPUTED_VALUE"""),"1306344")</f>
        <v>1306344</v>
      </c>
      <c r="I764" s="15" t="str">
        <f>IFERROR(__xludf.DUMMYFUNCTION("""COMPUTED_VALUE"""),"8177502")</f>
        <v>8177502</v>
      </c>
      <c r="J764" s="15" t="str">
        <f>IFERROR(__xludf.DUMMYFUNCTION("""COMPUTED_VALUE"""),"CIF")</f>
        <v>CIF</v>
      </c>
      <c r="K764" s="15" t="str">
        <f>IFERROR(__xludf.DUMMYFUNCTION("""COMPUTED_VALUE"""),"(sem célula)")</f>
        <v>(sem célula)</v>
      </c>
      <c r="L764" s="15" t="str">
        <f>IFERROR(__xludf.DUMMYFUNCTION("""COMPUTED_VALUE"""),"AUTORIZADO")</f>
        <v>AUTORIZADO</v>
      </c>
      <c r="M764" s="15" t="str">
        <f>IFERROR(__xludf.DUMMYFUNCTION("""COMPUTED_VALUE"""),"NA ORIGEM")</f>
        <v>NA ORIGEM</v>
      </c>
      <c r="N764" s="15" t="str">
        <f>IFERROR(__xludf.DUMMYFUNCTION("""COMPUTED_VALUE"""),"Antes Prazo")</f>
        <v>Antes Prazo</v>
      </c>
      <c r="O764" s="15" t="str">
        <f>IFERROR(__xludf.DUMMYFUNCTION("""COMPUTED_VALUE"""),"B2B")</f>
        <v>B2B</v>
      </c>
      <c r="P764" s="16">
        <f>IFERROR(__xludf.DUMMYFUNCTION("""COMPUTED_VALUE"""),38.46)</f>
        <v>38.46</v>
      </c>
      <c r="Q764" s="15">
        <f>IFERROR(__xludf.DUMMYFUNCTION("""COMPUTED_VALUE"""),1.0)</f>
        <v>1</v>
      </c>
      <c r="R764" s="15" t="str">
        <f>IFERROR(__xludf.DUMMYFUNCTION("""COMPUTED_VALUE"""),"RODO")</f>
        <v>RODO</v>
      </c>
      <c r="S764" s="15" t="str">
        <f>IFERROR(__xludf.DUMMYFUNCTION("""COMPUTED_VALUE"""),"ITN")</f>
        <v>ITN</v>
      </c>
      <c r="T764" s="15" t="str">
        <f>IFERROR(__xludf.DUMMYFUNCTION("""COMPUTED_VALUE"""),"101")</f>
        <v>101</v>
      </c>
      <c r="U764" s="15" t="str">
        <f>IFERROR(__xludf.DUMMYFUNCTION("""COMPUTED_VALUE"""),"266840096 1306344 8177502 kambell com de roupas e calc ltda me trifil cpq 101")</f>
        <v>266840096 1306344 8177502 kambell com de roupas e calc ltda me trifil cpq 101</v>
      </c>
      <c r="V764" s="15" t="b">
        <f>IFERROR(__xludf.DUMMYFUNCTION("""COMPUTED_VALUE"""),FALSE)</f>
        <v>0</v>
      </c>
    </row>
    <row r="765">
      <c r="A765" s="19">
        <f>IFERROR(__xludf.DUMMYFUNCTION("""COMPUTED_VALUE"""),46304.0)</f>
        <v>46304</v>
      </c>
      <c r="B765" s="19">
        <f>IFERROR(__xludf.DUMMYFUNCTION("""COMPUTED_VALUE"""),46318.0)</f>
        <v>46318</v>
      </c>
      <c r="C765" s="15">
        <f>IFERROR(__xludf.DUMMYFUNCTION("""COMPUTED_VALUE"""),9.0)</f>
        <v>9</v>
      </c>
      <c r="D765" s="15" t="str">
        <f>IFERROR(__xludf.DUMMYFUNCTION("""COMPUTED_VALUE"""),"ATB")</f>
        <v>ATB</v>
      </c>
      <c r="E765" s="15" t="str">
        <f>IFERROR(__xludf.DUMMYFUNCTION("""COMPUTED_VALUE"""),"FRANCISCO JOSE CARVALHO DOS SANTOS 07841")</f>
        <v>FRANCISCO JOSE CARVALHO DOS SANTOS 07841</v>
      </c>
      <c r="F765" s="15" t="str">
        <f>IFERROR(__xludf.DUMMYFUNCTION("""COMPUTED_VALUE"""),"TRIFIL")</f>
        <v>TRIFIL</v>
      </c>
      <c r="G765" s="15" t="str">
        <f>IFERROR(__xludf.DUMMYFUNCTION("""COMPUTED_VALUE"""),"266840098")</f>
        <v>266840098</v>
      </c>
      <c r="H765" s="15" t="str">
        <f>IFERROR(__xludf.DUMMYFUNCTION("""COMPUTED_VALUE"""),"1306283")</f>
        <v>1306283</v>
      </c>
      <c r="I765" s="15" t="str">
        <f>IFERROR(__xludf.DUMMYFUNCTION("""COMPUTED_VALUE"""),"8177555")</f>
        <v>8177555</v>
      </c>
      <c r="J765" s="15" t="str">
        <f>IFERROR(__xludf.DUMMYFUNCTION("""COMPUTED_VALUE"""),"CIF")</f>
        <v>CIF</v>
      </c>
      <c r="K765" s="15" t="str">
        <f>IFERROR(__xludf.DUMMYFUNCTION("""COMPUTED_VALUE"""),"SAO-1")</f>
        <v>SAO-1</v>
      </c>
      <c r="L765" s="15" t="str">
        <f>IFERROR(__xludf.DUMMYFUNCTION("""COMPUTED_VALUE"""),"AUTORIZADO")</f>
        <v>AUTORIZADO</v>
      </c>
      <c r="M765" s="15" t="str">
        <f>IFERROR(__xludf.DUMMYFUNCTION("""COMPUTED_VALUE"""),"NA ORIGEM")</f>
        <v>NA ORIGEM</v>
      </c>
      <c r="N765" s="15" t="str">
        <f>IFERROR(__xludf.DUMMYFUNCTION("""COMPUTED_VALUE"""),"Antes Prazo")</f>
        <v>Antes Prazo</v>
      </c>
      <c r="O765" s="15" t="str">
        <f>IFERROR(__xludf.DUMMYFUNCTION("""COMPUTED_VALUE"""),"B2B")</f>
        <v>B2B</v>
      </c>
      <c r="P765" s="16">
        <f>IFERROR(__xludf.DUMMYFUNCTION("""COMPUTED_VALUE"""),38.46)</f>
        <v>38.46</v>
      </c>
      <c r="Q765" s="15">
        <f>IFERROR(__xludf.DUMMYFUNCTION("""COMPUTED_VALUE"""),1.0)</f>
        <v>1</v>
      </c>
      <c r="R765" s="15" t="str">
        <f>IFERROR(__xludf.DUMMYFUNCTION("""COMPUTED_VALUE"""),"RODO")</f>
        <v>RODO</v>
      </c>
      <c r="S765" s="15" t="str">
        <f>IFERROR(__xludf.DUMMYFUNCTION("""COMPUTED_VALUE"""),"ITN")</f>
        <v>ITN</v>
      </c>
      <c r="T765" s="15" t="str">
        <f>IFERROR(__xludf.DUMMYFUNCTION("""COMPUTED_VALUE"""),"104")</f>
        <v>104</v>
      </c>
      <c r="U765" s="15" t="str">
        <f>IFERROR(__xludf.DUMMYFUNCTION("""COMPUTED_VALUE"""),"266840098 1306283 8177555 francisco jose carvalho dos santos 07841 trifil atb 104")</f>
        <v>266840098 1306283 8177555 francisco jose carvalho dos santos 07841 trifil atb 104</v>
      </c>
      <c r="V765" s="15" t="b">
        <f>IFERROR(__xludf.DUMMYFUNCTION("""COMPUTED_VALUE"""),FALSE)</f>
        <v>0</v>
      </c>
    </row>
    <row r="766">
      <c r="A766" s="19">
        <f>IFERROR(__xludf.DUMMYFUNCTION("""COMPUTED_VALUE"""),46304.0)</f>
        <v>46304</v>
      </c>
      <c r="B766" s="19">
        <f>IFERROR(__xludf.DUMMYFUNCTION("""COMPUTED_VALUE"""),46316.0)</f>
        <v>46316</v>
      </c>
      <c r="C766" s="15">
        <f>IFERROR(__xludf.DUMMYFUNCTION("""COMPUTED_VALUE"""),7.0)</f>
        <v>7</v>
      </c>
      <c r="D766" s="15" t="str">
        <f>IFERROR(__xludf.DUMMYFUNCTION("""COMPUTED_VALUE"""),"DPW")</f>
        <v>DPW</v>
      </c>
      <c r="E766" s="15" t="str">
        <f>IFERROR(__xludf.DUMMYFUNCTION("""COMPUTED_VALUE"""),"SAPATARIA SANTANA")</f>
        <v>SAPATARIA SANTANA</v>
      </c>
      <c r="F766" s="15" t="str">
        <f>IFERROR(__xludf.DUMMYFUNCTION("""COMPUTED_VALUE"""),"TRIFIL")</f>
        <v>TRIFIL</v>
      </c>
      <c r="G766" s="15" t="str">
        <f>IFERROR(__xludf.DUMMYFUNCTION("""COMPUTED_VALUE"""),"266840100")</f>
        <v>266840100</v>
      </c>
      <c r="H766" s="15" t="str">
        <f>IFERROR(__xludf.DUMMYFUNCTION("""COMPUTED_VALUE"""),"1306513")</f>
        <v>1306513</v>
      </c>
      <c r="I766" s="15" t="str">
        <f>IFERROR(__xludf.DUMMYFUNCTION("""COMPUTED_VALUE"""),"8177435")</f>
        <v>8177435</v>
      </c>
      <c r="J766" s="15" t="str">
        <f>IFERROR(__xludf.DUMMYFUNCTION("""COMPUTED_VALUE"""),"CIF")</f>
        <v>CIF</v>
      </c>
      <c r="K766" s="15" t="str">
        <f>IFERROR(__xludf.DUMMYFUNCTION("""COMPUTED_VALUE"""),"(sem célula)")</f>
        <v>(sem célula)</v>
      </c>
      <c r="L766" s="15" t="str">
        <f>IFERROR(__xludf.DUMMYFUNCTION("""COMPUTED_VALUE"""),"AUTORIZADO")</f>
        <v>AUTORIZADO</v>
      </c>
      <c r="M766" s="15" t="str">
        <f>IFERROR(__xludf.DUMMYFUNCTION("""COMPUTED_VALUE"""),"NA ORIGEM")</f>
        <v>NA ORIGEM</v>
      </c>
      <c r="N766" s="15" t="str">
        <f>IFERROR(__xludf.DUMMYFUNCTION("""COMPUTED_VALUE"""),"Antes Prazo")</f>
        <v>Antes Prazo</v>
      </c>
      <c r="O766" s="15" t="str">
        <f>IFERROR(__xludf.DUMMYFUNCTION("""COMPUTED_VALUE"""),"B2B")</f>
        <v>B2B</v>
      </c>
      <c r="P766" s="16">
        <f>IFERROR(__xludf.DUMMYFUNCTION("""COMPUTED_VALUE"""),38.46)</f>
        <v>38.46</v>
      </c>
      <c r="Q766" s="15">
        <f>IFERROR(__xludf.DUMMYFUNCTION("""COMPUTED_VALUE"""),1.0)</f>
        <v>1</v>
      </c>
      <c r="R766" s="15" t="str">
        <f>IFERROR(__xludf.DUMMYFUNCTION("""COMPUTED_VALUE"""),"RODO")</f>
        <v>RODO</v>
      </c>
      <c r="S766" s="15" t="str">
        <f>IFERROR(__xludf.DUMMYFUNCTION("""COMPUTED_VALUE"""),"ITN")</f>
        <v>ITN</v>
      </c>
      <c r="T766" s="15" t="str">
        <f>IFERROR(__xludf.DUMMYFUNCTION("""COMPUTED_VALUE"""),"1")</f>
        <v>1</v>
      </c>
      <c r="U766" s="15" t="str">
        <f>IFERROR(__xludf.DUMMYFUNCTION("""COMPUTED_VALUE"""),"266840100 1306513 8177435 sapataria santana trifil dpw 1")</f>
        <v>266840100 1306513 8177435 sapataria santana trifil dpw 1</v>
      </c>
      <c r="V766" s="15" t="b">
        <f>IFERROR(__xludf.DUMMYFUNCTION("""COMPUTED_VALUE"""),FALSE)</f>
        <v>0</v>
      </c>
    </row>
    <row r="767">
      <c r="A767" s="19">
        <f>IFERROR(__xludf.DUMMYFUNCTION("""COMPUTED_VALUE"""),46304.0)</f>
        <v>46304</v>
      </c>
      <c r="B767" s="19">
        <f>IFERROR(__xludf.DUMMYFUNCTION("""COMPUTED_VALUE"""),46317.0)</f>
        <v>46317</v>
      </c>
      <c r="C767" s="15">
        <f>IFERROR(__xludf.DUMMYFUNCTION("""COMPUTED_VALUE"""),8.0)</f>
        <v>8</v>
      </c>
      <c r="D767" s="15" t="str">
        <f>IFERROR(__xludf.DUMMYFUNCTION("""COMPUTED_VALUE"""),"SPY")</f>
        <v>SPY</v>
      </c>
      <c r="E767" s="15" t="str">
        <f>IFERROR(__xludf.DUMMYFUNCTION("""COMPUTED_VALUE"""),"SINOTTI E CIA LTDA")</f>
        <v>SINOTTI E CIA LTDA</v>
      </c>
      <c r="F767" s="15" t="str">
        <f>IFERROR(__xludf.DUMMYFUNCTION("""COMPUTED_VALUE"""),"TRIFIL")</f>
        <v>TRIFIL</v>
      </c>
      <c r="G767" s="15" t="str">
        <f>IFERROR(__xludf.DUMMYFUNCTION("""COMPUTED_VALUE"""),"266840103")</f>
        <v>266840103</v>
      </c>
      <c r="H767" s="15" t="str">
        <f>IFERROR(__xludf.DUMMYFUNCTION("""COMPUTED_VALUE"""),"1306264")</f>
        <v>1306264</v>
      </c>
      <c r="I767" s="15" t="str">
        <f>IFERROR(__xludf.DUMMYFUNCTION("""COMPUTED_VALUE"""),"8177503")</f>
        <v>8177503</v>
      </c>
      <c r="J767" s="15" t="str">
        <f>IFERROR(__xludf.DUMMYFUNCTION("""COMPUTED_VALUE"""),"CIF")</f>
        <v>CIF</v>
      </c>
      <c r="K767" s="15" t="str">
        <f>IFERROR(__xludf.DUMMYFUNCTION("""COMPUTED_VALUE"""),"SAO-1")</f>
        <v>SAO-1</v>
      </c>
      <c r="L767" s="15" t="str">
        <f>IFERROR(__xludf.DUMMYFUNCTION("""COMPUTED_VALUE"""),"AUTORIZADO")</f>
        <v>AUTORIZADO</v>
      </c>
      <c r="M767" s="15" t="str">
        <f>IFERROR(__xludf.DUMMYFUNCTION("""COMPUTED_VALUE"""),"NA ORIGEM")</f>
        <v>NA ORIGEM</v>
      </c>
      <c r="N767" s="15" t="str">
        <f>IFERROR(__xludf.DUMMYFUNCTION("""COMPUTED_VALUE"""),"Antes Prazo")</f>
        <v>Antes Prazo</v>
      </c>
      <c r="O767" s="15" t="str">
        <f>IFERROR(__xludf.DUMMYFUNCTION("""COMPUTED_VALUE"""),"B2B")</f>
        <v>B2B</v>
      </c>
      <c r="P767" s="16">
        <f>IFERROR(__xludf.DUMMYFUNCTION("""COMPUTED_VALUE"""),38.46)</f>
        <v>38.46</v>
      </c>
      <c r="Q767" s="15">
        <f>IFERROR(__xludf.DUMMYFUNCTION("""COMPUTED_VALUE"""),1.0)</f>
        <v>1</v>
      </c>
      <c r="R767" s="15" t="str">
        <f>IFERROR(__xludf.DUMMYFUNCTION("""COMPUTED_VALUE"""),"RODO")</f>
        <v>RODO</v>
      </c>
      <c r="S767" s="15" t="str">
        <f>IFERROR(__xludf.DUMMYFUNCTION("""COMPUTED_VALUE"""),"ITN")</f>
        <v>ITN</v>
      </c>
      <c r="T767" s="15" t="str">
        <f>IFERROR(__xludf.DUMMYFUNCTION("""COMPUTED_VALUE"""),"1")</f>
        <v>1</v>
      </c>
      <c r="U767" s="15" t="str">
        <f>IFERROR(__xludf.DUMMYFUNCTION("""COMPUTED_VALUE"""),"266840103 1306264 8177503 sinotti e cia ltda trifil spy 1")</f>
        <v>266840103 1306264 8177503 sinotti e cia ltda trifil spy 1</v>
      </c>
      <c r="V767" s="15" t="b">
        <f>IFERROR(__xludf.DUMMYFUNCTION("""COMPUTED_VALUE"""),FALSE)</f>
        <v>0</v>
      </c>
    </row>
    <row r="768">
      <c r="A768" s="19">
        <f>IFERROR(__xludf.DUMMYFUNCTION("""COMPUTED_VALUE"""),46304.0)</f>
        <v>46304</v>
      </c>
      <c r="B768" s="19">
        <f>IFERROR(__xludf.DUMMYFUNCTION("""COMPUTED_VALUE"""),46317.0)</f>
        <v>46317</v>
      </c>
      <c r="C768" s="15">
        <f>IFERROR(__xludf.DUMMYFUNCTION("""COMPUTED_VALUE"""),8.0)</f>
        <v>8</v>
      </c>
      <c r="D768" s="15" t="str">
        <f>IFERROR(__xludf.DUMMYFUNCTION("""COMPUTED_VALUE"""),"SPY")</f>
        <v>SPY</v>
      </c>
      <c r="E768" s="15" t="str">
        <f>IFERROR(__xludf.DUMMYFUNCTION("""COMPUTED_VALUE"""),"MARIA ANGELA PORTO JUNQUEIRA- JOAO PORTO")</f>
        <v>MARIA ANGELA PORTO JUNQUEIRA- JOAO PORTO</v>
      </c>
      <c r="F768" s="15" t="str">
        <f>IFERROR(__xludf.DUMMYFUNCTION("""COMPUTED_VALUE"""),"TRIFIL")</f>
        <v>TRIFIL</v>
      </c>
      <c r="G768" s="15" t="str">
        <f>IFERROR(__xludf.DUMMYFUNCTION("""COMPUTED_VALUE"""),"266840105")</f>
        <v>266840105</v>
      </c>
      <c r="H768" s="15" t="str">
        <f>IFERROR(__xludf.DUMMYFUNCTION("""COMPUTED_VALUE"""),"1306214")</f>
        <v>1306214</v>
      </c>
      <c r="I768" s="15" t="str">
        <f>IFERROR(__xludf.DUMMYFUNCTION("""COMPUTED_VALUE"""),"8177459")</f>
        <v>8177459</v>
      </c>
      <c r="J768" s="15" t="str">
        <f>IFERROR(__xludf.DUMMYFUNCTION("""COMPUTED_VALUE"""),"CIF")</f>
        <v>CIF</v>
      </c>
      <c r="K768" s="15" t="str">
        <f>IFERROR(__xludf.DUMMYFUNCTION("""COMPUTED_VALUE"""),"SAO-1")</f>
        <v>SAO-1</v>
      </c>
      <c r="L768" s="15" t="str">
        <f>IFERROR(__xludf.DUMMYFUNCTION("""COMPUTED_VALUE"""),"AUTORIZADO")</f>
        <v>AUTORIZADO</v>
      </c>
      <c r="M768" s="15" t="str">
        <f>IFERROR(__xludf.DUMMYFUNCTION("""COMPUTED_VALUE"""),"NA ORIGEM")</f>
        <v>NA ORIGEM</v>
      </c>
      <c r="N768" s="15" t="str">
        <f>IFERROR(__xludf.DUMMYFUNCTION("""COMPUTED_VALUE"""),"Antes Prazo")</f>
        <v>Antes Prazo</v>
      </c>
      <c r="O768" s="15" t="str">
        <f>IFERROR(__xludf.DUMMYFUNCTION("""COMPUTED_VALUE"""),"B2B")</f>
        <v>B2B</v>
      </c>
      <c r="P768" s="16">
        <f>IFERROR(__xludf.DUMMYFUNCTION("""COMPUTED_VALUE"""),38.46)</f>
        <v>38.46</v>
      </c>
      <c r="Q768" s="15">
        <f>IFERROR(__xludf.DUMMYFUNCTION("""COMPUTED_VALUE"""),1.0)</f>
        <v>1</v>
      </c>
      <c r="R768" s="15" t="str">
        <f>IFERROR(__xludf.DUMMYFUNCTION("""COMPUTED_VALUE"""),"RODO")</f>
        <v>RODO</v>
      </c>
      <c r="S768" s="15" t="str">
        <f>IFERROR(__xludf.DUMMYFUNCTION("""COMPUTED_VALUE"""),"ITN")</f>
        <v>ITN</v>
      </c>
      <c r="T768" s="15" t="str">
        <f>IFERROR(__xludf.DUMMYFUNCTION("""COMPUTED_VALUE"""),"110")</f>
        <v>110</v>
      </c>
      <c r="U768" s="15" t="str">
        <f>IFERROR(__xludf.DUMMYFUNCTION("""COMPUTED_VALUE"""),"266840105 1306214 8177459 maria angela porto junqueira- joao porto trifil spy 110")</f>
        <v>266840105 1306214 8177459 maria angela porto junqueira- joao porto trifil spy 110</v>
      </c>
      <c r="V768" s="15" t="b">
        <f>IFERROR(__xludf.DUMMYFUNCTION("""COMPUTED_VALUE"""),FALSE)</f>
        <v>0</v>
      </c>
    </row>
    <row r="769">
      <c r="A769" s="19">
        <f>IFERROR(__xludf.DUMMYFUNCTION("""COMPUTED_VALUE"""),46304.0)</f>
        <v>46304</v>
      </c>
      <c r="B769" s="19">
        <f>IFERROR(__xludf.DUMMYFUNCTION("""COMPUTED_VALUE"""),46317.0)</f>
        <v>46317</v>
      </c>
      <c r="C769" s="15">
        <f>IFERROR(__xludf.DUMMYFUNCTION("""COMPUTED_VALUE"""),8.0)</f>
        <v>8</v>
      </c>
      <c r="D769" s="15" t="str">
        <f>IFERROR(__xludf.DUMMYFUNCTION("""COMPUTED_VALUE"""),"RAO")</f>
        <v>RAO</v>
      </c>
      <c r="E769" s="15" t="str">
        <f>IFERROR(__xludf.DUMMYFUNCTION("""COMPUTED_VALUE"""),"GERALDO E DAL BELO LTDA -ME")</f>
        <v>GERALDO E DAL BELO LTDA -ME</v>
      </c>
      <c r="F769" s="15" t="str">
        <f>IFERROR(__xludf.DUMMYFUNCTION("""COMPUTED_VALUE"""),"TRIFIL")</f>
        <v>TRIFIL</v>
      </c>
      <c r="G769" s="15" t="str">
        <f>IFERROR(__xludf.DUMMYFUNCTION("""COMPUTED_VALUE"""),"266840107")</f>
        <v>266840107</v>
      </c>
      <c r="H769" s="15" t="str">
        <f>IFERROR(__xludf.DUMMYFUNCTION("""COMPUTED_VALUE"""),"1306316")</f>
        <v>1306316</v>
      </c>
      <c r="I769" s="15" t="str">
        <f>IFERROR(__xludf.DUMMYFUNCTION("""COMPUTED_VALUE"""),"8177556")</f>
        <v>8177556</v>
      </c>
      <c r="J769" s="15" t="str">
        <f>IFERROR(__xludf.DUMMYFUNCTION("""COMPUTED_VALUE"""),"CIF")</f>
        <v>CIF</v>
      </c>
      <c r="K769" s="15" t="str">
        <f>IFERROR(__xludf.DUMMYFUNCTION("""COMPUTED_VALUE"""),"SAO-1")</f>
        <v>SAO-1</v>
      </c>
      <c r="L769" s="15" t="str">
        <f>IFERROR(__xludf.DUMMYFUNCTION("""COMPUTED_VALUE"""),"AUTORIZADO")</f>
        <v>AUTORIZADO</v>
      </c>
      <c r="M769" s="15" t="str">
        <f>IFERROR(__xludf.DUMMYFUNCTION("""COMPUTED_VALUE"""),"NA ORIGEM")</f>
        <v>NA ORIGEM</v>
      </c>
      <c r="N769" s="15" t="str">
        <f>IFERROR(__xludf.DUMMYFUNCTION("""COMPUTED_VALUE"""),"Antes Prazo")</f>
        <v>Antes Prazo</v>
      </c>
      <c r="O769" s="15" t="str">
        <f>IFERROR(__xludf.DUMMYFUNCTION("""COMPUTED_VALUE"""),"B2B")</f>
        <v>B2B</v>
      </c>
      <c r="P769" s="16">
        <f>IFERROR(__xludf.DUMMYFUNCTION("""COMPUTED_VALUE"""),38.46)</f>
        <v>38.46</v>
      </c>
      <c r="Q769" s="15">
        <f>IFERROR(__xludf.DUMMYFUNCTION("""COMPUTED_VALUE"""),1.0)</f>
        <v>1</v>
      </c>
      <c r="R769" s="15" t="str">
        <f>IFERROR(__xludf.DUMMYFUNCTION("""COMPUTED_VALUE"""),"RODO")</f>
        <v>RODO</v>
      </c>
      <c r="S769" s="15" t="str">
        <f>IFERROR(__xludf.DUMMYFUNCTION("""COMPUTED_VALUE"""),"ITN")</f>
        <v>ITN</v>
      </c>
      <c r="T769" s="15" t="str">
        <f>IFERROR(__xludf.DUMMYFUNCTION("""COMPUTED_VALUE"""),"109")</f>
        <v>109</v>
      </c>
      <c r="U769" s="15" t="str">
        <f>IFERROR(__xludf.DUMMYFUNCTION("""COMPUTED_VALUE"""),"266840107 1306316 8177556 geraldo e dal belo ltda -me trifil rao 109")</f>
        <v>266840107 1306316 8177556 geraldo e dal belo ltda -me trifil rao 109</v>
      </c>
      <c r="V769" s="15" t="b">
        <f>IFERROR(__xludf.DUMMYFUNCTION("""COMPUTED_VALUE"""),FALSE)</f>
        <v>0</v>
      </c>
    </row>
    <row r="770">
      <c r="A770" s="19">
        <f>IFERROR(__xludf.DUMMYFUNCTION("""COMPUTED_VALUE"""),46304.0)</f>
        <v>46304</v>
      </c>
      <c r="B770" s="19">
        <f>IFERROR(__xludf.DUMMYFUNCTION("""COMPUTED_VALUE"""),46317.0)</f>
        <v>46317</v>
      </c>
      <c r="C770" s="15">
        <f>IFERROR(__xludf.DUMMYFUNCTION("""COMPUTED_VALUE"""),8.0)</f>
        <v>8</v>
      </c>
      <c r="D770" s="15" t="str">
        <f>IFERROR(__xludf.DUMMYFUNCTION("""COMPUTED_VALUE"""),"MMG")</f>
        <v>MMG</v>
      </c>
      <c r="E770" s="15" t="str">
        <f>IFERROR(__xludf.DUMMYFUNCTION("""COMPUTED_VALUE"""),"62.000.647 AMANDA DE OLIVEIRA BATISTA")</f>
        <v>62.000.647 AMANDA DE OLIVEIRA BATISTA</v>
      </c>
      <c r="F770" s="15" t="str">
        <f>IFERROR(__xludf.DUMMYFUNCTION("""COMPUTED_VALUE"""),"TRIFIL")</f>
        <v>TRIFIL</v>
      </c>
      <c r="G770" s="15" t="str">
        <f>IFERROR(__xludf.DUMMYFUNCTION("""COMPUTED_VALUE"""),"266840109")</f>
        <v>266840109</v>
      </c>
      <c r="H770" s="15" t="str">
        <f>IFERROR(__xludf.DUMMYFUNCTION("""COMPUTED_VALUE"""),"1306430")</f>
        <v>1306430</v>
      </c>
      <c r="I770" s="15" t="str">
        <f>IFERROR(__xludf.DUMMYFUNCTION("""COMPUTED_VALUE"""),"8177557")</f>
        <v>8177557</v>
      </c>
      <c r="J770" s="15" t="str">
        <f>IFERROR(__xludf.DUMMYFUNCTION("""COMPUTED_VALUE"""),"CIF")</f>
        <v>CIF</v>
      </c>
      <c r="K770" s="15" t="str">
        <f>IFERROR(__xludf.DUMMYFUNCTION("""COMPUTED_VALUE"""),"SAO-1")</f>
        <v>SAO-1</v>
      </c>
      <c r="L770" s="15" t="str">
        <f>IFERROR(__xludf.DUMMYFUNCTION("""COMPUTED_VALUE"""),"AUTORIZADO")</f>
        <v>AUTORIZADO</v>
      </c>
      <c r="M770" s="15" t="str">
        <f>IFERROR(__xludf.DUMMYFUNCTION("""COMPUTED_VALUE"""),"NA ORIGEM")</f>
        <v>NA ORIGEM</v>
      </c>
      <c r="N770" s="15" t="str">
        <f>IFERROR(__xludf.DUMMYFUNCTION("""COMPUTED_VALUE"""),"Antes Prazo")</f>
        <v>Antes Prazo</v>
      </c>
      <c r="O770" s="15" t="str">
        <f>IFERROR(__xludf.DUMMYFUNCTION("""COMPUTED_VALUE"""),"B2B")</f>
        <v>B2B</v>
      </c>
      <c r="P770" s="16">
        <f>IFERROR(__xludf.DUMMYFUNCTION("""COMPUTED_VALUE"""),38.46)</f>
        <v>38.46</v>
      </c>
      <c r="Q770" s="15">
        <f>IFERROR(__xludf.DUMMYFUNCTION("""COMPUTED_VALUE"""),1.0)</f>
        <v>1</v>
      </c>
      <c r="R770" s="15" t="str">
        <f>IFERROR(__xludf.DUMMYFUNCTION("""COMPUTED_VALUE"""),"RODO")</f>
        <v>RODO</v>
      </c>
      <c r="S770" s="15" t="str">
        <f>IFERROR(__xludf.DUMMYFUNCTION("""COMPUTED_VALUE"""),"ITN")</f>
        <v>ITN</v>
      </c>
      <c r="T770" s="15" t="str">
        <f>IFERROR(__xludf.DUMMYFUNCTION("""COMPUTED_VALUE"""),"401")</f>
        <v>401</v>
      </c>
      <c r="U770" s="15" t="str">
        <f>IFERROR(__xludf.DUMMYFUNCTION("""COMPUTED_VALUE"""),"266840109 1306430 8177557 62.000.647 amanda de oliveira batista trifil mmg 401")</f>
        <v>266840109 1306430 8177557 62.000.647 amanda de oliveira batista trifil mmg 401</v>
      </c>
      <c r="V770" s="15" t="b">
        <f>IFERROR(__xludf.DUMMYFUNCTION("""COMPUTED_VALUE"""),FALSE)</f>
        <v>0</v>
      </c>
    </row>
    <row r="771">
      <c r="A771" s="19">
        <f>IFERROR(__xludf.DUMMYFUNCTION("""COMPUTED_VALUE"""),46304.0)</f>
        <v>46304</v>
      </c>
      <c r="B771" s="19">
        <f>IFERROR(__xludf.DUMMYFUNCTION("""COMPUTED_VALUE"""),46317.0)</f>
        <v>46317</v>
      </c>
      <c r="C771" s="15">
        <f>IFERROR(__xludf.DUMMYFUNCTION("""COMPUTED_VALUE"""),8.0)</f>
        <v>8</v>
      </c>
      <c r="D771" s="15" t="str">
        <f>IFERROR(__xludf.DUMMYFUNCTION("""COMPUTED_VALUE"""),"MMG")</f>
        <v>MMG</v>
      </c>
      <c r="E771" s="15" t="str">
        <f>IFERROR(__xludf.DUMMYFUNCTION("""COMPUTED_VALUE"""),"MARCIA EUGENIO ZAMBOINME")</f>
        <v>MARCIA EUGENIO ZAMBOINME</v>
      </c>
      <c r="F771" s="15" t="str">
        <f>IFERROR(__xludf.DUMMYFUNCTION("""COMPUTED_VALUE"""),"TRIFIL")</f>
        <v>TRIFIL</v>
      </c>
      <c r="G771" s="15" t="str">
        <f>IFERROR(__xludf.DUMMYFUNCTION("""COMPUTED_VALUE"""),"266840111")</f>
        <v>266840111</v>
      </c>
      <c r="H771" s="15" t="str">
        <f>IFERROR(__xludf.DUMMYFUNCTION("""COMPUTED_VALUE"""),"1306467")</f>
        <v>1306467</v>
      </c>
      <c r="I771" s="15" t="str">
        <f>IFERROR(__xludf.DUMMYFUNCTION("""COMPUTED_VALUE"""),"8177504")</f>
        <v>8177504</v>
      </c>
      <c r="J771" s="15" t="str">
        <f>IFERROR(__xludf.DUMMYFUNCTION("""COMPUTED_VALUE"""),"CIF")</f>
        <v>CIF</v>
      </c>
      <c r="K771" s="15" t="str">
        <f>IFERROR(__xludf.DUMMYFUNCTION("""COMPUTED_VALUE"""),"(sem célula)")</f>
        <v>(sem célula)</v>
      </c>
      <c r="L771" s="15" t="str">
        <f>IFERROR(__xludf.DUMMYFUNCTION("""COMPUTED_VALUE"""),"AUTORIZADO")</f>
        <v>AUTORIZADO</v>
      </c>
      <c r="M771" s="15" t="str">
        <f>IFERROR(__xludf.DUMMYFUNCTION("""COMPUTED_VALUE"""),"NA ORIGEM")</f>
        <v>NA ORIGEM</v>
      </c>
      <c r="N771" s="15" t="str">
        <f>IFERROR(__xludf.DUMMYFUNCTION("""COMPUTED_VALUE"""),"Antes Prazo")</f>
        <v>Antes Prazo</v>
      </c>
      <c r="O771" s="15" t="str">
        <f>IFERROR(__xludf.DUMMYFUNCTION("""COMPUTED_VALUE"""),"B2B")</f>
        <v>B2B</v>
      </c>
      <c r="P771" s="16">
        <f>IFERROR(__xludf.DUMMYFUNCTION("""COMPUTED_VALUE"""),38.46)</f>
        <v>38.46</v>
      </c>
      <c r="Q771" s="15">
        <f>IFERROR(__xludf.DUMMYFUNCTION("""COMPUTED_VALUE"""),1.0)</f>
        <v>1</v>
      </c>
      <c r="R771" s="15" t="str">
        <f>IFERROR(__xludf.DUMMYFUNCTION("""COMPUTED_VALUE"""),"RODO")</f>
        <v>RODO</v>
      </c>
      <c r="S771" s="15" t="str">
        <f>IFERROR(__xludf.DUMMYFUNCTION("""COMPUTED_VALUE"""),"ITN")</f>
        <v>ITN</v>
      </c>
      <c r="T771" s="15" t="str">
        <f>IFERROR(__xludf.DUMMYFUNCTION("""COMPUTED_VALUE"""),"402")</f>
        <v>402</v>
      </c>
      <c r="U771" s="15" t="str">
        <f>IFERROR(__xludf.DUMMYFUNCTION("""COMPUTED_VALUE"""),"266840111 1306467 8177504 marcia eugenio zamboinme trifil mmg 402")</f>
        <v>266840111 1306467 8177504 marcia eugenio zamboinme trifil mmg 402</v>
      </c>
      <c r="V771" s="15" t="b">
        <f>IFERROR(__xludf.DUMMYFUNCTION("""COMPUTED_VALUE"""),FALSE)</f>
        <v>0</v>
      </c>
    </row>
    <row r="772">
      <c r="A772" s="19">
        <f>IFERROR(__xludf.DUMMYFUNCTION("""COMPUTED_VALUE"""),46304.0)</f>
        <v>46304</v>
      </c>
      <c r="B772" s="19">
        <f>IFERROR(__xludf.DUMMYFUNCTION("""COMPUTED_VALUE"""),46317.0)</f>
        <v>46317</v>
      </c>
      <c r="C772" s="15">
        <f>IFERROR(__xludf.DUMMYFUNCTION("""COMPUTED_VALUE"""),8.0)</f>
        <v>8</v>
      </c>
      <c r="D772" s="15" t="str">
        <f>IFERROR(__xludf.DUMMYFUNCTION("""COMPUTED_VALUE"""),"RAO")</f>
        <v>RAO</v>
      </c>
      <c r="E772" s="15" t="str">
        <f>IFERROR(__xludf.DUMMYFUNCTION("""COMPUTED_VALUE"""),"QUEDA LIVRE CONFECCOES EIRELI EPP - 1281")</f>
        <v>QUEDA LIVRE CONFECCOES EIRELI EPP - 1281</v>
      </c>
      <c r="F772" s="15" t="str">
        <f>IFERROR(__xludf.DUMMYFUNCTION("""COMPUTED_VALUE"""),"TRIFIL")</f>
        <v>TRIFIL</v>
      </c>
      <c r="G772" s="15" t="str">
        <f>IFERROR(__xludf.DUMMYFUNCTION("""COMPUTED_VALUE"""),"266840113")</f>
        <v>266840113</v>
      </c>
      <c r="H772" s="15" t="str">
        <f>IFERROR(__xludf.DUMMYFUNCTION("""COMPUTED_VALUE"""),"1306463")</f>
        <v>1306463</v>
      </c>
      <c r="I772" s="15" t="str">
        <f>IFERROR(__xludf.DUMMYFUNCTION("""COMPUTED_VALUE"""),"8177436")</f>
        <v>8177436</v>
      </c>
      <c r="J772" s="15" t="str">
        <f>IFERROR(__xludf.DUMMYFUNCTION("""COMPUTED_VALUE"""),"CIF")</f>
        <v>CIF</v>
      </c>
      <c r="K772" s="15" t="str">
        <f>IFERROR(__xludf.DUMMYFUNCTION("""COMPUTED_VALUE"""),"(sem célula)")</f>
        <v>(sem célula)</v>
      </c>
      <c r="L772" s="15" t="str">
        <f>IFERROR(__xludf.DUMMYFUNCTION("""COMPUTED_VALUE"""),"AUTORIZADO")</f>
        <v>AUTORIZADO</v>
      </c>
      <c r="M772" s="15" t="str">
        <f>IFERROR(__xludf.DUMMYFUNCTION("""COMPUTED_VALUE"""),"NA ORIGEM")</f>
        <v>NA ORIGEM</v>
      </c>
      <c r="N772" s="15" t="str">
        <f>IFERROR(__xludf.DUMMYFUNCTION("""COMPUTED_VALUE"""),"Antes Prazo")</f>
        <v>Antes Prazo</v>
      </c>
      <c r="O772" s="15" t="str">
        <f>IFERROR(__xludf.DUMMYFUNCTION("""COMPUTED_VALUE"""),"B2B")</f>
        <v>B2B</v>
      </c>
      <c r="P772" s="16">
        <f>IFERROR(__xludf.DUMMYFUNCTION("""COMPUTED_VALUE"""),38.46)</f>
        <v>38.46</v>
      </c>
      <c r="Q772" s="15">
        <f>IFERROR(__xludf.DUMMYFUNCTION("""COMPUTED_VALUE"""),1.0)</f>
        <v>1</v>
      </c>
      <c r="R772" s="15" t="str">
        <f>IFERROR(__xludf.DUMMYFUNCTION("""COMPUTED_VALUE"""),"RODO")</f>
        <v>RODO</v>
      </c>
      <c r="S772" s="15" t="str">
        <f>IFERROR(__xludf.DUMMYFUNCTION("""COMPUTED_VALUE"""),"ITN")</f>
        <v>ITN</v>
      </c>
      <c r="T772" s="15" t="str">
        <f>IFERROR(__xludf.DUMMYFUNCTION("""COMPUTED_VALUE"""),"102")</f>
        <v>102</v>
      </c>
      <c r="U772" s="15" t="str">
        <f>IFERROR(__xludf.DUMMYFUNCTION("""COMPUTED_VALUE"""),"266840113 1306463 8177436 queda livre confeccoes eireli epp - 1281 trifil rao 102")</f>
        <v>266840113 1306463 8177436 queda livre confeccoes eireli epp - 1281 trifil rao 102</v>
      </c>
      <c r="V772" s="15" t="b">
        <f>IFERROR(__xludf.DUMMYFUNCTION("""COMPUTED_VALUE"""),FALSE)</f>
        <v>0</v>
      </c>
    </row>
    <row r="773">
      <c r="A773" s="19">
        <f>IFERROR(__xludf.DUMMYFUNCTION("""COMPUTED_VALUE"""),46304.0)</f>
        <v>46304</v>
      </c>
      <c r="B773" s="19">
        <f>IFERROR(__xludf.DUMMYFUNCTION("""COMPUTED_VALUE"""),46317.0)</f>
        <v>46317</v>
      </c>
      <c r="C773" s="15">
        <f>IFERROR(__xludf.DUMMYFUNCTION("""COMPUTED_VALUE"""),8.0)</f>
        <v>8</v>
      </c>
      <c r="D773" s="15" t="str">
        <f>IFERROR(__xludf.DUMMYFUNCTION("""COMPUTED_VALUE"""),"RAO")</f>
        <v>RAO</v>
      </c>
      <c r="E773" s="15" t="str">
        <f>IFERROR(__xludf.DUMMYFUNCTION("""COMPUTED_VALUE"""),"EDUMAIS")</f>
        <v>EDUMAIS</v>
      </c>
      <c r="F773" s="15" t="str">
        <f>IFERROR(__xludf.DUMMYFUNCTION("""COMPUTED_VALUE"""),"TRIFIL")</f>
        <v>TRIFIL</v>
      </c>
      <c r="G773" s="15" t="str">
        <f>IFERROR(__xludf.DUMMYFUNCTION("""COMPUTED_VALUE"""),"266840115")</f>
        <v>266840115</v>
      </c>
      <c r="H773" s="15" t="str">
        <f>IFERROR(__xludf.DUMMYFUNCTION("""COMPUTED_VALUE"""),"1306550")</f>
        <v>1306550</v>
      </c>
      <c r="I773" s="15" t="str">
        <f>IFERROR(__xludf.DUMMYFUNCTION("""COMPUTED_VALUE"""),"8177405")</f>
        <v>8177405</v>
      </c>
      <c r="J773" s="15" t="str">
        <f>IFERROR(__xludf.DUMMYFUNCTION("""COMPUTED_VALUE"""),"CIF")</f>
        <v>CIF</v>
      </c>
      <c r="K773" s="15" t="str">
        <f>IFERROR(__xludf.DUMMYFUNCTION("""COMPUTED_VALUE"""),"SAO-1")</f>
        <v>SAO-1</v>
      </c>
      <c r="L773" s="15" t="str">
        <f>IFERROR(__xludf.DUMMYFUNCTION("""COMPUTED_VALUE"""),"AUTORIZADO")</f>
        <v>AUTORIZADO</v>
      </c>
      <c r="M773" s="15" t="str">
        <f>IFERROR(__xludf.DUMMYFUNCTION("""COMPUTED_VALUE"""),"NA ORIGEM")</f>
        <v>NA ORIGEM</v>
      </c>
      <c r="N773" s="15" t="str">
        <f>IFERROR(__xludf.DUMMYFUNCTION("""COMPUTED_VALUE"""),"Antes Prazo")</f>
        <v>Antes Prazo</v>
      </c>
      <c r="O773" s="15" t="str">
        <f>IFERROR(__xludf.DUMMYFUNCTION("""COMPUTED_VALUE"""),"B2B")</f>
        <v>B2B</v>
      </c>
      <c r="P773" s="16">
        <f>IFERROR(__xludf.DUMMYFUNCTION("""COMPUTED_VALUE"""),52.38)</f>
        <v>52.38</v>
      </c>
      <c r="Q773" s="15">
        <f>IFERROR(__xludf.DUMMYFUNCTION("""COMPUTED_VALUE"""),8.0)</f>
        <v>8</v>
      </c>
      <c r="R773" s="15" t="str">
        <f>IFERROR(__xludf.DUMMYFUNCTION("""COMPUTED_VALUE"""),"RODO")</f>
        <v>RODO</v>
      </c>
      <c r="S773" s="15" t="str">
        <f>IFERROR(__xludf.DUMMYFUNCTION("""COMPUTED_VALUE"""),"ITN")</f>
        <v>ITN</v>
      </c>
      <c r="T773" s="15" t="str">
        <f>IFERROR(__xludf.DUMMYFUNCTION("""COMPUTED_VALUE"""),"102")</f>
        <v>102</v>
      </c>
      <c r="U773" s="15" t="str">
        <f>IFERROR(__xludf.DUMMYFUNCTION("""COMPUTED_VALUE"""),"266840115 1306550 8177405 edumais trifil rao 102")</f>
        <v>266840115 1306550 8177405 edumais trifil rao 102</v>
      </c>
      <c r="V773" s="15" t="b">
        <f>IFERROR(__xludf.DUMMYFUNCTION("""COMPUTED_VALUE"""),FALSE)</f>
        <v>0</v>
      </c>
    </row>
    <row r="774">
      <c r="A774" s="19">
        <f>IFERROR(__xludf.DUMMYFUNCTION("""COMPUTED_VALUE"""),46304.0)</f>
        <v>46304</v>
      </c>
      <c r="B774" s="19">
        <f>IFERROR(__xludf.DUMMYFUNCTION("""COMPUTED_VALUE"""),46316.0)</f>
        <v>46316</v>
      </c>
      <c r="C774" s="15">
        <f>IFERROR(__xludf.DUMMYFUNCTION("""COMPUTED_VALUE"""),7.0)</f>
        <v>7</v>
      </c>
      <c r="D774" s="15" t="str">
        <f>IFERROR(__xludf.DUMMYFUNCTION("""COMPUTED_VALUE"""),"FRC")</f>
        <v>FRC</v>
      </c>
      <c r="E774" s="15" t="str">
        <f>IFERROR(__xludf.DUMMYFUNCTION("""COMPUTED_VALUE"""),"F. C. V. CARRIJO")</f>
        <v>F. C. V. CARRIJO</v>
      </c>
      <c r="F774" s="15" t="str">
        <f>IFERROR(__xludf.DUMMYFUNCTION("""COMPUTED_VALUE"""),"TRIFIL")</f>
        <v>TRIFIL</v>
      </c>
      <c r="G774" s="15" t="str">
        <f>IFERROR(__xludf.DUMMYFUNCTION("""COMPUTED_VALUE"""),"266840117")</f>
        <v>266840117</v>
      </c>
      <c r="H774" s="15" t="str">
        <f>IFERROR(__xludf.DUMMYFUNCTION("""COMPUTED_VALUE"""),"1306174")</f>
        <v>1306174</v>
      </c>
      <c r="I774" s="15" t="str">
        <f>IFERROR(__xludf.DUMMYFUNCTION("""COMPUTED_VALUE"""),"8177460")</f>
        <v>8177460</v>
      </c>
      <c r="J774" s="15" t="str">
        <f>IFERROR(__xludf.DUMMYFUNCTION("""COMPUTED_VALUE"""),"CIF")</f>
        <v>CIF</v>
      </c>
      <c r="K774" s="15" t="str">
        <f>IFERROR(__xludf.DUMMYFUNCTION("""COMPUTED_VALUE"""),"SAO-1")</f>
        <v>SAO-1</v>
      </c>
      <c r="L774" s="15" t="str">
        <f>IFERROR(__xludf.DUMMYFUNCTION("""COMPUTED_VALUE"""),"AUTORIZADO")</f>
        <v>AUTORIZADO</v>
      </c>
      <c r="M774" s="15" t="str">
        <f>IFERROR(__xludf.DUMMYFUNCTION("""COMPUTED_VALUE"""),"NA ORIGEM")</f>
        <v>NA ORIGEM</v>
      </c>
      <c r="N774" s="15" t="str">
        <f>IFERROR(__xludf.DUMMYFUNCTION("""COMPUTED_VALUE"""),"Antes Prazo")</f>
        <v>Antes Prazo</v>
      </c>
      <c r="O774" s="15" t="str">
        <f>IFERROR(__xludf.DUMMYFUNCTION("""COMPUTED_VALUE"""),"B2B")</f>
        <v>B2B</v>
      </c>
      <c r="P774" s="16">
        <f>IFERROR(__xludf.DUMMYFUNCTION("""COMPUTED_VALUE"""),38.46)</f>
        <v>38.46</v>
      </c>
      <c r="Q774" s="15">
        <f>IFERROR(__xludf.DUMMYFUNCTION("""COMPUTED_VALUE"""),1.0)</f>
        <v>1</v>
      </c>
      <c r="R774" s="15" t="str">
        <f>IFERROR(__xludf.DUMMYFUNCTION("""COMPUTED_VALUE"""),"RODO")</f>
        <v>RODO</v>
      </c>
      <c r="S774" s="15" t="str">
        <f>IFERROR(__xludf.DUMMYFUNCTION("""COMPUTED_VALUE"""),"ITN")</f>
        <v>ITN</v>
      </c>
      <c r="T774" s="15" t="str">
        <f>IFERROR(__xludf.DUMMYFUNCTION("""COMPUTED_VALUE"""),"1")</f>
        <v>1</v>
      </c>
      <c r="U774" s="15" t="str">
        <f>IFERROR(__xludf.DUMMYFUNCTION("""COMPUTED_VALUE"""),"266840117 1306174 8177460 f. c. v. carrijo trifil frc 1")</f>
        <v>266840117 1306174 8177460 f. c. v. carrijo trifil frc 1</v>
      </c>
      <c r="V774" s="15" t="b">
        <f>IFERROR(__xludf.DUMMYFUNCTION("""COMPUTED_VALUE"""),FALSE)</f>
        <v>0</v>
      </c>
    </row>
    <row r="775">
      <c r="A775" s="19">
        <f>IFERROR(__xludf.DUMMYFUNCTION("""COMPUTED_VALUE"""),46304.0)</f>
        <v>46304</v>
      </c>
      <c r="B775" s="19">
        <f>IFERROR(__xludf.DUMMYFUNCTION("""COMPUTED_VALUE"""),46318.0)</f>
        <v>46318</v>
      </c>
      <c r="C775" s="15">
        <f>IFERROR(__xludf.DUMMYFUNCTION("""COMPUTED_VALUE"""),9.0)</f>
        <v>9</v>
      </c>
      <c r="D775" s="15" t="str">
        <f>IFERROR(__xludf.DUMMYFUNCTION("""COMPUTED_VALUE"""),"RAO")</f>
        <v>RAO</v>
      </c>
      <c r="E775" s="15" t="str">
        <f>IFERROR(__xludf.DUMMYFUNCTION("""COMPUTED_VALUE"""),"RANGEL DIAS MOREIRA - 01103")</f>
        <v>RANGEL DIAS MOREIRA - 01103</v>
      </c>
      <c r="F775" s="15" t="str">
        <f>IFERROR(__xludf.DUMMYFUNCTION("""COMPUTED_VALUE"""),"TRIFIL")</f>
        <v>TRIFIL</v>
      </c>
      <c r="G775" s="15" t="str">
        <f>IFERROR(__xludf.DUMMYFUNCTION("""COMPUTED_VALUE"""),"266840119")</f>
        <v>266840119</v>
      </c>
      <c r="H775" s="15" t="str">
        <f>IFERROR(__xludf.DUMMYFUNCTION("""COMPUTED_VALUE"""),"1306498")</f>
        <v>1306498</v>
      </c>
      <c r="I775" s="15" t="str">
        <f>IFERROR(__xludf.DUMMYFUNCTION("""COMPUTED_VALUE"""),"8177461")</f>
        <v>8177461</v>
      </c>
      <c r="J775" s="15" t="str">
        <f>IFERROR(__xludf.DUMMYFUNCTION("""COMPUTED_VALUE"""),"CIF")</f>
        <v>CIF</v>
      </c>
      <c r="K775" s="15" t="str">
        <f>IFERROR(__xludf.DUMMYFUNCTION("""COMPUTED_VALUE"""),"(sem célula)")</f>
        <v>(sem célula)</v>
      </c>
      <c r="L775" s="15" t="str">
        <f>IFERROR(__xludf.DUMMYFUNCTION("""COMPUTED_VALUE"""),"AUTORIZADO")</f>
        <v>AUTORIZADO</v>
      </c>
      <c r="M775" s="15" t="str">
        <f>IFERROR(__xludf.DUMMYFUNCTION("""COMPUTED_VALUE"""),"NA ORIGEM")</f>
        <v>NA ORIGEM</v>
      </c>
      <c r="N775" s="15" t="str">
        <f>IFERROR(__xludf.DUMMYFUNCTION("""COMPUTED_VALUE"""),"Antes Prazo")</f>
        <v>Antes Prazo</v>
      </c>
      <c r="O775" s="15" t="str">
        <f>IFERROR(__xludf.DUMMYFUNCTION("""COMPUTED_VALUE"""),"B2B")</f>
        <v>B2B</v>
      </c>
      <c r="P775" s="16">
        <f>IFERROR(__xludf.DUMMYFUNCTION("""COMPUTED_VALUE"""),38.46)</f>
        <v>38.46</v>
      </c>
      <c r="Q775" s="15">
        <f>IFERROR(__xludf.DUMMYFUNCTION("""COMPUTED_VALUE"""),1.0)</f>
        <v>1</v>
      </c>
      <c r="R775" s="15" t="str">
        <f>IFERROR(__xludf.DUMMYFUNCTION("""COMPUTED_VALUE"""),"RODO")</f>
        <v>RODO</v>
      </c>
      <c r="S775" s="15" t="str">
        <f>IFERROR(__xludf.DUMMYFUNCTION("""COMPUTED_VALUE"""),"ITN")</f>
        <v>ITN</v>
      </c>
      <c r="T775" s="15" t="str">
        <f>IFERROR(__xludf.DUMMYFUNCTION("""COMPUTED_VALUE"""),"103")</f>
        <v>103</v>
      </c>
      <c r="U775" s="15" t="str">
        <f>IFERROR(__xludf.DUMMYFUNCTION("""COMPUTED_VALUE"""),"266840119 1306498 8177461 rangel dias moreira - 01103 trifil rao 103")</f>
        <v>266840119 1306498 8177461 rangel dias moreira - 01103 trifil rao 103</v>
      </c>
      <c r="V775" s="15" t="b">
        <f>IFERROR(__xludf.DUMMYFUNCTION("""COMPUTED_VALUE"""),FALSE)</f>
        <v>0</v>
      </c>
    </row>
    <row r="776">
      <c r="A776" s="19">
        <f>IFERROR(__xludf.DUMMYFUNCTION("""COMPUTED_VALUE"""),46304.0)</f>
        <v>46304</v>
      </c>
      <c r="B776" s="19">
        <f>IFERROR(__xludf.DUMMYFUNCTION("""COMPUTED_VALUE"""),46317.0)</f>
        <v>46317</v>
      </c>
      <c r="C776" s="15">
        <f>IFERROR(__xludf.DUMMYFUNCTION("""COMPUTED_VALUE"""),8.0)</f>
        <v>8</v>
      </c>
      <c r="D776" s="15" t="str">
        <f>IFERROR(__xludf.DUMMYFUNCTION("""COMPUTED_VALUE"""),"RAO")</f>
        <v>RAO</v>
      </c>
      <c r="E776" s="15" t="str">
        <f>IFERROR(__xludf.DUMMYFUNCTION("""COMPUTED_VALUE"""),"ELAINE AP ZUQUETTE BELLO E CIA LTDA ME")</f>
        <v>ELAINE AP ZUQUETTE BELLO E CIA LTDA ME</v>
      </c>
      <c r="F776" s="15" t="str">
        <f>IFERROR(__xludf.DUMMYFUNCTION("""COMPUTED_VALUE"""),"TRIFIL")</f>
        <v>TRIFIL</v>
      </c>
      <c r="G776" s="15" t="str">
        <f>IFERROR(__xludf.DUMMYFUNCTION("""COMPUTED_VALUE"""),"266840120")</f>
        <v>266840120</v>
      </c>
      <c r="H776" s="15" t="str">
        <f>IFERROR(__xludf.DUMMYFUNCTION("""COMPUTED_VALUE"""),"1306492")</f>
        <v>1306492</v>
      </c>
      <c r="I776" s="15" t="str">
        <f>IFERROR(__xludf.DUMMYFUNCTION("""COMPUTED_VALUE"""),"8177558")</f>
        <v>8177558</v>
      </c>
      <c r="J776" s="15" t="str">
        <f>IFERROR(__xludf.DUMMYFUNCTION("""COMPUTED_VALUE"""),"CIF")</f>
        <v>CIF</v>
      </c>
      <c r="K776" s="15" t="str">
        <f>IFERROR(__xludf.DUMMYFUNCTION("""COMPUTED_VALUE"""),"SAO-1")</f>
        <v>SAO-1</v>
      </c>
      <c r="L776" s="15" t="str">
        <f>IFERROR(__xludf.DUMMYFUNCTION("""COMPUTED_VALUE"""),"AUTORIZADO")</f>
        <v>AUTORIZADO</v>
      </c>
      <c r="M776" s="15" t="str">
        <f>IFERROR(__xludf.DUMMYFUNCTION("""COMPUTED_VALUE"""),"NA ORIGEM")</f>
        <v>NA ORIGEM</v>
      </c>
      <c r="N776" s="15" t="str">
        <f>IFERROR(__xludf.DUMMYFUNCTION("""COMPUTED_VALUE"""),"Antes Prazo")</f>
        <v>Antes Prazo</v>
      </c>
      <c r="O776" s="15" t="str">
        <f>IFERROR(__xludf.DUMMYFUNCTION("""COMPUTED_VALUE"""),"B2B")</f>
        <v>B2B</v>
      </c>
      <c r="P776" s="16">
        <f>IFERROR(__xludf.DUMMYFUNCTION("""COMPUTED_VALUE"""),38.46)</f>
        <v>38.46</v>
      </c>
      <c r="Q776" s="15">
        <f>IFERROR(__xludf.DUMMYFUNCTION("""COMPUTED_VALUE"""),1.0)</f>
        <v>1</v>
      </c>
      <c r="R776" s="15" t="str">
        <f>IFERROR(__xludf.DUMMYFUNCTION("""COMPUTED_VALUE"""),"RODO")</f>
        <v>RODO</v>
      </c>
      <c r="S776" s="15" t="str">
        <f>IFERROR(__xludf.DUMMYFUNCTION("""COMPUTED_VALUE"""),"ITN")</f>
        <v>ITN</v>
      </c>
      <c r="T776" s="15" t="str">
        <f>IFERROR(__xludf.DUMMYFUNCTION("""COMPUTED_VALUE"""),"107")</f>
        <v>107</v>
      </c>
      <c r="U776" s="15" t="str">
        <f>IFERROR(__xludf.DUMMYFUNCTION("""COMPUTED_VALUE"""),"266840120 1306492 8177558 elaine ap zuquette bello e cia ltda me trifil rao 107")</f>
        <v>266840120 1306492 8177558 elaine ap zuquette bello e cia ltda me trifil rao 107</v>
      </c>
      <c r="V776" s="15" t="b">
        <f>IFERROR(__xludf.DUMMYFUNCTION("""COMPUTED_VALUE"""),FALSE)</f>
        <v>0</v>
      </c>
    </row>
    <row r="777">
      <c r="A777" s="19">
        <f>IFERROR(__xludf.DUMMYFUNCTION("""COMPUTED_VALUE"""),46304.0)</f>
        <v>46304</v>
      </c>
      <c r="B777" s="19">
        <f>IFERROR(__xludf.DUMMYFUNCTION("""COMPUTED_VALUE"""),46316.0)</f>
        <v>46316</v>
      </c>
      <c r="C777" s="15">
        <f>IFERROR(__xludf.DUMMYFUNCTION("""COMPUTED_VALUE"""),7.0)</f>
        <v>7</v>
      </c>
      <c r="D777" s="15" t="str">
        <f>IFERROR(__xludf.DUMMYFUNCTION("""COMPUTED_VALUE"""),"AQA")</f>
        <v>AQA</v>
      </c>
      <c r="E777" s="15" t="str">
        <f>IFERROR(__xludf.DUMMYFUNCTION("""COMPUTED_VALUE"""),"LOJAS LUPO")</f>
        <v>LOJAS LUPO</v>
      </c>
      <c r="F777" s="15" t="str">
        <f>IFERROR(__xludf.DUMMYFUNCTION("""COMPUTED_VALUE"""),"TRIFIL")</f>
        <v>TRIFIL</v>
      </c>
      <c r="G777" s="15" t="str">
        <f>IFERROR(__xludf.DUMMYFUNCTION("""COMPUTED_VALUE"""),"266840121")</f>
        <v>266840121</v>
      </c>
      <c r="H777" s="15" t="str">
        <f>IFERROR(__xludf.DUMMYFUNCTION("""COMPUTED_VALUE"""),"1303546")</f>
        <v>1303546</v>
      </c>
      <c r="I777" s="15" t="str">
        <f>IFERROR(__xludf.DUMMYFUNCTION("""COMPUTED_VALUE"""),"8177437")</f>
        <v>8177437</v>
      </c>
      <c r="J777" s="15" t="str">
        <f>IFERROR(__xludf.DUMMYFUNCTION("""COMPUTED_VALUE"""),"CIF")</f>
        <v>CIF</v>
      </c>
      <c r="K777" s="15" t="str">
        <f>IFERROR(__xludf.DUMMYFUNCTION("""COMPUTED_VALUE"""),"SAO-1")</f>
        <v>SAO-1</v>
      </c>
      <c r="L777" s="15" t="str">
        <f>IFERROR(__xludf.DUMMYFUNCTION("""COMPUTED_VALUE"""),"AUTORIZADO")</f>
        <v>AUTORIZADO</v>
      </c>
      <c r="M777" s="15" t="str">
        <f>IFERROR(__xludf.DUMMYFUNCTION("""COMPUTED_VALUE"""),"NA ORIGEM")</f>
        <v>NA ORIGEM</v>
      </c>
      <c r="N777" s="15" t="str">
        <f>IFERROR(__xludf.DUMMYFUNCTION("""COMPUTED_VALUE"""),"Antes Prazo")</f>
        <v>Antes Prazo</v>
      </c>
      <c r="O777" s="15" t="str">
        <f>IFERROR(__xludf.DUMMYFUNCTION("""COMPUTED_VALUE"""),"B2B")</f>
        <v>B2B</v>
      </c>
      <c r="P777" s="16">
        <f>IFERROR(__xludf.DUMMYFUNCTION("""COMPUTED_VALUE"""),38.46)</f>
        <v>38.46</v>
      </c>
      <c r="Q777" s="15">
        <f>IFERROR(__xludf.DUMMYFUNCTION("""COMPUTED_VALUE"""),2.0)</f>
        <v>2</v>
      </c>
      <c r="R777" s="15" t="str">
        <f>IFERROR(__xludf.DUMMYFUNCTION("""COMPUTED_VALUE"""),"RODO")</f>
        <v>RODO</v>
      </c>
      <c r="S777" s="15" t="str">
        <f>IFERROR(__xludf.DUMMYFUNCTION("""COMPUTED_VALUE"""),"ITN")</f>
        <v>ITN</v>
      </c>
      <c r="T777" s="15" t="str">
        <f>IFERROR(__xludf.DUMMYFUNCTION("""COMPUTED_VALUE"""),"2")</f>
        <v>2</v>
      </c>
      <c r="U777" s="15" t="str">
        <f>IFERROR(__xludf.DUMMYFUNCTION("""COMPUTED_VALUE"""),"266840121 1303546 8177437 lojas lupo trifil aqa 2")</f>
        <v>266840121 1303546 8177437 lojas lupo trifil aqa 2</v>
      </c>
      <c r="V777" s="15" t="b">
        <f>IFERROR(__xludf.DUMMYFUNCTION("""COMPUTED_VALUE"""),FALSE)</f>
        <v>0</v>
      </c>
    </row>
    <row r="778">
      <c r="A778" s="19">
        <f>IFERROR(__xludf.DUMMYFUNCTION("""COMPUTED_VALUE"""),46304.0)</f>
        <v>46304</v>
      </c>
      <c r="B778" s="19">
        <f>IFERROR(__xludf.DUMMYFUNCTION("""COMPUTED_VALUE"""),46323.0)</f>
        <v>46323</v>
      </c>
      <c r="C778" s="15">
        <f>IFERROR(__xludf.DUMMYFUNCTION("""COMPUTED_VALUE"""),12.0)</f>
        <v>12</v>
      </c>
      <c r="D778" s="15" t="str">
        <f>IFERROR(__xludf.DUMMYFUNCTION("""COMPUTED_VALUE"""),"AQA")</f>
        <v>AQA</v>
      </c>
      <c r="E778" s="15" t="str">
        <f>IFERROR(__xludf.DUMMYFUNCTION("""COMPUTED_VALUE"""),"KARIN RAJA KURY - ME")</f>
        <v>KARIN RAJA KURY - ME</v>
      </c>
      <c r="F778" s="15" t="str">
        <f>IFERROR(__xludf.DUMMYFUNCTION("""COMPUTED_VALUE"""),"TRIFIL")</f>
        <v>TRIFIL</v>
      </c>
      <c r="G778" s="15" t="str">
        <f>IFERROR(__xludf.DUMMYFUNCTION("""COMPUTED_VALUE"""),"266840122")</f>
        <v>266840122</v>
      </c>
      <c r="H778" s="15" t="str">
        <f>IFERROR(__xludf.DUMMYFUNCTION("""COMPUTED_VALUE"""),"1306254")</f>
        <v>1306254</v>
      </c>
      <c r="I778" s="15" t="str">
        <f>IFERROR(__xludf.DUMMYFUNCTION("""COMPUTED_VALUE"""),"8177505")</f>
        <v>8177505</v>
      </c>
      <c r="J778" s="15" t="str">
        <f>IFERROR(__xludf.DUMMYFUNCTION("""COMPUTED_VALUE"""),"CIF")</f>
        <v>CIF</v>
      </c>
      <c r="K778" s="15" t="str">
        <f>IFERROR(__xludf.DUMMYFUNCTION("""COMPUTED_VALUE"""),"(sem célula)")</f>
        <v>(sem célula)</v>
      </c>
      <c r="L778" s="15" t="str">
        <f>IFERROR(__xludf.DUMMYFUNCTION("""COMPUTED_VALUE"""),"AUTORIZADO")</f>
        <v>AUTORIZADO</v>
      </c>
      <c r="M778" s="15" t="str">
        <f>IFERROR(__xludf.DUMMYFUNCTION("""COMPUTED_VALUE"""),"NA ORIGEM")</f>
        <v>NA ORIGEM</v>
      </c>
      <c r="N778" s="15" t="str">
        <f>IFERROR(__xludf.DUMMYFUNCTION("""COMPUTED_VALUE"""),"Antes Prazo")</f>
        <v>Antes Prazo</v>
      </c>
      <c r="O778" s="15" t="str">
        <f>IFERROR(__xludf.DUMMYFUNCTION("""COMPUTED_VALUE"""),"B2B")</f>
        <v>B2B</v>
      </c>
      <c r="P778" s="16">
        <f>IFERROR(__xludf.DUMMYFUNCTION("""COMPUTED_VALUE"""),38.46)</f>
        <v>38.46</v>
      </c>
      <c r="Q778" s="15">
        <f>IFERROR(__xludf.DUMMYFUNCTION("""COMPUTED_VALUE"""),1.0)</f>
        <v>1</v>
      </c>
      <c r="R778" s="15" t="str">
        <f>IFERROR(__xludf.DUMMYFUNCTION("""COMPUTED_VALUE"""),"RODO")</f>
        <v>RODO</v>
      </c>
      <c r="S778" s="15" t="str">
        <f>IFERROR(__xludf.DUMMYFUNCTION("""COMPUTED_VALUE"""),"ITN")</f>
        <v>ITN</v>
      </c>
      <c r="T778" s="15" t="str">
        <f>IFERROR(__xludf.DUMMYFUNCTION("""COMPUTED_VALUE"""),"105")</f>
        <v>105</v>
      </c>
      <c r="U778" s="15" t="str">
        <f>IFERROR(__xludf.DUMMYFUNCTION("""COMPUTED_VALUE"""),"266840122 1306254 8177505 karin raja kury - me trifil aqa 105")</f>
        <v>266840122 1306254 8177505 karin raja kury - me trifil aqa 105</v>
      </c>
      <c r="V778" s="15" t="b">
        <f>IFERROR(__xludf.DUMMYFUNCTION("""COMPUTED_VALUE"""),FALSE)</f>
        <v>0</v>
      </c>
    </row>
    <row r="779">
      <c r="A779" s="19">
        <f>IFERROR(__xludf.DUMMYFUNCTION("""COMPUTED_VALUE"""),46304.0)</f>
        <v>46304</v>
      </c>
      <c r="B779" s="19">
        <f>IFERROR(__xludf.DUMMYFUNCTION("""COMPUTED_VALUE"""),46317.0)</f>
        <v>46317</v>
      </c>
      <c r="C779" s="15">
        <f>IFERROR(__xludf.DUMMYFUNCTION("""COMPUTED_VALUE"""),8.0)</f>
        <v>8</v>
      </c>
      <c r="D779" s="15" t="str">
        <f>IFERROR(__xludf.DUMMYFUNCTION("""COMPUTED_VALUE"""),"RAO")</f>
        <v>RAO</v>
      </c>
      <c r="E779" s="15" t="str">
        <f>IFERROR(__xludf.DUMMYFUNCTION("""COMPUTED_VALUE"""),"ELENICE APARECIDA TESTA LEITE")</f>
        <v>ELENICE APARECIDA TESTA LEITE</v>
      </c>
      <c r="F779" s="15" t="str">
        <f>IFERROR(__xludf.DUMMYFUNCTION("""COMPUTED_VALUE"""),"TRIFIL")</f>
        <v>TRIFIL</v>
      </c>
      <c r="G779" s="15" t="str">
        <f>IFERROR(__xludf.DUMMYFUNCTION("""COMPUTED_VALUE"""),"266840123")</f>
        <v>266840123</v>
      </c>
      <c r="H779" s="15" t="str">
        <f>IFERROR(__xludf.DUMMYFUNCTION("""COMPUTED_VALUE"""),"1306414")</f>
        <v>1306414</v>
      </c>
      <c r="I779" s="15" t="str">
        <f>IFERROR(__xludf.DUMMYFUNCTION("""COMPUTED_VALUE"""),"8177462")</f>
        <v>8177462</v>
      </c>
      <c r="J779" s="15" t="str">
        <f>IFERROR(__xludf.DUMMYFUNCTION("""COMPUTED_VALUE"""),"CIF")</f>
        <v>CIF</v>
      </c>
      <c r="K779" s="15" t="str">
        <f>IFERROR(__xludf.DUMMYFUNCTION("""COMPUTED_VALUE"""),"(sem célula)")</f>
        <v>(sem célula)</v>
      </c>
      <c r="L779" s="15" t="str">
        <f>IFERROR(__xludf.DUMMYFUNCTION("""COMPUTED_VALUE"""),"AUTORIZADO")</f>
        <v>AUTORIZADO</v>
      </c>
      <c r="M779" s="15" t="str">
        <f>IFERROR(__xludf.DUMMYFUNCTION("""COMPUTED_VALUE"""),"NA ORIGEM")</f>
        <v>NA ORIGEM</v>
      </c>
      <c r="N779" s="15" t="str">
        <f>IFERROR(__xludf.DUMMYFUNCTION("""COMPUTED_VALUE"""),"Antes Prazo")</f>
        <v>Antes Prazo</v>
      </c>
      <c r="O779" s="15" t="str">
        <f>IFERROR(__xludf.DUMMYFUNCTION("""COMPUTED_VALUE"""),"B2B")</f>
        <v>B2B</v>
      </c>
      <c r="P779" s="16">
        <f>IFERROR(__xludf.DUMMYFUNCTION("""COMPUTED_VALUE"""),38.46)</f>
        <v>38.46</v>
      </c>
      <c r="Q779" s="15">
        <f>IFERROR(__xludf.DUMMYFUNCTION("""COMPUTED_VALUE"""),1.0)</f>
        <v>1</v>
      </c>
      <c r="R779" s="15" t="str">
        <f>IFERROR(__xludf.DUMMYFUNCTION("""COMPUTED_VALUE"""),"RODO")</f>
        <v>RODO</v>
      </c>
      <c r="S779" s="15" t="str">
        <f>IFERROR(__xludf.DUMMYFUNCTION("""COMPUTED_VALUE"""),"ITN")</f>
        <v>ITN</v>
      </c>
      <c r="T779" s="15" t="str">
        <f>IFERROR(__xludf.DUMMYFUNCTION("""COMPUTED_VALUE"""),"104")</f>
        <v>104</v>
      </c>
      <c r="U779" s="15" t="str">
        <f>IFERROR(__xludf.DUMMYFUNCTION("""COMPUTED_VALUE"""),"266840123 1306414 8177462 elenice aparecida testa leite trifil rao 104")</f>
        <v>266840123 1306414 8177462 elenice aparecida testa leite trifil rao 104</v>
      </c>
      <c r="V779" s="15" t="b">
        <f>IFERROR(__xludf.DUMMYFUNCTION("""COMPUTED_VALUE"""),FALSE)</f>
        <v>0</v>
      </c>
    </row>
    <row r="780">
      <c r="A780" s="19">
        <f>IFERROR(__xludf.DUMMYFUNCTION("""COMPUTED_VALUE"""),46304.0)</f>
        <v>46304</v>
      </c>
      <c r="B780" s="19">
        <f>IFERROR(__xludf.DUMMYFUNCTION("""COMPUTED_VALUE"""),46317.0)</f>
        <v>46317</v>
      </c>
      <c r="C780" s="15">
        <f>IFERROR(__xludf.DUMMYFUNCTION("""COMPUTED_VALUE"""),8.0)</f>
        <v>8</v>
      </c>
      <c r="D780" s="15" t="str">
        <f>IFERROR(__xludf.DUMMYFUNCTION("""COMPUTED_VALUE"""),"SJP")</f>
        <v>SJP</v>
      </c>
      <c r="E780" s="15" t="str">
        <f>IFERROR(__xludf.DUMMYFUNCTION("""COMPUTED_VALUE"""),"NETO CALÇADOS")</f>
        <v>NETO CALÇADOS</v>
      </c>
      <c r="F780" s="15" t="str">
        <f>IFERROR(__xludf.DUMMYFUNCTION("""COMPUTED_VALUE"""),"TRIFIL")</f>
        <v>TRIFIL</v>
      </c>
      <c r="G780" s="15" t="str">
        <f>IFERROR(__xludf.DUMMYFUNCTION("""COMPUTED_VALUE"""),"266840124")</f>
        <v>266840124</v>
      </c>
      <c r="H780" s="15" t="str">
        <f>IFERROR(__xludf.DUMMYFUNCTION("""COMPUTED_VALUE"""),"1306448")</f>
        <v>1306448</v>
      </c>
      <c r="I780" s="15" t="str">
        <f>IFERROR(__xludf.DUMMYFUNCTION("""COMPUTED_VALUE"""),"8177438")</f>
        <v>8177438</v>
      </c>
      <c r="J780" s="15" t="str">
        <f>IFERROR(__xludf.DUMMYFUNCTION("""COMPUTED_VALUE"""),"CIF")</f>
        <v>CIF</v>
      </c>
      <c r="K780" s="15" t="str">
        <f>IFERROR(__xludf.DUMMYFUNCTION("""COMPUTED_VALUE"""),"(sem célula)")</f>
        <v>(sem célula)</v>
      </c>
      <c r="L780" s="15" t="str">
        <f>IFERROR(__xludf.DUMMYFUNCTION("""COMPUTED_VALUE"""),"AUTORIZADO")</f>
        <v>AUTORIZADO</v>
      </c>
      <c r="M780" s="15" t="str">
        <f>IFERROR(__xludf.DUMMYFUNCTION("""COMPUTED_VALUE"""),"NA ORIGEM")</f>
        <v>NA ORIGEM</v>
      </c>
      <c r="N780" s="15" t="str">
        <f>IFERROR(__xludf.DUMMYFUNCTION("""COMPUTED_VALUE"""),"Antes Prazo")</f>
        <v>Antes Prazo</v>
      </c>
      <c r="O780" s="15" t="str">
        <f>IFERROR(__xludf.DUMMYFUNCTION("""COMPUTED_VALUE"""),"B2B")</f>
        <v>B2B</v>
      </c>
      <c r="P780" s="16">
        <f>IFERROR(__xludf.DUMMYFUNCTION("""COMPUTED_VALUE"""),38.46)</f>
        <v>38.46</v>
      </c>
      <c r="Q780" s="15">
        <f>IFERROR(__xludf.DUMMYFUNCTION("""COMPUTED_VALUE"""),1.0)</f>
        <v>1</v>
      </c>
      <c r="R780" s="15" t="str">
        <f>IFERROR(__xludf.DUMMYFUNCTION("""COMPUTED_VALUE"""),"RODO")</f>
        <v>RODO</v>
      </c>
      <c r="S780" s="15" t="str">
        <f>IFERROR(__xludf.DUMMYFUNCTION("""COMPUTED_VALUE"""),"ITN")</f>
        <v>ITN</v>
      </c>
      <c r="T780" s="15" t="str">
        <f>IFERROR(__xludf.DUMMYFUNCTION("""COMPUTED_VALUE"""),"122")</f>
        <v>122</v>
      </c>
      <c r="U780" s="15" t="str">
        <f>IFERROR(__xludf.DUMMYFUNCTION("""COMPUTED_VALUE"""),"266840124 1306448 8177438 neto calçados trifil sjp 122")</f>
        <v>266840124 1306448 8177438 neto calçados trifil sjp 122</v>
      </c>
      <c r="V780" s="15" t="b">
        <f>IFERROR(__xludf.DUMMYFUNCTION("""COMPUTED_VALUE"""),FALSE)</f>
        <v>0</v>
      </c>
    </row>
    <row r="781">
      <c r="A781" s="19">
        <f>IFERROR(__xludf.DUMMYFUNCTION("""COMPUTED_VALUE"""),46304.0)</f>
        <v>46304</v>
      </c>
      <c r="B781" s="19">
        <f>IFERROR(__xludf.DUMMYFUNCTION("""COMPUTED_VALUE"""),46316.0)</f>
        <v>46316</v>
      </c>
      <c r="C781" s="15">
        <f>IFERROR(__xludf.DUMMYFUNCTION("""COMPUTED_VALUE"""),7.0)</f>
        <v>7</v>
      </c>
      <c r="D781" s="15" t="str">
        <f>IFERROR(__xludf.DUMMYFUNCTION("""COMPUTED_VALUE"""),"ARU")</f>
        <v>ARU</v>
      </c>
      <c r="E781" s="15" t="str">
        <f>IFERROR(__xludf.DUMMYFUNCTION("""COMPUTED_VALUE"""),"Casa Das Meias")</f>
        <v>Casa Das Meias</v>
      </c>
      <c r="F781" s="15" t="str">
        <f>IFERROR(__xludf.DUMMYFUNCTION("""COMPUTED_VALUE"""),"TRIFIL")</f>
        <v>TRIFIL</v>
      </c>
      <c r="G781" s="15" t="str">
        <f>IFERROR(__xludf.DUMMYFUNCTION("""COMPUTED_VALUE"""),"266840125")</f>
        <v>266840125</v>
      </c>
      <c r="H781" s="15" t="str">
        <f>IFERROR(__xludf.DUMMYFUNCTION("""COMPUTED_VALUE"""),"1306409")</f>
        <v>1306409</v>
      </c>
      <c r="I781" s="15" t="str">
        <f>IFERROR(__xludf.DUMMYFUNCTION("""COMPUTED_VALUE"""),"8177506")</f>
        <v>8177506</v>
      </c>
      <c r="J781" s="15" t="str">
        <f>IFERROR(__xludf.DUMMYFUNCTION("""COMPUTED_VALUE"""),"CIF")</f>
        <v>CIF</v>
      </c>
      <c r="K781" s="15" t="str">
        <f>IFERROR(__xludf.DUMMYFUNCTION("""COMPUTED_VALUE"""),"(sem célula)")</f>
        <v>(sem célula)</v>
      </c>
      <c r="L781" s="15" t="str">
        <f>IFERROR(__xludf.DUMMYFUNCTION("""COMPUTED_VALUE"""),"AUTORIZADO")</f>
        <v>AUTORIZADO</v>
      </c>
      <c r="M781" s="15" t="str">
        <f>IFERROR(__xludf.DUMMYFUNCTION("""COMPUTED_VALUE"""),"NA ORIGEM")</f>
        <v>NA ORIGEM</v>
      </c>
      <c r="N781" s="15" t="str">
        <f>IFERROR(__xludf.DUMMYFUNCTION("""COMPUTED_VALUE"""),"Antes Prazo")</f>
        <v>Antes Prazo</v>
      </c>
      <c r="O781" s="15" t="str">
        <f>IFERROR(__xludf.DUMMYFUNCTION("""COMPUTED_VALUE"""),"B2B")</f>
        <v>B2B</v>
      </c>
      <c r="P781" s="16">
        <f>IFERROR(__xludf.DUMMYFUNCTION("""COMPUTED_VALUE"""),38.46)</f>
        <v>38.46</v>
      </c>
      <c r="Q781" s="15">
        <f>IFERROR(__xludf.DUMMYFUNCTION("""COMPUTED_VALUE"""),1.0)</f>
        <v>1</v>
      </c>
      <c r="R781" s="15" t="str">
        <f>IFERROR(__xludf.DUMMYFUNCTION("""COMPUTED_VALUE"""),"RODO")</f>
        <v>RODO</v>
      </c>
      <c r="S781" s="15" t="str">
        <f>IFERROR(__xludf.DUMMYFUNCTION("""COMPUTED_VALUE"""),"ITN")</f>
        <v>ITN</v>
      </c>
      <c r="T781" s="15" t="str">
        <f>IFERROR(__xludf.DUMMYFUNCTION("""COMPUTED_VALUE"""),"1")</f>
        <v>1</v>
      </c>
      <c r="U781" s="15" t="str">
        <f>IFERROR(__xludf.DUMMYFUNCTION("""COMPUTED_VALUE"""),"266840125 1306409 8177506 casa das meias trifil aru 1")</f>
        <v>266840125 1306409 8177506 casa das meias trifil aru 1</v>
      </c>
      <c r="V781" s="15" t="b">
        <f>IFERROR(__xludf.DUMMYFUNCTION("""COMPUTED_VALUE"""),FALSE)</f>
        <v>0</v>
      </c>
    </row>
    <row r="782">
      <c r="A782" s="19">
        <f>IFERROR(__xludf.DUMMYFUNCTION("""COMPUTED_VALUE"""),46304.0)</f>
        <v>46304</v>
      </c>
      <c r="B782" s="19">
        <f>IFERROR(__xludf.DUMMYFUNCTION("""COMPUTED_VALUE"""),46321.0)</f>
        <v>46321</v>
      </c>
      <c r="C782" s="15">
        <f>IFERROR(__xludf.DUMMYFUNCTION("""COMPUTED_VALUE"""),10.0)</f>
        <v>10</v>
      </c>
      <c r="D782" s="15" t="str">
        <f>IFERROR(__xludf.DUMMYFUNCTION("""COMPUTED_VALUE"""),"ARU")</f>
        <v>ARU</v>
      </c>
      <c r="E782" s="15" t="str">
        <f>IFERROR(__xludf.DUMMYFUNCTION("""COMPUTED_VALUE"""),"LIA MODAS")</f>
        <v>LIA MODAS</v>
      </c>
      <c r="F782" s="15" t="str">
        <f>IFERROR(__xludf.DUMMYFUNCTION("""COMPUTED_VALUE"""),"TRIFIL")</f>
        <v>TRIFIL</v>
      </c>
      <c r="G782" s="15" t="str">
        <f>IFERROR(__xludf.DUMMYFUNCTION("""COMPUTED_VALUE"""),"266840126")</f>
        <v>266840126</v>
      </c>
      <c r="H782" s="15" t="str">
        <f>IFERROR(__xludf.DUMMYFUNCTION("""COMPUTED_VALUE"""),"1306410")</f>
        <v>1306410</v>
      </c>
      <c r="I782" s="15" t="str">
        <f>IFERROR(__xludf.DUMMYFUNCTION("""COMPUTED_VALUE"""),"8177463")</f>
        <v>8177463</v>
      </c>
      <c r="J782" s="15" t="str">
        <f>IFERROR(__xludf.DUMMYFUNCTION("""COMPUTED_VALUE"""),"CIF")</f>
        <v>CIF</v>
      </c>
      <c r="K782" s="15" t="str">
        <f>IFERROR(__xludf.DUMMYFUNCTION("""COMPUTED_VALUE"""),"(sem célula)")</f>
        <v>(sem célula)</v>
      </c>
      <c r="L782" s="15" t="str">
        <f>IFERROR(__xludf.DUMMYFUNCTION("""COMPUTED_VALUE"""),"AUTORIZADO")</f>
        <v>AUTORIZADO</v>
      </c>
      <c r="M782" s="15" t="str">
        <f>IFERROR(__xludf.DUMMYFUNCTION("""COMPUTED_VALUE"""),"NA ORIGEM")</f>
        <v>NA ORIGEM</v>
      </c>
      <c r="N782" s="15" t="str">
        <f>IFERROR(__xludf.DUMMYFUNCTION("""COMPUTED_VALUE"""),"Antes Prazo")</f>
        <v>Antes Prazo</v>
      </c>
      <c r="O782" s="15" t="str">
        <f>IFERROR(__xludf.DUMMYFUNCTION("""COMPUTED_VALUE"""),"B2B")</f>
        <v>B2B</v>
      </c>
      <c r="P782" s="16">
        <f>IFERROR(__xludf.DUMMYFUNCTION("""COMPUTED_VALUE"""),38.46)</f>
        <v>38.46</v>
      </c>
      <c r="Q782" s="15">
        <f>IFERROR(__xludf.DUMMYFUNCTION("""COMPUTED_VALUE"""),1.0)</f>
        <v>1</v>
      </c>
      <c r="R782" s="15" t="str">
        <f>IFERROR(__xludf.DUMMYFUNCTION("""COMPUTED_VALUE"""),"RODO")</f>
        <v>RODO</v>
      </c>
      <c r="S782" s="15" t="str">
        <f>IFERROR(__xludf.DUMMYFUNCTION("""COMPUTED_VALUE"""),"ITN")</f>
        <v>ITN</v>
      </c>
      <c r="T782" s="15" t="str">
        <f>IFERROR(__xludf.DUMMYFUNCTION("""COMPUTED_VALUE"""),"110")</f>
        <v>110</v>
      </c>
      <c r="U782" s="15" t="str">
        <f>IFERROR(__xludf.DUMMYFUNCTION("""COMPUTED_VALUE"""),"266840126 1306410 8177463 lia modas trifil aru 110")</f>
        <v>266840126 1306410 8177463 lia modas trifil aru 110</v>
      </c>
      <c r="V782" s="15" t="b">
        <f>IFERROR(__xludf.DUMMYFUNCTION("""COMPUTED_VALUE"""),FALSE)</f>
        <v>0</v>
      </c>
    </row>
    <row r="783">
      <c r="A783" s="19">
        <f>IFERROR(__xludf.DUMMYFUNCTION("""COMPUTED_VALUE"""),46304.0)</f>
        <v>46304</v>
      </c>
      <c r="B783" s="19">
        <f>IFERROR(__xludf.DUMMYFUNCTION("""COMPUTED_VALUE"""),46316.0)</f>
        <v>46316</v>
      </c>
      <c r="C783" s="15">
        <f>IFERROR(__xludf.DUMMYFUNCTION("""COMPUTED_VALUE"""),7.0)</f>
        <v>7</v>
      </c>
      <c r="D783" s="15" t="str">
        <f>IFERROR(__xludf.DUMMYFUNCTION("""COMPUTED_VALUE"""),"BAU")</f>
        <v>BAU</v>
      </c>
      <c r="E783" s="15" t="str">
        <f>IFERROR(__xludf.DUMMYFUNCTION("""COMPUTED_VALUE"""),"MIGUEL MEIAS E CONFECCOES LTDA")</f>
        <v>MIGUEL MEIAS E CONFECCOES LTDA</v>
      </c>
      <c r="F783" s="15" t="str">
        <f>IFERROR(__xludf.DUMMYFUNCTION("""COMPUTED_VALUE"""),"TRIFIL")</f>
        <v>TRIFIL</v>
      </c>
      <c r="G783" s="15" t="str">
        <f>IFERROR(__xludf.DUMMYFUNCTION("""COMPUTED_VALUE"""),"266840127")</f>
        <v>266840127</v>
      </c>
      <c r="H783" s="15" t="str">
        <f>IFERROR(__xludf.DUMMYFUNCTION("""COMPUTED_VALUE"""),"1306459")</f>
        <v>1306459</v>
      </c>
      <c r="I783" s="15" t="str">
        <f>IFERROR(__xludf.DUMMYFUNCTION("""COMPUTED_VALUE"""),"8177507")</f>
        <v>8177507</v>
      </c>
      <c r="J783" s="15" t="str">
        <f>IFERROR(__xludf.DUMMYFUNCTION("""COMPUTED_VALUE"""),"CIF")</f>
        <v>CIF</v>
      </c>
      <c r="K783" s="15" t="str">
        <f>IFERROR(__xludf.DUMMYFUNCTION("""COMPUTED_VALUE"""),"(sem célula)")</f>
        <v>(sem célula)</v>
      </c>
      <c r="L783" s="15" t="str">
        <f>IFERROR(__xludf.DUMMYFUNCTION("""COMPUTED_VALUE"""),"AUTORIZADO")</f>
        <v>AUTORIZADO</v>
      </c>
      <c r="M783" s="15" t="str">
        <f>IFERROR(__xludf.DUMMYFUNCTION("""COMPUTED_VALUE"""),"NA ORIGEM")</f>
        <v>NA ORIGEM</v>
      </c>
      <c r="N783" s="15" t="str">
        <f>IFERROR(__xludf.DUMMYFUNCTION("""COMPUTED_VALUE"""),"Antes Prazo")</f>
        <v>Antes Prazo</v>
      </c>
      <c r="O783" s="15" t="str">
        <f>IFERROR(__xludf.DUMMYFUNCTION("""COMPUTED_VALUE"""),"B2B")</f>
        <v>B2B</v>
      </c>
      <c r="P783" s="16">
        <f>IFERROR(__xludf.DUMMYFUNCTION("""COMPUTED_VALUE"""),38.46)</f>
        <v>38.46</v>
      </c>
      <c r="Q783" s="15">
        <f>IFERROR(__xludf.DUMMYFUNCTION("""COMPUTED_VALUE"""),1.0)</f>
        <v>1</v>
      </c>
      <c r="R783" s="15" t="str">
        <f>IFERROR(__xludf.DUMMYFUNCTION("""COMPUTED_VALUE"""),"RODO")</f>
        <v>RODO</v>
      </c>
      <c r="S783" s="15" t="str">
        <f>IFERROR(__xludf.DUMMYFUNCTION("""COMPUTED_VALUE"""),"ITN")</f>
        <v>ITN</v>
      </c>
      <c r="T783" s="15" t="str">
        <f>IFERROR(__xludf.DUMMYFUNCTION("""COMPUTED_VALUE"""),"115")</f>
        <v>115</v>
      </c>
      <c r="U783" s="15" t="str">
        <f>IFERROR(__xludf.DUMMYFUNCTION("""COMPUTED_VALUE"""),"266840127 1306459 8177507 miguel meias e confeccoes ltda trifil bau 115")</f>
        <v>266840127 1306459 8177507 miguel meias e confeccoes ltda trifil bau 115</v>
      </c>
      <c r="V783" s="15" t="b">
        <f>IFERROR(__xludf.DUMMYFUNCTION("""COMPUTED_VALUE"""),FALSE)</f>
        <v>0</v>
      </c>
    </row>
    <row r="784">
      <c r="A784" s="19">
        <f>IFERROR(__xludf.DUMMYFUNCTION("""COMPUTED_VALUE"""),46304.0)</f>
        <v>46304</v>
      </c>
      <c r="B784" s="19">
        <f>IFERROR(__xludf.DUMMYFUNCTION("""COMPUTED_VALUE"""),46317.0)</f>
        <v>46317</v>
      </c>
      <c r="C784" s="15">
        <f>IFERROR(__xludf.DUMMYFUNCTION("""COMPUTED_VALUE"""),8.0)</f>
        <v>8</v>
      </c>
      <c r="D784" s="15" t="str">
        <f>IFERROR(__xludf.DUMMYFUNCTION("""COMPUTED_VALUE"""),"BAU")</f>
        <v>BAU</v>
      </c>
      <c r="E784" s="15" t="str">
        <f>IFERROR(__xludf.DUMMYFUNCTION("""COMPUTED_VALUE"""),"NOVA MANIA")</f>
        <v>NOVA MANIA</v>
      </c>
      <c r="F784" s="15" t="str">
        <f>IFERROR(__xludf.DUMMYFUNCTION("""COMPUTED_VALUE"""),"TRIFIL")</f>
        <v>TRIFIL</v>
      </c>
      <c r="G784" s="15" t="str">
        <f>IFERROR(__xludf.DUMMYFUNCTION("""COMPUTED_VALUE"""),"266840130")</f>
        <v>266840130</v>
      </c>
      <c r="H784" s="15" t="str">
        <f>IFERROR(__xludf.DUMMYFUNCTION("""COMPUTED_VALUE"""),"1306279")</f>
        <v>1306279</v>
      </c>
      <c r="I784" s="15" t="str">
        <f>IFERROR(__xludf.DUMMYFUNCTION("""COMPUTED_VALUE"""),"8177508")</f>
        <v>8177508</v>
      </c>
      <c r="J784" s="15" t="str">
        <f>IFERROR(__xludf.DUMMYFUNCTION("""COMPUTED_VALUE"""),"CIF")</f>
        <v>CIF</v>
      </c>
      <c r="K784" s="15" t="str">
        <f>IFERROR(__xludf.DUMMYFUNCTION("""COMPUTED_VALUE"""),"SAO-1")</f>
        <v>SAO-1</v>
      </c>
      <c r="L784" s="15" t="str">
        <f>IFERROR(__xludf.DUMMYFUNCTION("""COMPUTED_VALUE"""),"AUTORIZADO")</f>
        <v>AUTORIZADO</v>
      </c>
      <c r="M784" s="15" t="str">
        <f>IFERROR(__xludf.DUMMYFUNCTION("""COMPUTED_VALUE"""),"NA ORIGEM")</f>
        <v>NA ORIGEM</v>
      </c>
      <c r="N784" s="15" t="str">
        <f>IFERROR(__xludf.DUMMYFUNCTION("""COMPUTED_VALUE"""),"Antes Prazo")</f>
        <v>Antes Prazo</v>
      </c>
      <c r="O784" s="15" t="str">
        <f>IFERROR(__xludf.DUMMYFUNCTION("""COMPUTED_VALUE"""),"B2B")</f>
        <v>B2B</v>
      </c>
      <c r="P784" s="16">
        <f>IFERROR(__xludf.DUMMYFUNCTION("""COMPUTED_VALUE"""),38.46)</f>
        <v>38.46</v>
      </c>
      <c r="Q784" s="15">
        <f>IFERROR(__xludf.DUMMYFUNCTION("""COMPUTED_VALUE"""),1.0)</f>
        <v>1</v>
      </c>
      <c r="R784" s="15" t="str">
        <f>IFERROR(__xludf.DUMMYFUNCTION("""COMPUTED_VALUE"""),"RODO")</f>
        <v>RODO</v>
      </c>
      <c r="S784" s="15" t="str">
        <f>IFERROR(__xludf.DUMMYFUNCTION("""COMPUTED_VALUE"""),"ITN")</f>
        <v>ITN</v>
      </c>
      <c r="T784" s="15" t="str">
        <f>IFERROR(__xludf.DUMMYFUNCTION("""COMPUTED_VALUE"""),"120")</f>
        <v>120</v>
      </c>
      <c r="U784" s="15" t="str">
        <f>IFERROR(__xludf.DUMMYFUNCTION("""COMPUTED_VALUE"""),"266840130 1306279 8177508 nova mania trifil bau 120")</f>
        <v>266840130 1306279 8177508 nova mania trifil bau 120</v>
      </c>
      <c r="V784" s="15" t="b">
        <f>IFERROR(__xludf.DUMMYFUNCTION("""COMPUTED_VALUE"""),FALSE)</f>
        <v>0</v>
      </c>
    </row>
    <row r="785">
      <c r="A785" s="19">
        <f>IFERROR(__xludf.DUMMYFUNCTION("""COMPUTED_VALUE"""),46304.0)</f>
        <v>46304</v>
      </c>
      <c r="B785" s="19">
        <f>IFERROR(__xludf.DUMMYFUNCTION("""COMPUTED_VALUE"""),46316.0)</f>
        <v>46316</v>
      </c>
      <c r="C785" s="15">
        <f>IFERROR(__xludf.DUMMYFUNCTION("""COMPUTED_VALUE"""),7.0)</f>
        <v>7</v>
      </c>
      <c r="D785" s="15" t="str">
        <f>IFERROR(__xludf.DUMMYFUNCTION("""COMPUTED_VALUE"""),"MII")</f>
        <v>MII</v>
      </c>
      <c r="E785" s="15" t="str">
        <f>IFERROR(__xludf.DUMMYFUNCTION("""COMPUTED_VALUE"""),"FNF COMERCIO DE CALCADOS EIRELI")</f>
        <v>FNF COMERCIO DE CALCADOS EIRELI</v>
      </c>
      <c r="F785" s="15" t="str">
        <f>IFERROR(__xludf.DUMMYFUNCTION("""COMPUTED_VALUE"""),"TRIFIL")</f>
        <v>TRIFIL</v>
      </c>
      <c r="G785" s="15" t="str">
        <f>IFERROR(__xludf.DUMMYFUNCTION("""COMPUTED_VALUE"""),"266840132")</f>
        <v>266840132</v>
      </c>
      <c r="H785" s="15" t="str">
        <f>IFERROR(__xludf.DUMMYFUNCTION("""COMPUTED_VALUE"""),"1306231")</f>
        <v>1306231</v>
      </c>
      <c r="I785" s="15" t="str">
        <f>IFERROR(__xludf.DUMMYFUNCTION("""COMPUTED_VALUE"""),"8177464")</f>
        <v>8177464</v>
      </c>
      <c r="J785" s="15" t="str">
        <f>IFERROR(__xludf.DUMMYFUNCTION("""COMPUTED_VALUE"""),"CIF")</f>
        <v>CIF</v>
      </c>
      <c r="K785" s="15" t="str">
        <f>IFERROR(__xludf.DUMMYFUNCTION("""COMPUTED_VALUE"""),"(sem célula)")</f>
        <v>(sem célula)</v>
      </c>
      <c r="L785" s="15" t="str">
        <f>IFERROR(__xludf.DUMMYFUNCTION("""COMPUTED_VALUE"""),"AUTORIZADO")</f>
        <v>AUTORIZADO</v>
      </c>
      <c r="M785" s="15" t="str">
        <f>IFERROR(__xludf.DUMMYFUNCTION("""COMPUTED_VALUE"""),"NA ORIGEM")</f>
        <v>NA ORIGEM</v>
      </c>
      <c r="N785" s="15" t="str">
        <f>IFERROR(__xludf.DUMMYFUNCTION("""COMPUTED_VALUE"""),"Antes Prazo")</f>
        <v>Antes Prazo</v>
      </c>
      <c r="O785" s="15" t="str">
        <f>IFERROR(__xludf.DUMMYFUNCTION("""COMPUTED_VALUE"""),"B2B")</f>
        <v>B2B</v>
      </c>
      <c r="P785" s="16">
        <f>IFERROR(__xludf.DUMMYFUNCTION("""COMPUTED_VALUE"""),38.46)</f>
        <v>38.46</v>
      </c>
      <c r="Q785" s="15">
        <f>IFERROR(__xludf.DUMMYFUNCTION("""COMPUTED_VALUE"""),1.0)</f>
        <v>1</v>
      </c>
      <c r="R785" s="15" t="str">
        <f>IFERROR(__xludf.DUMMYFUNCTION("""COMPUTED_VALUE"""),"RODO")</f>
        <v>RODO</v>
      </c>
      <c r="S785" s="15" t="str">
        <f>IFERROR(__xludf.DUMMYFUNCTION("""COMPUTED_VALUE"""),"ITN")</f>
        <v>ITN</v>
      </c>
      <c r="T785" s="15" t="str">
        <f>IFERROR(__xludf.DUMMYFUNCTION("""COMPUTED_VALUE"""),"1")</f>
        <v>1</v>
      </c>
      <c r="U785" s="15" t="str">
        <f>IFERROR(__xludf.DUMMYFUNCTION("""COMPUTED_VALUE"""),"266840132 1306231 8177464 fnf comercio de calcados eireli trifil mii 1")</f>
        <v>266840132 1306231 8177464 fnf comercio de calcados eireli trifil mii 1</v>
      </c>
      <c r="V785" s="15" t="b">
        <f>IFERROR(__xludf.DUMMYFUNCTION("""COMPUTED_VALUE"""),FALSE)</f>
        <v>0</v>
      </c>
    </row>
    <row r="786">
      <c r="A786" s="19">
        <f>IFERROR(__xludf.DUMMYFUNCTION("""COMPUTED_VALUE"""),46304.0)</f>
        <v>46304</v>
      </c>
      <c r="B786" s="19">
        <f>IFERROR(__xludf.DUMMYFUNCTION("""COMPUTED_VALUE"""),46316.0)</f>
        <v>46316</v>
      </c>
      <c r="C786" s="15">
        <f>IFERROR(__xludf.DUMMYFUNCTION("""COMPUTED_VALUE"""),7.0)</f>
        <v>7</v>
      </c>
      <c r="D786" s="15" t="str">
        <f>IFERROR(__xludf.DUMMYFUNCTION("""COMPUTED_VALUE"""),"MII")</f>
        <v>MII</v>
      </c>
      <c r="E786" s="15" t="str">
        <f>IFERROR(__xludf.DUMMYFUNCTION("""COMPUTED_VALUE"""),"CKN VESTUARIOS EIRELI")</f>
        <v>CKN VESTUARIOS EIRELI</v>
      </c>
      <c r="F786" s="15" t="str">
        <f>IFERROR(__xludf.DUMMYFUNCTION("""COMPUTED_VALUE"""),"TRIFIL")</f>
        <v>TRIFIL</v>
      </c>
      <c r="G786" s="15" t="str">
        <f>IFERROR(__xludf.DUMMYFUNCTION("""COMPUTED_VALUE"""),"266840134")</f>
        <v>266840134</v>
      </c>
      <c r="H786" s="15" t="str">
        <f>IFERROR(__xludf.DUMMYFUNCTION("""COMPUTED_VALUE"""),"1306248")</f>
        <v>1306248</v>
      </c>
      <c r="I786" s="15" t="str">
        <f>IFERROR(__xludf.DUMMYFUNCTION("""COMPUTED_VALUE"""),"8177509")</f>
        <v>8177509</v>
      </c>
      <c r="J786" s="15" t="str">
        <f>IFERROR(__xludf.DUMMYFUNCTION("""COMPUTED_VALUE"""),"CIF")</f>
        <v>CIF</v>
      </c>
      <c r="K786" s="15" t="str">
        <f>IFERROR(__xludf.DUMMYFUNCTION("""COMPUTED_VALUE"""),"SAO-1")</f>
        <v>SAO-1</v>
      </c>
      <c r="L786" s="15" t="str">
        <f>IFERROR(__xludf.DUMMYFUNCTION("""COMPUTED_VALUE"""),"AUTORIZADO")</f>
        <v>AUTORIZADO</v>
      </c>
      <c r="M786" s="15" t="str">
        <f>IFERROR(__xludf.DUMMYFUNCTION("""COMPUTED_VALUE"""),"NA ORIGEM")</f>
        <v>NA ORIGEM</v>
      </c>
      <c r="N786" s="15" t="str">
        <f>IFERROR(__xludf.DUMMYFUNCTION("""COMPUTED_VALUE"""),"Antes Prazo")</f>
        <v>Antes Prazo</v>
      </c>
      <c r="O786" s="15" t="str">
        <f>IFERROR(__xludf.DUMMYFUNCTION("""COMPUTED_VALUE"""),"B2B")</f>
        <v>B2B</v>
      </c>
      <c r="P786" s="16">
        <f>IFERROR(__xludf.DUMMYFUNCTION("""COMPUTED_VALUE"""),38.46)</f>
        <v>38.46</v>
      </c>
      <c r="Q786" s="15">
        <f>IFERROR(__xludf.DUMMYFUNCTION("""COMPUTED_VALUE"""),1.0)</f>
        <v>1</v>
      </c>
      <c r="R786" s="15" t="str">
        <f>IFERROR(__xludf.DUMMYFUNCTION("""COMPUTED_VALUE"""),"RODO")</f>
        <v>RODO</v>
      </c>
      <c r="S786" s="15" t="str">
        <f>IFERROR(__xludf.DUMMYFUNCTION("""COMPUTED_VALUE"""),"ITN")</f>
        <v>ITN</v>
      </c>
      <c r="T786" s="15" t="str">
        <f>IFERROR(__xludf.DUMMYFUNCTION("""COMPUTED_VALUE"""),"1")</f>
        <v>1</v>
      </c>
      <c r="U786" s="15" t="str">
        <f>IFERROR(__xludf.DUMMYFUNCTION("""COMPUTED_VALUE"""),"266840134 1306248 8177509 ckn vestuarios eireli trifil mii 1")</f>
        <v>266840134 1306248 8177509 ckn vestuarios eireli trifil mii 1</v>
      </c>
      <c r="V786" s="15" t="b">
        <f>IFERROR(__xludf.DUMMYFUNCTION("""COMPUTED_VALUE"""),FALSE)</f>
        <v>0</v>
      </c>
    </row>
    <row r="787">
      <c r="A787" s="19">
        <f>IFERROR(__xludf.DUMMYFUNCTION("""COMPUTED_VALUE"""),46304.0)</f>
        <v>46304</v>
      </c>
      <c r="B787" s="19">
        <f>IFERROR(__xludf.DUMMYFUNCTION("""COMPUTED_VALUE"""),46318.0)</f>
        <v>46318</v>
      </c>
      <c r="C787" s="15">
        <f>IFERROR(__xludf.DUMMYFUNCTION("""COMPUTED_VALUE"""),9.0)</f>
        <v>9</v>
      </c>
      <c r="D787" s="15" t="str">
        <f>IFERROR(__xludf.DUMMYFUNCTION("""COMPUTED_VALUE"""),"MII")</f>
        <v>MII</v>
      </c>
      <c r="E787" s="15" t="str">
        <f>IFERROR(__xludf.DUMMYFUNCTION("""COMPUTED_VALUE"""),"PRISCILA WARSZAWSKI FULCO36972275806")</f>
        <v>PRISCILA WARSZAWSKI FULCO36972275806</v>
      </c>
      <c r="F787" s="15" t="str">
        <f>IFERROR(__xludf.DUMMYFUNCTION("""COMPUTED_VALUE"""),"TRIFIL")</f>
        <v>TRIFIL</v>
      </c>
      <c r="G787" s="15" t="str">
        <f>IFERROR(__xludf.DUMMYFUNCTION("""COMPUTED_VALUE"""),"266840135")</f>
        <v>266840135</v>
      </c>
      <c r="H787" s="15" t="str">
        <f>IFERROR(__xludf.DUMMYFUNCTION("""COMPUTED_VALUE"""),"1303854")</f>
        <v>1303854</v>
      </c>
      <c r="I787" s="15" t="str">
        <f>IFERROR(__xludf.DUMMYFUNCTION("""COMPUTED_VALUE"""),"8177465")</f>
        <v>8177465</v>
      </c>
      <c r="J787" s="15" t="str">
        <f>IFERROR(__xludf.DUMMYFUNCTION("""COMPUTED_VALUE"""),"CIF")</f>
        <v>CIF</v>
      </c>
      <c r="K787" s="15" t="str">
        <f>IFERROR(__xludf.DUMMYFUNCTION("""COMPUTED_VALUE"""),"(sem célula)")</f>
        <v>(sem célula)</v>
      </c>
      <c r="L787" s="15" t="str">
        <f>IFERROR(__xludf.DUMMYFUNCTION("""COMPUTED_VALUE"""),"AUTORIZADO")</f>
        <v>AUTORIZADO</v>
      </c>
      <c r="M787" s="15" t="str">
        <f>IFERROR(__xludf.DUMMYFUNCTION("""COMPUTED_VALUE"""),"NA ORIGEM")</f>
        <v>NA ORIGEM</v>
      </c>
      <c r="N787" s="15" t="str">
        <f>IFERROR(__xludf.DUMMYFUNCTION("""COMPUTED_VALUE"""),"Antes Prazo")</f>
        <v>Antes Prazo</v>
      </c>
      <c r="O787" s="15" t="str">
        <f>IFERROR(__xludf.DUMMYFUNCTION("""COMPUTED_VALUE"""),"B2B")</f>
        <v>B2B</v>
      </c>
      <c r="P787" s="16">
        <f>IFERROR(__xludf.DUMMYFUNCTION("""COMPUTED_VALUE"""),38.46)</f>
        <v>38.46</v>
      </c>
      <c r="Q787" s="15">
        <f>IFERROR(__xludf.DUMMYFUNCTION("""COMPUTED_VALUE"""),1.0)</f>
        <v>1</v>
      </c>
      <c r="R787" s="15" t="str">
        <f>IFERROR(__xludf.DUMMYFUNCTION("""COMPUTED_VALUE"""),"RODO")</f>
        <v>RODO</v>
      </c>
      <c r="S787" s="15" t="str">
        <f>IFERROR(__xludf.DUMMYFUNCTION("""COMPUTED_VALUE"""),"ITN")</f>
        <v>ITN</v>
      </c>
      <c r="T787" s="15" t="str">
        <f>IFERROR(__xludf.DUMMYFUNCTION("""COMPUTED_VALUE"""),"202")</f>
        <v>202</v>
      </c>
      <c r="U787" s="15" t="str">
        <f>IFERROR(__xludf.DUMMYFUNCTION("""COMPUTED_VALUE"""),"266840135 1303854 8177465 priscila warszawski fulco36972275806 trifil mii 202")</f>
        <v>266840135 1303854 8177465 priscila warszawski fulco36972275806 trifil mii 202</v>
      </c>
      <c r="V787" s="15" t="b">
        <f>IFERROR(__xludf.DUMMYFUNCTION("""COMPUTED_VALUE"""),FALSE)</f>
        <v>0</v>
      </c>
    </row>
    <row r="788">
      <c r="A788" s="19">
        <f>IFERROR(__xludf.DUMMYFUNCTION("""COMPUTED_VALUE"""),46304.0)</f>
        <v>46304</v>
      </c>
      <c r="B788" s="19">
        <f>IFERROR(__xludf.DUMMYFUNCTION("""COMPUTED_VALUE"""),46321.0)</f>
        <v>46321</v>
      </c>
      <c r="C788" s="15">
        <f>IFERROR(__xludf.DUMMYFUNCTION("""COMPUTED_VALUE"""),10.0)</f>
        <v>10</v>
      </c>
      <c r="D788" s="15" t="str">
        <f>IFERROR(__xludf.DUMMYFUNCTION("""COMPUTED_VALUE"""),"PPR")</f>
        <v>PPR</v>
      </c>
      <c r="E788" s="15" t="str">
        <f>IFERROR(__xludf.DUMMYFUNCTION("""COMPUTED_VALUE"""),"PASSO A PASSO CALÇADOS BASTOS LTDA")</f>
        <v>PASSO A PASSO CALÇADOS BASTOS LTDA</v>
      </c>
      <c r="F788" s="15" t="str">
        <f>IFERROR(__xludf.DUMMYFUNCTION("""COMPUTED_VALUE"""),"TRIFIL")</f>
        <v>TRIFIL</v>
      </c>
      <c r="G788" s="15" t="str">
        <f>IFERROR(__xludf.DUMMYFUNCTION("""COMPUTED_VALUE"""),"266840136")</f>
        <v>266840136</v>
      </c>
      <c r="H788" s="15" t="str">
        <f>IFERROR(__xludf.DUMMYFUNCTION("""COMPUTED_VALUE"""),"1306229")</f>
        <v>1306229</v>
      </c>
      <c r="I788" s="15" t="str">
        <f>IFERROR(__xludf.DUMMYFUNCTION("""COMPUTED_VALUE"""),"8177510")</f>
        <v>8177510</v>
      </c>
      <c r="J788" s="15" t="str">
        <f>IFERROR(__xludf.DUMMYFUNCTION("""COMPUTED_VALUE"""),"CIF")</f>
        <v>CIF</v>
      </c>
      <c r="K788" s="15" t="str">
        <f>IFERROR(__xludf.DUMMYFUNCTION("""COMPUTED_VALUE"""),"(sem célula)")</f>
        <v>(sem célula)</v>
      </c>
      <c r="L788" s="15" t="str">
        <f>IFERROR(__xludf.DUMMYFUNCTION("""COMPUTED_VALUE"""),"AUTORIZADO")</f>
        <v>AUTORIZADO</v>
      </c>
      <c r="M788" s="15" t="str">
        <f>IFERROR(__xludf.DUMMYFUNCTION("""COMPUTED_VALUE"""),"NA ORIGEM")</f>
        <v>NA ORIGEM</v>
      </c>
      <c r="N788" s="15" t="str">
        <f>IFERROR(__xludf.DUMMYFUNCTION("""COMPUTED_VALUE"""),"Antes Prazo")</f>
        <v>Antes Prazo</v>
      </c>
      <c r="O788" s="15" t="str">
        <f>IFERROR(__xludf.DUMMYFUNCTION("""COMPUTED_VALUE"""),"B2B")</f>
        <v>B2B</v>
      </c>
      <c r="P788" s="16">
        <f>IFERROR(__xludf.DUMMYFUNCTION("""COMPUTED_VALUE"""),38.46)</f>
        <v>38.46</v>
      </c>
      <c r="Q788" s="15">
        <f>IFERROR(__xludf.DUMMYFUNCTION("""COMPUTED_VALUE"""),1.0)</f>
        <v>1</v>
      </c>
      <c r="R788" s="15" t="str">
        <f>IFERROR(__xludf.DUMMYFUNCTION("""COMPUTED_VALUE"""),"RODO")</f>
        <v>RODO</v>
      </c>
      <c r="S788" s="15" t="str">
        <f>IFERROR(__xludf.DUMMYFUNCTION("""COMPUTED_VALUE"""),"ITN")</f>
        <v>ITN</v>
      </c>
      <c r="T788" s="15" t="str">
        <f>IFERROR(__xludf.DUMMYFUNCTION("""COMPUTED_VALUE"""),"118")</f>
        <v>118</v>
      </c>
      <c r="U788" s="15" t="str">
        <f>IFERROR(__xludf.DUMMYFUNCTION("""COMPUTED_VALUE"""),"266840136 1306229 8177510 passo a passo calçados bastos ltda trifil ppr 118")</f>
        <v>266840136 1306229 8177510 passo a passo calçados bastos ltda trifil ppr 118</v>
      </c>
      <c r="V788" s="15" t="b">
        <f>IFERROR(__xludf.DUMMYFUNCTION("""COMPUTED_VALUE"""),FALSE)</f>
        <v>0</v>
      </c>
    </row>
    <row r="789">
      <c r="A789" s="19">
        <f>IFERROR(__xludf.DUMMYFUNCTION("""COMPUTED_VALUE"""),46304.0)</f>
        <v>46304</v>
      </c>
      <c r="B789" s="19">
        <f>IFERROR(__xludf.DUMMYFUNCTION("""COMPUTED_VALUE"""),46317.0)</f>
        <v>46317</v>
      </c>
      <c r="C789" s="15">
        <f>IFERROR(__xludf.DUMMYFUNCTION("""COMPUTED_VALUE"""),8.0)</f>
        <v>8</v>
      </c>
      <c r="D789" s="15" t="str">
        <f>IFERROR(__xludf.DUMMYFUNCTION("""COMPUTED_VALUE"""),"PPR")</f>
        <v>PPR</v>
      </c>
      <c r="E789" s="15" t="str">
        <f>IFERROR(__xludf.DUMMYFUNCTION("""COMPUTED_VALUE"""),"EDIVALDO MARCONDES E CIA LTDA")</f>
        <v>EDIVALDO MARCONDES E CIA LTDA</v>
      </c>
      <c r="F789" s="15" t="str">
        <f>IFERROR(__xludf.DUMMYFUNCTION("""COMPUTED_VALUE"""),"TRIFIL")</f>
        <v>TRIFIL</v>
      </c>
      <c r="G789" s="15" t="str">
        <f>IFERROR(__xludf.DUMMYFUNCTION("""COMPUTED_VALUE"""),"266840138")</f>
        <v>266840138</v>
      </c>
      <c r="H789" s="15" t="str">
        <f>IFERROR(__xludf.DUMMYFUNCTION("""COMPUTED_VALUE"""),"1306067")</f>
        <v>1306067</v>
      </c>
      <c r="I789" s="15" t="str">
        <f>IFERROR(__xludf.DUMMYFUNCTION("""COMPUTED_VALUE"""),"8177439")</f>
        <v>8177439</v>
      </c>
      <c r="J789" s="15" t="str">
        <f>IFERROR(__xludf.DUMMYFUNCTION("""COMPUTED_VALUE"""),"CIF")</f>
        <v>CIF</v>
      </c>
      <c r="K789" s="15" t="str">
        <f>IFERROR(__xludf.DUMMYFUNCTION("""COMPUTED_VALUE"""),"SAO-1")</f>
        <v>SAO-1</v>
      </c>
      <c r="L789" s="15" t="str">
        <f>IFERROR(__xludf.DUMMYFUNCTION("""COMPUTED_VALUE"""),"AUTORIZADO")</f>
        <v>AUTORIZADO</v>
      </c>
      <c r="M789" s="15" t="str">
        <f>IFERROR(__xludf.DUMMYFUNCTION("""COMPUTED_VALUE"""),"NA ORIGEM")</f>
        <v>NA ORIGEM</v>
      </c>
      <c r="N789" s="15" t="str">
        <f>IFERROR(__xludf.DUMMYFUNCTION("""COMPUTED_VALUE"""),"Antes Prazo")</f>
        <v>Antes Prazo</v>
      </c>
      <c r="O789" s="15" t="str">
        <f>IFERROR(__xludf.DUMMYFUNCTION("""COMPUTED_VALUE"""),"B2B")</f>
        <v>B2B</v>
      </c>
      <c r="P789" s="16">
        <f>IFERROR(__xludf.DUMMYFUNCTION("""COMPUTED_VALUE"""),38.46)</f>
        <v>38.46</v>
      </c>
      <c r="Q789" s="15">
        <f>IFERROR(__xludf.DUMMYFUNCTION("""COMPUTED_VALUE"""),2.0)</f>
        <v>2</v>
      </c>
      <c r="R789" s="15" t="str">
        <f>IFERROR(__xludf.DUMMYFUNCTION("""COMPUTED_VALUE"""),"RODO")</f>
        <v>RODO</v>
      </c>
      <c r="S789" s="15" t="str">
        <f>IFERROR(__xludf.DUMMYFUNCTION("""COMPUTED_VALUE"""),"ITN")</f>
        <v>ITN</v>
      </c>
      <c r="T789" s="15" t="str">
        <f>IFERROR(__xludf.DUMMYFUNCTION("""COMPUTED_VALUE"""),"107")</f>
        <v>107</v>
      </c>
      <c r="U789" s="15" t="str">
        <f>IFERROR(__xludf.DUMMYFUNCTION("""COMPUTED_VALUE"""),"266840138 1306067 8177439 edivaldo marcondes e cia ltda trifil ppr 107")</f>
        <v>266840138 1306067 8177439 edivaldo marcondes e cia ltda trifil ppr 107</v>
      </c>
      <c r="V789" s="15" t="b">
        <f>IFERROR(__xludf.DUMMYFUNCTION("""COMPUTED_VALUE"""),FALSE)</f>
        <v>0</v>
      </c>
    </row>
    <row r="790">
      <c r="A790" s="19">
        <f>IFERROR(__xludf.DUMMYFUNCTION("""COMPUTED_VALUE"""),46304.0)</f>
        <v>46304</v>
      </c>
      <c r="B790" s="19">
        <f>IFERROR(__xludf.DUMMYFUNCTION("""COMPUTED_VALUE"""),46318.0)</f>
        <v>46318</v>
      </c>
      <c r="C790" s="15">
        <f>IFERROR(__xludf.DUMMYFUNCTION("""COMPUTED_VALUE"""),9.0)</f>
        <v>9</v>
      </c>
      <c r="D790" s="15" t="str">
        <f>IFERROR(__xludf.DUMMYFUNCTION("""COMPUTED_VALUE"""),"PPR")</f>
        <v>PPR</v>
      </c>
      <c r="E790" s="15" t="str">
        <f>IFERROR(__xludf.DUMMYFUNCTION("""COMPUTED_VALUE"""),"COMERCIAL IKEDA LTDA")</f>
        <v>COMERCIAL IKEDA LTDA</v>
      </c>
      <c r="F790" s="15" t="str">
        <f>IFERROR(__xludf.DUMMYFUNCTION("""COMPUTED_VALUE"""),"TRIFIL")</f>
        <v>TRIFIL</v>
      </c>
      <c r="G790" s="15" t="str">
        <f>IFERROR(__xludf.DUMMYFUNCTION("""COMPUTED_VALUE"""),"266840139")</f>
        <v>266840139</v>
      </c>
      <c r="H790" s="15" t="str">
        <f>IFERROR(__xludf.DUMMYFUNCTION("""COMPUTED_VALUE"""),"1306378")</f>
        <v>1306378</v>
      </c>
      <c r="I790" s="15" t="str">
        <f>IFERROR(__xludf.DUMMYFUNCTION("""COMPUTED_VALUE"""),"8177466")</f>
        <v>8177466</v>
      </c>
      <c r="J790" s="15" t="str">
        <f>IFERROR(__xludf.DUMMYFUNCTION("""COMPUTED_VALUE"""),"CIF")</f>
        <v>CIF</v>
      </c>
      <c r="K790" s="15" t="str">
        <f>IFERROR(__xludf.DUMMYFUNCTION("""COMPUTED_VALUE"""),"(sem célula)")</f>
        <v>(sem célula)</v>
      </c>
      <c r="L790" s="15" t="str">
        <f>IFERROR(__xludf.DUMMYFUNCTION("""COMPUTED_VALUE"""),"AUTORIZADO")</f>
        <v>AUTORIZADO</v>
      </c>
      <c r="M790" s="15" t="str">
        <f>IFERROR(__xludf.DUMMYFUNCTION("""COMPUTED_VALUE"""),"NA ORIGEM")</f>
        <v>NA ORIGEM</v>
      </c>
      <c r="N790" s="15" t="str">
        <f>IFERROR(__xludf.DUMMYFUNCTION("""COMPUTED_VALUE"""),"Antes Prazo")</f>
        <v>Antes Prazo</v>
      </c>
      <c r="O790" s="15" t="str">
        <f>IFERROR(__xludf.DUMMYFUNCTION("""COMPUTED_VALUE"""),"B2B")</f>
        <v>B2B</v>
      </c>
      <c r="P790" s="16">
        <f>IFERROR(__xludf.DUMMYFUNCTION("""COMPUTED_VALUE"""),38.46)</f>
        <v>38.46</v>
      </c>
      <c r="Q790" s="15">
        <f>IFERROR(__xludf.DUMMYFUNCTION("""COMPUTED_VALUE"""),1.0)</f>
        <v>1</v>
      </c>
      <c r="R790" s="15" t="str">
        <f>IFERROR(__xludf.DUMMYFUNCTION("""COMPUTED_VALUE"""),"RODO")</f>
        <v>RODO</v>
      </c>
      <c r="S790" s="15" t="str">
        <f>IFERROR(__xludf.DUMMYFUNCTION("""COMPUTED_VALUE"""),"ITN")</f>
        <v>ITN</v>
      </c>
      <c r="T790" s="15" t="str">
        <f>IFERROR(__xludf.DUMMYFUNCTION("""COMPUTED_VALUE"""),"102")</f>
        <v>102</v>
      </c>
      <c r="U790" s="15" t="str">
        <f>IFERROR(__xludf.DUMMYFUNCTION("""COMPUTED_VALUE"""),"266840139 1306378 8177466 comercial ikeda ltda trifil ppr 102")</f>
        <v>266840139 1306378 8177466 comercial ikeda ltda trifil ppr 102</v>
      </c>
      <c r="V790" s="15" t="b">
        <f>IFERROR(__xludf.DUMMYFUNCTION("""COMPUTED_VALUE"""),FALSE)</f>
        <v>0</v>
      </c>
    </row>
    <row r="791">
      <c r="A791" s="19">
        <f>IFERROR(__xludf.DUMMYFUNCTION("""COMPUTED_VALUE"""),46304.0)</f>
        <v>46304</v>
      </c>
      <c r="B791" s="19">
        <f>IFERROR(__xludf.DUMMYFUNCTION("""COMPUTED_VALUE"""),46316.0)</f>
        <v>46316</v>
      </c>
      <c r="C791" s="15">
        <f>IFERROR(__xludf.DUMMYFUNCTION("""COMPUTED_VALUE"""),7.0)</f>
        <v>7</v>
      </c>
      <c r="D791" s="15" t="str">
        <f>IFERROR(__xludf.DUMMYFUNCTION("""COMPUTED_VALUE"""),"SOD")</f>
        <v>SOD</v>
      </c>
      <c r="E791" s="15" t="str">
        <f>IFERROR(__xludf.DUMMYFUNCTION("""COMPUTED_VALUE"""),"Servino &amp; Vila Verde ArtigosDe Vestuario")</f>
        <v>Servino &amp; Vila Verde ArtigosDe Vestuario</v>
      </c>
      <c r="F791" s="15" t="str">
        <f>IFERROR(__xludf.DUMMYFUNCTION("""COMPUTED_VALUE"""),"TRIFIL")</f>
        <v>TRIFIL</v>
      </c>
      <c r="G791" s="15" t="str">
        <f>IFERROR(__xludf.DUMMYFUNCTION("""COMPUTED_VALUE"""),"266840141")</f>
        <v>266840141</v>
      </c>
      <c r="H791" s="15" t="str">
        <f>IFERROR(__xludf.DUMMYFUNCTION("""COMPUTED_VALUE"""),"1306211")</f>
        <v>1306211</v>
      </c>
      <c r="I791" s="15" t="str">
        <f>IFERROR(__xludf.DUMMYFUNCTION("""COMPUTED_VALUE"""),"8177511")</f>
        <v>8177511</v>
      </c>
      <c r="J791" s="15" t="str">
        <f>IFERROR(__xludf.DUMMYFUNCTION("""COMPUTED_VALUE"""),"CIF")</f>
        <v>CIF</v>
      </c>
      <c r="K791" s="15" t="str">
        <f>IFERROR(__xludf.DUMMYFUNCTION("""COMPUTED_VALUE"""),"(sem célula)")</f>
        <v>(sem célula)</v>
      </c>
      <c r="L791" s="15" t="str">
        <f>IFERROR(__xludf.DUMMYFUNCTION("""COMPUTED_VALUE"""),"AUTORIZADO")</f>
        <v>AUTORIZADO</v>
      </c>
      <c r="M791" s="15" t="str">
        <f>IFERROR(__xludf.DUMMYFUNCTION("""COMPUTED_VALUE"""),"NA ORIGEM")</f>
        <v>NA ORIGEM</v>
      </c>
      <c r="N791" s="15" t="str">
        <f>IFERROR(__xludf.DUMMYFUNCTION("""COMPUTED_VALUE"""),"Antes Prazo")</f>
        <v>Antes Prazo</v>
      </c>
      <c r="O791" s="15" t="str">
        <f>IFERROR(__xludf.DUMMYFUNCTION("""COMPUTED_VALUE"""),"B2B")</f>
        <v>B2B</v>
      </c>
      <c r="P791" s="16">
        <f>IFERROR(__xludf.DUMMYFUNCTION("""COMPUTED_VALUE"""),38.46)</f>
        <v>38.46</v>
      </c>
      <c r="Q791" s="15">
        <f>IFERROR(__xludf.DUMMYFUNCTION("""COMPUTED_VALUE"""),1.0)</f>
        <v>1</v>
      </c>
      <c r="R791" s="15" t="str">
        <f>IFERROR(__xludf.DUMMYFUNCTION("""COMPUTED_VALUE"""),"RODO")</f>
        <v>RODO</v>
      </c>
      <c r="S791" s="15" t="str">
        <f>IFERROR(__xludf.DUMMYFUNCTION("""COMPUTED_VALUE"""),"ITN")</f>
        <v>ITN</v>
      </c>
      <c r="T791" s="15" t="str">
        <f>IFERROR(__xludf.DUMMYFUNCTION("""COMPUTED_VALUE"""),"1")</f>
        <v>1</v>
      </c>
      <c r="U791" s="15" t="str">
        <f>IFERROR(__xludf.DUMMYFUNCTION("""COMPUTED_VALUE"""),"266840141 1306211 8177511 servino &amp; vila verde artigosde vestuario trifil sod 1")</f>
        <v>266840141 1306211 8177511 servino &amp; vila verde artigosde vestuario trifil sod 1</v>
      </c>
      <c r="V791" s="15" t="b">
        <f>IFERROR(__xludf.DUMMYFUNCTION("""COMPUTED_VALUE"""),FALSE)</f>
        <v>0</v>
      </c>
    </row>
    <row r="792">
      <c r="A792" s="19">
        <f>IFERROR(__xludf.DUMMYFUNCTION("""COMPUTED_VALUE"""),46304.0)</f>
        <v>46304</v>
      </c>
      <c r="B792" s="19">
        <f>IFERROR(__xludf.DUMMYFUNCTION("""COMPUTED_VALUE"""),46318.0)</f>
        <v>46318</v>
      </c>
      <c r="C792" s="15">
        <f>IFERROR(__xludf.DUMMYFUNCTION("""COMPUTED_VALUE"""),9.0)</f>
        <v>9</v>
      </c>
      <c r="D792" s="15" t="str">
        <f>IFERROR(__xludf.DUMMYFUNCTION("""COMPUTED_VALUE"""),"SOD")</f>
        <v>SOD</v>
      </c>
      <c r="E792" s="15" t="str">
        <f>IFERROR(__xludf.DUMMYFUNCTION("""COMPUTED_VALUE"""),"LUPO")</f>
        <v>LUPO</v>
      </c>
      <c r="F792" s="15" t="str">
        <f>IFERROR(__xludf.DUMMYFUNCTION("""COMPUTED_VALUE"""),"TRIFIL")</f>
        <v>TRIFIL</v>
      </c>
      <c r="G792" s="15" t="str">
        <f>IFERROR(__xludf.DUMMYFUNCTION("""COMPUTED_VALUE"""),"266840143")</f>
        <v>266840143</v>
      </c>
      <c r="H792" s="15" t="str">
        <f>IFERROR(__xludf.DUMMYFUNCTION("""COMPUTED_VALUE"""),"1306345")</f>
        <v>1306345</v>
      </c>
      <c r="I792" s="15" t="str">
        <f>IFERROR(__xludf.DUMMYFUNCTION("""COMPUTED_VALUE"""),"8177440")</f>
        <v>8177440</v>
      </c>
      <c r="J792" s="15" t="str">
        <f>IFERROR(__xludf.DUMMYFUNCTION("""COMPUTED_VALUE"""),"CIF")</f>
        <v>CIF</v>
      </c>
      <c r="K792" s="15" t="str">
        <f>IFERROR(__xludf.DUMMYFUNCTION("""COMPUTED_VALUE"""),"SAO-1")</f>
        <v>SAO-1</v>
      </c>
      <c r="L792" s="15" t="str">
        <f>IFERROR(__xludf.DUMMYFUNCTION("""COMPUTED_VALUE"""),"AUTORIZADO")</f>
        <v>AUTORIZADO</v>
      </c>
      <c r="M792" s="15" t="str">
        <f>IFERROR(__xludf.DUMMYFUNCTION("""COMPUTED_VALUE"""),"NA ORIGEM")</f>
        <v>NA ORIGEM</v>
      </c>
      <c r="N792" s="15" t="str">
        <f>IFERROR(__xludf.DUMMYFUNCTION("""COMPUTED_VALUE"""),"Antes Prazo")</f>
        <v>Antes Prazo</v>
      </c>
      <c r="O792" s="15" t="str">
        <f>IFERROR(__xludf.DUMMYFUNCTION("""COMPUTED_VALUE"""),"B2B")</f>
        <v>B2B</v>
      </c>
      <c r="P792" s="16">
        <f>IFERROR(__xludf.DUMMYFUNCTION("""COMPUTED_VALUE"""),38.46)</f>
        <v>38.46</v>
      </c>
      <c r="Q792" s="15">
        <f>IFERROR(__xludf.DUMMYFUNCTION("""COMPUTED_VALUE"""),1.0)</f>
        <v>1</v>
      </c>
      <c r="R792" s="15" t="str">
        <f>IFERROR(__xludf.DUMMYFUNCTION("""COMPUTED_VALUE"""),"RODO")</f>
        <v>RODO</v>
      </c>
      <c r="S792" s="15" t="str">
        <f>IFERROR(__xludf.DUMMYFUNCTION("""COMPUTED_VALUE"""),"ITN")</f>
        <v>ITN</v>
      </c>
      <c r="T792" s="15" t="str">
        <f>IFERROR(__xludf.DUMMYFUNCTION("""COMPUTED_VALUE"""),"106")</f>
        <v>106</v>
      </c>
      <c r="U792" s="15" t="str">
        <f>IFERROR(__xludf.DUMMYFUNCTION("""COMPUTED_VALUE"""),"266840143 1306345 8177440 lupo trifil sod 106")</f>
        <v>266840143 1306345 8177440 lupo trifil sod 106</v>
      </c>
      <c r="V792" s="15" t="b">
        <f>IFERROR(__xludf.DUMMYFUNCTION("""COMPUTED_VALUE"""),FALSE)</f>
        <v>0</v>
      </c>
    </row>
    <row r="793">
      <c r="A793" s="19">
        <f>IFERROR(__xludf.DUMMYFUNCTION("""COMPUTED_VALUE"""),46304.0)</f>
        <v>46304</v>
      </c>
      <c r="B793" s="19">
        <f>IFERROR(__xludf.DUMMYFUNCTION("""COMPUTED_VALUE"""),46317.0)</f>
        <v>46317</v>
      </c>
      <c r="C793" s="15">
        <f>IFERROR(__xludf.DUMMYFUNCTION("""COMPUTED_VALUE"""),8.0)</f>
        <v>8</v>
      </c>
      <c r="D793" s="15" t="str">
        <f>IFERROR(__xludf.DUMMYFUNCTION("""COMPUTED_VALUE"""),"BAU")</f>
        <v>BAU</v>
      </c>
      <c r="E793" s="15" t="str">
        <f>IFERROR(__xludf.DUMMYFUNCTION("""COMPUTED_VALUE"""),"A.F.CORREA &amp; CIA.LTDA. ME")</f>
        <v>A.F.CORREA &amp; CIA.LTDA. ME</v>
      </c>
      <c r="F793" s="15" t="str">
        <f>IFERROR(__xludf.DUMMYFUNCTION("""COMPUTED_VALUE"""),"TRIFIL")</f>
        <v>TRIFIL</v>
      </c>
      <c r="G793" s="15" t="str">
        <f>IFERROR(__xludf.DUMMYFUNCTION("""COMPUTED_VALUE"""),"266840145")</f>
        <v>266840145</v>
      </c>
      <c r="H793" s="15" t="str">
        <f>IFERROR(__xludf.DUMMYFUNCTION("""COMPUTED_VALUE"""),"1306516")</f>
        <v>1306516</v>
      </c>
      <c r="I793" s="15" t="str">
        <f>IFERROR(__xludf.DUMMYFUNCTION("""COMPUTED_VALUE"""),"8177559")</f>
        <v>8177559</v>
      </c>
      <c r="J793" s="15" t="str">
        <f>IFERROR(__xludf.DUMMYFUNCTION("""COMPUTED_VALUE"""),"CIF")</f>
        <v>CIF</v>
      </c>
      <c r="K793" s="15" t="str">
        <f>IFERROR(__xludf.DUMMYFUNCTION("""COMPUTED_VALUE"""),"SAO-1")</f>
        <v>SAO-1</v>
      </c>
      <c r="L793" s="15" t="str">
        <f>IFERROR(__xludf.DUMMYFUNCTION("""COMPUTED_VALUE"""),"AUTORIZADO")</f>
        <v>AUTORIZADO</v>
      </c>
      <c r="M793" s="15" t="str">
        <f>IFERROR(__xludf.DUMMYFUNCTION("""COMPUTED_VALUE"""),"NA ORIGEM")</f>
        <v>NA ORIGEM</v>
      </c>
      <c r="N793" s="15" t="str">
        <f>IFERROR(__xludf.DUMMYFUNCTION("""COMPUTED_VALUE"""),"Antes Prazo")</f>
        <v>Antes Prazo</v>
      </c>
      <c r="O793" s="15" t="str">
        <f>IFERROR(__xludf.DUMMYFUNCTION("""COMPUTED_VALUE"""),"B2B")</f>
        <v>B2B</v>
      </c>
      <c r="P793" s="16">
        <f>IFERROR(__xludf.DUMMYFUNCTION("""COMPUTED_VALUE"""),38.46)</f>
        <v>38.46</v>
      </c>
      <c r="Q793" s="15">
        <f>IFERROR(__xludf.DUMMYFUNCTION("""COMPUTED_VALUE"""),1.0)</f>
        <v>1</v>
      </c>
      <c r="R793" s="15" t="str">
        <f>IFERROR(__xludf.DUMMYFUNCTION("""COMPUTED_VALUE"""),"RODO")</f>
        <v>RODO</v>
      </c>
      <c r="S793" s="15" t="str">
        <f>IFERROR(__xludf.DUMMYFUNCTION("""COMPUTED_VALUE"""),"ITN")</f>
        <v>ITN</v>
      </c>
      <c r="T793" s="15" t="str">
        <f>IFERROR(__xludf.DUMMYFUNCTION("""COMPUTED_VALUE"""),"106")</f>
        <v>106</v>
      </c>
      <c r="U793" s="15" t="str">
        <f>IFERROR(__xludf.DUMMYFUNCTION("""COMPUTED_VALUE"""),"266840145 1306516 8177559 a.f.correa &amp; cia.ltda. me trifil bau 106")</f>
        <v>266840145 1306516 8177559 a.f.correa &amp; cia.ltda. me trifil bau 106</v>
      </c>
      <c r="V793" s="15" t="b">
        <f>IFERROR(__xludf.DUMMYFUNCTION("""COMPUTED_VALUE"""),FALSE)</f>
        <v>0</v>
      </c>
    </row>
    <row r="794">
      <c r="A794" s="19">
        <f>IFERROR(__xludf.DUMMYFUNCTION("""COMPUTED_VALUE"""),46304.0)</f>
        <v>46304</v>
      </c>
      <c r="B794" s="19">
        <f>IFERROR(__xludf.DUMMYFUNCTION("""COMPUTED_VALUE"""),46316.0)</f>
        <v>46316</v>
      </c>
      <c r="C794" s="15">
        <f>IFERROR(__xludf.DUMMYFUNCTION("""COMPUTED_VALUE"""),7.0)</f>
        <v>7</v>
      </c>
      <c r="D794" s="15" t="str">
        <f>IFERROR(__xludf.DUMMYFUNCTION("""COMPUTED_VALUE"""),"PPR")</f>
        <v>PPR</v>
      </c>
      <c r="E794" s="15" t="str">
        <f>IFERROR(__xludf.DUMMYFUNCTION("""COMPUTED_VALUE"""),"FERNANDA MODAS")</f>
        <v>FERNANDA MODAS</v>
      </c>
      <c r="F794" s="15" t="str">
        <f>IFERROR(__xludf.DUMMYFUNCTION("""COMPUTED_VALUE"""),"TRIFIL")</f>
        <v>TRIFIL</v>
      </c>
      <c r="G794" s="15" t="str">
        <f>IFERROR(__xludf.DUMMYFUNCTION("""COMPUTED_VALUE"""),"266840146")</f>
        <v>266840146</v>
      </c>
      <c r="H794" s="15" t="str">
        <f>IFERROR(__xludf.DUMMYFUNCTION("""COMPUTED_VALUE"""),"1306271")</f>
        <v>1306271</v>
      </c>
      <c r="I794" s="15" t="str">
        <f>IFERROR(__xludf.DUMMYFUNCTION("""COMPUTED_VALUE"""),"8177512")</f>
        <v>8177512</v>
      </c>
      <c r="J794" s="15" t="str">
        <f>IFERROR(__xludf.DUMMYFUNCTION("""COMPUTED_VALUE"""),"CIF")</f>
        <v>CIF</v>
      </c>
      <c r="K794" s="15" t="str">
        <f>IFERROR(__xludf.DUMMYFUNCTION("""COMPUTED_VALUE"""),"SAO-1")</f>
        <v>SAO-1</v>
      </c>
      <c r="L794" s="15" t="str">
        <f>IFERROR(__xludf.DUMMYFUNCTION("""COMPUTED_VALUE"""),"AUTORIZADO")</f>
        <v>AUTORIZADO</v>
      </c>
      <c r="M794" s="15" t="str">
        <f>IFERROR(__xludf.DUMMYFUNCTION("""COMPUTED_VALUE"""),"NA ORIGEM")</f>
        <v>NA ORIGEM</v>
      </c>
      <c r="N794" s="15" t="str">
        <f>IFERROR(__xludf.DUMMYFUNCTION("""COMPUTED_VALUE"""),"Antes Prazo")</f>
        <v>Antes Prazo</v>
      </c>
      <c r="O794" s="15" t="str">
        <f>IFERROR(__xludf.DUMMYFUNCTION("""COMPUTED_VALUE"""),"B2B")</f>
        <v>B2B</v>
      </c>
      <c r="P794" s="16">
        <f>IFERROR(__xludf.DUMMYFUNCTION("""COMPUTED_VALUE"""),38.46)</f>
        <v>38.46</v>
      </c>
      <c r="Q794" s="15">
        <f>IFERROR(__xludf.DUMMYFUNCTION("""COMPUTED_VALUE"""),1.0)</f>
        <v>1</v>
      </c>
      <c r="R794" s="15" t="str">
        <f>IFERROR(__xludf.DUMMYFUNCTION("""COMPUTED_VALUE"""),"RODO")</f>
        <v>RODO</v>
      </c>
      <c r="S794" s="15" t="str">
        <f>IFERROR(__xludf.DUMMYFUNCTION("""COMPUTED_VALUE"""),"ITN")</f>
        <v>ITN</v>
      </c>
      <c r="T794" s="15" t="str">
        <f>IFERROR(__xludf.DUMMYFUNCTION("""COMPUTED_VALUE"""),"1")</f>
        <v>1</v>
      </c>
      <c r="U794" s="15" t="str">
        <f>IFERROR(__xludf.DUMMYFUNCTION("""COMPUTED_VALUE"""),"266840146 1306271 8177512 fernanda modas trifil ppr 1")</f>
        <v>266840146 1306271 8177512 fernanda modas trifil ppr 1</v>
      </c>
      <c r="V794" s="15" t="b">
        <f>IFERROR(__xludf.DUMMYFUNCTION("""COMPUTED_VALUE"""),FALSE)</f>
        <v>0</v>
      </c>
    </row>
    <row r="795">
      <c r="A795" s="19">
        <f>IFERROR(__xludf.DUMMYFUNCTION("""COMPUTED_VALUE"""),46304.0)</f>
        <v>46304</v>
      </c>
      <c r="B795" s="19">
        <f>IFERROR(__xludf.DUMMYFUNCTION("""COMPUTED_VALUE"""),46316.0)</f>
        <v>46316</v>
      </c>
      <c r="C795" s="15">
        <f>IFERROR(__xludf.DUMMYFUNCTION("""COMPUTED_VALUE"""),7.0)</f>
        <v>7</v>
      </c>
      <c r="D795" s="15" t="str">
        <f>IFERROR(__xludf.DUMMYFUNCTION("""COMPUTED_VALUE"""),"PPR")</f>
        <v>PPR</v>
      </c>
      <c r="E795" s="15" t="str">
        <f>IFERROR(__xludf.DUMMYFUNCTION("""COMPUTED_VALUE"""),"SUELLEN CAROLINE DE MENDONCA ME")</f>
        <v>SUELLEN CAROLINE DE MENDONCA ME</v>
      </c>
      <c r="F795" s="15" t="str">
        <f>IFERROR(__xludf.DUMMYFUNCTION("""COMPUTED_VALUE"""),"TRIFIL")</f>
        <v>TRIFIL</v>
      </c>
      <c r="G795" s="15" t="str">
        <f>IFERROR(__xludf.DUMMYFUNCTION("""COMPUTED_VALUE"""),"266840148")</f>
        <v>266840148</v>
      </c>
      <c r="H795" s="15" t="str">
        <f>IFERROR(__xludf.DUMMYFUNCTION("""COMPUTED_VALUE"""),"1306387")</f>
        <v>1306387</v>
      </c>
      <c r="I795" s="15" t="str">
        <f>IFERROR(__xludf.DUMMYFUNCTION("""COMPUTED_VALUE"""),"8177513")</f>
        <v>8177513</v>
      </c>
      <c r="J795" s="15" t="str">
        <f>IFERROR(__xludf.DUMMYFUNCTION("""COMPUTED_VALUE"""),"CIF")</f>
        <v>CIF</v>
      </c>
      <c r="K795" s="15" t="str">
        <f>IFERROR(__xludf.DUMMYFUNCTION("""COMPUTED_VALUE"""),"(sem célula)")</f>
        <v>(sem célula)</v>
      </c>
      <c r="L795" s="15" t="str">
        <f>IFERROR(__xludf.DUMMYFUNCTION("""COMPUTED_VALUE"""),"AUTORIZADO")</f>
        <v>AUTORIZADO</v>
      </c>
      <c r="M795" s="15" t="str">
        <f>IFERROR(__xludf.DUMMYFUNCTION("""COMPUTED_VALUE"""),"NA ORIGEM")</f>
        <v>NA ORIGEM</v>
      </c>
      <c r="N795" s="15" t="str">
        <f>IFERROR(__xludf.DUMMYFUNCTION("""COMPUTED_VALUE"""),"Antes Prazo")</f>
        <v>Antes Prazo</v>
      </c>
      <c r="O795" s="15" t="str">
        <f>IFERROR(__xludf.DUMMYFUNCTION("""COMPUTED_VALUE"""),"B2B")</f>
        <v>B2B</v>
      </c>
      <c r="P795" s="16">
        <f>IFERROR(__xludf.DUMMYFUNCTION("""COMPUTED_VALUE"""),38.46)</f>
        <v>38.46</v>
      </c>
      <c r="Q795" s="15">
        <f>IFERROR(__xludf.DUMMYFUNCTION("""COMPUTED_VALUE"""),1.0)</f>
        <v>1</v>
      </c>
      <c r="R795" s="15" t="str">
        <f>IFERROR(__xludf.DUMMYFUNCTION("""COMPUTED_VALUE"""),"RODO")</f>
        <v>RODO</v>
      </c>
      <c r="S795" s="15" t="str">
        <f>IFERROR(__xludf.DUMMYFUNCTION("""COMPUTED_VALUE"""),"ITN")</f>
        <v>ITN</v>
      </c>
      <c r="T795" s="15" t="str">
        <f>IFERROR(__xludf.DUMMYFUNCTION("""COMPUTED_VALUE"""),"3")</f>
        <v>3</v>
      </c>
      <c r="U795" s="15" t="str">
        <f>IFERROR(__xludf.DUMMYFUNCTION("""COMPUTED_VALUE"""),"266840148 1306387 8177513 suellen caroline de mendonca me trifil ppr 3")</f>
        <v>266840148 1306387 8177513 suellen caroline de mendonca me trifil ppr 3</v>
      </c>
      <c r="V795" s="15" t="b">
        <f>IFERROR(__xludf.DUMMYFUNCTION("""COMPUTED_VALUE"""),FALSE)</f>
        <v>0</v>
      </c>
    </row>
    <row r="796">
      <c r="A796" s="19">
        <f>IFERROR(__xludf.DUMMYFUNCTION("""COMPUTED_VALUE"""),46304.0)</f>
        <v>46304</v>
      </c>
      <c r="B796" s="19">
        <f>IFERROR(__xludf.DUMMYFUNCTION("""COMPUTED_VALUE"""),46317.0)</f>
        <v>46317</v>
      </c>
      <c r="C796" s="15">
        <f>IFERROR(__xludf.DUMMYFUNCTION("""COMPUTED_VALUE"""),8.0)</f>
        <v>8</v>
      </c>
      <c r="D796" s="15" t="str">
        <f>IFERROR(__xludf.DUMMYFUNCTION("""COMPUTED_VALUE"""),"PPR")</f>
        <v>PPR</v>
      </c>
      <c r="E796" s="15" t="str">
        <f>IFERROR(__xludf.DUMMYFUNCTION("""COMPUTED_VALUE"""),"CASA SAO LUIZ")</f>
        <v>CASA SAO LUIZ</v>
      </c>
      <c r="F796" s="15" t="str">
        <f>IFERROR(__xludf.DUMMYFUNCTION("""COMPUTED_VALUE"""),"TRIFIL")</f>
        <v>TRIFIL</v>
      </c>
      <c r="G796" s="15" t="str">
        <f>IFERROR(__xludf.DUMMYFUNCTION("""COMPUTED_VALUE"""),"266840150")</f>
        <v>266840150</v>
      </c>
      <c r="H796" s="15" t="str">
        <f>IFERROR(__xludf.DUMMYFUNCTION("""COMPUTED_VALUE"""),"1306262")</f>
        <v>1306262</v>
      </c>
      <c r="I796" s="15" t="str">
        <f>IFERROR(__xludf.DUMMYFUNCTION("""COMPUTED_VALUE"""),"8177514")</f>
        <v>8177514</v>
      </c>
      <c r="J796" s="15" t="str">
        <f>IFERROR(__xludf.DUMMYFUNCTION("""COMPUTED_VALUE"""),"CIF")</f>
        <v>CIF</v>
      </c>
      <c r="K796" s="15" t="str">
        <f>IFERROR(__xludf.DUMMYFUNCTION("""COMPUTED_VALUE"""),"SAO-1")</f>
        <v>SAO-1</v>
      </c>
      <c r="L796" s="15" t="str">
        <f>IFERROR(__xludf.DUMMYFUNCTION("""COMPUTED_VALUE"""),"AUTORIZADO")</f>
        <v>AUTORIZADO</v>
      </c>
      <c r="M796" s="15" t="str">
        <f>IFERROR(__xludf.DUMMYFUNCTION("""COMPUTED_VALUE"""),"NA ORIGEM")</f>
        <v>NA ORIGEM</v>
      </c>
      <c r="N796" s="15" t="str">
        <f>IFERROR(__xludf.DUMMYFUNCTION("""COMPUTED_VALUE"""),"Antes Prazo")</f>
        <v>Antes Prazo</v>
      </c>
      <c r="O796" s="15" t="str">
        <f>IFERROR(__xludf.DUMMYFUNCTION("""COMPUTED_VALUE"""),"B2B")</f>
        <v>B2B</v>
      </c>
      <c r="P796" s="16">
        <f>IFERROR(__xludf.DUMMYFUNCTION("""COMPUTED_VALUE"""),38.46)</f>
        <v>38.46</v>
      </c>
      <c r="Q796" s="15">
        <f>IFERROR(__xludf.DUMMYFUNCTION("""COMPUTED_VALUE"""),1.0)</f>
        <v>1</v>
      </c>
      <c r="R796" s="15" t="str">
        <f>IFERROR(__xludf.DUMMYFUNCTION("""COMPUTED_VALUE"""),"RODO")</f>
        <v>RODO</v>
      </c>
      <c r="S796" s="15" t="str">
        <f>IFERROR(__xludf.DUMMYFUNCTION("""COMPUTED_VALUE"""),"ITN")</f>
        <v>ITN</v>
      </c>
      <c r="T796" s="15" t="str">
        <f>IFERROR(__xludf.DUMMYFUNCTION("""COMPUTED_VALUE"""),"115")</f>
        <v>115</v>
      </c>
      <c r="U796" s="15" t="str">
        <f>IFERROR(__xludf.DUMMYFUNCTION("""COMPUTED_VALUE"""),"266840150 1306262 8177514 casa sao luiz trifil ppr 115")</f>
        <v>266840150 1306262 8177514 casa sao luiz trifil ppr 115</v>
      </c>
      <c r="V796" s="15" t="b">
        <f>IFERROR(__xludf.DUMMYFUNCTION("""COMPUTED_VALUE"""),FALSE)</f>
        <v>0</v>
      </c>
    </row>
    <row r="797">
      <c r="A797" s="19">
        <f>IFERROR(__xludf.DUMMYFUNCTION("""COMPUTED_VALUE"""),46304.0)</f>
        <v>46304</v>
      </c>
      <c r="B797" s="19">
        <f>IFERROR(__xludf.DUMMYFUNCTION("""COMPUTED_VALUE"""),46317.0)</f>
        <v>46317</v>
      </c>
      <c r="C797" s="15">
        <f>IFERROR(__xludf.DUMMYFUNCTION("""COMPUTED_VALUE"""),8.0)</f>
        <v>8</v>
      </c>
      <c r="D797" s="15" t="str">
        <f>IFERROR(__xludf.DUMMYFUNCTION("""COMPUTED_VALUE"""),"PPR")</f>
        <v>PPR</v>
      </c>
      <c r="E797" s="15" t="str">
        <f>IFERROR(__xludf.DUMMYFUNCTION("""COMPUTED_VALUE"""),"ADEMAR COZER ME")</f>
        <v>ADEMAR COZER ME</v>
      </c>
      <c r="F797" s="15" t="str">
        <f>IFERROR(__xludf.DUMMYFUNCTION("""COMPUTED_VALUE"""),"TRIFIL")</f>
        <v>TRIFIL</v>
      </c>
      <c r="G797" s="15" t="str">
        <f>IFERROR(__xludf.DUMMYFUNCTION("""COMPUTED_VALUE"""),"266840151")</f>
        <v>266840151</v>
      </c>
      <c r="H797" s="15" t="str">
        <f>IFERROR(__xludf.DUMMYFUNCTION("""COMPUTED_VALUE"""),"1306477")</f>
        <v>1306477</v>
      </c>
      <c r="I797" s="15" t="str">
        <f>IFERROR(__xludf.DUMMYFUNCTION("""COMPUTED_VALUE"""),"8177560")</f>
        <v>8177560</v>
      </c>
      <c r="J797" s="15" t="str">
        <f>IFERROR(__xludf.DUMMYFUNCTION("""COMPUTED_VALUE"""),"CIF")</f>
        <v>CIF</v>
      </c>
      <c r="K797" s="15" t="str">
        <f>IFERROR(__xludf.DUMMYFUNCTION("""COMPUTED_VALUE"""),"SAO-1")</f>
        <v>SAO-1</v>
      </c>
      <c r="L797" s="15" t="str">
        <f>IFERROR(__xludf.DUMMYFUNCTION("""COMPUTED_VALUE"""),"AUTORIZADO")</f>
        <v>AUTORIZADO</v>
      </c>
      <c r="M797" s="15" t="str">
        <f>IFERROR(__xludf.DUMMYFUNCTION("""COMPUTED_VALUE"""),"NA ORIGEM")</f>
        <v>NA ORIGEM</v>
      </c>
      <c r="N797" s="15" t="str">
        <f>IFERROR(__xludf.DUMMYFUNCTION("""COMPUTED_VALUE"""),"Antes Prazo")</f>
        <v>Antes Prazo</v>
      </c>
      <c r="O797" s="15" t="str">
        <f>IFERROR(__xludf.DUMMYFUNCTION("""COMPUTED_VALUE"""),"B2B")</f>
        <v>B2B</v>
      </c>
      <c r="P797" s="16">
        <f>IFERROR(__xludf.DUMMYFUNCTION("""COMPUTED_VALUE"""),38.46)</f>
        <v>38.46</v>
      </c>
      <c r="Q797" s="15">
        <f>IFERROR(__xludf.DUMMYFUNCTION("""COMPUTED_VALUE"""),1.0)</f>
        <v>1</v>
      </c>
      <c r="R797" s="15" t="str">
        <f>IFERROR(__xludf.DUMMYFUNCTION("""COMPUTED_VALUE"""),"RODO")</f>
        <v>RODO</v>
      </c>
      <c r="S797" s="15" t="str">
        <f>IFERROR(__xludf.DUMMYFUNCTION("""COMPUTED_VALUE"""),"ITN")</f>
        <v>ITN</v>
      </c>
      <c r="T797" s="15" t="str">
        <f>IFERROR(__xludf.DUMMYFUNCTION("""COMPUTED_VALUE"""),"105")</f>
        <v>105</v>
      </c>
      <c r="U797" s="15" t="str">
        <f>IFERROR(__xludf.DUMMYFUNCTION("""COMPUTED_VALUE"""),"266840151 1306477 8177560 ademar cozer me trifil ppr 105")</f>
        <v>266840151 1306477 8177560 ademar cozer me trifil ppr 105</v>
      </c>
      <c r="V797" s="15" t="b">
        <f>IFERROR(__xludf.DUMMYFUNCTION("""COMPUTED_VALUE"""),FALSE)</f>
        <v>0</v>
      </c>
    </row>
    <row r="798">
      <c r="A798" s="19">
        <f>IFERROR(__xludf.DUMMYFUNCTION("""COMPUTED_VALUE"""),46304.0)</f>
        <v>46304</v>
      </c>
      <c r="B798" s="19">
        <f>IFERROR(__xludf.DUMMYFUNCTION("""COMPUTED_VALUE"""),46317.0)</f>
        <v>46317</v>
      </c>
      <c r="C798" s="15">
        <f>IFERROR(__xludf.DUMMYFUNCTION("""COMPUTED_VALUE"""),8.0)</f>
        <v>8</v>
      </c>
      <c r="D798" s="15" t="str">
        <f>IFERROR(__xludf.DUMMYFUNCTION("""COMPUTED_VALUE"""),"BAU")</f>
        <v>BAU</v>
      </c>
      <c r="E798" s="15" t="str">
        <f>IFERROR(__xludf.DUMMYFUNCTION("""COMPUTED_VALUE"""),"C KIDS ARTIGOS INFANTIS LTDA ME")</f>
        <v>C KIDS ARTIGOS INFANTIS LTDA ME</v>
      </c>
      <c r="F798" s="15" t="str">
        <f>IFERROR(__xludf.DUMMYFUNCTION("""COMPUTED_VALUE"""),"TRIFIL")</f>
        <v>TRIFIL</v>
      </c>
      <c r="G798" s="15" t="str">
        <f>IFERROR(__xludf.DUMMYFUNCTION("""COMPUTED_VALUE"""),"266840153")</f>
        <v>266840153</v>
      </c>
      <c r="H798" s="15" t="str">
        <f>IFERROR(__xludf.DUMMYFUNCTION("""COMPUTED_VALUE"""),"1306278")</f>
        <v>1306278</v>
      </c>
      <c r="I798" s="15" t="str">
        <f>IFERROR(__xludf.DUMMYFUNCTION("""COMPUTED_VALUE"""),"8177515")</f>
        <v>8177515</v>
      </c>
      <c r="J798" s="15" t="str">
        <f>IFERROR(__xludf.DUMMYFUNCTION("""COMPUTED_VALUE"""),"CIF")</f>
        <v>CIF</v>
      </c>
      <c r="K798" s="15" t="str">
        <f>IFERROR(__xludf.DUMMYFUNCTION("""COMPUTED_VALUE"""),"(sem célula)")</f>
        <v>(sem célula)</v>
      </c>
      <c r="L798" s="15" t="str">
        <f>IFERROR(__xludf.DUMMYFUNCTION("""COMPUTED_VALUE"""),"AUTORIZADO")</f>
        <v>AUTORIZADO</v>
      </c>
      <c r="M798" s="15" t="str">
        <f>IFERROR(__xludf.DUMMYFUNCTION("""COMPUTED_VALUE"""),"NA ORIGEM")</f>
        <v>NA ORIGEM</v>
      </c>
      <c r="N798" s="15" t="str">
        <f>IFERROR(__xludf.DUMMYFUNCTION("""COMPUTED_VALUE"""),"Antes Prazo")</f>
        <v>Antes Prazo</v>
      </c>
      <c r="O798" s="15" t="str">
        <f>IFERROR(__xludf.DUMMYFUNCTION("""COMPUTED_VALUE"""),"B2B")</f>
        <v>B2B</v>
      </c>
      <c r="P798" s="16">
        <f>IFERROR(__xludf.DUMMYFUNCTION("""COMPUTED_VALUE"""),38.46)</f>
        <v>38.46</v>
      </c>
      <c r="Q798" s="15">
        <f>IFERROR(__xludf.DUMMYFUNCTION("""COMPUTED_VALUE"""),1.0)</f>
        <v>1</v>
      </c>
      <c r="R798" s="15" t="str">
        <f>IFERROR(__xludf.DUMMYFUNCTION("""COMPUTED_VALUE"""),"RODO")</f>
        <v>RODO</v>
      </c>
      <c r="S798" s="15" t="str">
        <f>IFERROR(__xludf.DUMMYFUNCTION("""COMPUTED_VALUE"""),"ITN")</f>
        <v>ITN</v>
      </c>
      <c r="T798" s="15" t="str">
        <f>IFERROR(__xludf.DUMMYFUNCTION("""COMPUTED_VALUE"""),"117")</f>
        <v>117</v>
      </c>
      <c r="U798" s="15" t="str">
        <f>IFERROR(__xludf.DUMMYFUNCTION("""COMPUTED_VALUE"""),"266840153 1306278 8177515 c kids artigos infantis ltda me trifil bau 117")</f>
        <v>266840153 1306278 8177515 c kids artigos infantis ltda me trifil bau 117</v>
      </c>
      <c r="V798" s="15" t="b">
        <f>IFERROR(__xludf.DUMMYFUNCTION("""COMPUTED_VALUE"""),FALSE)</f>
        <v>0</v>
      </c>
    </row>
    <row r="799">
      <c r="A799" s="19">
        <f>IFERROR(__xludf.DUMMYFUNCTION("""COMPUTED_VALUE"""),46304.0)</f>
        <v>46304</v>
      </c>
      <c r="B799" s="19">
        <f>IFERROR(__xludf.DUMMYFUNCTION("""COMPUTED_VALUE"""),46316.0)</f>
        <v>46316</v>
      </c>
      <c r="C799" s="15">
        <f>IFERROR(__xludf.DUMMYFUNCTION("""COMPUTED_VALUE"""),7.0)</f>
        <v>7</v>
      </c>
      <c r="D799" s="15" t="str">
        <f>IFERROR(__xludf.DUMMYFUNCTION("""COMPUTED_VALUE"""),"RIO")</f>
        <v>RIO</v>
      </c>
      <c r="E799" s="15" t="str">
        <f>IFERROR(__xludf.DUMMYFUNCTION("""COMPUTED_VALUE"""),"BRASLINS CONFECÇÕES LTDA")</f>
        <v>BRASLINS CONFECÇÕES LTDA</v>
      </c>
      <c r="F799" s="15" t="str">
        <f>IFERROR(__xludf.DUMMYFUNCTION("""COMPUTED_VALUE"""),"TRIFIL")</f>
        <v>TRIFIL</v>
      </c>
      <c r="G799" s="15" t="str">
        <f>IFERROR(__xludf.DUMMYFUNCTION("""COMPUTED_VALUE"""),"266840154")</f>
        <v>266840154</v>
      </c>
      <c r="H799" s="15" t="str">
        <f>IFERROR(__xludf.DUMMYFUNCTION("""COMPUTED_VALUE"""),"1306087")</f>
        <v>1306087</v>
      </c>
      <c r="I799" s="15" t="str">
        <f>IFERROR(__xludf.DUMMYFUNCTION("""COMPUTED_VALUE"""),"8177414")</f>
        <v>8177414</v>
      </c>
      <c r="J799" s="15" t="str">
        <f>IFERROR(__xludf.DUMMYFUNCTION("""COMPUTED_VALUE"""),"CIF")</f>
        <v>CIF</v>
      </c>
      <c r="K799" s="15" t="str">
        <f>IFERROR(__xludf.DUMMYFUNCTION("""COMPUTED_VALUE"""),"(sem célula)")</f>
        <v>(sem célula)</v>
      </c>
      <c r="L799" s="15" t="str">
        <f>IFERROR(__xludf.DUMMYFUNCTION("""COMPUTED_VALUE"""),"AUTORIZADO")</f>
        <v>AUTORIZADO</v>
      </c>
      <c r="M799" s="15" t="str">
        <f>IFERROR(__xludf.DUMMYFUNCTION("""COMPUTED_VALUE"""),"NA ORIGEM")</f>
        <v>NA ORIGEM</v>
      </c>
      <c r="N799" s="15" t="str">
        <f>IFERROR(__xludf.DUMMYFUNCTION("""COMPUTED_VALUE"""),"Antes Prazo")</f>
        <v>Antes Prazo</v>
      </c>
      <c r="O799" s="15" t="str">
        <f>IFERROR(__xludf.DUMMYFUNCTION("""COMPUTED_VALUE"""),"B2B")</f>
        <v>B2B</v>
      </c>
      <c r="P799" s="16">
        <f>IFERROR(__xludf.DUMMYFUNCTION("""COMPUTED_VALUE"""),70.11)</f>
        <v>70.11</v>
      </c>
      <c r="Q799" s="15">
        <f>IFERROR(__xludf.DUMMYFUNCTION("""COMPUTED_VALUE"""),2.0)</f>
        <v>2</v>
      </c>
      <c r="R799" s="15" t="str">
        <f>IFERROR(__xludf.DUMMYFUNCTION("""COMPUTED_VALUE"""),"RODO")</f>
        <v>RODO</v>
      </c>
      <c r="S799" s="15" t="str">
        <f>IFERROR(__xludf.DUMMYFUNCTION("""COMPUTED_VALUE"""),"ITN")</f>
        <v>ITN</v>
      </c>
      <c r="T799" s="15" t="str">
        <f>IFERROR(__xludf.DUMMYFUNCTION("""COMPUTED_VALUE"""),"61")</f>
        <v>61</v>
      </c>
      <c r="U799" s="15" t="str">
        <f>IFERROR(__xludf.DUMMYFUNCTION("""COMPUTED_VALUE"""),"266840154 1306087 8177414 braslins confecções ltda trifil rio 61")</f>
        <v>266840154 1306087 8177414 braslins confecções ltda trifil rio 61</v>
      </c>
      <c r="V799" s="15" t="b">
        <f>IFERROR(__xludf.DUMMYFUNCTION("""COMPUTED_VALUE"""),FALSE)</f>
        <v>0</v>
      </c>
    </row>
    <row r="800">
      <c r="A800" s="19">
        <f>IFERROR(__xludf.DUMMYFUNCTION("""COMPUTED_VALUE"""),46304.0)</f>
        <v>46304</v>
      </c>
      <c r="B800" s="19">
        <f>IFERROR(__xludf.DUMMYFUNCTION("""COMPUTED_VALUE"""),46316.0)</f>
        <v>46316</v>
      </c>
      <c r="C800" s="15">
        <f>IFERROR(__xludf.DUMMYFUNCTION("""COMPUTED_VALUE"""),7.0)</f>
        <v>7</v>
      </c>
      <c r="D800" s="15" t="str">
        <f>IFERROR(__xludf.DUMMYFUNCTION("""COMPUTED_VALUE"""),"GRU")</f>
        <v>GRU</v>
      </c>
      <c r="E800" s="15" t="str">
        <f>IFERROR(__xludf.DUMMYFUNCTION("""COMPUTED_VALUE"""),"LINGERIE SANTANA LTDA EPP")</f>
        <v>LINGERIE SANTANA LTDA EPP</v>
      </c>
      <c r="F800" s="15" t="str">
        <f>IFERROR(__xludf.DUMMYFUNCTION("""COMPUTED_VALUE"""),"TRIFIL")</f>
        <v>TRIFIL</v>
      </c>
      <c r="G800" s="15" t="str">
        <f>IFERROR(__xludf.DUMMYFUNCTION("""COMPUTED_VALUE"""),"266840156")</f>
        <v>266840156</v>
      </c>
      <c r="H800" s="15" t="str">
        <f>IFERROR(__xludf.DUMMYFUNCTION("""COMPUTED_VALUE"""),"1306348")</f>
        <v>1306348</v>
      </c>
      <c r="I800" s="15" t="str">
        <f>IFERROR(__xludf.DUMMYFUNCTION("""COMPUTED_VALUE"""),"8177441")</f>
        <v>8177441</v>
      </c>
      <c r="J800" s="15" t="str">
        <f>IFERROR(__xludf.DUMMYFUNCTION("""COMPUTED_VALUE"""),"CIF")</f>
        <v>CIF</v>
      </c>
      <c r="K800" s="15" t="str">
        <f>IFERROR(__xludf.DUMMYFUNCTION("""COMPUTED_VALUE"""),"SAO-1")</f>
        <v>SAO-1</v>
      </c>
      <c r="L800" s="15" t="str">
        <f>IFERROR(__xludf.DUMMYFUNCTION("""COMPUTED_VALUE"""),"AUTORIZADO")</f>
        <v>AUTORIZADO</v>
      </c>
      <c r="M800" s="15" t="str">
        <f>IFERROR(__xludf.DUMMYFUNCTION("""COMPUTED_VALUE"""),"NA ORIGEM")</f>
        <v>NA ORIGEM</v>
      </c>
      <c r="N800" s="15" t="str">
        <f>IFERROR(__xludf.DUMMYFUNCTION("""COMPUTED_VALUE"""),"Antes Prazo")</f>
        <v>Antes Prazo</v>
      </c>
      <c r="O800" s="15" t="str">
        <f>IFERROR(__xludf.DUMMYFUNCTION("""COMPUTED_VALUE"""),"B2B")</f>
        <v>B2B</v>
      </c>
      <c r="P800" s="16">
        <f>IFERROR(__xludf.DUMMYFUNCTION("""COMPUTED_VALUE"""),45.49)</f>
        <v>45.49</v>
      </c>
      <c r="Q800" s="15">
        <f>IFERROR(__xludf.DUMMYFUNCTION("""COMPUTED_VALUE"""),2.0)</f>
        <v>2</v>
      </c>
      <c r="R800" s="15" t="str">
        <f>IFERROR(__xludf.DUMMYFUNCTION("""COMPUTED_VALUE"""),"RODO")</f>
        <v>RODO</v>
      </c>
      <c r="S800" s="15" t="str">
        <f>IFERROR(__xludf.DUMMYFUNCTION("""COMPUTED_VALUE"""),"ITN")</f>
        <v>ITN</v>
      </c>
      <c r="T800" s="15" t="str">
        <f>IFERROR(__xludf.DUMMYFUNCTION("""COMPUTED_VALUE"""),"2201")</f>
        <v>2201</v>
      </c>
      <c r="U800" s="15" t="str">
        <f>IFERROR(__xludf.DUMMYFUNCTION("""COMPUTED_VALUE"""),"266840156 1306348 8177441 lingerie santana ltda epp trifil gru 2201")</f>
        <v>266840156 1306348 8177441 lingerie santana ltda epp trifil gru 2201</v>
      </c>
      <c r="V800" s="15" t="b">
        <f>IFERROR(__xludf.DUMMYFUNCTION("""COMPUTED_VALUE"""),FALSE)</f>
        <v>0</v>
      </c>
    </row>
    <row r="801">
      <c r="A801" s="19">
        <f>IFERROR(__xludf.DUMMYFUNCTION("""COMPUTED_VALUE"""),46304.0)</f>
        <v>46304</v>
      </c>
      <c r="B801" s="19">
        <f>IFERROR(__xludf.DUMMYFUNCTION("""COMPUTED_VALUE"""),46316.0)</f>
        <v>46316</v>
      </c>
      <c r="C801" s="15">
        <f>IFERROR(__xludf.DUMMYFUNCTION("""COMPUTED_VALUE"""),7.0)</f>
        <v>7</v>
      </c>
      <c r="D801" s="15" t="str">
        <f>IFERROR(__xludf.DUMMYFUNCTION("""COMPUTED_VALUE"""),"RIO")</f>
        <v>RIO</v>
      </c>
      <c r="E801" s="15" t="str">
        <f>IFERROR(__xludf.DUMMYFUNCTION("""COMPUTED_VALUE"""),"Camila Com de Roupas e Boutique Ltd")</f>
        <v>Camila Com de Roupas e Boutique Ltd</v>
      </c>
      <c r="F801" s="15" t="str">
        <f>IFERROR(__xludf.DUMMYFUNCTION("""COMPUTED_VALUE"""),"TRIFIL")</f>
        <v>TRIFIL</v>
      </c>
      <c r="G801" s="15" t="str">
        <f>IFERROR(__xludf.DUMMYFUNCTION("""COMPUTED_VALUE"""),"266840157")</f>
        <v>266840157</v>
      </c>
      <c r="H801" s="15" t="str">
        <f>IFERROR(__xludf.DUMMYFUNCTION("""COMPUTED_VALUE"""),"1306384")</f>
        <v>1306384</v>
      </c>
      <c r="I801" s="15" t="str">
        <f>IFERROR(__xludf.DUMMYFUNCTION("""COMPUTED_VALUE"""),"8177442")</f>
        <v>8177442</v>
      </c>
      <c r="J801" s="15" t="str">
        <f>IFERROR(__xludf.DUMMYFUNCTION("""COMPUTED_VALUE"""),"CIF")</f>
        <v>CIF</v>
      </c>
      <c r="K801" s="15" t="str">
        <f>IFERROR(__xludf.DUMMYFUNCTION("""COMPUTED_VALUE"""),"(sem célula)")</f>
        <v>(sem célula)</v>
      </c>
      <c r="L801" s="15" t="str">
        <f>IFERROR(__xludf.DUMMYFUNCTION("""COMPUTED_VALUE"""),"AUTORIZADO")</f>
        <v>AUTORIZADO</v>
      </c>
      <c r="M801" s="15" t="str">
        <f>IFERROR(__xludf.DUMMYFUNCTION("""COMPUTED_VALUE"""),"NA ORIGEM")</f>
        <v>NA ORIGEM</v>
      </c>
      <c r="N801" s="15" t="str">
        <f>IFERROR(__xludf.DUMMYFUNCTION("""COMPUTED_VALUE"""),"Antes Prazo")</f>
        <v>Antes Prazo</v>
      </c>
      <c r="O801" s="15" t="str">
        <f>IFERROR(__xludf.DUMMYFUNCTION("""COMPUTED_VALUE"""),"B2B")</f>
        <v>B2B</v>
      </c>
      <c r="P801" s="16">
        <f>IFERROR(__xludf.DUMMYFUNCTION("""COMPUTED_VALUE"""),67.79)</f>
        <v>67.79</v>
      </c>
      <c r="Q801" s="15">
        <f>IFERROR(__xludf.DUMMYFUNCTION("""COMPUTED_VALUE"""),1.0)</f>
        <v>1</v>
      </c>
      <c r="R801" s="15" t="str">
        <f>IFERROR(__xludf.DUMMYFUNCTION("""COMPUTED_VALUE"""),"RODO")</f>
        <v>RODO</v>
      </c>
      <c r="S801" s="15" t="str">
        <f>IFERROR(__xludf.DUMMYFUNCTION("""COMPUTED_VALUE"""),"ITN")</f>
        <v>ITN</v>
      </c>
      <c r="T801" s="15" t="str">
        <f>IFERROR(__xludf.DUMMYFUNCTION("""COMPUTED_VALUE"""),"21")</f>
        <v>21</v>
      </c>
      <c r="U801" s="15" t="str">
        <f>IFERROR(__xludf.DUMMYFUNCTION("""COMPUTED_VALUE"""),"266840157 1306384 8177442 camila com de roupas e boutique ltd trifil rio 21")</f>
        <v>266840157 1306384 8177442 camila com de roupas e boutique ltd trifil rio 21</v>
      </c>
      <c r="V801" s="15" t="b">
        <f>IFERROR(__xludf.DUMMYFUNCTION("""COMPUTED_VALUE"""),FALSE)</f>
        <v>0</v>
      </c>
    </row>
    <row r="802">
      <c r="A802" s="19">
        <f>IFERROR(__xludf.DUMMYFUNCTION("""COMPUTED_VALUE"""),46304.0)</f>
        <v>46304</v>
      </c>
      <c r="B802" s="19">
        <f>IFERROR(__xludf.DUMMYFUNCTION("""COMPUTED_VALUE"""),46316.0)</f>
        <v>46316</v>
      </c>
      <c r="C802" s="15">
        <f>IFERROR(__xludf.DUMMYFUNCTION("""COMPUTED_VALUE"""),7.0)</f>
        <v>7</v>
      </c>
      <c r="D802" s="15" t="str">
        <f>IFERROR(__xludf.DUMMYFUNCTION("""COMPUTED_VALUE"""),"RIO")</f>
        <v>RIO</v>
      </c>
      <c r="E802" s="15" t="str">
        <f>IFERROR(__xludf.DUMMYFUNCTION("""COMPUTED_VALUE"""),"LOJAS CITYCOL S/A")</f>
        <v>LOJAS CITYCOL S/A</v>
      </c>
      <c r="F802" s="15" t="str">
        <f>IFERROR(__xludf.DUMMYFUNCTION("""COMPUTED_VALUE"""),"TRIFIL")</f>
        <v>TRIFIL</v>
      </c>
      <c r="G802" s="15" t="str">
        <f>IFERROR(__xludf.DUMMYFUNCTION("""COMPUTED_VALUE"""),"266840159")</f>
        <v>266840159</v>
      </c>
      <c r="H802" s="15" t="str">
        <f>IFERROR(__xludf.DUMMYFUNCTION("""COMPUTED_VALUE"""),"1306540")</f>
        <v>1306540</v>
      </c>
      <c r="I802" s="15" t="str">
        <f>IFERROR(__xludf.DUMMYFUNCTION("""COMPUTED_VALUE"""),"8177571")</f>
        <v>8177571</v>
      </c>
      <c r="J802" s="15" t="str">
        <f>IFERROR(__xludf.DUMMYFUNCTION("""COMPUTED_VALUE"""),"CIF")</f>
        <v>CIF</v>
      </c>
      <c r="K802" s="15" t="str">
        <f>IFERROR(__xludf.DUMMYFUNCTION("""COMPUTED_VALUE"""),"(sem célula)")</f>
        <v>(sem célula)</v>
      </c>
      <c r="L802" s="15" t="str">
        <f>IFERROR(__xludf.DUMMYFUNCTION("""COMPUTED_VALUE"""),"AUTORIZADO")</f>
        <v>AUTORIZADO</v>
      </c>
      <c r="M802" s="15" t="str">
        <f>IFERROR(__xludf.DUMMYFUNCTION("""COMPUTED_VALUE"""),"NA ORIGEM")</f>
        <v>NA ORIGEM</v>
      </c>
      <c r="N802" s="15" t="str">
        <f>IFERROR(__xludf.DUMMYFUNCTION("""COMPUTED_VALUE"""),"Antes Prazo")</f>
        <v>Antes Prazo</v>
      </c>
      <c r="O802" s="15" t="str">
        <f>IFERROR(__xludf.DUMMYFUNCTION("""COMPUTED_VALUE"""),"B2B")</f>
        <v>B2B</v>
      </c>
      <c r="P802" s="16">
        <f>IFERROR(__xludf.DUMMYFUNCTION("""COMPUTED_VALUE"""),144.64)</f>
        <v>144.64</v>
      </c>
      <c r="Q802" s="15">
        <f>IFERROR(__xludf.DUMMYFUNCTION("""COMPUTED_VALUE"""),7.0)</f>
        <v>7</v>
      </c>
      <c r="R802" s="15" t="str">
        <f>IFERROR(__xludf.DUMMYFUNCTION("""COMPUTED_VALUE"""),"RODO")</f>
        <v>RODO</v>
      </c>
      <c r="S802" s="15" t="str">
        <f>IFERROR(__xludf.DUMMYFUNCTION("""COMPUTED_VALUE"""),"ITN")</f>
        <v>ITN</v>
      </c>
      <c r="T802" s="15" t="str">
        <f>IFERROR(__xludf.DUMMYFUNCTION("""COMPUTED_VALUE"""),"90")</f>
        <v>90</v>
      </c>
      <c r="U802" s="15" t="str">
        <f>IFERROR(__xludf.DUMMYFUNCTION("""COMPUTED_VALUE"""),"266840159 1306540 8177571 lojas citycol s/a trifil rio 90")</f>
        <v>266840159 1306540 8177571 lojas citycol s/a trifil rio 90</v>
      </c>
      <c r="V802" s="15" t="b">
        <f>IFERROR(__xludf.DUMMYFUNCTION("""COMPUTED_VALUE"""),FALSE)</f>
        <v>0</v>
      </c>
    </row>
    <row r="803">
      <c r="A803" s="19">
        <f>IFERROR(__xludf.DUMMYFUNCTION("""COMPUTED_VALUE"""),46304.0)</f>
        <v>46304</v>
      </c>
      <c r="B803" s="19">
        <f>IFERROR(__xludf.DUMMYFUNCTION("""COMPUTED_VALUE"""),46316.0)</f>
        <v>46316</v>
      </c>
      <c r="C803" s="15">
        <f>IFERROR(__xludf.DUMMYFUNCTION("""COMPUTED_VALUE"""),7.0)</f>
        <v>7</v>
      </c>
      <c r="D803" s="15" t="str">
        <f>IFERROR(__xludf.DUMMYFUNCTION("""COMPUTED_VALUE"""),"RIO")</f>
        <v>RIO</v>
      </c>
      <c r="E803" s="15" t="str">
        <f>IFERROR(__xludf.DUMMYFUNCTION("""COMPUTED_VALUE"""),"M NILZA MODAS LTDA")</f>
        <v>M NILZA MODAS LTDA</v>
      </c>
      <c r="F803" s="15" t="str">
        <f>IFERROR(__xludf.DUMMYFUNCTION("""COMPUTED_VALUE"""),"TRIFIL")</f>
        <v>TRIFIL</v>
      </c>
      <c r="G803" s="15" t="str">
        <f>IFERROR(__xludf.DUMMYFUNCTION("""COMPUTED_VALUE"""),"266840160")</f>
        <v>266840160</v>
      </c>
      <c r="H803" s="15" t="str">
        <f>IFERROR(__xludf.DUMMYFUNCTION("""COMPUTED_VALUE"""),"1306454")</f>
        <v>1306454</v>
      </c>
      <c r="I803" s="15" t="str">
        <f>IFERROR(__xludf.DUMMYFUNCTION("""COMPUTED_VALUE"""),"8177415")</f>
        <v>8177415</v>
      </c>
      <c r="J803" s="15" t="str">
        <f>IFERROR(__xludf.DUMMYFUNCTION("""COMPUTED_VALUE"""),"CIF")</f>
        <v>CIF</v>
      </c>
      <c r="K803" s="15" t="str">
        <f>IFERROR(__xludf.DUMMYFUNCTION("""COMPUTED_VALUE"""),"(sem célula)")</f>
        <v>(sem célula)</v>
      </c>
      <c r="L803" s="15" t="str">
        <f>IFERROR(__xludf.DUMMYFUNCTION("""COMPUTED_VALUE"""),"AUTORIZADO")</f>
        <v>AUTORIZADO</v>
      </c>
      <c r="M803" s="15" t="str">
        <f>IFERROR(__xludf.DUMMYFUNCTION("""COMPUTED_VALUE"""),"NA ORIGEM")</f>
        <v>NA ORIGEM</v>
      </c>
      <c r="N803" s="15" t="str">
        <f>IFERROR(__xludf.DUMMYFUNCTION("""COMPUTED_VALUE"""),"Antes Prazo")</f>
        <v>Antes Prazo</v>
      </c>
      <c r="O803" s="15" t="str">
        <f>IFERROR(__xludf.DUMMYFUNCTION("""COMPUTED_VALUE"""),"B2B")</f>
        <v>B2B</v>
      </c>
      <c r="P803" s="16">
        <f>IFERROR(__xludf.DUMMYFUNCTION("""COMPUTED_VALUE"""),67.86)</f>
        <v>67.86</v>
      </c>
      <c r="Q803" s="15">
        <f>IFERROR(__xludf.DUMMYFUNCTION("""COMPUTED_VALUE"""),1.0)</f>
        <v>1</v>
      </c>
      <c r="R803" s="15" t="str">
        <f>IFERROR(__xludf.DUMMYFUNCTION("""COMPUTED_VALUE"""),"RODO")</f>
        <v>RODO</v>
      </c>
      <c r="S803" s="15" t="str">
        <f>IFERROR(__xludf.DUMMYFUNCTION("""COMPUTED_VALUE"""),"ITN")</f>
        <v>ITN</v>
      </c>
      <c r="T803" s="15" t="str">
        <f>IFERROR(__xludf.DUMMYFUNCTION("""COMPUTED_VALUE"""),"10")</f>
        <v>10</v>
      </c>
      <c r="U803" s="15" t="str">
        <f>IFERROR(__xludf.DUMMYFUNCTION("""COMPUTED_VALUE"""),"266840160 1306454 8177415 m nilza modas ltda trifil rio 10")</f>
        <v>266840160 1306454 8177415 m nilza modas ltda trifil rio 10</v>
      </c>
      <c r="V803" s="15" t="b">
        <f>IFERROR(__xludf.DUMMYFUNCTION("""COMPUTED_VALUE"""),FALSE)</f>
        <v>0</v>
      </c>
    </row>
    <row r="804">
      <c r="A804" s="19">
        <f>IFERROR(__xludf.DUMMYFUNCTION("""COMPUTED_VALUE"""),46304.0)</f>
        <v>46304</v>
      </c>
      <c r="B804" s="19">
        <f>IFERROR(__xludf.DUMMYFUNCTION("""COMPUTED_VALUE"""),46316.0)</f>
        <v>46316</v>
      </c>
      <c r="C804" s="15">
        <f>IFERROR(__xludf.DUMMYFUNCTION("""COMPUTED_VALUE"""),7.0)</f>
        <v>7</v>
      </c>
      <c r="D804" s="15" t="str">
        <f>IFERROR(__xludf.DUMMYFUNCTION("""COMPUTED_VALUE"""),"R3J")</f>
        <v>R3J</v>
      </c>
      <c r="E804" s="15" t="str">
        <f>IFERROR(__xludf.DUMMYFUNCTION("""COMPUTED_VALUE"""),"DETALHE MASCULINO E FEMININO")</f>
        <v>DETALHE MASCULINO E FEMININO</v>
      </c>
      <c r="F804" s="15" t="str">
        <f>IFERROR(__xludf.DUMMYFUNCTION("""COMPUTED_VALUE"""),"TRIFIL")</f>
        <v>TRIFIL</v>
      </c>
      <c r="G804" s="15" t="str">
        <f>IFERROR(__xludf.DUMMYFUNCTION("""COMPUTED_VALUE"""),"266840163")</f>
        <v>266840163</v>
      </c>
      <c r="H804" s="15" t="str">
        <f>IFERROR(__xludf.DUMMYFUNCTION("""COMPUTED_VALUE"""),"1306431")</f>
        <v>1306431</v>
      </c>
      <c r="I804" s="15" t="str">
        <f>IFERROR(__xludf.DUMMYFUNCTION("""COMPUTED_VALUE"""),"8177467")</f>
        <v>8177467</v>
      </c>
      <c r="J804" s="15" t="str">
        <f>IFERROR(__xludf.DUMMYFUNCTION("""COMPUTED_VALUE"""),"CIF")</f>
        <v>CIF</v>
      </c>
      <c r="K804" s="15" t="str">
        <f>IFERROR(__xludf.DUMMYFUNCTION("""COMPUTED_VALUE"""),"(sem célula)")</f>
        <v>(sem célula)</v>
      </c>
      <c r="L804" s="15" t="str">
        <f>IFERROR(__xludf.DUMMYFUNCTION("""COMPUTED_VALUE"""),"AUTORIZADO")</f>
        <v>AUTORIZADO</v>
      </c>
      <c r="M804" s="15" t="str">
        <f>IFERROR(__xludf.DUMMYFUNCTION("""COMPUTED_VALUE"""),"NA ORIGEM")</f>
        <v>NA ORIGEM</v>
      </c>
      <c r="N804" s="15" t="str">
        <f>IFERROR(__xludf.DUMMYFUNCTION("""COMPUTED_VALUE"""),"Antes Prazo")</f>
        <v>Antes Prazo</v>
      </c>
      <c r="O804" s="15" t="str">
        <f>IFERROR(__xludf.DUMMYFUNCTION("""COMPUTED_VALUE"""),"B2B")</f>
        <v>B2B</v>
      </c>
      <c r="P804" s="16">
        <f>IFERROR(__xludf.DUMMYFUNCTION("""COMPUTED_VALUE"""),68.49)</f>
        <v>68.49</v>
      </c>
      <c r="Q804" s="15">
        <f>IFERROR(__xludf.DUMMYFUNCTION("""COMPUTED_VALUE"""),1.0)</f>
        <v>1</v>
      </c>
      <c r="R804" s="15" t="str">
        <f>IFERROR(__xludf.DUMMYFUNCTION("""COMPUTED_VALUE"""),"RODO")</f>
        <v>RODO</v>
      </c>
      <c r="S804" s="15" t="str">
        <f>IFERROR(__xludf.DUMMYFUNCTION("""COMPUTED_VALUE"""),"ITN")</f>
        <v>ITN</v>
      </c>
      <c r="T804" s="15" t="str">
        <f>IFERROR(__xludf.DUMMYFUNCTION("""COMPUTED_VALUE"""),"81")</f>
        <v>81</v>
      </c>
      <c r="U804" s="15" t="str">
        <f>IFERROR(__xludf.DUMMYFUNCTION("""COMPUTED_VALUE"""),"266840163 1306431 8177467 detalhe masculino e feminino trifil r3j 81")</f>
        <v>266840163 1306431 8177467 detalhe masculino e feminino trifil r3j 81</v>
      </c>
      <c r="V804" s="15" t="b">
        <f>IFERROR(__xludf.DUMMYFUNCTION("""COMPUTED_VALUE"""),FALSE)</f>
        <v>0</v>
      </c>
    </row>
    <row r="805">
      <c r="A805" s="19">
        <f>IFERROR(__xludf.DUMMYFUNCTION("""COMPUTED_VALUE"""),46304.0)</f>
        <v>46304</v>
      </c>
      <c r="B805" s="19">
        <f>IFERROR(__xludf.DUMMYFUNCTION("""COMPUTED_VALUE"""),46316.0)</f>
        <v>46316</v>
      </c>
      <c r="C805" s="15">
        <f>IFERROR(__xludf.DUMMYFUNCTION("""COMPUTED_VALUE"""),7.0)</f>
        <v>7</v>
      </c>
      <c r="D805" s="15" t="str">
        <f>IFERROR(__xludf.DUMMYFUNCTION("""COMPUTED_VALUE"""),"GRU")</f>
        <v>GRU</v>
      </c>
      <c r="E805" s="15" t="str">
        <f>IFERROR(__xludf.DUMMYFUNCTION("""COMPUTED_VALUE"""),"Amilton Jose Albino 32298330824")</f>
        <v>Amilton Jose Albino 32298330824</v>
      </c>
      <c r="F805" s="15" t="str">
        <f>IFERROR(__xludf.DUMMYFUNCTION("""COMPUTED_VALUE"""),"TRIFIL")</f>
        <v>TRIFIL</v>
      </c>
      <c r="G805" s="15" t="str">
        <f>IFERROR(__xludf.DUMMYFUNCTION("""COMPUTED_VALUE"""),"266840165")</f>
        <v>266840165</v>
      </c>
      <c r="H805" s="15" t="str">
        <f>IFERROR(__xludf.DUMMYFUNCTION("""COMPUTED_VALUE"""),"1306342")</f>
        <v>1306342</v>
      </c>
      <c r="I805" s="15" t="str">
        <f>IFERROR(__xludf.DUMMYFUNCTION("""COMPUTED_VALUE"""),"8177443")</f>
        <v>8177443</v>
      </c>
      <c r="J805" s="15" t="str">
        <f>IFERROR(__xludf.DUMMYFUNCTION("""COMPUTED_VALUE"""),"CIF")</f>
        <v>CIF</v>
      </c>
      <c r="K805" s="15" t="str">
        <f>IFERROR(__xludf.DUMMYFUNCTION("""COMPUTED_VALUE"""),"SAO-1")</f>
        <v>SAO-1</v>
      </c>
      <c r="L805" s="15" t="str">
        <f>IFERROR(__xludf.DUMMYFUNCTION("""COMPUTED_VALUE"""),"AUTORIZADO")</f>
        <v>AUTORIZADO</v>
      </c>
      <c r="M805" s="15" t="str">
        <f>IFERROR(__xludf.DUMMYFUNCTION("""COMPUTED_VALUE"""),"NA ORIGEM")</f>
        <v>NA ORIGEM</v>
      </c>
      <c r="N805" s="15" t="str">
        <f>IFERROR(__xludf.DUMMYFUNCTION("""COMPUTED_VALUE"""),"Antes Prazo")</f>
        <v>Antes Prazo</v>
      </c>
      <c r="O805" s="15" t="str">
        <f>IFERROR(__xludf.DUMMYFUNCTION("""COMPUTED_VALUE"""),"B2B")</f>
        <v>B2B</v>
      </c>
      <c r="P805" s="16">
        <f>IFERROR(__xludf.DUMMYFUNCTION("""COMPUTED_VALUE"""),51.48)</f>
        <v>51.48</v>
      </c>
      <c r="Q805" s="15">
        <f>IFERROR(__xludf.DUMMYFUNCTION("""COMPUTED_VALUE"""),4.0)</f>
        <v>4</v>
      </c>
      <c r="R805" s="15" t="str">
        <f>IFERROR(__xludf.DUMMYFUNCTION("""COMPUTED_VALUE"""),"RODO")</f>
        <v>RODO</v>
      </c>
      <c r="S805" s="15" t="str">
        <f>IFERROR(__xludf.DUMMYFUNCTION("""COMPUTED_VALUE"""),"ITN")</f>
        <v>ITN</v>
      </c>
      <c r="T805" s="15" t="str">
        <f>IFERROR(__xludf.DUMMYFUNCTION("""COMPUTED_VALUE"""),"2707")</f>
        <v>2707</v>
      </c>
      <c r="U805" s="15" t="str">
        <f>IFERROR(__xludf.DUMMYFUNCTION("""COMPUTED_VALUE"""),"266840165 1306342 8177443 amilton jose albino 32298330824 trifil gru 2707")</f>
        <v>266840165 1306342 8177443 amilton jose albino 32298330824 trifil gru 2707</v>
      </c>
      <c r="V805" s="15" t="b">
        <f>IFERROR(__xludf.DUMMYFUNCTION("""COMPUTED_VALUE"""),FALSE)</f>
        <v>0</v>
      </c>
    </row>
    <row r="806">
      <c r="A806" s="19">
        <f>IFERROR(__xludf.DUMMYFUNCTION("""COMPUTED_VALUE"""),46304.0)</f>
        <v>46304</v>
      </c>
      <c r="B806" s="19">
        <f>IFERROR(__xludf.DUMMYFUNCTION("""COMPUTED_VALUE"""),46317.0)</f>
        <v>46317</v>
      </c>
      <c r="C806" s="15">
        <f>IFERROR(__xludf.DUMMYFUNCTION("""COMPUTED_VALUE"""),8.0)</f>
        <v>8</v>
      </c>
      <c r="D806" s="15" t="str">
        <f>IFERROR(__xludf.DUMMYFUNCTION("""COMPUTED_VALUE"""),"CAW")</f>
        <v>CAW</v>
      </c>
      <c r="E806" s="15" t="str">
        <f>IFERROR(__xludf.DUMMYFUNCTION("""COMPUTED_VALUE"""),"PEROLA NEGRA")</f>
        <v>PEROLA NEGRA</v>
      </c>
      <c r="F806" s="15" t="str">
        <f>IFERROR(__xludf.DUMMYFUNCTION("""COMPUTED_VALUE"""),"TRIFIL")</f>
        <v>TRIFIL</v>
      </c>
      <c r="G806" s="15" t="str">
        <f>IFERROR(__xludf.DUMMYFUNCTION("""COMPUTED_VALUE"""),"266840167")</f>
        <v>266840167</v>
      </c>
      <c r="H806" s="15" t="str">
        <f>IFERROR(__xludf.DUMMYFUNCTION("""COMPUTED_VALUE"""),"1306260")</f>
        <v>1306260</v>
      </c>
      <c r="I806" s="15" t="str">
        <f>IFERROR(__xludf.DUMMYFUNCTION("""COMPUTED_VALUE"""),"8177516")</f>
        <v>8177516</v>
      </c>
      <c r="J806" s="15" t="str">
        <f>IFERROR(__xludf.DUMMYFUNCTION("""COMPUTED_VALUE"""),"CIF")</f>
        <v>CIF</v>
      </c>
      <c r="K806" s="15" t="str">
        <f>IFERROR(__xludf.DUMMYFUNCTION("""COMPUTED_VALUE"""),"(sem célula)")</f>
        <v>(sem célula)</v>
      </c>
      <c r="L806" s="15" t="str">
        <f>IFERROR(__xludf.DUMMYFUNCTION("""COMPUTED_VALUE"""),"AUTORIZADO")</f>
        <v>AUTORIZADO</v>
      </c>
      <c r="M806" s="15" t="str">
        <f>IFERROR(__xludf.DUMMYFUNCTION("""COMPUTED_VALUE"""),"NA ORIGEM")</f>
        <v>NA ORIGEM</v>
      </c>
      <c r="N806" s="15" t="str">
        <f>IFERROR(__xludf.DUMMYFUNCTION("""COMPUTED_VALUE"""),"Antes Prazo")</f>
        <v>Antes Prazo</v>
      </c>
      <c r="O806" s="15" t="str">
        <f>IFERROR(__xludf.DUMMYFUNCTION("""COMPUTED_VALUE"""),"B2B")</f>
        <v>B2B</v>
      </c>
      <c r="P806" s="16">
        <f>IFERROR(__xludf.DUMMYFUNCTION("""COMPUTED_VALUE"""),58.93)</f>
        <v>58.93</v>
      </c>
      <c r="Q806" s="15">
        <f>IFERROR(__xludf.DUMMYFUNCTION("""COMPUTED_VALUE"""),1.0)</f>
        <v>1</v>
      </c>
      <c r="R806" s="15" t="str">
        <f>IFERROR(__xludf.DUMMYFUNCTION("""COMPUTED_VALUE"""),"RODO")</f>
        <v>RODO</v>
      </c>
      <c r="S806" s="15" t="str">
        <f>IFERROR(__xludf.DUMMYFUNCTION("""COMPUTED_VALUE"""),"ITN")</f>
        <v>ITN</v>
      </c>
      <c r="T806" s="15" t="str">
        <f>IFERROR(__xludf.DUMMYFUNCTION("""COMPUTED_VALUE"""),"107")</f>
        <v>107</v>
      </c>
      <c r="U806" s="15" t="str">
        <f>IFERROR(__xludf.DUMMYFUNCTION("""COMPUTED_VALUE"""),"266840167 1306260 8177516 perola negra trifil caw 107")</f>
        <v>266840167 1306260 8177516 perola negra trifil caw 107</v>
      </c>
      <c r="V806" s="15" t="b">
        <f>IFERROR(__xludf.DUMMYFUNCTION("""COMPUTED_VALUE"""),FALSE)</f>
        <v>0</v>
      </c>
    </row>
    <row r="807">
      <c r="A807" s="19">
        <f>IFERROR(__xludf.DUMMYFUNCTION("""COMPUTED_VALUE"""),46304.0)</f>
        <v>46304</v>
      </c>
      <c r="B807" s="19">
        <f>IFERROR(__xludf.DUMMYFUNCTION("""COMPUTED_VALUE"""),46317.0)</f>
        <v>46317</v>
      </c>
      <c r="C807" s="15">
        <f>IFERROR(__xludf.DUMMYFUNCTION("""COMPUTED_VALUE"""),8.0)</f>
        <v>8</v>
      </c>
      <c r="D807" s="15" t="str">
        <f>IFERROR(__xludf.DUMMYFUNCTION("""COMPUTED_VALUE"""),"MEA")</f>
        <v>MEA</v>
      </c>
      <c r="E807" s="15" t="str">
        <f>IFERROR(__xludf.DUMMYFUNCTION("""COMPUTED_VALUE"""),"63.952.110 CELSO FELIX")</f>
        <v>63.952.110 CELSO FELIX</v>
      </c>
      <c r="F807" s="15" t="str">
        <f>IFERROR(__xludf.DUMMYFUNCTION("""COMPUTED_VALUE"""),"TRIFIL")</f>
        <v>TRIFIL</v>
      </c>
      <c r="G807" s="15" t="str">
        <f>IFERROR(__xludf.DUMMYFUNCTION("""COMPUTED_VALUE"""),"266840171")</f>
        <v>266840171</v>
      </c>
      <c r="H807" s="15" t="str">
        <f>IFERROR(__xludf.DUMMYFUNCTION("""COMPUTED_VALUE"""),"1306277")</f>
        <v>1306277</v>
      </c>
      <c r="I807" s="15" t="str">
        <f>IFERROR(__xludf.DUMMYFUNCTION("""COMPUTED_VALUE"""),"8177561")</f>
        <v>8177561</v>
      </c>
      <c r="J807" s="15" t="str">
        <f>IFERROR(__xludf.DUMMYFUNCTION("""COMPUTED_VALUE"""),"CIF")</f>
        <v>CIF</v>
      </c>
      <c r="K807" s="15" t="str">
        <f>IFERROR(__xludf.DUMMYFUNCTION("""COMPUTED_VALUE"""),"(sem célula)")</f>
        <v>(sem célula)</v>
      </c>
      <c r="L807" s="15" t="str">
        <f>IFERROR(__xludf.DUMMYFUNCTION("""COMPUTED_VALUE"""),"ERRO")</f>
        <v>ERRO</v>
      </c>
      <c r="M807" s="15" t="str">
        <f>IFERROR(__xludf.DUMMYFUNCTION("""COMPUTED_VALUE"""),"NA ORIGEM")</f>
        <v>NA ORIGEM</v>
      </c>
      <c r="N807" s="15" t="str">
        <f>IFERROR(__xludf.DUMMYFUNCTION("""COMPUTED_VALUE"""),"Antes Prazo")</f>
        <v>Antes Prazo</v>
      </c>
      <c r="O807" s="15" t="str">
        <f>IFERROR(__xludf.DUMMYFUNCTION("""COMPUTED_VALUE"""),"B2B")</f>
        <v>B2B</v>
      </c>
      <c r="P807" s="16">
        <f>IFERROR(__xludf.DUMMYFUNCTION("""COMPUTED_VALUE"""),58.93)</f>
        <v>58.93</v>
      </c>
      <c r="Q807" s="15">
        <f>IFERROR(__xludf.DUMMYFUNCTION("""COMPUTED_VALUE"""),1.0)</f>
        <v>1</v>
      </c>
      <c r="R807" s="15" t="str">
        <f>IFERROR(__xludf.DUMMYFUNCTION("""COMPUTED_VALUE"""),"RODO")</f>
        <v>RODO</v>
      </c>
      <c r="S807" s="15" t="str">
        <f>IFERROR(__xludf.DUMMYFUNCTION("""COMPUTED_VALUE"""),"ITN")</f>
        <v>ITN</v>
      </c>
      <c r="T807" s="15" t="str">
        <f>IFERROR(__xludf.DUMMYFUNCTION("""COMPUTED_VALUE"""),"")</f>
        <v/>
      </c>
      <c r="U807" s="15" t="str">
        <f>IFERROR(__xludf.DUMMYFUNCTION("""COMPUTED_VALUE"""),"266840171 1306277 8177561 63.952.110 celso felix trifil mea ")</f>
        <v>266840171 1306277 8177561 63.952.110 celso felix trifil mea </v>
      </c>
      <c r="V807" s="15" t="b">
        <f>IFERROR(__xludf.DUMMYFUNCTION("""COMPUTED_VALUE"""),FALSE)</f>
        <v>0</v>
      </c>
    </row>
    <row r="808">
      <c r="A808" s="19">
        <f>IFERROR(__xludf.DUMMYFUNCTION("""COMPUTED_VALUE"""),46304.0)</f>
        <v>46304</v>
      </c>
      <c r="B808" s="19">
        <f>IFERROR(__xludf.DUMMYFUNCTION("""COMPUTED_VALUE"""),46316.0)</f>
        <v>46316</v>
      </c>
      <c r="C808" s="15">
        <f>IFERROR(__xludf.DUMMYFUNCTION("""COMPUTED_VALUE"""),7.0)</f>
        <v>7</v>
      </c>
      <c r="D808" s="15" t="str">
        <f>IFERROR(__xludf.DUMMYFUNCTION("""COMPUTED_VALUE"""),"V2C")</f>
        <v>V2C</v>
      </c>
      <c r="E808" s="15" t="str">
        <f>IFERROR(__xludf.DUMMYFUNCTION("""COMPUTED_VALUE"""),"WM VIGUINI MODA INTIMA LTDA")</f>
        <v>WM VIGUINI MODA INTIMA LTDA</v>
      </c>
      <c r="F808" s="15" t="str">
        <f>IFERROR(__xludf.DUMMYFUNCTION("""COMPUTED_VALUE"""),"TRIFIL")</f>
        <v>TRIFIL</v>
      </c>
      <c r="G808" s="15" t="str">
        <f>IFERROR(__xludf.DUMMYFUNCTION("""COMPUTED_VALUE"""),"266840175")</f>
        <v>266840175</v>
      </c>
      <c r="H808" s="15" t="str">
        <f>IFERROR(__xludf.DUMMYFUNCTION("""COMPUTED_VALUE"""),"1306069")</f>
        <v>1306069</v>
      </c>
      <c r="I808" s="15" t="str">
        <f>IFERROR(__xludf.DUMMYFUNCTION("""COMPUTED_VALUE"""),"8177517")</f>
        <v>8177517</v>
      </c>
      <c r="J808" s="15" t="str">
        <f>IFERROR(__xludf.DUMMYFUNCTION("""COMPUTED_VALUE"""),"CIF")</f>
        <v>CIF</v>
      </c>
      <c r="K808" s="15" t="str">
        <f>IFERROR(__xludf.DUMMYFUNCTION("""COMPUTED_VALUE"""),"(sem célula)")</f>
        <v>(sem célula)</v>
      </c>
      <c r="L808" s="15" t="str">
        <f>IFERROR(__xludf.DUMMYFUNCTION("""COMPUTED_VALUE"""),"AUTORIZADO")</f>
        <v>AUTORIZADO</v>
      </c>
      <c r="M808" s="15" t="str">
        <f>IFERROR(__xludf.DUMMYFUNCTION("""COMPUTED_VALUE"""),"NA ORIGEM")</f>
        <v>NA ORIGEM</v>
      </c>
      <c r="N808" s="15" t="str">
        <f>IFERROR(__xludf.DUMMYFUNCTION("""COMPUTED_VALUE"""),"Antes Prazo")</f>
        <v>Antes Prazo</v>
      </c>
      <c r="O808" s="15" t="str">
        <f>IFERROR(__xludf.DUMMYFUNCTION("""COMPUTED_VALUE"""),"B2B")</f>
        <v>B2B</v>
      </c>
      <c r="P808" s="16">
        <f>IFERROR(__xludf.DUMMYFUNCTION("""COMPUTED_VALUE"""),44.77)</f>
        <v>44.77</v>
      </c>
      <c r="Q808" s="15">
        <f>IFERROR(__xludf.DUMMYFUNCTION("""COMPUTED_VALUE"""),1.0)</f>
        <v>1</v>
      </c>
      <c r="R808" s="15" t="str">
        <f>IFERROR(__xludf.DUMMYFUNCTION("""COMPUTED_VALUE"""),"RODO")</f>
        <v>RODO</v>
      </c>
      <c r="S808" s="15" t="str">
        <f>IFERROR(__xludf.DUMMYFUNCTION("""COMPUTED_VALUE"""),"ITN")</f>
        <v>ITN</v>
      </c>
      <c r="T808" s="15" t="str">
        <f>IFERROR(__xludf.DUMMYFUNCTION("""COMPUTED_VALUE"""),"60")</f>
        <v>60</v>
      </c>
      <c r="U808" s="15" t="str">
        <f>IFERROR(__xludf.DUMMYFUNCTION("""COMPUTED_VALUE"""),"266840175 1306069 8177517 wm viguini moda intima ltda trifil v2c 60")</f>
        <v>266840175 1306069 8177517 wm viguini moda intima ltda trifil v2c 60</v>
      </c>
      <c r="V808" s="15" t="b">
        <f>IFERROR(__xludf.DUMMYFUNCTION("""COMPUTED_VALUE"""),FALSE)</f>
        <v>0</v>
      </c>
    </row>
    <row r="809">
      <c r="A809" s="19">
        <f>IFERROR(__xludf.DUMMYFUNCTION("""COMPUTED_VALUE"""),46304.0)</f>
        <v>46304</v>
      </c>
      <c r="B809" s="19">
        <f>IFERROR(__xludf.DUMMYFUNCTION("""COMPUTED_VALUE"""),46316.0)</f>
        <v>46316</v>
      </c>
      <c r="C809" s="15">
        <f>IFERROR(__xludf.DUMMYFUNCTION("""COMPUTED_VALUE"""),7.0)</f>
        <v>7</v>
      </c>
      <c r="D809" s="15" t="str">
        <f>IFERROR(__xludf.DUMMYFUNCTION("""COMPUTED_VALUE"""),"V2C")</f>
        <v>V2C</v>
      </c>
      <c r="E809" s="15" t="str">
        <f>IFERROR(__xludf.DUMMYFUNCTION("""COMPUTED_VALUE"""),"G. SANGALI ME")</f>
        <v>G. SANGALI ME</v>
      </c>
      <c r="F809" s="15" t="str">
        <f>IFERROR(__xludf.DUMMYFUNCTION("""COMPUTED_VALUE"""),"TRIFIL")</f>
        <v>TRIFIL</v>
      </c>
      <c r="G809" s="15" t="str">
        <f>IFERROR(__xludf.DUMMYFUNCTION("""COMPUTED_VALUE"""),"266840177")</f>
        <v>266840177</v>
      </c>
      <c r="H809" s="15" t="str">
        <f>IFERROR(__xludf.DUMMYFUNCTION("""COMPUTED_VALUE"""),"1306284")</f>
        <v>1306284</v>
      </c>
      <c r="I809" s="15" t="str">
        <f>IFERROR(__xludf.DUMMYFUNCTION("""COMPUTED_VALUE"""),"8177468")</f>
        <v>8177468</v>
      </c>
      <c r="J809" s="15" t="str">
        <f>IFERROR(__xludf.DUMMYFUNCTION("""COMPUTED_VALUE"""),"CIF")</f>
        <v>CIF</v>
      </c>
      <c r="K809" s="15" t="str">
        <f>IFERROR(__xludf.DUMMYFUNCTION("""COMPUTED_VALUE"""),"(sem célula)")</f>
        <v>(sem célula)</v>
      </c>
      <c r="L809" s="15" t="str">
        <f>IFERROR(__xludf.DUMMYFUNCTION("""COMPUTED_VALUE"""),"AUTORIZADO")</f>
        <v>AUTORIZADO</v>
      </c>
      <c r="M809" s="15" t="str">
        <f>IFERROR(__xludf.DUMMYFUNCTION("""COMPUTED_VALUE"""),"NA ORIGEM")</f>
        <v>NA ORIGEM</v>
      </c>
      <c r="N809" s="15" t="str">
        <f>IFERROR(__xludf.DUMMYFUNCTION("""COMPUTED_VALUE"""),"Antes Prazo")</f>
        <v>Antes Prazo</v>
      </c>
      <c r="O809" s="15" t="str">
        <f>IFERROR(__xludf.DUMMYFUNCTION("""COMPUTED_VALUE"""),"B2B")</f>
        <v>B2B</v>
      </c>
      <c r="P809" s="16">
        <f>IFERROR(__xludf.DUMMYFUNCTION("""COMPUTED_VALUE"""),44.77)</f>
        <v>44.77</v>
      </c>
      <c r="Q809" s="15">
        <f>IFERROR(__xludf.DUMMYFUNCTION("""COMPUTED_VALUE"""),1.0)</f>
        <v>1</v>
      </c>
      <c r="R809" s="15" t="str">
        <f>IFERROR(__xludf.DUMMYFUNCTION("""COMPUTED_VALUE"""),"RODO")</f>
        <v>RODO</v>
      </c>
      <c r="S809" s="15" t="str">
        <f>IFERROR(__xludf.DUMMYFUNCTION("""COMPUTED_VALUE"""),"ITN")</f>
        <v>ITN</v>
      </c>
      <c r="T809" s="15" t="str">
        <f>IFERROR(__xludf.DUMMYFUNCTION("""COMPUTED_VALUE"""),"56")</f>
        <v>56</v>
      </c>
      <c r="U809" s="15" t="str">
        <f>IFERROR(__xludf.DUMMYFUNCTION("""COMPUTED_VALUE"""),"266840177 1306284 8177468 g. sangali me trifil v2c 56")</f>
        <v>266840177 1306284 8177468 g. sangali me trifil v2c 56</v>
      </c>
      <c r="V809" s="15" t="b">
        <f>IFERROR(__xludf.DUMMYFUNCTION("""COMPUTED_VALUE"""),FALSE)</f>
        <v>0</v>
      </c>
    </row>
    <row r="810">
      <c r="A810" s="19">
        <f>IFERROR(__xludf.DUMMYFUNCTION("""COMPUTED_VALUE"""),46304.0)</f>
        <v>46304</v>
      </c>
      <c r="B810" s="19">
        <f>IFERROR(__xludf.DUMMYFUNCTION("""COMPUTED_VALUE"""),46316.0)</f>
        <v>46316</v>
      </c>
      <c r="C810" s="15">
        <f>IFERROR(__xludf.DUMMYFUNCTION("""COMPUTED_VALUE"""),7.0)</f>
        <v>7</v>
      </c>
      <c r="D810" s="15" t="str">
        <f>IFERROR(__xludf.DUMMYFUNCTION("""COMPUTED_VALUE"""),"GRU")</f>
        <v>GRU</v>
      </c>
      <c r="E810" s="15" t="str">
        <f>IFERROR(__xludf.DUMMYFUNCTION("""COMPUTED_VALUE"""),"CALCADOS DESTAKE LTDA")</f>
        <v>CALCADOS DESTAKE LTDA</v>
      </c>
      <c r="F810" s="15" t="str">
        <f>IFERROR(__xludf.DUMMYFUNCTION("""COMPUTED_VALUE"""),"TRIFIL")</f>
        <v>TRIFIL</v>
      </c>
      <c r="G810" s="15" t="str">
        <f>IFERROR(__xludf.DUMMYFUNCTION("""COMPUTED_VALUE"""),"266840179")</f>
        <v>266840179</v>
      </c>
      <c r="H810" s="15" t="str">
        <f>IFERROR(__xludf.DUMMYFUNCTION("""COMPUTED_VALUE"""),"1306206")</f>
        <v>1306206</v>
      </c>
      <c r="I810" s="15" t="str">
        <f>IFERROR(__xludf.DUMMYFUNCTION("""COMPUTED_VALUE"""),"8177518")</f>
        <v>8177518</v>
      </c>
      <c r="J810" s="15" t="str">
        <f>IFERROR(__xludf.DUMMYFUNCTION("""COMPUTED_VALUE"""),"CIF")</f>
        <v>CIF</v>
      </c>
      <c r="K810" s="15" t="str">
        <f>IFERROR(__xludf.DUMMYFUNCTION("""COMPUTED_VALUE"""),"SAO-1")</f>
        <v>SAO-1</v>
      </c>
      <c r="L810" s="15" t="str">
        <f>IFERROR(__xludf.DUMMYFUNCTION("""COMPUTED_VALUE"""),"AUTORIZADO")</f>
        <v>AUTORIZADO</v>
      </c>
      <c r="M810" s="15" t="str">
        <f>IFERROR(__xludf.DUMMYFUNCTION("""COMPUTED_VALUE"""),"NA ORIGEM")</f>
        <v>NA ORIGEM</v>
      </c>
      <c r="N810" s="15" t="str">
        <f>IFERROR(__xludf.DUMMYFUNCTION("""COMPUTED_VALUE"""),"Antes Prazo")</f>
        <v>Antes Prazo</v>
      </c>
      <c r="O810" s="15" t="str">
        <f>IFERROR(__xludf.DUMMYFUNCTION("""COMPUTED_VALUE"""),"B2B")</f>
        <v>B2B</v>
      </c>
      <c r="P810" s="16">
        <f>IFERROR(__xludf.DUMMYFUNCTION("""COMPUTED_VALUE"""),45.49)</f>
        <v>45.49</v>
      </c>
      <c r="Q810" s="15">
        <f>IFERROR(__xludf.DUMMYFUNCTION("""COMPUTED_VALUE"""),1.0)</f>
        <v>1</v>
      </c>
      <c r="R810" s="15" t="str">
        <f>IFERROR(__xludf.DUMMYFUNCTION("""COMPUTED_VALUE"""),"RODO")</f>
        <v>RODO</v>
      </c>
      <c r="S810" s="15" t="str">
        <f>IFERROR(__xludf.DUMMYFUNCTION("""COMPUTED_VALUE"""),"ITN")</f>
        <v>ITN</v>
      </c>
      <c r="T810" s="15" t="str">
        <f>IFERROR(__xludf.DUMMYFUNCTION("""COMPUTED_VALUE"""),"2321")</f>
        <v>2321</v>
      </c>
      <c r="U810" s="15" t="str">
        <f>IFERROR(__xludf.DUMMYFUNCTION("""COMPUTED_VALUE"""),"266840179 1306206 8177518 calcados destake ltda trifil gru 2321")</f>
        <v>266840179 1306206 8177518 calcados destake ltda trifil gru 2321</v>
      </c>
      <c r="V810" s="15" t="b">
        <f>IFERROR(__xludf.DUMMYFUNCTION("""COMPUTED_VALUE"""),FALSE)</f>
        <v>0</v>
      </c>
    </row>
    <row r="811">
      <c r="A811" s="19">
        <f>IFERROR(__xludf.DUMMYFUNCTION("""COMPUTED_VALUE"""),46304.0)</f>
        <v>46304</v>
      </c>
      <c r="B811" s="19">
        <f>IFERROR(__xludf.DUMMYFUNCTION("""COMPUTED_VALUE"""),46317.0)</f>
        <v>46317</v>
      </c>
      <c r="C811" s="15">
        <f>IFERROR(__xludf.DUMMYFUNCTION("""COMPUTED_VALUE"""),8.0)</f>
        <v>8</v>
      </c>
      <c r="D811" s="15" t="str">
        <f>IFERROR(__xludf.DUMMYFUNCTION("""COMPUTED_VALUE"""),"BCG")</f>
        <v>BCG</v>
      </c>
      <c r="E811" s="15" t="str">
        <f>IFERROR(__xludf.DUMMYFUNCTION("""COMPUTED_VALUE"""),"SECRETS MODA INTIMA")</f>
        <v>SECRETS MODA INTIMA</v>
      </c>
      <c r="F811" s="15" t="str">
        <f>IFERROR(__xludf.DUMMYFUNCTION("""COMPUTED_VALUE"""),"TRIFIL")</f>
        <v>TRIFIL</v>
      </c>
      <c r="G811" s="15" t="str">
        <f>IFERROR(__xludf.DUMMYFUNCTION("""COMPUTED_VALUE"""),"266840182")</f>
        <v>266840182</v>
      </c>
      <c r="H811" s="15" t="str">
        <f>IFERROR(__xludf.DUMMYFUNCTION("""COMPUTED_VALUE"""),"1306308")</f>
        <v>1306308</v>
      </c>
      <c r="I811" s="15" t="str">
        <f>IFERROR(__xludf.DUMMYFUNCTION("""COMPUTED_VALUE"""),"8177416")</f>
        <v>8177416</v>
      </c>
      <c r="J811" s="15" t="str">
        <f>IFERROR(__xludf.DUMMYFUNCTION("""COMPUTED_VALUE"""),"CIF")</f>
        <v>CIF</v>
      </c>
      <c r="K811" s="15" t="str">
        <f>IFERROR(__xludf.DUMMYFUNCTION("""COMPUTED_VALUE"""),"(sem célula)")</f>
        <v>(sem célula)</v>
      </c>
      <c r="L811" s="15" t="str">
        <f>IFERROR(__xludf.DUMMYFUNCTION("""COMPUTED_VALUE"""),"AUTORIZADO")</f>
        <v>AUTORIZADO</v>
      </c>
      <c r="M811" s="15" t="str">
        <f>IFERROR(__xludf.DUMMYFUNCTION("""COMPUTED_VALUE"""),"NA ORIGEM")</f>
        <v>NA ORIGEM</v>
      </c>
      <c r="N811" s="15" t="str">
        <f>IFERROR(__xludf.DUMMYFUNCTION("""COMPUTED_VALUE"""),"Antes Prazo")</f>
        <v>Antes Prazo</v>
      </c>
      <c r="O811" s="15" t="str">
        <f>IFERROR(__xludf.DUMMYFUNCTION("""COMPUTED_VALUE"""),"B2B")</f>
        <v>B2B</v>
      </c>
      <c r="P811" s="16">
        <f>IFERROR(__xludf.DUMMYFUNCTION("""COMPUTED_VALUE"""),51.62)</f>
        <v>51.62</v>
      </c>
      <c r="Q811" s="15">
        <f>IFERROR(__xludf.DUMMYFUNCTION("""COMPUTED_VALUE"""),1.0)</f>
        <v>1</v>
      </c>
      <c r="R811" s="15" t="str">
        <f>IFERROR(__xludf.DUMMYFUNCTION("""COMPUTED_VALUE"""),"RODO")</f>
        <v>RODO</v>
      </c>
      <c r="S811" s="15" t="str">
        <f>IFERROR(__xludf.DUMMYFUNCTION("""COMPUTED_VALUE"""),"ITN")</f>
        <v>ITN</v>
      </c>
      <c r="T811" s="15" t="str">
        <f>IFERROR(__xludf.DUMMYFUNCTION("""COMPUTED_VALUE"""),"125")</f>
        <v>125</v>
      </c>
      <c r="U811" s="15" t="str">
        <f>IFERROR(__xludf.DUMMYFUNCTION("""COMPUTED_VALUE"""),"266840182 1306308 8177416 secrets moda intima trifil bcg 125")</f>
        <v>266840182 1306308 8177416 secrets moda intima trifil bcg 125</v>
      </c>
      <c r="V811" s="15" t="b">
        <f>IFERROR(__xludf.DUMMYFUNCTION("""COMPUTED_VALUE"""),FALSE)</f>
        <v>0</v>
      </c>
    </row>
    <row r="812">
      <c r="A812" s="19">
        <f>IFERROR(__xludf.DUMMYFUNCTION("""COMPUTED_VALUE"""),46304.0)</f>
        <v>46304</v>
      </c>
      <c r="B812" s="19">
        <f>IFERROR(__xludf.DUMMYFUNCTION("""COMPUTED_VALUE"""),46316.0)</f>
        <v>46316</v>
      </c>
      <c r="C812" s="15">
        <f>IFERROR(__xludf.DUMMYFUNCTION("""COMPUTED_VALUE"""),7.0)</f>
        <v>7</v>
      </c>
      <c r="D812" s="15" t="str">
        <f>IFERROR(__xludf.DUMMYFUNCTION("""COMPUTED_VALUE"""),"GRU")</f>
        <v>GRU</v>
      </c>
      <c r="E812" s="15" t="str">
        <f>IFERROR(__xludf.DUMMYFUNCTION("""COMPUTED_VALUE"""),"CURVA MODAS LTDA ME")</f>
        <v>CURVA MODAS LTDA ME</v>
      </c>
      <c r="F812" s="15" t="str">
        <f>IFERROR(__xludf.DUMMYFUNCTION("""COMPUTED_VALUE"""),"TRIFIL")</f>
        <v>TRIFIL</v>
      </c>
      <c r="G812" s="15" t="str">
        <f>IFERROR(__xludf.DUMMYFUNCTION("""COMPUTED_VALUE"""),"266840185")</f>
        <v>266840185</v>
      </c>
      <c r="H812" s="15" t="str">
        <f>IFERROR(__xludf.DUMMYFUNCTION("""COMPUTED_VALUE"""),"1306520")</f>
        <v>1306520</v>
      </c>
      <c r="I812" s="15" t="str">
        <f>IFERROR(__xludf.DUMMYFUNCTION("""COMPUTED_VALUE"""),"8177417")</f>
        <v>8177417</v>
      </c>
      <c r="J812" s="15" t="str">
        <f>IFERROR(__xludf.DUMMYFUNCTION("""COMPUTED_VALUE"""),"CIF")</f>
        <v>CIF</v>
      </c>
      <c r="K812" s="15" t="str">
        <f>IFERROR(__xludf.DUMMYFUNCTION("""COMPUTED_VALUE"""),"SAO-1")</f>
        <v>SAO-1</v>
      </c>
      <c r="L812" s="15" t="str">
        <f>IFERROR(__xludf.DUMMYFUNCTION("""COMPUTED_VALUE"""),"AUTORIZADO")</f>
        <v>AUTORIZADO</v>
      </c>
      <c r="M812" s="15" t="str">
        <f>IFERROR(__xludf.DUMMYFUNCTION("""COMPUTED_VALUE"""),"NA ORIGEM")</f>
        <v>NA ORIGEM</v>
      </c>
      <c r="N812" s="15" t="str">
        <f>IFERROR(__xludf.DUMMYFUNCTION("""COMPUTED_VALUE"""),"Antes Prazo")</f>
        <v>Antes Prazo</v>
      </c>
      <c r="O812" s="15" t="str">
        <f>IFERROR(__xludf.DUMMYFUNCTION("""COMPUTED_VALUE"""),"B2B")</f>
        <v>B2B</v>
      </c>
      <c r="P812" s="16">
        <f>IFERROR(__xludf.DUMMYFUNCTION("""COMPUTED_VALUE"""),45.49)</f>
        <v>45.49</v>
      </c>
      <c r="Q812" s="15">
        <f>IFERROR(__xludf.DUMMYFUNCTION("""COMPUTED_VALUE"""),3.0)</f>
        <v>3</v>
      </c>
      <c r="R812" s="15" t="str">
        <f>IFERROR(__xludf.DUMMYFUNCTION("""COMPUTED_VALUE"""),"RODO")</f>
        <v>RODO</v>
      </c>
      <c r="S812" s="15" t="str">
        <f>IFERROR(__xludf.DUMMYFUNCTION("""COMPUTED_VALUE"""),"ITN")</f>
        <v>ITN</v>
      </c>
      <c r="T812" s="15" t="str">
        <f>IFERROR(__xludf.DUMMYFUNCTION("""COMPUTED_VALUE"""),"2330")</f>
        <v>2330</v>
      </c>
      <c r="U812" s="15" t="str">
        <f>IFERROR(__xludf.DUMMYFUNCTION("""COMPUTED_VALUE"""),"266840185 1306520 8177417 curva modas ltda me trifil gru 2330")</f>
        <v>266840185 1306520 8177417 curva modas ltda me trifil gru 2330</v>
      </c>
      <c r="V812" s="15" t="b">
        <f>IFERROR(__xludf.DUMMYFUNCTION("""COMPUTED_VALUE"""),FALSE)</f>
        <v>0</v>
      </c>
    </row>
    <row r="813">
      <c r="A813" s="19">
        <f>IFERROR(__xludf.DUMMYFUNCTION("""COMPUTED_VALUE"""),46304.0)</f>
        <v>46304</v>
      </c>
      <c r="B813" s="19">
        <f>IFERROR(__xludf.DUMMYFUNCTION("""COMPUTED_VALUE"""),46316.0)</f>
        <v>46316</v>
      </c>
      <c r="C813" s="15">
        <f>IFERROR(__xludf.DUMMYFUNCTION("""COMPUTED_VALUE"""),7.0)</f>
        <v>7</v>
      </c>
      <c r="D813" s="15" t="str">
        <f>IFERROR(__xludf.DUMMYFUNCTION("""COMPUTED_VALUE"""),"GRU")</f>
        <v>GRU</v>
      </c>
      <c r="E813" s="15" t="str">
        <f>IFERROR(__xludf.DUMMYFUNCTION("""COMPUTED_VALUE"""),"PITY MODAS LTDA")</f>
        <v>PITY MODAS LTDA</v>
      </c>
      <c r="F813" s="15" t="str">
        <f>IFERROR(__xludf.DUMMYFUNCTION("""COMPUTED_VALUE"""),"TRIFIL")</f>
        <v>TRIFIL</v>
      </c>
      <c r="G813" s="15" t="str">
        <f>IFERROR(__xludf.DUMMYFUNCTION("""COMPUTED_VALUE"""),"266840187")</f>
        <v>266840187</v>
      </c>
      <c r="H813" s="15" t="str">
        <f>IFERROR(__xludf.DUMMYFUNCTION("""COMPUTED_VALUE"""),"1306379")</f>
        <v>1306379</v>
      </c>
      <c r="I813" s="15" t="str">
        <f>IFERROR(__xludf.DUMMYFUNCTION("""COMPUTED_VALUE"""),"8177519")</f>
        <v>8177519</v>
      </c>
      <c r="J813" s="15" t="str">
        <f>IFERROR(__xludf.DUMMYFUNCTION("""COMPUTED_VALUE"""),"CIF")</f>
        <v>CIF</v>
      </c>
      <c r="K813" s="15" t="str">
        <f>IFERROR(__xludf.DUMMYFUNCTION("""COMPUTED_VALUE"""),"(sem célula)")</f>
        <v>(sem célula)</v>
      </c>
      <c r="L813" s="15" t="str">
        <f>IFERROR(__xludf.DUMMYFUNCTION("""COMPUTED_VALUE"""),"AUTORIZADO")</f>
        <v>AUTORIZADO</v>
      </c>
      <c r="M813" s="15" t="str">
        <f>IFERROR(__xludf.DUMMYFUNCTION("""COMPUTED_VALUE"""),"NA ORIGEM")</f>
        <v>NA ORIGEM</v>
      </c>
      <c r="N813" s="15" t="str">
        <f>IFERROR(__xludf.DUMMYFUNCTION("""COMPUTED_VALUE"""),"Antes Prazo")</f>
        <v>Antes Prazo</v>
      </c>
      <c r="O813" s="15" t="str">
        <f>IFERROR(__xludf.DUMMYFUNCTION("""COMPUTED_VALUE"""),"B2B")</f>
        <v>B2B</v>
      </c>
      <c r="P813" s="16">
        <f>IFERROR(__xludf.DUMMYFUNCTION("""COMPUTED_VALUE"""),45.49)</f>
        <v>45.49</v>
      </c>
      <c r="Q813" s="15">
        <f>IFERROR(__xludf.DUMMYFUNCTION("""COMPUTED_VALUE"""),1.0)</f>
        <v>1</v>
      </c>
      <c r="R813" s="15" t="str">
        <f>IFERROR(__xludf.DUMMYFUNCTION("""COMPUTED_VALUE"""),"RODO")</f>
        <v>RODO</v>
      </c>
      <c r="S813" s="15" t="str">
        <f>IFERROR(__xludf.DUMMYFUNCTION("""COMPUTED_VALUE"""),"ITN")</f>
        <v>ITN</v>
      </c>
      <c r="T813" s="15" t="str">
        <f>IFERROR(__xludf.DUMMYFUNCTION("""COMPUTED_VALUE"""),"2330")</f>
        <v>2330</v>
      </c>
      <c r="U813" s="15" t="str">
        <f>IFERROR(__xludf.DUMMYFUNCTION("""COMPUTED_VALUE"""),"266840187 1306379 8177519 pity modas ltda trifil gru 2330")</f>
        <v>266840187 1306379 8177519 pity modas ltda trifil gru 2330</v>
      </c>
      <c r="V813" s="15" t="b">
        <f>IFERROR(__xludf.DUMMYFUNCTION("""COMPUTED_VALUE"""),FALSE)</f>
        <v>0</v>
      </c>
    </row>
    <row r="814">
      <c r="A814" s="19">
        <f>IFERROR(__xludf.DUMMYFUNCTION("""COMPUTED_VALUE"""),46304.0)</f>
        <v>46304</v>
      </c>
      <c r="B814" s="19">
        <f>IFERROR(__xludf.DUMMYFUNCTION("""COMPUTED_VALUE"""),46316.0)</f>
        <v>46316</v>
      </c>
      <c r="C814" s="15">
        <f>IFERROR(__xludf.DUMMYFUNCTION("""COMPUTED_VALUE"""),7.0)</f>
        <v>7</v>
      </c>
      <c r="D814" s="15" t="str">
        <f>IFERROR(__xludf.DUMMYFUNCTION("""COMPUTED_VALUE"""),"DIQ")</f>
        <v>DIQ</v>
      </c>
      <c r="E814" s="15" t="str">
        <f>IFERROR(__xludf.DUMMYFUNCTION("""COMPUTED_VALUE"""),"DIV INTIMA COMERCIO DE CONFECCOES LTDA")</f>
        <v>DIV INTIMA COMERCIO DE CONFECCOES LTDA</v>
      </c>
      <c r="F814" s="15" t="str">
        <f>IFERROR(__xludf.DUMMYFUNCTION("""COMPUTED_VALUE"""),"TRIFIL")</f>
        <v>TRIFIL</v>
      </c>
      <c r="G814" s="15" t="str">
        <f>IFERROR(__xludf.DUMMYFUNCTION("""COMPUTED_VALUE"""),"266840189")</f>
        <v>266840189</v>
      </c>
      <c r="H814" s="15" t="str">
        <f>IFERROR(__xludf.DUMMYFUNCTION("""COMPUTED_VALUE"""),"1306299")</f>
        <v>1306299</v>
      </c>
      <c r="I814" s="15" t="str">
        <f>IFERROR(__xludf.DUMMYFUNCTION("""COMPUTED_VALUE"""),"8177469")</f>
        <v>8177469</v>
      </c>
      <c r="J814" s="15" t="str">
        <f>IFERROR(__xludf.DUMMYFUNCTION("""COMPUTED_VALUE"""),"CIF")</f>
        <v>CIF</v>
      </c>
      <c r="K814" s="15" t="str">
        <f>IFERROR(__xludf.DUMMYFUNCTION("""COMPUTED_VALUE"""),"(sem célula)")</f>
        <v>(sem célula)</v>
      </c>
      <c r="L814" s="15" t="str">
        <f>IFERROR(__xludf.DUMMYFUNCTION("""COMPUTED_VALUE"""),"AUTORIZADO")</f>
        <v>AUTORIZADO</v>
      </c>
      <c r="M814" s="15" t="str">
        <f>IFERROR(__xludf.DUMMYFUNCTION("""COMPUTED_VALUE"""),"NA ORIGEM")</f>
        <v>NA ORIGEM</v>
      </c>
      <c r="N814" s="15" t="str">
        <f>IFERROR(__xludf.DUMMYFUNCTION("""COMPUTED_VALUE"""),"Antes Prazo")</f>
        <v>Antes Prazo</v>
      </c>
      <c r="O814" s="15" t="str">
        <f>IFERROR(__xludf.DUMMYFUNCTION("""COMPUTED_VALUE"""),"B2B")</f>
        <v>B2B</v>
      </c>
      <c r="P814" s="16">
        <f>IFERROR(__xludf.DUMMYFUNCTION("""COMPUTED_VALUE"""),44.59)</f>
        <v>44.59</v>
      </c>
      <c r="Q814" s="15">
        <f>IFERROR(__xludf.DUMMYFUNCTION("""COMPUTED_VALUE"""),1.0)</f>
        <v>1</v>
      </c>
      <c r="R814" s="15" t="str">
        <f>IFERROR(__xludf.DUMMYFUNCTION("""COMPUTED_VALUE"""),"RODO")</f>
        <v>RODO</v>
      </c>
      <c r="S814" s="15" t="str">
        <f>IFERROR(__xludf.DUMMYFUNCTION("""COMPUTED_VALUE"""),"ITN")</f>
        <v>ITN</v>
      </c>
      <c r="T814" s="15" t="str">
        <f>IFERROR(__xludf.DUMMYFUNCTION("""COMPUTED_VALUE"""),"1")</f>
        <v>1</v>
      </c>
      <c r="U814" s="15" t="str">
        <f>IFERROR(__xludf.DUMMYFUNCTION("""COMPUTED_VALUE"""),"266840189 1306299 8177469 div intima comercio de confeccoes ltda trifil diq 1")</f>
        <v>266840189 1306299 8177469 div intima comercio de confeccoes ltda trifil diq 1</v>
      </c>
      <c r="V814" s="15" t="b">
        <f>IFERROR(__xludf.DUMMYFUNCTION("""COMPUTED_VALUE"""),FALSE)</f>
        <v>0</v>
      </c>
    </row>
    <row r="815">
      <c r="A815" s="19">
        <f>IFERROR(__xludf.DUMMYFUNCTION("""COMPUTED_VALUE"""),46304.0)</f>
        <v>46304</v>
      </c>
      <c r="B815" s="19">
        <f>IFERROR(__xludf.DUMMYFUNCTION("""COMPUTED_VALUE"""),46316.0)</f>
        <v>46316</v>
      </c>
      <c r="C815" s="15">
        <f>IFERROR(__xludf.DUMMYFUNCTION("""COMPUTED_VALUE"""),7.0)</f>
        <v>7</v>
      </c>
      <c r="D815" s="15" t="str">
        <f>IFERROR(__xludf.DUMMYFUNCTION("""COMPUTED_VALUE"""),"DIQ")</f>
        <v>DIQ</v>
      </c>
      <c r="E815" s="15" t="str">
        <f>IFERROR(__xludf.DUMMYFUNCTION("""COMPUTED_VALUE"""),"DIVBELLA MODA INTIMA LTDA")</f>
        <v>DIVBELLA MODA INTIMA LTDA</v>
      </c>
      <c r="F815" s="15" t="str">
        <f>IFERROR(__xludf.DUMMYFUNCTION("""COMPUTED_VALUE"""),"TRIFIL")</f>
        <v>TRIFIL</v>
      </c>
      <c r="G815" s="15" t="str">
        <f>IFERROR(__xludf.DUMMYFUNCTION("""COMPUTED_VALUE"""),"266840191")</f>
        <v>266840191</v>
      </c>
      <c r="H815" s="15" t="str">
        <f>IFERROR(__xludf.DUMMYFUNCTION("""COMPUTED_VALUE"""),"1306180")</f>
        <v>1306180</v>
      </c>
      <c r="I815" s="15" t="str">
        <f>IFERROR(__xludf.DUMMYFUNCTION("""COMPUTED_VALUE"""),"8177520")</f>
        <v>8177520</v>
      </c>
      <c r="J815" s="15" t="str">
        <f>IFERROR(__xludf.DUMMYFUNCTION("""COMPUTED_VALUE"""),"CIF")</f>
        <v>CIF</v>
      </c>
      <c r="K815" s="15" t="str">
        <f>IFERROR(__xludf.DUMMYFUNCTION("""COMPUTED_VALUE"""),"(sem célula)")</f>
        <v>(sem célula)</v>
      </c>
      <c r="L815" s="15" t="str">
        <f>IFERROR(__xludf.DUMMYFUNCTION("""COMPUTED_VALUE"""),"AUTORIZADO")</f>
        <v>AUTORIZADO</v>
      </c>
      <c r="M815" s="15" t="str">
        <f>IFERROR(__xludf.DUMMYFUNCTION("""COMPUTED_VALUE"""),"NA ORIGEM")</f>
        <v>NA ORIGEM</v>
      </c>
      <c r="N815" s="15" t="str">
        <f>IFERROR(__xludf.DUMMYFUNCTION("""COMPUTED_VALUE"""),"Antes Prazo")</f>
        <v>Antes Prazo</v>
      </c>
      <c r="O815" s="15" t="str">
        <f>IFERROR(__xludf.DUMMYFUNCTION("""COMPUTED_VALUE"""),"B2B")</f>
        <v>B2B</v>
      </c>
      <c r="P815" s="16">
        <f>IFERROR(__xludf.DUMMYFUNCTION("""COMPUTED_VALUE"""),44.59)</f>
        <v>44.59</v>
      </c>
      <c r="Q815" s="15">
        <f>IFERROR(__xludf.DUMMYFUNCTION("""COMPUTED_VALUE"""),1.0)</f>
        <v>1</v>
      </c>
      <c r="R815" s="15" t="str">
        <f>IFERROR(__xludf.DUMMYFUNCTION("""COMPUTED_VALUE"""),"RODO")</f>
        <v>RODO</v>
      </c>
      <c r="S815" s="15" t="str">
        <f>IFERROR(__xludf.DUMMYFUNCTION("""COMPUTED_VALUE"""),"ITN")</f>
        <v>ITN</v>
      </c>
      <c r="T815" s="15" t="str">
        <f>IFERROR(__xludf.DUMMYFUNCTION("""COMPUTED_VALUE"""),"2")</f>
        <v>2</v>
      </c>
      <c r="U815" s="15" t="str">
        <f>IFERROR(__xludf.DUMMYFUNCTION("""COMPUTED_VALUE"""),"266840191 1306180 8177520 divbella moda intima ltda trifil diq 2")</f>
        <v>266840191 1306180 8177520 divbella moda intima ltda trifil diq 2</v>
      </c>
      <c r="V815" s="15" t="b">
        <f>IFERROR(__xludf.DUMMYFUNCTION("""COMPUTED_VALUE"""),FALSE)</f>
        <v>0</v>
      </c>
    </row>
    <row r="816">
      <c r="A816" s="19">
        <f>IFERROR(__xludf.DUMMYFUNCTION("""COMPUTED_VALUE"""),46304.0)</f>
        <v>46304</v>
      </c>
      <c r="B816" s="19">
        <f>IFERROR(__xludf.DUMMYFUNCTION("""COMPUTED_VALUE"""),46317.0)</f>
        <v>46317</v>
      </c>
      <c r="C816" s="15">
        <f>IFERROR(__xludf.DUMMYFUNCTION("""COMPUTED_VALUE"""),8.0)</f>
        <v>8</v>
      </c>
      <c r="D816" s="15" t="str">
        <f>IFERROR(__xludf.DUMMYFUNCTION("""COMPUTED_VALUE"""),"BCG")</f>
        <v>BCG</v>
      </c>
      <c r="E816" s="15" t="str">
        <f>IFERROR(__xludf.DUMMYFUNCTION("""COMPUTED_VALUE"""),"UAI COMPREI COMERCIO ONLINE LTDA")</f>
        <v>UAI COMPREI COMERCIO ONLINE LTDA</v>
      </c>
      <c r="F816" s="15" t="str">
        <f>IFERROR(__xludf.DUMMYFUNCTION("""COMPUTED_VALUE"""),"TRIFIL")</f>
        <v>TRIFIL</v>
      </c>
      <c r="G816" s="15" t="str">
        <f>IFERROR(__xludf.DUMMYFUNCTION("""COMPUTED_VALUE"""),"266840193")</f>
        <v>266840193</v>
      </c>
      <c r="H816" s="15" t="str">
        <f>IFERROR(__xludf.DUMMYFUNCTION("""COMPUTED_VALUE"""),"1306320")</f>
        <v>1306320</v>
      </c>
      <c r="I816" s="15" t="str">
        <f>IFERROR(__xludf.DUMMYFUNCTION("""COMPUTED_VALUE"""),"8177418")</f>
        <v>8177418</v>
      </c>
      <c r="J816" s="15" t="str">
        <f>IFERROR(__xludf.DUMMYFUNCTION("""COMPUTED_VALUE"""),"CIF")</f>
        <v>CIF</v>
      </c>
      <c r="K816" s="15" t="str">
        <f>IFERROR(__xludf.DUMMYFUNCTION("""COMPUTED_VALUE"""),"(sem célula)")</f>
        <v>(sem célula)</v>
      </c>
      <c r="L816" s="15" t="str">
        <f>IFERROR(__xludf.DUMMYFUNCTION("""COMPUTED_VALUE"""),"AUTORIZADO")</f>
        <v>AUTORIZADO</v>
      </c>
      <c r="M816" s="15" t="str">
        <f>IFERROR(__xludf.DUMMYFUNCTION("""COMPUTED_VALUE"""),"NA ORIGEM")</f>
        <v>NA ORIGEM</v>
      </c>
      <c r="N816" s="15" t="str">
        <f>IFERROR(__xludf.DUMMYFUNCTION("""COMPUTED_VALUE"""),"Antes Prazo")</f>
        <v>Antes Prazo</v>
      </c>
      <c r="O816" s="15" t="str">
        <f>IFERROR(__xludf.DUMMYFUNCTION("""COMPUTED_VALUE"""),"B2B")</f>
        <v>B2B</v>
      </c>
      <c r="P816" s="16">
        <f>IFERROR(__xludf.DUMMYFUNCTION("""COMPUTED_VALUE"""),51.62)</f>
        <v>51.62</v>
      </c>
      <c r="Q816" s="15">
        <f>IFERROR(__xludf.DUMMYFUNCTION("""COMPUTED_VALUE"""),1.0)</f>
        <v>1</v>
      </c>
      <c r="R816" s="15" t="str">
        <f>IFERROR(__xludf.DUMMYFUNCTION("""COMPUTED_VALUE"""),"RODO")</f>
        <v>RODO</v>
      </c>
      <c r="S816" s="15" t="str">
        <f>IFERROR(__xludf.DUMMYFUNCTION("""COMPUTED_VALUE"""),"ITN")</f>
        <v>ITN</v>
      </c>
      <c r="T816" s="15" t="str">
        <f>IFERROR(__xludf.DUMMYFUNCTION("""COMPUTED_VALUE"""),"113")</f>
        <v>113</v>
      </c>
      <c r="U816" s="15" t="str">
        <f>IFERROR(__xludf.DUMMYFUNCTION("""COMPUTED_VALUE"""),"266840193 1306320 8177418 uai comprei comercio online ltda trifil bcg 113")</f>
        <v>266840193 1306320 8177418 uai comprei comercio online ltda trifil bcg 113</v>
      </c>
      <c r="V816" s="15" t="b">
        <f>IFERROR(__xludf.DUMMYFUNCTION("""COMPUTED_VALUE"""),FALSE)</f>
        <v>0</v>
      </c>
    </row>
    <row r="817">
      <c r="A817" s="19">
        <f>IFERROR(__xludf.DUMMYFUNCTION("""COMPUTED_VALUE"""),46304.0)</f>
        <v>46304</v>
      </c>
      <c r="B817" s="19">
        <f>IFERROR(__xludf.DUMMYFUNCTION("""COMPUTED_VALUE"""),46317.0)</f>
        <v>46317</v>
      </c>
      <c r="C817" s="15">
        <f>IFERROR(__xludf.DUMMYFUNCTION("""COMPUTED_VALUE"""),8.0)</f>
        <v>8</v>
      </c>
      <c r="D817" s="15" t="str">
        <f>IFERROR(__xludf.DUMMYFUNCTION("""COMPUTED_VALUE"""),"JDF")</f>
        <v>JDF</v>
      </c>
      <c r="E817" s="15" t="str">
        <f>IFERROR(__xludf.DUMMYFUNCTION("""COMPUTED_VALUE"""),"MEGA VALE JF COSMETICOS LTDA")</f>
        <v>MEGA VALE JF COSMETICOS LTDA</v>
      </c>
      <c r="F817" s="15" t="str">
        <f>IFERROR(__xludf.DUMMYFUNCTION("""COMPUTED_VALUE"""),"TRIFIL")</f>
        <v>TRIFIL</v>
      </c>
      <c r="G817" s="15" t="str">
        <f>IFERROR(__xludf.DUMMYFUNCTION("""COMPUTED_VALUE"""),"266840195")</f>
        <v>266840195</v>
      </c>
      <c r="H817" s="15" t="str">
        <f>IFERROR(__xludf.DUMMYFUNCTION("""COMPUTED_VALUE"""),"1306094")</f>
        <v>1306094</v>
      </c>
      <c r="I817" s="15" t="str">
        <f>IFERROR(__xludf.DUMMYFUNCTION("""COMPUTED_VALUE"""),"8177444")</f>
        <v>8177444</v>
      </c>
      <c r="J817" s="15" t="str">
        <f>IFERROR(__xludf.DUMMYFUNCTION("""COMPUTED_VALUE"""),"CIF")</f>
        <v>CIF</v>
      </c>
      <c r="K817" s="15" t="str">
        <f>IFERROR(__xludf.DUMMYFUNCTION("""COMPUTED_VALUE"""),"(sem célula)")</f>
        <v>(sem célula)</v>
      </c>
      <c r="L817" s="15" t="str">
        <f>IFERROR(__xludf.DUMMYFUNCTION("""COMPUTED_VALUE"""),"AUTORIZADO")</f>
        <v>AUTORIZADO</v>
      </c>
      <c r="M817" s="15" t="str">
        <f>IFERROR(__xludf.DUMMYFUNCTION("""COMPUTED_VALUE"""),"NA ORIGEM")</f>
        <v>NA ORIGEM</v>
      </c>
      <c r="N817" s="15" t="str">
        <f>IFERROR(__xludf.DUMMYFUNCTION("""COMPUTED_VALUE"""),"Antes Prazo")</f>
        <v>Antes Prazo</v>
      </c>
      <c r="O817" s="15" t="str">
        <f>IFERROR(__xludf.DUMMYFUNCTION("""COMPUTED_VALUE"""),"B2B")</f>
        <v>B2B</v>
      </c>
      <c r="P817" s="16">
        <f>IFERROR(__xludf.DUMMYFUNCTION("""COMPUTED_VALUE"""),44.59)</f>
        <v>44.59</v>
      </c>
      <c r="Q817" s="15">
        <f>IFERROR(__xludf.DUMMYFUNCTION("""COMPUTED_VALUE"""),1.0)</f>
        <v>1</v>
      </c>
      <c r="R817" s="15" t="str">
        <f>IFERROR(__xludf.DUMMYFUNCTION("""COMPUTED_VALUE"""),"RODO")</f>
        <v>RODO</v>
      </c>
      <c r="S817" s="15" t="str">
        <f>IFERROR(__xludf.DUMMYFUNCTION("""COMPUTED_VALUE"""),"ITN")</f>
        <v>ITN</v>
      </c>
      <c r="T817" s="15" t="str">
        <f>IFERROR(__xludf.DUMMYFUNCTION("""COMPUTED_VALUE"""),"98")</f>
        <v>98</v>
      </c>
      <c r="U817" s="15" t="str">
        <f>IFERROR(__xludf.DUMMYFUNCTION("""COMPUTED_VALUE"""),"266840195 1306094 8177444 mega vale jf cosmeticos ltda trifil jdf 98")</f>
        <v>266840195 1306094 8177444 mega vale jf cosmeticos ltda trifil jdf 98</v>
      </c>
      <c r="V817" s="15" t="b">
        <f>IFERROR(__xludf.DUMMYFUNCTION("""COMPUTED_VALUE"""),FALSE)</f>
        <v>0</v>
      </c>
    </row>
    <row r="818">
      <c r="A818" s="19">
        <f>IFERROR(__xludf.DUMMYFUNCTION("""COMPUTED_VALUE"""),46304.0)</f>
        <v>46304</v>
      </c>
      <c r="B818" s="19">
        <f>IFERROR(__xludf.DUMMYFUNCTION("""COMPUTED_VALUE"""),46318.0)</f>
        <v>46318</v>
      </c>
      <c r="C818" s="15">
        <f>IFERROR(__xludf.DUMMYFUNCTION("""COMPUTED_VALUE"""),9.0)</f>
        <v>9</v>
      </c>
      <c r="D818" s="15" t="str">
        <f>IFERROR(__xludf.DUMMYFUNCTION("""COMPUTED_VALUE"""),"BCG")</f>
        <v>BCG</v>
      </c>
      <c r="E818" s="15" t="str">
        <f>IFERROR(__xludf.DUMMYFUNCTION("""COMPUTED_VALUE"""),"DISTRIBUIDORA AYESKA LTDA")</f>
        <v>DISTRIBUIDORA AYESKA LTDA</v>
      </c>
      <c r="F818" s="15" t="str">
        <f>IFERROR(__xludf.DUMMYFUNCTION("""COMPUTED_VALUE"""),"TRIFIL")</f>
        <v>TRIFIL</v>
      </c>
      <c r="G818" s="15" t="str">
        <f>IFERROR(__xludf.DUMMYFUNCTION("""COMPUTED_VALUE"""),"266840197")</f>
        <v>266840197</v>
      </c>
      <c r="H818" s="15" t="str">
        <f>IFERROR(__xludf.DUMMYFUNCTION("""COMPUTED_VALUE"""),"1306389")</f>
        <v>1306389</v>
      </c>
      <c r="I818" s="15" t="str">
        <f>IFERROR(__xludf.DUMMYFUNCTION("""COMPUTED_VALUE"""),"8177445")</f>
        <v>8177445</v>
      </c>
      <c r="J818" s="15" t="str">
        <f>IFERROR(__xludf.DUMMYFUNCTION("""COMPUTED_VALUE"""),"CIF")</f>
        <v>CIF</v>
      </c>
      <c r="K818" s="15" t="str">
        <f>IFERROR(__xludf.DUMMYFUNCTION("""COMPUTED_VALUE"""),"(sem célula)")</f>
        <v>(sem célula)</v>
      </c>
      <c r="L818" s="15" t="str">
        <f>IFERROR(__xludf.DUMMYFUNCTION("""COMPUTED_VALUE"""),"AUTORIZADO")</f>
        <v>AUTORIZADO</v>
      </c>
      <c r="M818" s="15" t="str">
        <f>IFERROR(__xludf.DUMMYFUNCTION("""COMPUTED_VALUE"""),"NA ORIGEM")</f>
        <v>NA ORIGEM</v>
      </c>
      <c r="N818" s="15" t="str">
        <f>IFERROR(__xludf.DUMMYFUNCTION("""COMPUTED_VALUE"""),"Antes Prazo")</f>
        <v>Antes Prazo</v>
      </c>
      <c r="O818" s="15" t="str">
        <f>IFERROR(__xludf.DUMMYFUNCTION("""COMPUTED_VALUE"""),"B2B")</f>
        <v>B2B</v>
      </c>
      <c r="P818" s="16">
        <f>IFERROR(__xludf.DUMMYFUNCTION("""COMPUTED_VALUE"""),56.46)</f>
        <v>56.46</v>
      </c>
      <c r="Q818" s="15">
        <f>IFERROR(__xludf.DUMMYFUNCTION("""COMPUTED_VALUE"""),1.0)</f>
        <v>1</v>
      </c>
      <c r="R818" s="15" t="str">
        <f>IFERROR(__xludf.DUMMYFUNCTION("""COMPUTED_VALUE"""),"RODO")</f>
        <v>RODO</v>
      </c>
      <c r="S818" s="15" t="str">
        <f>IFERROR(__xludf.DUMMYFUNCTION("""COMPUTED_VALUE"""),"ITN")</f>
        <v>ITN</v>
      </c>
      <c r="T818" s="15" t="str">
        <f>IFERROR(__xludf.DUMMYFUNCTION("""COMPUTED_VALUE"""),"103")</f>
        <v>103</v>
      </c>
      <c r="U818" s="15" t="str">
        <f>IFERROR(__xludf.DUMMYFUNCTION("""COMPUTED_VALUE"""),"266840197 1306389 8177445 distribuidora ayeska ltda trifil bcg 103")</f>
        <v>266840197 1306389 8177445 distribuidora ayeska ltda trifil bcg 103</v>
      </c>
      <c r="V818" s="15" t="b">
        <f>IFERROR(__xludf.DUMMYFUNCTION("""COMPUTED_VALUE"""),FALSE)</f>
        <v>0</v>
      </c>
    </row>
    <row r="819">
      <c r="A819" s="19">
        <f>IFERROR(__xludf.DUMMYFUNCTION("""COMPUTED_VALUE"""),46304.0)</f>
        <v>46304</v>
      </c>
      <c r="B819" s="19">
        <f>IFERROR(__xludf.DUMMYFUNCTION("""COMPUTED_VALUE"""),46323.0)</f>
        <v>46323</v>
      </c>
      <c r="C819" s="15">
        <f>IFERROR(__xludf.DUMMYFUNCTION("""COMPUTED_VALUE"""),12.0)</f>
        <v>12</v>
      </c>
      <c r="D819" s="15" t="str">
        <f>IFERROR(__xludf.DUMMYFUNCTION("""COMPUTED_VALUE"""),"JDF")</f>
        <v>JDF</v>
      </c>
      <c r="E819" s="15" t="str">
        <f>IFERROR(__xludf.DUMMYFUNCTION("""COMPUTED_VALUE"""),"TATIANE LEITE RIBEIRO")</f>
        <v>TATIANE LEITE RIBEIRO</v>
      </c>
      <c r="F819" s="15" t="str">
        <f>IFERROR(__xludf.DUMMYFUNCTION("""COMPUTED_VALUE"""),"TRIFIL")</f>
        <v>TRIFIL</v>
      </c>
      <c r="G819" s="15" t="str">
        <f>IFERROR(__xludf.DUMMYFUNCTION("""COMPUTED_VALUE"""),"266840199")</f>
        <v>266840199</v>
      </c>
      <c r="H819" s="15" t="str">
        <f>IFERROR(__xludf.DUMMYFUNCTION("""COMPUTED_VALUE"""),"1306066")</f>
        <v>1306066</v>
      </c>
      <c r="I819" s="15" t="str">
        <f>IFERROR(__xludf.DUMMYFUNCTION("""COMPUTED_VALUE"""),"8177446")</f>
        <v>8177446</v>
      </c>
      <c r="J819" s="15" t="str">
        <f>IFERROR(__xludf.DUMMYFUNCTION("""COMPUTED_VALUE"""),"CIF")</f>
        <v>CIF</v>
      </c>
      <c r="K819" s="15" t="str">
        <f>IFERROR(__xludf.DUMMYFUNCTION("""COMPUTED_VALUE"""),"(sem célula)")</f>
        <v>(sem célula)</v>
      </c>
      <c r="L819" s="15" t="str">
        <f>IFERROR(__xludf.DUMMYFUNCTION("""COMPUTED_VALUE"""),"AUTORIZADO")</f>
        <v>AUTORIZADO</v>
      </c>
      <c r="M819" s="15" t="str">
        <f>IFERROR(__xludf.DUMMYFUNCTION("""COMPUTED_VALUE"""),"NA ORIGEM")</f>
        <v>NA ORIGEM</v>
      </c>
      <c r="N819" s="15" t="str">
        <f>IFERROR(__xludf.DUMMYFUNCTION("""COMPUTED_VALUE"""),"Antes Prazo")</f>
        <v>Antes Prazo</v>
      </c>
      <c r="O819" s="15" t="str">
        <f>IFERROR(__xludf.DUMMYFUNCTION("""COMPUTED_VALUE"""),"B2B")</f>
        <v>B2B</v>
      </c>
      <c r="P819" s="16">
        <f>IFERROR(__xludf.DUMMYFUNCTION("""COMPUTED_VALUE"""),49.43)</f>
        <v>49.43</v>
      </c>
      <c r="Q819" s="15">
        <f>IFERROR(__xludf.DUMMYFUNCTION("""COMPUTED_VALUE"""),1.0)</f>
        <v>1</v>
      </c>
      <c r="R819" s="15" t="str">
        <f>IFERROR(__xludf.DUMMYFUNCTION("""COMPUTED_VALUE"""),"RODO")</f>
        <v>RODO</v>
      </c>
      <c r="S819" s="15" t="str">
        <f>IFERROR(__xludf.DUMMYFUNCTION("""COMPUTED_VALUE"""),"ITN")</f>
        <v>ITN</v>
      </c>
      <c r="T819" s="15" t="str">
        <f>IFERROR(__xludf.DUMMYFUNCTION("""COMPUTED_VALUE"""),"110")</f>
        <v>110</v>
      </c>
      <c r="U819" s="15" t="str">
        <f>IFERROR(__xludf.DUMMYFUNCTION("""COMPUTED_VALUE"""),"266840199 1306066 8177446 tatiane leite ribeiro trifil jdf 110")</f>
        <v>266840199 1306066 8177446 tatiane leite ribeiro trifil jdf 110</v>
      </c>
      <c r="V819" s="15" t="b">
        <f>IFERROR(__xludf.DUMMYFUNCTION("""COMPUTED_VALUE"""),FALSE)</f>
        <v>0</v>
      </c>
    </row>
    <row r="820">
      <c r="A820" s="19">
        <f>IFERROR(__xludf.DUMMYFUNCTION("""COMPUTED_VALUE"""),46304.0)</f>
        <v>46304</v>
      </c>
      <c r="B820" s="19">
        <f>IFERROR(__xludf.DUMMYFUNCTION("""COMPUTED_VALUE"""),46321.0)</f>
        <v>46321</v>
      </c>
      <c r="C820" s="15">
        <f>IFERROR(__xludf.DUMMYFUNCTION("""COMPUTED_VALUE"""),10.0)</f>
        <v>10</v>
      </c>
      <c r="D820" s="15" t="str">
        <f>IFERROR(__xludf.DUMMYFUNCTION("""COMPUTED_VALUE"""),"FRC")</f>
        <v>FRC</v>
      </c>
      <c r="E820" s="15" t="str">
        <f>IFERROR(__xludf.DUMMYFUNCTION("""COMPUTED_VALUE"""),"IVAN DA SILVA")</f>
        <v>IVAN DA SILVA</v>
      </c>
      <c r="F820" s="15" t="str">
        <f>IFERROR(__xludf.DUMMYFUNCTION("""COMPUTED_VALUE"""),"TRIFIL")</f>
        <v>TRIFIL</v>
      </c>
      <c r="G820" s="15" t="str">
        <f>IFERROR(__xludf.DUMMYFUNCTION("""COMPUTED_VALUE"""),"266840201")</f>
        <v>266840201</v>
      </c>
      <c r="H820" s="15" t="str">
        <f>IFERROR(__xludf.DUMMYFUNCTION("""COMPUTED_VALUE"""),"1306481")</f>
        <v>1306481</v>
      </c>
      <c r="I820" s="15" t="str">
        <f>IFERROR(__xludf.DUMMYFUNCTION("""COMPUTED_VALUE"""),"8177521")</f>
        <v>8177521</v>
      </c>
      <c r="J820" s="15" t="str">
        <f>IFERROR(__xludf.DUMMYFUNCTION("""COMPUTED_VALUE"""),"CIF")</f>
        <v>CIF</v>
      </c>
      <c r="K820" s="15" t="str">
        <f>IFERROR(__xludf.DUMMYFUNCTION("""COMPUTED_VALUE"""),"(sem célula)")</f>
        <v>(sem célula)</v>
      </c>
      <c r="L820" s="15" t="str">
        <f>IFERROR(__xludf.DUMMYFUNCTION("""COMPUTED_VALUE"""),"AUTORIZADO")</f>
        <v>AUTORIZADO</v>
      </c>
      <c r="M820" s="15" t="str">
        <f>IFERROR(__xludf.DUMMYFUNCTION("""COMPUTED_VALUE"""),"NA ORIGEM")</f>
        <v>NA ORIGEM</v>
      </c>
      <c r="N820" s="15" t="str">
        <f>IFERROR(__xludf.DUMMYFUNCTION("""COMPUTED_VALUE"""),"Antes Prazo")</f>
        <v>Antes Prazo</v>
      </c>
      <c r="O820" s="15" t="str">
        <f>IFERROR(__xludf.DUMMYFUNCTION("""COMPUTED_VALUE"""),"B2B")</f>
        <v>B2B</v>
      </c>
      <c r="P820" s="16">
        <f>IFERROR(__xludf.DUMMYFUNCTION("""COMPUTED_VALUE"""),49.43)</f>
        <v>49.43</v>
      </c>
      <c r="Q820" s="15">
        <f>IFERROR(__xludf.DUMMYFUNCTION("""COMPUTED_VALUE"""),1.0)</f>
        <v>1</v>
      </c>
      <c r="R820" s="15" t="str">
        <f>IFERROR(__xludf.DUMMYFUNCTION("""COMPUTED_VALUE"""),"RODO")</f>
        <v>RODO</v>
      </c>
      <c r="S820" s="15" t="str">
        <f>IFERROR(__xludf.DUMMYFUNCTION("""COMPUTED_VALUE"""),"ITN")</f>
        <v>ITN</v>
      </c>
      <c r="T820" s="15" t="str">
        <f>IFERROR(__xludf.DUMMYFUNCTION("""COMPUTED_VALUE"""),"103")</f>
        <v>103</v>
      </c>
      <c r="U820" s="15" t="str">
        <f>IFERROR(__xludf.DUMMYFUNCTION("""COMPUTED_VALUE"""),"266840201 1306481 8177521 ivan da silva trifil frc 103")</f>
        <v>266840201 1306481 8177521 ivan da silva trifil frc 103</v>
      </c>
      <c r="V820" s="15" t="b">
        <f>IFERROR(__xludf.DUMMYFUNCTION("""COMPUTED_VALUE"""),FALSE)</f>
        <v>0</v>
      </c>
    </row>
    <row r="821">
      <c r="A821" s="19">
        <f>IFERROR(__xludf.DUMMYFUNCTION("""COMPUTED_VALUE"""),46304.0)</f>
        <v>46304</v>
      </c>
      <c r="B821" s="19">
        <f>IFERROR(__xludf.DUMMYFUNCTION("""COMPUTED_VALUE"""),46318.0)</f>
        <v>46318</v>
      </c>
      <c r="C821" s="15">
        <f>IFERROR(__xludf.DUMMYFUNCTION("""COMPUTED_VALUE"""),9.0)</f>
        <v>9</v>
      </c>
      <c r="D821" s="15" t="str">
        <f>IFERROR(__xludf.DUMMYFUNCTION("""COMPUTED_VALUE"""),"FRC")</f>
        <v>FRC</v>
      </c>
      <c r="E821" s="15" t="str">
        <f>IFERROR(__xludf.DUMMYFUNCTION("""COMPUTED_VALUE"""),"CALUSA CALCADOS")</f>
        <v>CALUSA CALCADOS</v>
      </c>
      <c r="F821" s="15" t="str">
        <f>IFERROR(__xludf.DUMMYFUNCTION("""COMPUTED_VALUE"""),"TRIFIL")</f>
        <v>TRIFIL</v>
      </c>
      <c r="G821" s="15" t="str">
        <f>IFERROR(__xludf.DUMMYFUNCTION("""COMPUTED_VALUE"""),"266840202")</f>
        <v>266840202</v>
      </c>
      <c r="H821" s="15" t="str">
        <f>IFERROR(__xludf.DUMMYFUNCTION("""COMPUTED_VALUE"""),"1306084")</f>
        <v>1306084</v>
      </c>
      <c r="I821" s="15" t="str">
        <f>IFERROR(__xludf.DUMMYFUNCTION("""COMPUTED_VALUE"""),"8177419")</f>
        <v>8177419</v>
      </c>
      <c r="J821" s="15" t="str">
        <f>IFERROR(__xludf.DUMMYFUNCTION("""COMPUTED_VALUE"""),"CIF")</f>
        <v>CIF</v>
      </c>
      <c r="K821" s="15" t="str">
        <f>IFERROR(__xludf.DUMMYFUNCTION("""COMPUTED_VALUE"""),"(sem célula)")</f>
        <v>(sem célula)</v>
      </c>
      <c r="L821" s="15" t="str">
        <f>IFERROR(__xludf.DUMMYFUNCTION("""COMPUTED_VALUE"""),"AUTORIZADO")</f>
        <v>AUTORIZADO</v>
      </c>
      <c r="M821" s="15" t="str">
        <f>IFERROR(__xludf.DUMMYFUNCTION("""COMPUTED_VALUE"""),"NA ORIGEM")</f>
        <v>NA ORIGEM</v>
      </c>
      <c r="N821" s="15" t="str">
        <f>IFERROR(__xludf.DUMMYFUNCTION("""COMPUTED_VALUE"""),"Antes Prazo")</f>
        <v>Antes Prazo</v>
      </c>
      <c r="O821" s="15" t="str">
        <f>IFERROR(__xludf.DUMMYFUNCTION("""COMPUTED_VALUE"""),"B2B")</f>
        <v>B2B</v>
      </c>
      <c r="P821" s="16">
        <f>IFERROR(__xludf.DUMMYFUNCTION("""COMPUTED_VALUE"""),49.43)</f>
        <v>49.43</v>
      </c>
      <c r="Q821" s="15">
        <f>IFERROR(__xludf.DUMMYFUNCTION("""COMPUTED_VALUE"""),1.0)</f>
        <v>1</v>
      </c>
      <c r="R821" s="15" t="str">
        <f>IFERROR(__xludf.DUMMYFUNCTION("""COMPUTED_VALUE"""),"RODO")</f>
        <v>RODO</v>
      </c>
      <c r="S821" s="15" t="str">
        <f>IFERROR(__xludf.DUMMYFUNCTION("""COMPUTED_VALUE"""),"ITN")</f>
        <v>ITN</v>
      </c>
      <c r="T821" s="15" t="str">
        <f>IFERROR(__xludf.DUMMYFUNCTION("""COMPUTED_VALUE"""),"103")</f>
        <v>103</v>
      </c>
      <c r="U821" s="15" t="str">
        <f>IFERROR(__xludf.DUMMYFUNCTION("""COMPUTED_VALUE"""),"266840202 1306084 8177419 calusa calcados trifil frc 103")</f>
        <v>266840202 1306084 8177419 calusa calcados trifil frc 103</v>
      </c>
      <c r="V821" s="15" t="b">
        <f>IFERROR(__xludf.DUMMYFUNCTION("""COMPUTED_VALUE"""),FALSE)</f>
        <v>0</v>
      </c>
    </row>
    <row r="822">
      <c r="A822" s="19">
        <f>IFERROR(__xludf.DUMMYFUNCTION("""COMPUTED_VALUE"""),46304.0)</f>
        <v>46304</v>
      </c>
      <c r="B822" s="19">
        <f>IFERROR(__xludf.DUMMYFUNCTION("""COMPUTED_VALUE"""),46322.0)</f>
        <v>46322</v>
      </c>
      <c r="C822" s="15">
        <f>IFERROR(__xludf.DUMMYFUNCTION("""COMPUTED_VALUE"""),10.0)</f>
        <v>10</v>
      </c>
      <c r="D822" s="15" t="str">
        <f>IFERROR(__xludf.DUMMYFUNCTION("""COMPUTED_VALUE"""),"NZA")</f>
        <v>NZA</v>
      </c>
      <c r="E822" s="15" t="str">
        <f>IFERROR(__xludf.DUMMYFUNCTION("""COMPUTED_VALUE"""),"PRISCILA REGINA LAMBERT")</f>
        <v>PRISCILA REGINA LAMBERT</v>
      </c>
      <c r="F822" s="15" t="str">
        <f>IFERROR(__xludf.DUMMYFUNCTION("""COMPUTED_VALUE"""),"TRIFIL")</f>
        <v>TRIFIL</v>
      </c>
      <c r="G822" s="15" t="str">
        <f>IFERROR(__xludf.DUMMYFUNCTION("""COMPUTED_VALUE"""),"266840203")</f>
        <v>266840203</v>
      </c>
      <c r="H822" s="15" t="str">
        <f>IFERROR(__xludf.DUMMYFUNCTION("""COMPUTED_VALUE"""),"1306594")</f>
        <v>1306594</v>
      </c>
      <c r="I822" s="15" t="str">
        <f>IFERROR(__xludf.DUMMYFUNCTION("""COMPUTED_VALUE"""),"8177406")</f>
        <v>8177406</v>
      </c>
      <c r="J822" s="15" t="str">
        <f>IFERROR(__xludf.DUMMYFUNCTION("""COMPUTED_VALUE"""),"CIF")</f>
        <v>CIF</v>
      </c>
      <c r="K822" s="15" t="str">
        <f>IFERROR(__xludf.DUMMYFUNCTION("""COMPUTED_VALUE"""),"(sem célula)")</f>
        <v>(sem célula)</v>
      </c>
      <c r="L822" s="15" t="str">
        <f>IFERROR(__xludf.DUMMYFUNCTION("""COMPUTED_VALUE"""),"AUTORIZADO")</f>
        <v>AUTORIZADO</v>
      </c>
      <c r="M822" s="15" t="str">
        <f>IFERROR(__xludf.DUMMYFUNCTION("""COMPUTED_VALUE"""),"NA ORIGEM")</f>
        <v>NA ORIGEM</v>
      </c>
      <c r="N822" s="15" t="str">
        <f>IFERROR(__xludf.DUMMYFUNCTION("""COMPUTED_VALUE"""),"Antes Prazo")</f>
        <v>Antes Prazo</v>
      </c>
      <c r="O822" s="15" t="str">
        <f>IFERROR(__xludf.DUMMYFUNCTION("""COMPUTED_VALUE"""),"B2B")</f>
        <v>B2B</v>
      </c>
      <c r="P822" s="16">
        <f>IFERROR(__xludf.DUMMYFUNCTION("""COMPUTED_VALUE"""),49.43)</f>
        <v>49.43</v>
      </c>
      <c r="Q822" s="15">
        <f>IFERROR(__xludf.DUMMYFUNCTION("""COMPUTED_VALUE"""),1.0)</f>
        <v>1</v>
      </c>
      <c r="R822" s="15" t="str">
        <f>IFERROR(__xludf.DUMMYFUNCTION("""COMPUTED_VALUE"""),"RODO")</f>
        <v>RODO</v>
      </c>
      <c r="S822" s="15" t="str">
        <f>IFERROR(__xludf.DUMMYFUNCTION("""COMPUTED_VALUE"""),"ITN")</f>
        <v>ITN</v>
      </c>
      <c r="T822" s="15" t="str">
        <f>IFERROR(__xludf.DUMMYFUNCTION("""COMPUTED_VALUE"""),"109")</f>
        <v>109</v>
      </c>
      <c r="U822" s="15" t="str">
        <f>IFERROR(__xludf.DUMMYFUNCTION("""COMPUTED_VALUE"""),"266840203 1306594 8177406 priscila regina lambert trifil nza 109")</f>
        <v>266840203 1306594 8177406 priscila regina lambert trifil nza 109</v>
      </c>
      <c r="V822" s="15" t="b">
        <f>IFERROR(__xludf.DUMMYFUNCTION("""COMPUTED_VALUE"""),FALSE)</f>
        <v>0</v>
      </c>
    </row>
    <row r="823">
      <c r="A823" s="19">
        <f>IFERROR(__xludf.DUMMYFUNCTION("""COMPUTED_VALUE"""),46304.0)</f>
        <v>46304</v>
      </c>
      <c r="B823" s="19">
        <f>IFERROR(__xludf.DUMMYFUNCTION("""COMPUTED_VALUE"""),46323.0)</f>
        <v>46323</v>
      </c>
      <c r="C823" s="15">
        <f>IFERROR(__xludf.DUMMYFUNCTION("""COMPUTED_VALUE"""),12.0)</f>
        <v>12</v>
      </c>
      <c r="D823" s="15" t="str">
        <f>IFERROR(__xludf.DUMMYFUNCTION("""COMPUTED_VALUE"""),"DIQ")</f>
        <v>DIQ</v>
      </c>
      <c r="E823" s="15" t="str">
        <f>IFERROR(__xludf.DUMMYFUNCTION("""COMPUTED_VALUE"""),"MARIA DO CARMO DE MELO")</f>
        <v>MARIA DO CARMO DE MELO</v>
      </c>
      <c r="F823" s="15" t="str">
        <f>IFERROR(__xludf.DUMMYFUNCTION("""COMPUTED_VALUE"""),"TRIFIL")</f>
        <v>TRIFIL</v>
      </c>
      <c r="G823" s="15" t="str">
        <f>IFERROR(__xludf.DUMMYFUNCTION("""COMPUTED_VALUE"""),"266840204")</f>
        <v>266840204</v>
      </c>
      <c r="H823" s="15" t="str">
        <f>IFERROR(__xludf.DUMMYFUNCTION("""COMPUTED_VALUE"""),"1306108")</f>
        <v>1306108</v>
      </c>
      <c r="I823" s="15" t="str">
        <f>IFERROR(__xludf.DUMMYFUNCTION("""COMPUTED_VALUE"""),"8177420")</f>
        <v>8177420</v>
      </c>
      <c r="J823" s="15" t="str">
        <f>IFERROR(__xludf.DUMMYFUNCTION("""COMPUTED_VALUE"""),"CIF")</f>
        <v>CIF</v>
      </c>
      <c r="K823" s="15" t="str">
        <f>IFERROR(__xludf.DUMMYFUNCTION("""COMPUTED_VALUE"""),"(sem célula)")</f>
        <v>(sem célula)</v>
      </c>
      <c r="L823" s="15" t="str">
        <f>IFERROR(__xludf.DUMMYFUNCTION("""COMPUTED_VALUE"""),"AUTORIZADO")</f>
        <v>AUTORIZADO</v>
      </c>
      <c r="M823" s="15" t="str">
        <f>IFERROR(__xludf.DUMMYFUNCTION("""COMPUTED_VALUE"""),"NA ORIGEM")</f>
        <v>NA ORIGEM</v>
      </c>
      <c r="N823" s="15" t="str">
        <f>IFERROR(__xludf.DUMMYFUNCTION("""COMPUTED_VALUE"""),"Antes Prazo")</f>
        <v>Antes Prazo</v>
      </c>
      <c r="O823" s="15" t="str">
        <f>IFERROR(__xludf.DUMMYFUNCTION("""COMPUTED_VALUE"""),"B2B")</f>
        <v>B2B</v>
      </c>
      <c r="P823" s="16">
        <f>IFERROR(__xludf.DUMMYFUNCTION("""COMPUTED_VALUE"""),49.43)</f>
        <v>49.43</v>
      </c>
      <c r="Q823" s="15">
        <f>IFERROR(__xludf.DUMMYFUNCTION("""COMPUTED_VALUE"""),1.0)</f>
        <v>1</v>
      </c>
      <c r="R823" s="15" t="str">
        <f>IFERROR(__xludf.DUMMYFUNCTION("""COMPUTED_VALUE"""),"RODO")</f>
        <v>RODO</v>
      </c>
      <c r="S823" s="15" t="str">
        <f>IFERROR(__xludf.DUMMYFUNCTION("""COMPUTED_VALUE"""),"ITN")</f>
        <v>ITN</v>
      </c>
      <c r="T823" s="15" t="str">
        <f>IFERROR(__xludf.DUMMYFUNCTION("""COMPUTED_VALUE"""),"108")</f>
        <v>108</v>
      </c>
      <c r="U823" s="15" t="str">
        <f>IFERROR(__xludf.DUMMYFUNCTION("""COMPUTED_VALUE"""),"266840204 1306108 8177420 maria do carmo de melo trifil diq 108")</f>
        <v>266840204 1306108 8177420 maria do carmo de melo trifil diq 108</v>
      </c>
      <c r="V823" s="15" t="b">
        <f>IFERROR(__xludf.DUMMYFUNCTION("""COMPUTED_VALUE"""),FALSE)</f>
        <v>0</v>
      </c>
    </row>
    <row r="824">
      <c r="A824" s="19">
        <f>IFERROR(__xludf.DUMMYFUNCTION("""COMPUTED_VALUE"""),46304.0)</f>
        <v>46304</v>
      </c>
      <c r="B824" s="19">
        <f>IFERROR(__xludf.DUMMYFUNCTION("""COMPUTED_VALUE"""),46316.0)</f>
        <v>46316</v>
      </c>
      <c r="C824" s="15">
        <f>IFERROR(__xludf.DUMMYFUNCTION("""COMPUTED_VALUE"""),7.0)</f>
        <v>7</v>
      </c>
      <c r="D824" s="15" t="str">
        <f>IFERROR(__xludf.DUMMYFUNCTION("""COMPUTED_VALUE"""),"UBA")</f>
        <v>UBA</v>
      </c>
      <c r="E824" s="15" t="str">
        <f>IFERROR(__xludf.DUMMYFUNCTION("""COMPUTED_VALUE"""),"ANTONIO CARLOS NETO MODA INTIMA")</f>
        <v>ANTONIO CARLOS NETO MODA INTIMA</v>
      </c>
      <c r="F824" s="15" t="str">
        <f>IFERROR(__xludf.DUMMYFUNCTION("""COMPUTED_VALUE"""),"TRIFIL")</f>
        <v>TRIFIL</v>
      </c>
      <c r="G824" s="15" t="str">
        <f>IFERROR(__xludf.DUMMYFUNCTION("""COMPUTED_VALUE"""),"266840205")</f>
        <v>266840205</v>
      </c>
      <c r="H824" s="15" t="str">
        <f>IFERROR(__xludf.DUMMYFUNCTION("""COMPUTED_VALUE"""),"1306293")</f>
        <v>1306293</v>
      </c>
      <c r="I824" s="15" t="str">
        <f>IFERROR(__xludf.DUMMYFUNCTION("""COMPUTED_VALUE"""),"8177470")</f>
        <v>8177470</v>
      </c>
      <c r="J824" s="15" t="str">
        <f>IFERROR(__xludf.DUMMYFUNCTION("""COMPUTED_VALUE"""),"CIF")</f>
        <v>CIF</v>
      </c>
      <c r="K824" s="15" t="str">
        <f>IFERROR(__xludf.DUMMYFUNCTION("""COMPUTED_VALUE"""),"(sem célula)")</f>
        <v>(sem célula)</v>
      </c>
      <c r="L824" s="15" t="str">
        <f>IFERROR(__xludf.DUMMYFUNCTION("""COMPUTED_VALUE"""),"AUTORIZADO")</f>
        <v>AUTORIZADO</v>
      </c>
      <c r="M824" s="15" t="str">
        <f>IFERROR(__xludf.DUMMYFUNCTION("""COMPUTED_VALUE"""),"NA ORIGEM")</f>
        <v>NA ORIGEM</v>
      </c>
      <c r="N824" s="15" t="str">
        <f>IFERROR(__xludf.DUMMYFUNCTION("""COMPUTED_VALUE"""),"Antes Prazo")</f>
        <v>Antes Prazo</v>
      </c>
      <c r="O824" s="15" t="str">
        <f>IFERROR(__xludf.DUMMYFUNCTION("""COMPUTED_VALUE"""),"B2B")</f>
        <v>B2B</v>
      </c>
      <c r="P824" s="16">
        <f>IFERROR(__xludf.DUMMYFUNCTION("""COMPUTED_VALUE"""),44.59)</f>
        <v>44.59</v>
      </c>
      <c r="Q824" s="15">
        <f>IFERROR(__xludf.DUMMYFUNCTION("""COMPUTED_VALUE"""),1.0)</f>
        <v>1</v>
      </c>
      <c r="R824" s="15" t="str">
        <f>IFERROR(__xludf.DUMMYFUNCTION("""COMPUTED_VALUE"""),"RODO")</f>
        <v>RODO</v>
      </c>
      <c r="S824" s="15" t="str">
        <f>IFERROR(__xludf.DUMMYFUNCTION("""COMPUTED_VALUE"""),"ITN")</f>
        <v>ITN</v>
      </c>
      <c r="T824" s="15" t="str">
        <f>IFERROR(__xludf.DUMMYFUNCTION("""COMPUTED_VALUE"""),"5")</f>
        <v>5</v>
      </c>
      <c r="U824" s="15" t="str">
        <f>IFERROR(__xludf.DUMMYFUNCTION("""COMPUTED_VALUE"""),"266840205 1306293 8177470 antonio carlos neto moda intima trifil uba 5")</f>
        <v>266840205 1306293 8177470 antonio carlos neto moda intima trifil uba 5</v>
      </c>
      <c r="V824" s="15" t="b">
        <f>IFERROR(__xludf.DUMMYFUNCTION("""COMPUTED_VALUE"""),FALSE)</f>
        <v>0</v>
      </c>
    </row>
    <row r="825">
      <c r="A825" s="19">
        <f>IFERROR(__xludf.DUMMYFUNCTION("""COMPUTED_VALUE"""),46304.0)</f>
        <v>46304</v>
      </c>
      <c r="B825" s="19">
        <f>IFERROR(__xludf.DUMMYFUNCTION("""COMPUTED_VALUE"""),46316.0)</f>
        <v>46316</v>
      </c>
      <c r="C825" s="15">
        <f>IFERROR(__xludf.DUMMYFUNCTION("""COMPUTED_VALUE"""),7.0)</f>
        <v>7</v>
      </c>
      <c r="D825" s="15" t="str">
        <f>IFERROR(__xludf.DUMMYFUNCTION("""COMPUTED_VALUE"""),"UBA")</f>
        <v>UBA</v>
      </c>
      <c r="E825" s="15" t="str">
        <f>IFERROR(__xludf.DUMMYFUNCTION("""COMPUTED_VALUE"""),"RICHARD CONFECCOES LTDA")</f>
        <v>RICHARD CONFECCOES LTDA</v>
      </c>
      <c r="F825" s="15" t="str">
        <f>IFERROR(__xludf.DUMMYFUNCTION("""COMPUTED_VALUE"""),"TRIFIL")</f>
        <v>TRIFIL</v>
      </c>
      <c r="G825" s="15" t="str">
        <f>IFERROR(__xludf.DUMMYFUNCTION("""COMPUTED_VALUE"""),"266840206")</f>
        <v>266840206</v>
      </c>
      <c r="H825" s="15" t="str">
        <f>IFERROR(__xludf.DUMMYFUNCTION("""COMPUTED_VALUE"""),"1306297")</f>
        <v>1306297</v>
      </c>
      <c r="I825" s="15" t="str">
        <f>IFERROR(__xludf.DUMMYFUNCTION("""COMPUTED_VALUE"""),"8177522")</f>
        <v>8177522</v>
      </c>
      <c r="J825" s="15" t="str">
        <f>IFERROR(__xludf.DUMMYFUNCTION("""COMPUTED_VALUE"""),"CIF")</f>
        <v>CIF</v>
      </c>
      <c r="K825" s="15" t="str">
        <f>IFERROR(__xludf.DUMMYFUNCTION("""COMPUTED_VALUE"""),"(sem célula)")</f>
        <v>(sem célula)</v>
      </c>
      <c r="L825" s="15" t="str">
        <f>IFERROR(__xludf.DUMMYFUNCTION("""COMPUTED_VALUE"""),"AUTORIZADO")</f>
        <v>AUTORIZADO</v>
      </c>
      <c r="M825" s="15" t="str">
        <f>IFERROR(__xludf.DUMMYFUNCTION("""COMPUTED_VALUE"""),"NA ORIGEM")</f>
        <v>NA ORIGEM</v>
      </c>
      <c r="N825" s="15" t="str">
        <f>IFERROR(__xludf.DUMMYFUNCTION("""COMPUTED_VALUE"""),"Antes Prazo")</f>
        <v>Antes Prazo</v>
      </c>
      <c r="O825" s="15" t="str">
        <f>IFERROR(__xludf.DUMMYFUNCTION("""COMPUTED_VALUE"""),"B2B")</f>
        <v>B2B</v>
      </c>
      <c r="P825" s="16">
        <f>IFERROR(__xludf.DUMMYFUNCTION("""COMPUTED_VALUE"""),44.59)</f>
        <v>44.59</v>
      </c>
      <c r="Q825" s="15">
        <f>IFERROR(__xludf.DUMMYFUNCTION("""COMPUTED_VALUE"""),1.0)</f>
        <v>1</v>
      </c>
      <c r="R825" s="15" t="str">
        <f>IFERROR(__xludf.DUMMYFUNCTION("""COMPUTED_VALUE"""),"RODO")</f>
        <v>RODO</v>
      </c>
      <c r="S825" s="15" t="str">
        <f>IFERROR(__xludf.DUMMYFUNCTION("""COMPUTED_VALUE"""),"ITN")</f>
        <v>ITN</v>
      </c>
      <c r="T825" s="15" t="str">
        <f>IFERROR(__xludf.DUMMYFUNCTION("""COMPUTED_VALUE"""),"3")</f>
        <v>3</v>
      </c>
      <c r="U825" s="15" t="str">
        <f>IFERROR(__xludf.DUMMYFUNCTION("""COMPUTED_VALUE"""),"266840206 1306297 8177522 richard confeccoes ltda trifil uba 3")</f>
        <v>266840206 1306297 8177522 richard confeccoes ltda trifil uba 3</v>
      </c>
      <c r="V825" s="15" t="b">
        <f>IFERROR(__xludf.DUMMYFUNCTION("""COMPUTED_VALUE"""),FALSE)</f>
        <v>0</v>
      </c>
    </row>
    <row r="826">
      <c r="A826" s="19">
        <f>IFERROR(__xludf.DUMMYFUNCTION("""COMPUTED_VALUE"""),46304.0)</f>
        <v>46304</v>
      </c>
      <c r="B826" s="19">
        <f>IFERROR(__xludf.DUMMYFUNCTION("""COMPUTED_VALUE"""),46318.0)</f>
        <v>46318</v>
      </c>
      <c r="C826" s="15">
        <f>IFERROR(__xludf.DUMMYFUNCTION("""COMPUTED_VALUE"""),9.0)</f>
        <v>9</v>
      </c>
      <c r="D826" s="15" t="str">
        <f>IFERROR(__xludf.DUMMYFUNCTION("""COMPUTED_VALUE"""),"UDI")</f>
        <v>UDI</v>
      </c>
      <c r="E826" s="15" t="str">
        <f>IFERROR(__xludf.DUMMYFUNCTION("""COMPUTED_VALUE"""),"ZIRZIO TOMAZ PEREIRA &amp; CIA LTDA - M")</f>
        <v>ZIRZIO TOMAZ PEREIRA &amp; CIA LTDA - M</v>
      </c>
      <c r="F826" s="15" t="str">
        <f>IFERROR(__xludf.DUMMYFUNCTION("""COMPUTED_VALUE"""),"TRIFIL")</f>
        <v>TRIFIL</v>
      </c>
      <c r="G826" s="15" t="str">
        <f>IFERROR(__xludf.DUMMYFUNCTION("""COMPUTED_VALUE"""),"266840207")</f>
        <v>266840207</v>
      </c>
      <c r="H826" s="15" t="str">
        <f>IFERROR(__xludf.DUMMYFUNCTION("""COMPUTED_VALUE"""),"1306158")</f>
        <v>1306158</v>
      </c>
      <c r="I826" s="15" t="str">
        <f>IFERROR(__xludf.DUMMYFUNCTION("""COMPUTED_VALUE"""),"8177523")</f>
        <v>8177523</v>
      </c>
      <c r="J826" s="15" t="str">
        <f>IFERROR(__xludf.DUMMYFUNCTION("""COMPUTED_VALUE"""),"CIF")</f>
        <v>CIF</v>
      </c>
      <c r="K826" s="15" t="str">
        <f>IFERROR(__xludf.DUMMYFUNCTION("""COMPUTED_VALUE"""),"(sem célula)")</f>
        <v>(sem célula)</v>
      </c>
      <c r="L826" s="15" t="str">
        <f>IFERROR(__xludf.DUMMYFUNCTION("""COMPUTED_VALUE"""),"AUTORIZADO")</f>
        <v>AUTORIZADO</v>
      </c>
      <c r="M826" s="15" t="str">
        <f>IFERROR(__xludf.DUMMYFUNCTION("""COMPUTED_VALUE"""),"NA ORIGEM")</f>
        <v>NA ORIGEM</v>
      </c>
      <c r="N826" s="15" t="str">
        <f>IFERROR(__xludf.DUMMYFUNCTION("""COMPUTED_VALUE"""),"Antes Prazo")</f>
        <v>Antes Prazo</v>
      </c>
      <c r="O826" s="15" t="str">
        <f>IFERROR(__xludf.DUMMYFUNCTION("""COMPUTED_VALUE"""),"B2B")</f>
        <v>B2B</v>
      </c>
      <c r="P826" s="16">
        <f>IFERROR(__xludf.DUMMYFUNCTION("""COMPUTED_VALUE"""),49.43)</f>
        <v>49.43</v>
      </c>
      <c r="Q826" s="15">
        <f>IFERROR(__xludf.DUMMYFUNCTION("""COMPUTED_VALUE"""),1.0)</f>
        <v>1</v>
      </c>
      <c r="R826" s="15" t="str">
        <f>IFERROR(__xludf.DUMMYFUNCTION("""COMPUTED_VALUE"""),"RODO")</f>
        <v>RODO</v>
      </c>
      <c r="S826" s="15" t="str">
        <f>IFERROR(__xludf.DUMMYFUNCTION("""COMPUTED_VALUE"""),"ITN")</f>
        <v>ITN</v>
      </c>
      <c r="T826" s="15" t="str">
        <f>IFERROR(__xludf.DUMMYFUNCTION("""COMPUTED_VALUE"""),"104")</f>
        <v>104</v>
      </c>
      <c r="U826" s="15" t="str">
        <f>IFERROR(__xludf.DUMMYFUNCTION("""COMPUTED_VALUE"""),"266840207 1306158 8177523 zirzio tomaz pereira &amp; cia ltda - m trifil udi 104")</f>
        <v>266840207 1306158 8177523 zirzio tomaz pereira &amp; cia ltda - m trifil udi 104</v>
      </c>
      <c r="V826" s="15" t="b">
        <f>IFERROR(__xludf.DUMMYFUNCTION("""COMPUTED_VALUE"""),FALSE)</f>
        <v>0</v>
      </c>
    </row>
    <row r="827">
      <c r="A827" s="19">
        <f>IFERROR(__xludf.DUMMYFUNCTION("""COMPUTED_VALUE"""),46304.0)</f>
        <v>46304</v>
      </c>
      <c r="B827" s="19">
        <f>IFERROR(__xludf.DUMMYFUNCTION("""COMPUTED_VALUE"""),46316.0)</f>
        <v>46316</v>
      </c>
      <c r="C827" s="15">
        <f>IFERROR(__xludf.DUMMYFUNCTION("""COMPUTED_VALUE"""),7.0)</f>
        <v>7</v>
      </c>
      <c r="D827" s="15" t="str">
        <f>IFERROR(__xludf.DUMMYFUNCTION("""COMPUTED_VALUE"""),"POJ")</f>
        <v>POJ</v>
      </c>
      <c r="E827" s="15" t="str">
        <f>IFERROR(__xludf.DUMMYFUNCTION("""COMPUTED_VALUE"""),"LOJAS MINEIRAO LTDA")</f>
        <v>LOJAS MINEIRAO LTDA</v>
      </c>
      <c r="F827" s="15" t="str">
        <f>IFERROR(__xludf.DUMMYFUNCTION("""COMPUTED_VALUE"""),"TRIFIL")</f>
        <v>TRIFIL</v>
      </c>
      <c r="G827" s="15" t="str">
        <f>IFERROR(__xludf.DUMMYFUNCTION("""COMPUTED_VALUE"""),"266840208")</f>
        <v>266840208</v>
      </c>
      <c r="H827" s="15" t="str">
        <f>IFERROR(__xludf.DUMMYFUNCTION("""COMPUTED_VALUE"""),"1306301")</f>
        <v>1306301</v>
      </c>
      <c r="I827" s="15" t="str">
        <f>IFERROR(__xludf.DUMMYFUNCTION("""COMPUTED_VALUE"""),"8177447")</f>
        <v>8177447</v>
      </c>
      <c r="J827" s="15" t="str">
        <f>IFERROR(__xludf.DUMMYFUNCTION("""COMPUTED_VALUE"""),"CIF")</f>
        <v>CIF</v>
      </c>
      <c r="K827" s="15" t="str">
        <f>IFERROR(__xludf.DUMMYFUNCTION("""COMPUTED_VALUE"""),"(sem célula)")</f>
        <v>(sem célula)</v>
      </c>
      <c r="L827" s="15" t="str">
        <f>IFERROR(__xludf.DUMMYFUNCTION("""COMPUTED_VALUE"""),"AUTORIZADO")</f>
        <v>AUTORIZADO</v>
      </c>
      <c r="M827" s="15" t="str">
        <f>IFERROR(__xludf.DUMMYFUNCTION("""COMPUTED_VALUE"""),"NA ORIGEM")</f>
        <v>NA ORIGEM</v>
      </c>
      <c r="N827" s="15" t="str">
        <f>IFERROR(__xludf.DUMMYFUNCTION("""COMPUTED_VALUE"""),"Antes Prazo")</f>
        <v>Antes Prazo</v>
      </c>
      <c r="O827" s="15" t="str">
        <f>IFERROR(__xludf.DUMMYFUNCTION("""COMPUTED_VALUE"""),"B2B")</f>
        <v>B2B</v>
      </c>
      <c r="P827" s="16">
        <f>IFERROR(__xludf.DUMMYFUNCTION("""COMPUTED_VALUE"""),44.59)</f>
        <v>44.59</v>
      </c>
      <c r="Q827" s="15">
        <f>IFERROR(__xludf.DUMMYFUNCTION("""COMPUTED_VALUE"""),1.0)</f>
        <v>1</v>
      </c>
      <c r="R827" s="15" t="str">
        <f>IFERROR(__xludf.DUMMYFUNCTION("""COMPUTED_VALUE"""),"RODO")</f>
        <v>RODO</v>
      </c>
      <c r="S827" s="15" t="str">
        <f>IFERROR(__xludf.DUMMYFUNCTION("""COMPUTED_VALUE"""),"ITN")</f>
        <v>ITN</v>
      </c>
      <c r="T827" s="15" t="str">
        <f>IFERROR(__xludf.DUMMYFUNCTION("""COMPUTED_VALUE"""),"1")</f>
        <v>1</v>
      </c>
      <c r="U827" s="15" t="str">
        <f>IFERROR(__xludf.DUMMYFUNCTION("""COMPUTED_VALUE"""),"266840208 1306301 8177447 lojas mineirao ltda trifil poj 1")</f>
        <v>266840208 1306301 8177447 lojas mineirao ltda trifil poj 1</v>
      </c>
      <c r="V827" s="15" t="b">
        <f>IFERROR(__xludf.DUMMYFUNCTION("""COMPUTED_VALUE"""),FALSE)</f>
        <v>0</v>
      </c>
    </row>
    <row r="828">
      <c r="A828" s="19">
        <f>IFERROR(__xludf.DUMMYFUNCTION("""COMPUTED_VALUE"""),46304.0)</f>
        <v>46304</v>
      </c>
      <c r="B828" s="19">
        <f>IFERROR(__xludf.DUMMYFUNCTION("""COMPUTED_VALUE"""),46316.0)</f>
        <v>46316</v>
      </c>
      <c r="C828" s="15">
        <f>IFERROR(__xludf.DUMMYFUNCTION("""COMPUTED_VALUE"""),7.0)</f>
        <v>7</v>
      </c>
      <c r="D828" s="15" t="str">
        <f>IFERROR(__xludf.DUMMYFUNCTION("""COMPUTED_VALUE"""),"POJ")</f>
        <v>POJ</v>
      </c>
      <c r="E828" s="15" t="str">
        <f>IFERROR(__xludf.DUMMYFUNCTION("""COMPUTED_VALUE"""),"LOOZO WEAR")</f>
        <v>LOOZO WEAR</v>
      </c>
      <c r="F828" s="15" t="str">
        <f>IFERROR(__xludf.DUMMYFUNCTION("""COMPUTED_VALUE"""),"TRIFIL")</f>
        <v>TRIFIL</v>
      </c>
      <c r="G828" s="15" t="str">
        <f>IFERROR(__xludf.DUMMYFUNCTION("""COMPUTED_VALUE"""),"266840209")</f>
        <v>266840209</v>
      </c>
      <c r="H828" s="15" t="str">
        <f>IFERROR(__xludf.DUMMYFUNCTION("""COMPUTED_VALUE"""),"1306529")</f>
        <v>1306529</v>
      </c>
      <c r="I828" s="15" t="str">
        <f>IFERROR(__xludf.DUMMYFUNCTION("""COMPUTED_VALUE"""),"8177421")</f>
        <v>8177421</v>
      </c>
      <c r="J828" s="15" t="str">
        <f>IFERROR(__xludf.DUMMYFUNCTION("""COMPUTED_VALUE"""),"CIF")</f>
        <v>CIF</v>
      </c>
      <c r="K828" s="15" t="str">
        <f>IFERROR(__xludf.DUMMYFUNCTION("""COMPUTED_VALUE"""),"(sem célula)")</f>
        <v>(sem célula)</v>
      </c>
      <c r="L828" s="15" t="str">
        <f>IFERROR(__xludf.DUMMYFUNCTION("""COMPUTED_VALUE"""),"AUTORIZADO")</f>
        <v>AUTORIZADO</v>
      </c>
      <c r="M828" s="15" t="str">
        <f>IFERROR(__xludf.DUMMYFUNCTION("""COMPUTED_VALUE"""),"NA ORIGEM")</f>
        <v>NA ORIGEM</v>
      </c>
      <c r="N828" s="15" t="str">
        <f>IFERROR(__xludf.DUMMYFUNCTION("""COMPUTED_VALUE"""),"Antes Prazo")</f>
        <v>Antes Prazo</v>
      </c>
      <c r="O828" s="15" t="str">
        <f>IFERROR(__xludf.DUMMYFUNCTION("""COMPUTED_VALUE"""),"B2B")</f>
        <v>B2B</v>
      </c>
      <c r="P828" s="16">
        <f>IFERROR(__xludf.DUMMYFUNCTION("""COMPUTED_VALUE"""),44.59)</f>
        <v>44.59</v>
      </c>
      <c r="Q828" s="15">
        <f>IFERROR(__xludf.DUMMYFUNCTION("""COMPUTED_VALUE"""),2.0)</f>
        <v>2</v>
      </c>
      <c r="R828" s="15" t="str">
        <f>IFERROR(__xludf.DUMMYFUNCTION("""COMPUTED_VALUE"""),"RODO")</f>
        <v>RODO</v>
      </c>
      <c r="S828" s="15" t="str">
        <f>IFERROR(__xludf.DUMMYFUNCTION("""COMPUTED_VALUE"""),"ITN")</f>
        <v>ITN</v>
      </c>
      <c r="T828" s="15" t="str">
        <f>IFERROR(__xludf.DUMMYFUNCTION("""COMPUTED_VALUE"""),"3")</f>
        <v>3</v>
      </c>
      <c r="U828" s="15" t="str">
        <f>IFERROR(__xludf.DUMMYFUNCTION("""COMPUTED_VALUE"""),"266840209 1306529 8177421 loozo wear trifil poj 3")</f>
        <v>266840209 1306529 8177421 loozo wear trifil poj 3</v>
      </c>
      <c r="V828" s="15" t="b">
        <f>IFERROR(__xludf.DUMMYFUNCTION("""COMPUTED_VALUE"""),FALSE)</f>
        <v>0</v>
      </c>
    </row>
    <row r="829">
      <c r="A829" s="19">
        <f>IFERROR(__xludf.DUMMYFUNCTION("""COMPUTED_VALUE"""),46304.0)</f>
        <v>46304</v>
      </c>
      <c r="B829" s="19">
        <f>IFERROR(__xludf.DUMMYFUNCTION("""COMPUTED_VALUE"""),46323.0)</f>
        <v>46323</v>
      </c>
      <c r="C829" s="15">
        <f>IFERROR(__xludf.DUMMYFUNCTION("""COMPUTED_VALUE"""),12.0)</f>
        <v>12</v>
      </c>
      <c r="D829" s="15" t="str">
        <f>IFERROR(__xludf.DUMMYFUNCTION("""COMPUTED_VALUE"""),"MOC")</f>
        <v>MOC</v>
      </c>
      <c r="E829" s="15" t="str">
        <f>IFERROR(__xludf.DUMMYFUNCTION("""COMPUTED_VALUE"""),"LIMA CONFEÇÕES")</f>
        <v>LIMA CONFEÇÕES</v>
      </c>
      <c r="F829" s="15" t="str">
        <f>IFERROR(__xludf.DUMMYFUNCTION("""COMPUTED_VALUE"""),"TRIFIL")</f>
        <v>TRIFIL</v>
      </c>
      <c r="G829" s="15" t="str">
        <f>IFERROR(__xludf.DUMMYFUNCTION("""COMPUTED_VALUE"""),"266840210")</f>
        <v>266840210</v>
      </c>
      <c r="H829" s="15" t="str">
        <f>IFERROR(__xludf.DUMMYFUNCTION("""COMPUTED_VALUE"""),"1306225")</f>
        <v>1306225</v>
      </c>
      <c r="I829" s="15" t="str">
        <f>IFERROR(__xludf.DUMMYFUNCTION("""COMPUTED_VALUE"""),"8177471")</f>
        <v>8177471</v>
      </c>
      <c r="J829" s="15" t="str">
        <f>IFERROR(__xludf.DUMMYFUNCTION("""COMPUTED_VALUE"""),"CIF")</f>
        <v>CIF</v>
      </c>
      <c r="K829" s="15" t="str">
        <f>IFERROR(__xludf.DUMMYFUNCTION("""COMPUTED_VALUE"""),"(sem célula)")</f>
        <v>(sem célula)</v>
      </c>
      <c r="L829" s="15" t="str">
        <f>IFERROR(__xludf.DUMMYFUNCTION("""COMPUTED_VALUE"""),"AUTORIZADO")</f>
        <v>AUTORIZADO</v>
      </c>
      <c r="M829" s="15" t="str">
        <f>IFERROR(__xludf.DUMMYFUNCTION("""COMPUTED_VALUE"""),"NA ORIGEM")</f>
        <v>NA ORIGEM</v>
      </c>
      <c r="N829" s="15" t="str">
        <f>IFERROR(__xludf.DUMMYFUNCTION("""COMPUTED_VALUE"""),"Antes Prazo")</f>
        <v>Antes Prazo</v>
      </c>
      <c r="O829" s="15" t="str">
        <f>IFERROR(__xludf.DUMMYFUNCTION("""COMPUTED_VALUE"""),"B2B")</f>
        <v>B2B</v>
      </c>
      <c r="P829" s="16">
        <f>IFERROR(__xludf.DUMMYFUNCTION("""COMPUTED_VALUE"""),66.39)</f>
        <v>66.39</v>
      </c>
      <c r="Q829" s="15">
        <f>IFERROR(__xludf.DUMMYFUNCTION("""COMPUTED_VALUE"""),8.0)</f>
        <v>8</v>
      </c>
      <c r="R829" s="15" t="str">
        <f>IFERROR(__xludf.DUMMYFUNCTION("""COMPUTED_VALUE"""),"RODO")</f>
        <v>RODO</v>
      </c>
      <c r="S829" s="15" t="str">
        <f>IFERROR(__xludf.DUMMYFUNCTION("""COMPUTED_VALUE"""),"ITN")</f>
        <v>ITN</v>
      </c>
      <c r="T829" s="15" t="str">
        <f>IFERROR(__xludf.DUMMYFUNCTION("""COMPUTED_VALUE"""),"102")</f>
        <v>102</v>
      </c>
      <c r="U829" s="15" t="str">
        <f>IFERROR(__xludf.DUMMYFUNCTION("""COMPUTED_VALUE"""),"266840210 1306225 8177471 lima confeções trifil moc 102")</f>
        <v>266840210 1306225 8177471 lima confeções trifil moc 102</v>
      </c>
      <c r="V829" s="15" t="b">
        <f>IFERROR(__xludf.DUMMYFUNCTION("""COMPUTED_VALUE"""),FALSE)</f>
        <v>0</v>
      </c>
    </row>
    <row r="830">
      <c r="A830" s="19">
        <f>IFERROR(__xludf.DUMMYFUNCTION("""COMPUTED_VALUE"""),46304.0)</f>
        <v>46304</v>
      </c>
      <c r="B830" s="19">
        <f>IFERROR(__xludf.DUMMYFUNCTION("""COMPUTED_VALUE"""),46316.0)</f>
        <v>46316</v>
      </c>
      <c r="C830" s="15">
        <f>IFERROR(__xludf.DUMMYFUNCTION("""COMPUTED_VALUE"""),7.0)</f>
        <v>7</v>
      </c>
      <c r="D830" s="15" t="str">
        <f>IFERROR(__xludf.DUMMYFUNCTION("""COMPUTED_VALUE"""),"GRU")</f>
        <v>GRU</v>
      </c>
      <c r="E830" s="15" t="str">
        <f>IFERROR(__xludf.DUMMYFUNCTION("""COMPUTED_VALUE"""),"VALENTINNI FOX LINGERIE MODA PRAIA E")</f>
        <v>VALENTINNI FOX LINGERIE MODA PRAIA E</v>
      </c>
      <c r="F830" s="15" t="str">
        <f>IFERROR(__xludf.DUMMYFUNCTION("""COMPUTED_VALUE"""),"TRIFIL")</f>
        <v>TRIFIL</v>
      </c>
      <c r="G830" s="15" t="str">
        <f>IFERROR(__xludf.DUMMYFUNCTION("""COMPUTED_VALUE"""),"266840211")</f>
        <v>266840211</v>
      </c>
      <c r="H830" s="15" t="str">
        <f>IFERROR(__xludf.DUMMYFUNCTION("""COMPUTED_VALUE"""),"1306589")</f>
        <v>1306589</v>
      </c>
      <c r="I830" s="15" t="str">
        <f>IFERROR(__xludf.DUMMYFUNCTION("""COMPUTED_VALUE"""),"8177422")</f>
        <v>8177422</v>
      </c>
      <c r="J830" s="15" t="str">
        <f>IFERROR(__xludf.DUMMYFUNCTION("""COMPUTED_VALUE"""),"CIF")</f>
        <v>CIF</v>
      </c>
      <c r="K830" s="15" t="str">
        <f>IFERROR(__xludf.DUMMYFUNCTION("""COMPUTED_VALUE"""),"SAO-1")</f>
        <v>SAO-1</v>
      </c>
      <c r="L830" s="15" t="str">
        <f>IFERROR(__xludf.DUMMYFUNCTION("""COMPUTED_VALUE"""),"AUTORIZADO")</f>
        <v>AUTORIZADO</v>
      </c>
      <c r="M830" s="15" t="str">
        <f>IFERROR(__xludf.DUMMYFUNCTION("""COMPUTED_VALUE"""),"NA ORIGEM")</f>
        <v>NA ORIGEM</v>
      </c>
      <c r="N830" s="15" t="str">
        <f>IFERROR(__xludf.DUMMYFUNCTION("""COMPUTED_VALUE"""),"Antes Prazo")</f>
        <v>Antes Prazo</v>
      </c>
      <c r="O830" s="15" t="str">
        <f>IFERROR(__xludf.DUMMYFUNCTION("""COMPUTED_VALUE"""),"B2B")</f>
        <v>B2B</v>
      </c>
      <c r="P830" s="16">
        <f>IFERROR(__xludf.DUMMYFUNCTION("""COMPUTED_VALUE"""),45.49)</f>
        <v>45.49</v>
      </c>
      <c r="Q830" s="15">
        <f>IFERROR(__xludf.DUMMYFUNCTION("""COMPUTED_VALUE"""),1.0)</f>
        <v>1</v>
      </c>
      <c r="R830" s="15" t="str">
        <f>IFERROR(__xludf.DUMMYFUNCTION("""COMPUTED_VALUE"""),"RODO")</f>
        <v>RODO</v>
      </c>
      <c r="S830" s="15" t="str">
        <f>IFERROR(__xludf.DUMMYFUNCTION("""COMPUTED_VALUE"""),"ITN")</f>
        <v>ITN</v>
      </c>
      <c r="T830" s="15" t="str">
        <f>IFERROR(__xludf.DUMMYFUNCTION("""COMPUTED_VALUE"""),"2321")</f>
        <v>2321</v>
      </c>
      <c r="U830" s="15" t="str">
        <f>IFERROR(__xludf.DUMMYFUNCTION("""COMPUTED_VALUE"""),"266840211 1306589 8177422 valentinni fox lingerie moda praia e trifil gru 2321")</f>
        <v>266840211 1306589 8177422 valentinni fox lingerie moda praia e trifil gru 2321</v>
      </c>
      <c r="V830" s="15" t="b">
        <f>IFERROR(__xludf.DUMMYFUNCTION("""COMPUTED_VALUE"""),FALSE)</f>
        <v>0</v>
      </c>
    </row>
    <row r="831">
      <c r="A831" s="19">
        <f>IFERROR(__xludf.DUMMYFUNCTION("""COMPUTED_VALUE"""),46304.0)</f>
        <v>46304</v>
      </c>
      <c r="B831" s="19">
        <f>IFERROR(__xludf.DUMMYFUNCTION("""COMPUTED_VALUE"""),46314.0)</f>
        <v>46314</v>
      </c>
      <c r="C831" s="15">
        <f>IFERROR(__xludf.DUMMYFUNCTION("""COMPUTED_VALUE"""),5.0)</f>
        <v>5</v>
      </c>
      <c r="D831" s="15" t="str">
        <f>IFERROR(__xludf.DUMMYFUNCTION("""COMPUTED_VALUE"""),"SSA")</f>
        <v>SSA</v>
      </c>
      <c r="E831" s="15" t="str">
        <f>IFERROR(__xludf.DUMMYFUNCTION("""COMPUTED_VALUE"""),"COMETA CALÇADOS- MATRIZ")</f>
        <v>COMETA CALÇADOS- MATRIZ</v>
      </c>
      <c r="F831" s="15" t="str">
        <f>IFERROR(__xludf.DUMMYFUNCTION("""COMPUTED_VALUE"""),"TRIFIL")</f>
        <v>TRIFIL</v>
      </c>
      <c r="G831" s="15" t="str">
        <f>IFERROR(__xludf.DUMMYFUNCTION("""COMPUTED_VALUE"""),"266840212")</f>
        <v>266840212</v>
      </c>
      <c r="H831" s="15" t="str">
        <f>IFERROR(__xludf.DUMMYFUNCTION("""COMPUTED_VALUE"""),"1306456")</f>
        <v>1306456</v>
      </c>
      <c r="I831" s="15" t="str">
        <f>IFERROR(__xludf.DUMMYFUNCTION("""COMPUTED_VALUE"""),"8177423")</f>
        <v>8177423</v>
      </c>
      <c r="J831" s="15" t="str">
        <f>IFERROR(__xludf.DUMMYFUNCTION("""COMPUTED_VALUE"""),"CIF")</f>
        <v>CIF</v>
      </c>
      <c r="K831" s="15" t="str">
        <f>IFERROR(__xludf.DUMMYFUNCTION("""COMPUTED_VALUE"""),"FSA-1")</f>
        <v>FSA-1</v>
      </c>
      <c r="L831" s="15" t="str">
        <f>IFERROR(__xludf.DUMMYFUNCTION("""COMPUTED_VALUE"""),"AUTORIZADO")</f>
        <v>AUTORIZADO</v>
      </c>
      <c r="M831" s="15" t="str">
        <f>IFERROR(__xludf.DUMMYFUNCTION("""COMPUTED_VALUE"""),"NA ORIGEM")</f>
        <v>NA ORIGEM</v>
      </c>
      <c r="N831" s="15" t="str">
        <f>IFERROR(__xludf.DUMMYFUNCTION("""COMPUTED_VALUE"""),"Antes Prazo")</f>
        <v>Antes Prazo</v>
      </c>
      <c r="O831" s="15" t="str">
        <f>IFERROR(__xludf.DUMMYFUNCTION("""COMPUTED_VALUE"""),"B2B")</f>
        <v>B2B</v>
      </c>
      <c r="P831" s="16">
        <f>IFERROR(__xludf.DUMMYFUNCTION("""COMPUTED_VALUE"""),37.78)</f>
        <v>37.78</v>
      </c>
      <c r="Q831" s="15">
        <f>IFERROR(__xludf.DUMMYFUNCTION("""COMPUTED_VALUE"""),1.0)</f>
        <v>1</v>
      </c>
      <c r="R831" s="15" t="str">
        <f>IFERROR(__xludf.DUMMYFUNCTION("""COMPUTED_VALUE"""),"RODO")</f>
        <v>RODO</v>
      </c>
      <c r="S831" s="15" t="str">
        <f>IFERROR(__xludf.DUMMYFUNCTION("""COMPUTED_VALUE"""),"ITN")</f>
        <v>ITN</v>
      </c>
      <c r="T831" s="15" t="str">
        <f>IFERROR(__xludf.DUMMYFUNCTION("""COMPUTED_VALUE"""),"101")</f>
        <v>101</v>
      </c>
      <c r="U831" s="15" t="str">
        <f>IFERROR(__xludf.DUMMYFUNCTION("""COMPUTED_VALUE"""),"266840212 1306456 8177423 cometa calçados- matriz trifil ssa 101")</f>
        <v>266840212 1306456 8177423 cometa calçados- matriz trifil ssa 101</v>
      </c>
      <c r="V831" s="15" t="b">
        <f>IFERROR(__xludf.DUMMYFUNCTION("""COMPUTED_VALUE"""),FALSE)</f>
        <v>0</v>
      </c>
    </row>
    <row r="832">
      <c r="A832" s="19">
        <f>IFERROR(__xludf.DUMMYFUNCTION("""COMPUTED_VALUE"""),46304.0)</f>
        <v>46304</v>
      </c>
      <c r="B832" s="19">
        <f>IFERROR(__xludf.DUMMYFUNCTION("""COMPUTED_VALUE"""),46314.0)</f>
        <v>46314</v>
      </c>
      <c r="C832" s="15">
        <f>IFERROR(__xludf.DUMMYFUNCTION("""COMPUTED_VALUE"""),5.0)</f>
        <v>5</v>
      </c>
      <c r="D832" s="15" t="str">
        <f>IFERROR(__xludf.DUMMYFUNCTION("""COMPUTED_VALUE"""),"SSA")</f>
        <v>SSA</v>
      </c>
      <c r="E832" s="15" t="str">
        <f>IFERROR(__xludf.DUMMYFUNCTION("""COMPUTED_VALUE"""),"SCALA COMERCIO DE ROUPAS E A. LTDA")</f>
        <v>SCALA COMERCIO DE ROUPAS E A. LTDA</v>
      </c>
      <c r="F832" s="15" t="str">
        <f>IFERROR(__xludf.DUMMYFUNCTION("""COMPUTED_VALUE"""),"TRIFIL")</f>
        <v>TRIFIL</v>
      </c>
      <c r="G832" s="15" t="str">
        <f>IFERROR(__xludf.DUMMYFUNCTION("""COMPUTED_VALUE"""),"266840213")</f>
        <v>266840213</v>
      </c>
      <c r="H832" s="15" t="str">
        <f>IFERROR(__xludf.DUMMYFUNCTION("""COMPUTED_VALUE"""),"1306556")</f>
        <v>1306556</v>
      </c>
      <c r="I832" s="15" t="str">
        <f>IFERROR(__xludf.DUMMYFUNCTION("""COMPUTED_VALUE"""),"8177424")</f>
        <v>8177424</v>
      </c>
      <c r="J832" s="15" t="str">
        <f>IFERROR(__xludf.DUMMYFUNCTION("""COMPUTED_VALUE"""),"CIF")</f>
        <v>CIF</v>
      </c>
      <c r="K832" s="15" t="str">
        <f>IFERROR(__xludf.DUMMYFUNCTION("""COMPUTED_VALUE"""),"FSA-1")</f>
        <v>FSA-1</v>
      </c>
      <c r="L832" s="15" t="str">
        <f>IFERROR(__xludf.DUMMYFUNCTION("""COMPUTED_VALUE"""),"AUTORIZADO")</f>
        <v>AUTORIZADO</v>
      </c>
      <c r="M832" s="15" t="str">
        <f>IFERROR(__xludf.DUMMYFUNCTION("""COMPUTED_VALUE"""),"NA ORIGEM")</f>
        <v>NA ORIGEM</v>
      </c>
      <c r="N832" s="15" t="str">
        <f>IFERROR(__xludf.DUMMYFUNCTION("""COMPUTED_VALUE"""),"Antes Prazo")</f>
        <v>Antes Prazo</v>
      </c>
      <c r="O832" s="15" t="str">
        <f>IFERROR(__xludf.DUMMYFUNCTION("""COMPUTED_VALUE"""),"B2B")</f>
        <v>B2B</v>
      </c>
      <c r="P832" s="16">
        <f>IFERROR(__xludf.DUMMYFUNCTION("""COMPUTED_VALUE"""),47.8)</f>
        <v>47.8</v>
      </c>
      <c r="Q832" s="15">
        <f>IFERROR(__xludf.DUMMYFUNCTION("""COMPUTED_VALUE"""),6.0)</f>
        <v>6</v>
      </c>
      <c r="R832" s="15" t="str">
        <f>IFERROR(__xludf.DUMMYFUNCTION("""COMPUTED_VALUE"""),"RODO")</f>
        <v>RODO</v>
      </c>
      <c r="S832" s="15" t="str">
        <f>IFERROR(__xludf.DUMMYFUNCTION("""COMPUTED_VALUE"""),"ITN")</f>
        <v>ITN</v>
      </c>
      <c r="T832" s="15" t="str">
        <f>IFERROR(__xludf.DUMMYFUNCTION("""COMPUTED_VALUE"""),"106")</f>
        <v>106</v>
      </c>
      <c r="U832" s="15" t="str">
        <f>IFERROR(__xludf.DUMMYFUNCTION("""COMPUTED_VALUE"""),"266840213 1306556 8177424 scala comercio de roupas e a. ltda trifil ssa 106")</f>
        <v>266840213 1306556 8177424 scala comercio de roupas e a. ltda trifil ssa 106</v>
      </c>
      <c r="V832" s="15" t="b">
        <f>IFERROR(__xludf.DUMMYFUNCTION("""COMPUTED_VALUE"""),FALSE)</f>
        <v>0</v>
      </c>
    </row>
    <row r="833">
      <c r="A833" s="19">
        <f>IFERROR(__xludf.DUMMYFUNCTION("""COMPUTED_VALUE"""),46304.0)</f>
        <v>46304</v>
      </c>
      <c r="B833" s="19">
        <f>IFERROR(__xludf.DUMMYFUNCTION("""COMPUTED_VALUE"""),46314.0)</f>
        <v>46314</v>
      </c>
      <c r="C833" s="15">
        <f>IFERROR(__xludf.DUMMYFUNCTION("""COMPUTED_VALUE"""),5.0)</f>
        <v>5</v>
      </c>
      <c r="D833" s="15" t="str">
        <f>IFERROR(__xludf.DUMMYFUNCTION("""COMPUTED_VALUE"""),"FSA")</f>
        <v>FSA</v>
      </c>
      <c r="E833" s="15" t="str">
        <f>IFERROR(__xludf.DUMMYFUNCTION("""COMPUTED_VALUE"""),"RICARDO DAMASCENO DA SILVA")</f>
        <v>RICARDO DAMASCENO DA SILVA</v>
      </c>
      <c r="F833" s="15" t="str">
        <f>IFERROR(__xludf.DUMMYFUNCTION("""COMPUTED_VALUE"""),"TRIFIL")</f>
        <v>TRIFIL</v>
      </c>
      <c r="G833" s="15" t="str">
        <f>IFERROR(__xludf.DUMMYFUNCTION("""COMPUTED_VALUE"""),"266840214")</f>
        <v>266840214</v>
      </c>
      <c r="H833" s="15" t="str">
        <f>IFERROR(__xludf.DUMMYFUNCTION("""COMPUTED_VALUE"""),"1306542")</f>
        <v>1306542</v>
      </c>
      <c r="I833" s="15" t="str">
        <f>IFERROR(__xludf.DUMMYFUNCTION("""COMPUTED_VALUE"""),"8177425")</f>
        <v>8177425</v>
      </c>
      <c r="J833" s="15" t="str">
        <f>IFERROR(__xludf.DUMMYFUNCTION("""COMPUTED_VALUE"""),"CIF")</f>
        <v>CIF</v>
      </c>
      <c r="K833" s="15" t="str">
        <f>IFERROR(__xludf.DUMMYFUNCTION("""COMPUTED_VALUE"""),"(sem célula)")</f>
        <v>(sem célula)</v>
      </c>
      <c r="L833" s="15" t="str">
        <f>IFERROR(__xludf.DUMMYFUNCTION("""COMPUTED_VALUE"""),"AUTORIZADO")</f>
        <v>AUTORIZADO</v>
      </c>
      <c r="M833" s="15" t="str">
        <f>IFERROR(__xludf.DUMMYFUNCTION("""COMPUTED_VALUE"""),"NA ORIGEM")</f>
        <v>NA ORIGEM</v>
      </c>
      <c r="N833" s="15" t="str">
        <f>IFERROR(__xludf.DUMMYFUNCTION("""COMPUTED_VALUE"""),"Antes Prazo")</f>
        <v>Antes Prazo</v>
      </c>
      <c r="O833" s="15" t="str">
        <f>IFERROR(__xludf.DUMMYFUNCTION("""COMPUTED_VALUE"""),"B2B")</f>
        <v>B2B</v>
      </c>
      <c r="P833" s="16">
        <f>IFERROR(__xludf.DUMMYFUNCTION("""COMPUTED_VALUE"""),31.77)</f>
        <v>31.77</v>
      </c>
      <c r="Q833" s="15">
        <f>IFERROR(__xludf.DUMMYFUNCTION("""COMPUTED_VALUE"""),2.0)</f>
        <v>2</v>
      </c>
      <c r="R833" s="15" t="str">
        <f>IFERROR(__xludf.DUMMYFUNCTION("""COMPUTED_VALUE"""),"RODO")</f>
        <v>RODO</v>
      </c>
      <c r="S833" s="15" t="str">
        <f>IFERROR(__xludf.DUMMYFUNCTION("""COMPUTED_VALUE"""),"ITN")</f>
        <v>ITN</v>
      </c>
      <c r="T833" s="15" t="str">
        <f>IFERROR(__xludf.DUMMYFUNCTION("""COMPUTED_VALUE"""),"22")</f>
        <v>22</v>
      </c>
      <c r="U833" s="15" t="str">
        <f>IFERROR(__xludf.DUMMYFUNCTION("""COMPUTED_VALUE"""),"266840214 1306542 8177425 ricardo damasceno da silva trifil fsa 22")</f>
        <v>266840214 1306542 8177425 ricardo damasceno da silva trifil fsa 22</v>
      </c>
      <c r="V833" s="15" t="b">
        <f>IFERROR(__xludf.DUMMYFUNCTION("""COMPUTED_VALUE"""),FALSE)</f>
        <v>0</v>
      </c>
    </row>
    <row r="834">
      <c r="A834" s="19">
        <f>IFERROR(__xludf.DUMMYFUNCTION("""COMPUTED_VALUE"""),46304.0)</f>
        <v>46304</v>
      </c>
      <c r="B834" s="19">
        <f>IFERROR(__xludf.DUMMYFUNCTION("""COMPUTED_VALUE"""),46314.0)</f>
        <v>46314</v>
      </c>
      <c r="C834" s="15">
        <f>IFERROR(__xludf.DUMMYFUNCTION("""COMPUTED_VALUE"""),5.0)</f>
        <v>5</v>
      </c>
      <c r="D834" s="15" t="str">
        <f>IFERROR(__xludf.DUMMYFUNCTION("""COMPUTED_VALUE"""),"FSA")</f>
        <v>FSA</v>
      </c>
      <c r="E834" s="15" t="str">
        <f>IFERROR(__xludf.DUMMYFUNCTION("""COMPUTED_VALUE"""),"LUICK COMERCIO DE CONF LTDA")</f>
        <v>LUICK COMERCIO DE CONF LTDA</v>
      </c>
      <c r="F834" s="15" t="str">
        <f>IFERROR(__xludf.DUMMYFUNCTION("""COMPUTED_VALUE"""),"TRIFIL")</f>
        <v>TRIFIL</v>
      </c>
      <c r="G834" s="15" t="str">
        <f>IFERROR(__xludf.DUMMYFUNCTION("""COMPUTED_VALUE"""),"266840215")</f>
        <v>266840215</v>
      </c>
      <c r="H834" s="15" t="str">
        <f>IFERROR(__xludf.DUMMYFUNCTION("""COMPUTED_VALUE"""),"1306567")</f>
        <v>1306567</v>
      </c>
      <c r="I834" s="15" t="str">
        <f>IFERROR(__xludf.DUMMYFUNCTION("""COMPUTED_VALUE"""),"8177426")</f>
        <v>8177426</v>
      </c>
      <c r="J834" s="15" t="str">
        <f>IFERROR(__xludf.DUMMYFUNCTION("""COMPUTED_VALUE"""),"CIF")</f>
        <v>CIF</v>
      </c>
      <c r="K834" s="15" t="str">
        <f>IFERROR(__xludf.DUMMYFUNCTION("""COMPUTED_VALUE"""),"(sem célula)")</f>
        <v>(sem célula)</v>
      </c>
      <c r="L834" s="15" t="str">
        <f>IFERROR(__xludf.DUMMYFUNCTION("""COMPUTED_VALUE"""),"AUTORIZADO")</f>
        <v>AUTORIZADO</v>
      </c>
      <c r="M834" s="15" t="str">
        <f>IFERROR(__xludf.DUMMYFUNCTION("""COMPUTED_VALUE"""),"NA ORIGEM")</f>
        <v>NA ORIGEM</v>
      </c>
      <c r="N834" s="15" t="str">
        <f>IFERROR(__xludf.DUMMYFUNCTION("""COMPUTED_VALUE"""),"Antes Prazo")</f>
        <v>Antes Prazo</v>
      </c>
      <c r="O834" s="15" t="str">
        <f>IFERROR(__xludf.DUMMYFUNCTION("""COMPUTED_VALUE"""),"B2B")</f>
        <v>B2B</v>
      </c>
      <c r="P834" s="16">
        <f>IFERROR(__xludf.DUMMYFUNCTION("""COMPUTED_VALUE"""),36.71)</f>
        <v>36.71</v>
      </c>
      <c r="Q834" s="15">
        <f>IFERROR(__xludf.DUMMYFUNCTION("""COMPUTED_VALUE"""),2.0)</f>
        <v>2</v>
      </c>
      <c r="R834" s="15" t="str">
        <f>IFERROR(__xludf.DUMMYFUNCTION("""COMPUTED_VALUE"""),"RODO")</f>
        <v>RODO</v>
      </c>
      <c r="S834" s="15" t="str">
        <f>IFERROR(__xludf.DUMMYFUNCTION("""COMPUTED_VALUE"""),"ITN")</f>
        <v>ITN</v>
      </c>
      <c r="T834" s="15" t="str">
        <f>IFERROR(__xludf.DUMMYFUNCTION("""COMPUTED_VALUE"""),"1")</f>
        <v>1</v>
      </c>
      <c r="U834" s="15" t="str">
        <f>IFERROR(__xludf.DUMMYFUNCTION("""COMPUTED_VALUE"""),"266840215 1306567 8177426 luick comercio de conf ltda trifil fsa 1")</f>
        <v>266840215 1306567 8177426 luick comercio de conf ltda trifil fsa 1</v>
      </c>
      <c r="V834" s="15" t="b">
        <f>IFERROR(__xludf.DUMMYFUNCTION("""COMPUTED_VALUE"""),FALSE)</f>
        <v>0</v>
      </c>
    </row>
    <row r="835">
      <c r="A835" s="19">
        <f>IFERROR(__xludf.DUMMYFUNCTION("""COMPUTED_VALUE"""),46304.0)</f>
        <v>46304</v>
      </c>
      <c r="B835" s="19">
        <f>IFERROR(__xludf.DUMMYFUNCTION("""COMPUTED_VALUE"""),46314.0)</f>
        <v>46314</v>
      </c>
      <c r="C835" s="15">
        <f>IFERROR(__xludf.DUMMYFUNCTION("""COMPUTED_VALUE"""),5.0)</f>
        <v>5</v>
      </c>
      <c r="D835" s="15" t="str">
        <f>IFERROR(__xludf.DUMMYFUNCTION("""COMPUTED_VALUE"""),"FSA")</f>
        <v>FSA</v>
      </c>
      <c r="E835" s="15" t="str">
        <f>IFERROR(__xludf.DUMMYFUNCTION("""COMPUTED_VALUE"""),"CIPRIANO CARVALHO DE SOUZA FILHO")</f>
        <v>CIPRIANO CARVALHO DE SOUZA FILHO</v>
      </c>
      <c r="F835" s="15" t="str">
        <f>IFERROR(__xludf.DUMMYFUNCTION("""COMPUTED_VALUE"""),"TRIFIL")</f>
        <v>TRIFIL</v>
      </c>
      <c r="G835" s="15" t="str">
        <f>IFERROR(__xludf.DUMMYFUNCTION("""COMPUTED_VALUE"""),"266840216")</f>
        <v>266840216</v>
      </c>
      <c r="H835" s="15" t="str">
        <f>IFERROR(__xludf.DUMMYFUNCTION("""COMPUTED_VALUE"""),"1306508")</f>
        <v>1306508</v>
      </c>
      <c r="I835" s="15" t="str">
        <f>IFERROR(__xludf.DUMMYFUNCTION("""COMPUTED_VALUE"""),"8177407")</f>
        <v>8177407</v>
      </c>
      <c r="J835" s="15" t="str">
        <f>IFERROR(__xludf.DUMMYFUNCTION("""COMPUTED_VALUE"""),"CIF")</f>
        <v>CIF</v>
      </c>
      <c r="K835" s="15" t="str">
        <f>IFERROR(__xludf.DUMMYFUNCTION("""COMPUTED_VALUE"""),"(sem célula)")</f>
        <v>(sem célula)</v>
      </c>
      <c r="L835" s="15" t="str">
        <f>IFERROR(__xludf.DUMMYFUNCTION("""COMPUTED_VALUE"""),"AUTORIZADO")</f>
        <v>AUTORIZADO</v>
      </c>
      <c r="M835" s="15" t="str">
        <f>IFERROR(__xludf.DUMMYFUNCTION("""COMPUTED_VALUE"""),"NA ORIGEM")</f>
        <v>NA ORIGEM</v>
      </c>
      <c r="N835" s="15" t="str">
        <f>IFERROR(__xludf.DUMMYFUNCTION("""COMPUTED_VALUE"""),"Antes Prazo")</f>
        <v>Antes Prazo</v>
      </c>
      <c r="O835" s="15" t="str">
        <f>IFERROR(__xludf.DUMMYFUNCTION("""COMPUTED_VALUE"""),"B2B")</f>
        <v>B2B</v>
      </c>
      <c r="P835" s="16">
        <f>IFERROR(__xludf.DUMMYFUNCTION("""COMPUTED_VALUE"""),43.26)</f>
        <v>43.26</v>
      </c>
      <c r="Q835" s="15">
        <f>IFERROR(__xludf.DUMMYFUNCTION("""COMPUTED_VALUE"""),9.0)</f>
        <v>9</v>
      </c>
      <c r="R835" s="15" t="str">
        <f>IFERROR(__xludf.DUMMYFUNCTION("""COMPUTED_VALUE"""),"RODO")</f>
        <v>RODO</v>
      </c>
      <c r="S835" s="15" t="str">
        <f>IFERROR(__xludf.DUMMYFUNCTION("""COMPUTED_VALUE"""),"ITN")</f>
        <v>ITN</v>
      </c>
      <c r="T835" s="15" t="str">
        <f>IFERROR(__xludf.DUMMYFUNCTION("""COMPUTED_VALUE"""),"6")</f>
        <v>6</v>
      </c>
      <c r="U835" s="15" t="str">
        <f>IFERROR(__xludf.DUMMYFUNCTION("""COMPUTED_VALUE"""),"266840216 1306508 8177407 cipriano carvalho de souza filho trifil fsa 6")</f>
        <v>266840216 1306508 8177407 cipriano carvalho de souza filho trifil fsa 6</v>
      </c>
      <c r="V835" s="15" t="b">
        <f>IFERROR(__xludf.DUMMYFUNCTION("""COMPUTED_VALUE"""),FALSE)</f>
        <v>0</v>
      </c>
    </row>
    <row r="836">
      <c r="A836" s="19">
        <f>IFERROR(__xludf.DUMMYFUNCTION("""COMPUTED_VALUE"""),46304.0)</f>
        <v>46304</v>
      </c>
      <c r="B836" s="19">
        <f>IFERROR(__xludf.DUMMYFUNCTION("""COMPUTED_VALUE"""),46323.0)</f>
        <v>46323</v>
      </c>
      <c r="C836" s="15">
        <f>IFERROR(__xludf.DUMMYFUNCTION("""COMPUTED_VALUE"""),12.0)</f>
        <v>12</v>
      </c>
      <c r="D836" s="15" t="str">
        <f>IFERROR(__xludf.DUMMYFUNCTION("""COMPUTED_VALUE"""),"JEQ")</f>
        <v>JEQ</v>
      </c>
      <c r="E836" s="15" t="str">
        <f>IFERROR(__xludf.DUMMYFUNCTION("""COMPUTED_VALUE"""),"COML TECIDOS GONZAGA LTDA")</f>
        <v>COML TECIDOS GONZAGA LTDA</v>
      </c>
      <c r="F836" s="15" t="str">
        <f>IFERROR(__xludf.DUMMYFUNCTION("""COMPUTED_VALUE"""),"TRIFIL")</f>
        <v>TRIFIL</v>
      </c>
      <c r="G836" s="15" t="str">
        <f>IFERROR(__xludf.DUMMYFUNCTION("""COMPUTED_VALUE"""),"266840217")</f>
        <v>266840217</v>
      </c>
      <c r="H836" s="15" t="str">
        <f>IFERROR(__xludf.DUMMYFUNCTION("""COMPUTED_VALUE"""),"1306202")</f>
        <v>1306202</v>
      </c>
      <c r="I836" s="15" t="str">
        <f>IFERROR(__xludf.DUMMYFUNCTION("""COMPUTED_VALUE"""),"8177472")</f>
        <v>8177472</v>
      </c>
      <c r="J836" s="15" t="str">
        <f>IFERROR(__xludf.DUMMYFUNCTION("""COMPUTED_VALUE"""),"CIF")</f>
        <v>CIF</v>
      </c>
      <c r="K836" s="15" t="str">
        <f>IFERROR(__xludf.DUMMYFUNCTION("""COMPUTED_VALUE"""),"FSA-1")</f>
        <v>FSA-1</v>
      </c>
      <c r="L836" s="15" t="str">
        <f>IFERROR(__xludf.DUMMYFUNCTION("""COMPUTED_VALUE"""),"AUTORIZADO")</f>
        <v>AUTORIZADO</v>
      </c>
      <c r="M836" s="15" t="str">
        <f>IFERROR(__xludf.DUMMYFUNCTION("""COMPUTED_VALUE"""),"NA ORIGEM")</f>
        <v>NA ORIGEM</v>
      </c>
      <c r="N836" s="15" t="str">
        <f>IFERROR(__xludf.DUMMYFUNCTION("""COMPUTED_VALUE"""),"Antes Prazo")</f>
        <v>Antes Prazo</v>
      </c>
      <c r="O836" s="15" t="str">
        <f>IFERROR(__xludf.DUMMYFUNCTION("""COMPUTED_VALUE"""),"B2B")</f>
        <v>B2B</v>
      </c>
      <c r="P836" s="16">
        <f>IFERROR(__xludf.DUMMYFUNCTION("""COMPUTED_VALUE"""),37.78)</f>
        <v>37.78</v>
      </c>
      <c r="Q836" s="15">
        <f>IFERROR(__xludf.DUMMYFUNCTION("""COMPUTED_VALUE"""),1.0)</f>
        <v>1</v>
      </c>
      <c r="R836" s="15" t="str">
        <f>IFERROR(__xludf.DUMMYFUNCTION("""COMPUTED_VALUE"""),"RODO")</f>
        <v>RODO</v>
      </c>
      <c r="S836" s="15" t="str">
        <f>IFERROR(__xludf.DUMMYFUNCTION("""COMPUTED_VALUE"""),"ITN")</f>
        <v>ITN</v>
      </c>
      <c r="T836" s="15" t="str">
        <f>IFERROR(__xludf.DUMMYFUNCTION("""COMPUTED_VALUE"""),"1")</f>
        <v>1</v>
      </c>
      <c r="U836" s="15" t="str">
        <f>IFERROR(__xludf.DUMMYFUNCTION("""COMPUTED_VALUE"""),"266840217 1306202 8177472 coml tecidos gonzaga ltda trifil jeq 1")</f>
        <v>266840217 1306202 8177472 coml tecidos gonzaga ltda trifil jeq 1</v>
      </c>
      <c r="V836" s="15" t="b">
        <f>IFERROR(__xludf.DUMMYFUNCTION("""COMPUTED_VALUE"""),FALSE)</f>
        <v>0</v>
      </c>
    </row>
    <row r="837">
      <c r="A837" s="19">
        <f>IFERROR(__xludf.DUMMYFUNCTION("""COMPUTED_VALUE"""),46304.0)</f>
        <v>46304</v>
      </c>
      <c r="B837" s="19">
        <f>IFERROR(__xludf.DUMMYFUNCTION("""COMPUTED_VALUE"""),46316.0)</f>
        <v>46316</v>
      </c>
      <c r="C837" s="15">
        <f>IFERROR(__xludf.DUMMYFUNCTION("""COMPUTED_VALUE"""),7.0)</f>
        <v>7</v>
      </c>
      <c r="D837" s="15" t="str">
        <f>IFERROR(__xludf.DUMMYFUNCTION("""COMPUTED_VALUE"""),"AJU")</f>
        <v>AJU</v>
      </c>
      <c r="E837" s="15" t="str">
        <f>IFERROR(__xludf.DUMMYFUNCTION("""COMPUTED_VALUE"""),"GRIFFY CONFECCOES LTDA(0001004217)")</f>
        <v>GRIFFY CONFECCOES LTDA(0001004217)</v>
      </c>
      <c r="F837" s="15" t="str">
        <f>IFERROR(__xludf.DUMMYFUNCTION("""COMPUTED_VALUE"""),"TRIFIL")</f>
        <v>TRIFIL</v>
      </c>
      <c r="G837" s="15" t="str">
        <f>IFERROR(__xludf.DUMMYFUNCTION("""COMPUTED_VALUE"""),"266840218")</f>
        <v>266840218</v>
      </c>
      <c r="H837" s="15" t="str">
        <f>IFERROR(__xludf.DUMMYFUNCTION("""COMPUTED_VALUE"""),"1305734")</f>
        <v>1305734</v>
      </c>
      <c r="I837" s="15" t="str">
        <f>IFERROR(__xludf.DUMMYFUNCTION("""COMPUTED_VALUE"""),"8177524")</f>
        <v>8177524</v>
      </c>
      <c r="J837" s="15" t="str">
        <f>IFERROR(__xludf.DUMMYFUNCTION("""COMPUTED_VALUE"""),"CIF")</f>
        <v>CIF</v>
      </c>
      <c r="K837" s="15" t="str">
        <f>IFERROR(__xludf.DUMMYFUNCTION("""COMPUTED_VALUE"""),"FSA-1")</f>
        <v>FSA-1</v>
      </c>
      <c r="L837" s="15" t="str">
        <f>IFERROR(__xludf.DUMMYFUNCTION("""COMPUTED_VALUE"""),"AUTORIZADO")</f>
        <v>AUTORIZADO</v>
      </c>
      <c r="M837" s="15" t="str">
        <f>IFERROR(__xludf.DUMMYFUNCTION("""COMPUTED_VALUE"""),"NA ORIGEM")</f>
        <v>NA ORIGEM</v>
      </c>
      <c r="N837" s="15" t="str">
        <f>IFERROR(__xludf.DUMMYFUNCTION("""COMPUTED_VALUE"""),"Antes Prazo")</f>
        <v>Antes Prazo</v>
      </c>
      <c r="O837" s="15" t="str">
        <f>IFERROR(__xludf.DUMMYFUNCTION("""COMPUTED_VALUE"""),"B2B")</f>
        <v>B2B</v>
      </c>
      <c r="P837" s="16">
        <f>IFERROR(__xludf.DUMMYFUNCTION("""COMPUTED_VALUE"""),80.65)</f>
        <v>80.65</v>
      </c>
      <c r="Q837" s="15">
        <f>IFERROR(__xludf.DUMMYFUNCTION("""COMPUTED_VALUE"""),1.0)</f>
        <v>1</v>
      </c>
      <c r="R837" s="15" t="str">
        <f>IFERROR(__xludf.DUMMYFUNCTION("""COMPUTED_VALUE"""),"RODO")</f>
        <v>RODO</v>
      </c>
      <c r="S837" s="15" t="str">
        <f>IFERROR(__xludf.DUMMYFUNCTION("""COMPUTED_VALUE"""),"ITN")</f>
        <v>ITN</v>
      </c>
      <c r="T837" s="15" t="str">
        <f>IFERROR(__xludf.DUMMYFUNCTION("""COMPUTED_VALUE"""),"102")</f>
        <v>102</v>
      </c>
      <c r="U837" s="15" t="str">
        <f>IFERROR(__xludf.DUMMYFUNCTION("""COMPUTED_VALUE"""),"266840218 1305734 8177524 griffy confeccoes ltda(0001004217) trifil aju 102")</f>
        <v>266840218 1305734 8177524 griffy confeccoes ltda(0001004217) trifil aju 102</v>
      </c>
      <c r="V837" s="15" t="b">
        <f>IFERROR(__xludf.DUMMYFUNCTION("""COMPUTED_VALUE"""),FALSE)</f>
        <v>0</v>
      </c>
    </row>
    <row r="838">
      <c r="A838" s="19">
        <f>IFERROR(__xludf.DUMMYFUNCTION("""COMPUTED_VALUE"""),46304.0)</f>
        <v>46304</v>
      </c>
      <c r="B838" s="19">
        <f>IFERROR(__xludf.DUMMYFUNCTION("""COMPUTED_VALUE"""),46316.0)</f>
        <v>46316</v>
      </c>
      <c r="C838" s="15">
        <f>IFERROR(__xludf.DUMMYFUNCTION("""COMPUTED_VALUE"""),7.0)</f>
        <v>7</v>
      </c>
      <c r="D838" s="15" t="str">
        <f>IFERROR(__xludf.DUMMYFUNCTION("""COMPUTED_VALUE"""),"AJU")</f>
        <v>AJU</v>
      </c>
      <c r="E838" s="15" t="str">
        <f>IFERROR(__xludf.DUMMYFUNCTION("""COMPUTED_VALUE"""),"D' LINGERIE")</f>
        <v>D' LINGERIE</v>
      </c>
      <c r="F838" s="15" t="str">
        <f>IFERROR(__xludf.DUMMYFUNCTION("""COMPUTED_VALUE"""),"TRIFIL")</f>
        <v>TRIFIL</v>
      </c>
      <c r="G838" s="15" t="str">
        <f>IFERROR(__xludf.DUMMYFUNCTION("""COMPUTED_VALUE"""),"266840219")</f>
        <v>266840219</v>
      </c>
      <c r="H838" s="15" t="str">
        <f>IFERROR(__xludf.DUMMYFUNCTION("""COMPUTED_VALUE"""),"1306161")</f>
        <v>1306161</v>
      </c>
      <c r="I838" s="15" t="str">
        <f>IFERROR(__xludf.DUMMYFUNCTION("""COMPUTED_VALUE"""),"8177473")</f>
        <v>8177473</v>
      </c>
      <c r="J838" s="15" t="str">
        <f>IFERROR(__xludf.DUMMYFUNCTION("""COMPUTED_VALUE"""),"CIF")</f>
        <v>CIF</v>
      </c>
      <c r="K838" s="15" t="str">
        <f>IFERROR(__xludf.DUMMYFUNCTION("""COMPUTED_VALUE"""),"FSA-1")</f>
        <v>FSA-1</v>
      </c>
      <c r="L838" s="15" t="str">
        <f>IFERROR(__xludf.DUMMYFUNCTION("""COMPUTED_VALUE"""),"AUTORIZADO")</f>
        <v>AUTORIZADO</v>
      </c>
      <c r="M838" s="15" t="str">
        <f>IFERROR(__xludf.DUMMYFUNCTION("""COMPUTED_VALUE"""),"NA ORIGEM")</f>
        <v>NA ORIGEM</v>
      </c>
      <c r="N838" s="15" t="str">
        <f>IFERROR(__xludf.DUMMYFUNCTION("""COMPUTED_VALUE"""),"Antes Prazo")</f>
        <v>Antes Prazo</v>
      </c>
      <c r="O838" s="15" t="str">
        <f>IFERROR(__xludf.DUMMYFUNCTION("""COMPUTED_VALUE"""),"B2B")</f>
        <v>B2B</v>
      </c>
      <c r="P838" s="16">
        <f>IFERROR(__xludf.DUMMYFUNCTION("""COMPUTED_VALUE"""),80.65)</f>
        <v>80.65</v>
      </c>
      <c r="Q838" s="15">
        <f>IFERROR(__xludf.DUMMYFUNCTION("""COMPUTED_VALUE"""),1.0)</f>
        <v>1</v>
      </c>
      <c r="R838" s="15" t="str">
        <f>IFERROR(__xludf.DUMMYFUNCTION("""COMPUTED_VALUE"""),"RODO")</f>
        <v>RODO</v>
      </c>
      <c r="S838" s="15" t="str">
        <f>IFERROR(__xludf.DUMMYFUNCTION("""COMPUTED_VALUE"""),"ITN")</f>
        <v>ITN</v>
      </c>
      <c r="T838" s="15" t="str">
        <f>IFERROR(__xludf.DUMMYFUNCTION("""COMPUTED_VALUE"""),"102")</f>
        <v>102</v>
      </c>
      <c r="U838" s="15" t="str">
        <f>IFERROR(__xludf.DUMMYFUNCTION("""COMPUTED_VALUE"""),"266840219 1306161 8177473 d' lingerie trifil aju 102")</f>
        <v>266840219 1306161 8177473 d' lingerie trifil aju 102</v>
      </c>
      <c r="V838" s="15" t="b">
        <f>IFERROR(__xludf.DUMMYFUNCTION("""COMPUTED_VALUE"""),FALSE)</f>
        <v>0</v>
      </c>
    </row>
    <row r="839">
      <c r="A839" s="19">
        <f>IFERROR(__xludf.DUMMYFUNCTION("""COMPUTED_VALUE"""),46304.0)</f>
        <v>46304</v>
      </c>
      <c r="B839" s="19">
        <f>IFERROR(__xludf.DUMMYFUNCTION("""COMPUTED_VALUE"""),46316.0)</f>
        <v>46316</v>
      </c>
      <c r="C839" s="15">
        <f>IFERROR(__xludf.DUMMYFUNCTION("""COMPUTED_VALUE"""),7.0)</f>
        <v>7</v>
      </c>
      <c r="D839" s="15" t="str">
        <f>IFERROR(__xludf.DUMMYFUNCTION("""COMPUTED_VALUE"""),"AJU")</f>
        <v>AJU</v>
      </c>
      <c r="E839" s="15" t="str">
        <f>IFERROR(__xludf.DUMMYFUNCTION("""COMPUTED_VALUE"""),"UNI_MARCA MODA INTIMA")</f>
        <v>UNI_MARCA MODA INTIMA</v>
      </c>
      <c r="F839" s="15" t="str">
        <f>IFERROR(__xludf.DUMMYFUNCTION("""COMPUTED_VALUE"""),"TRIFIL")</f>
        <v>TRIFIL</v>
      </c>
      <c r="G839" s="15" t="str">
        <f>IFERROR(__xludf.DUMMYFUNCTION("""COMPUTED_VALUE"""),"266840220")</f>
        <v>266840220</v>
      </c>
      <c r="H839" s="15" t="str">
        <f>IFERROR(__xludf.DUMMYFUNCTION("""COMPUTED_VALUE"""),"1306221")</f>
        <v>1306221</v>
      </c>
      <c r="I839" s="15" t="str">
        <f>IFERROR(__xludf.DUMMYFUNCTION("""COMPUTED_VALUE"""),"8177474")</f>
        <v>8177474</v>
      </c>
      <c r="J839" s="15" t="str">
        <f>IFERROR(__xludf.DUMMYFUNCTION("""COMPUTED_VALUE"""),"CIF")</f>
        <v>CIF</v>
      </c>
      <c r="K839" s="15" t="str">
        <f>IFERROR(__xludf.DUMMYFUNCTION("""COMPUTED_VALUE"""),"FSA-1")</f>
        <v>FSA-1</v>
      </c>
      <c r="L839" s="15" t="str">
        <f>IFERROR(__xludf.DUMMYFUNCTION("""COMPUTED_VALUE"""),"AUTORIZADO")</f>
        <v>AUTORIZADO</v>
      </c>
      <c r="M839" s="15" t="str">
        <f>IFERROR(__xludf.DUMMYFUNCTION("""COMPUTED_VALUE"""),"NA ORIGEM")</f>
        <v>NA ORIGEM</v>
      </c>
      <c r="N839" s="15" t="str">
        <f>IFERROR(__xludf.DUMMYFUNCTION("""COMPUTED_VALUE"""),"Antes Prazo")</f>
        <v>Antes Prazo</v>
      </c>
      <c r="O839" s="15" t="str">
        <f>IFERROR(__xludf.DUMMYFUNCTION("""COMPUTED_VALUE"""),"B2B")</f>
        <v>B2B</v>
      </c>
      <c r="P839" s="16">
        <f>IFERROR(__xludf.DUMMYFUNCTION("""COMPUTED_VALUE"""),80.65)</f>
        <v>80.65</v>
      </c>
      <c r="Q839" s="15">
        <f>IFERROR(__xludf.DUMMYFUNCTION("""COMPUTED_VALUE"""),1.0)</f>
        <v>1</v>
      </c>
      <c r="R839" s="15" t="str">
        <f>IFERROR(__xludf.DUMMYFUNCTION("""COMPUTED_VALUE"""),"RODO")</f>
        <v>RODO</v>
      </c>
      <c r="S839" s="15" t="str">
        <f>IFERROR(__xludf.DUMMYFUNCTION("""COMPUTED_VALUE"""),"ITN")</f>
        <v>ITN</v>
      </c>
      <c r="T839" s="15" t="str">
        <f>IFERROR(__xludf.DUMMYFUNCTION("""COMPUTED_VALUE"""),"103")</f>
        <v>103</v>
      </c>
      <c r="U839" s="15" t="str">
        <f>IFERROR(__xludf.DUMMYFUNCTION("""COMPUTED_VALUE"""),"266840220 1306221 8177474 uni_marca moda intima trifil aju 103")</f>
        <v>266840220 1306221 8177474 uni_marca moda intima trifil aju 103</v>
      </c>
      <c r="V839" s="15" t="b">
        <f>IFERROR(__xludf.DUMMYFUNCTION("""COMPUTED_VALUE"""),FALSE)</f>
        <v>0</v>
      </c>
    </row>
    <row r="840">
      <c r="A840" s="19">
        <f>IFERROR(__xludf.DUMMYFUNCTION("""COMPUTED_VALUE"""),46304.0)</f>
        <v>46304</v>
      </c>
      <c r="B840" s="19">
        <f>IFERROR(__xludf.DUMMYFUNCTION("""COMPUTED_VALUE"""),46316.0)</f>
        <v>46316</v>
      </c>
      <c r="C840" s="15">
        <f>IFERROR(__xludf.DUMMYFUNCTION("""COMPUTED_VALUE"""),7.0)</f>
        <v>7</v>
      </c>
      <c r="D840" s="15" t="str">
        <f>IFERROR(__xludf.DUMMYFUNCTION("""COMPUTED_VALUE"""),"BTB")</f>
        <v>BTB</v>
      </c>
      <c r="E840" s="15" t="str">
        <f>IFERROR(__xludf.DUMMYFUNCTION("""COMPUTED_VALUE"""),"CHARM LINGERIE E CONFECCOES LTDA")</f>
        <v>CHARM LINGERIE E CONFECCOES LTDA</v>
      </c>
      <c r="F840" s="15" t="str">
        <f>IFERROR(__xludf.DUMMYFUNCTION("""COMPUTED_VALUE"""),"TRIFIL")</f>
        <v>TRIFIL</v>
      </c>
      <c r="G840" s="15" t="str">
        <f>IFERROR(__xludf.DUMMYFUNCTION("""COMPUTED_VALUE"""),"266840221")</f>
        <v>266840221</v>
      </c>
      <c r="H840" s="15" t="str">
        <f>IFERROR(__xludf.DUMMYFUNCTION("""COMPUTED_VALUE"""),"1306317")</f>
        <v>1306317</v>
      </c>
      <c r="I840" s="15" t="str">
        <f>IFERROR(__xludf.DUMMYFUNCTION("""COMPUTED_VALUE"""),"8177475")</f>
        <v>8177475</v>
      </c>
      <c r="J840" s="15" t="str">
        <f>IFERROR(__xludf.DUMMYFUNCTION("""COMPUTED_VALUE"""),"CIF")</f>
        <v>CIF</v>
      </c>
      <c r="K840" s="15" t="str">
        <f>IFERROR(__xludf.DUMMYFUNCTION("""COMPUTED_VALUE"""),"(sem célula)")</f>
        <v>(sem célula)</v>
      </c>
      <c r="L840" s="15" t="str">
        <f>IFERROR(__xludf.DUMMYFUNCTION("""COMPUTED_VALUE"""),"AUTORIZADO")</f>
        <v>AUTORIZADO</v>
      </c>
      <c r="M840" s="15" t="str">
        <f>IFERROR(__xludf.DUMMYFUNCTION("""COMPUTED_VALUE"""),"NA ORIGEM")</f>
        <v>NA ORIGEM</v>
      </c>
      <c r="N840" s="15" t="str">
        <f>IFERROR(__xludf.DUMMYFUNCTION("""COMPUTED_VALUE"""),"Antes Prazo")</f>
        <v>Antes Prazo</v>
      </c>
      <c r="O840" s="15" t="str">
        <f>IFERROR(__xludf.DUMMYFUNCTION("""COMPUTED_VALUE"""),"B2B")</f>
        <v>B2B</v>
      </c>
      <c r="P840" s="16">
        <f>IFERROR(__xludf.DUMMYFUNCTION("""COMPUTED_VALUE"""),45.49)</f>
        <v>45.49</v>
      </c>
      <c r="Q840" s="15">
        <f>IFERROR(__xludf.DUMMYFUNCTION("""COMPUTED_VALUE"""),1.0)</f>
        <v>1</v>
      </c>
      <c r="R840" s="15" t="str">
        <f>IFERROR(__xludf.DUMMYFUNCTION("""COMPUTED_VALUE"""),"RODO")</f>
        <v>RODO</v>
      </c>
      <c r="S840" s="15" t="str">
        <f>IFERROR(__xludf.DUMMYFUNCTION("""COMPUTED_VALUE"""),"ITN")</f>
        <v>ITN</v>
      </c>
      <c r="T840" s="15" t="str">
        <f>IFERROR(__xludf.DUMMYFUNCTION("""COMPUTED_VALUE"""),"2706")</f>
        <v>2706</v>
      </c>
      <c r="U840" s="15" t="str">
        <f>IFERROR(__xludf.DUMMYFUNCTION("""COMPUTED_VALUE"""),"266840221 1306317 8177475 charm lingerie e confeccoes ltda trifil btb 2706")</f>
        <v>266840221 1306317 8177475 charm lingerie e confeccoes ltda trifil btb 2706</v>
      </c>
      <c r="V840" s="15" t="b">
        <f>IFERROR(__xludf.DUMMYFUNCTION("""COMPUTED_VALUE"""),FALSE)</f>
        <v>0</v>
      </c>
    </row>
    <row r="841">
      <c r="A841" s="19">
        <f>IFERROR(__xludf.DUMMYFUNCTION("""COMPUTED_VALUE"""),46304.0)</f>
        <v>46304</v>
      </c>
      <c r="B841" s="19">
        <f>IFERROR(__xludf.DUMMYFUNCTION("""COMPUTED_VALUE"""),46316.0)</f>
        <v>46316</v>
      </c>
      <c r="C841" s="15">
        <f>IFERROR(__xludf.DUMMYFUNCTION("""COMPUTED_VALUE"""),7.0)</f>
        <v>7</v>
      </c>
      <c r="D841" s="15" t="str">
        <f>IFERROR(__xludf.DUMMYFUNCTION("""COMPUTED_VALUE"""),"REC")</f>
        <v>REC</v>
      </c>
      <c r="E841" s="15" t="str">
        <f>IFERROR(__xludf.DUMMYFUNCTION("""COMPUTED_VALUE"""),"MANOEL JOSE DOS SANTOS ME(0001010893)")</f>
        <v>MANOEL JOSE DOS SANTOS ME(0001010893)</v>
      </c>
      <c r="F841" s="15" t="str">
        <f>IFERROR(__xludf.DUMMYFUNCTION("""COMPUTED_VALUE"""),"TRIFIL")</f>
        <v>TRIFIL</v>
      </c>
      <c r="G841" s="15" t="str">
        <f>IFERROR(__xludf.DUMMYFUNCTION("""COMPUTED_VALUE"""),"266840222")</f>
        <v>266840222</v>
      </c>
      <c r="H841" s="15" t="str">
        <f>IFERROR(__xludf.DUMMYFUNCTION("""COMPUTED_VALUE"""),"1306334")</f>
        <v>1306334</v>
      </c>
      <c r="I841" s="15" t="str">
        <f>IFERROR(__xludf.DUMMYFUNCTION("""COMPUTED_VALUE"""),"8177476")</f>
        <v>8177476</v>
      </c>
      <c r="J841" s="15" t="str">
        <f>IFERROR(__xludf.DUMMYFUNCTION("""COMPUTED_VALUE"""),"CIF")</f>
        <v>CIF</v>
      </c>
      <c r="K841" s="15" t="str">
        <f>IFERROR(__xludf.DUMMYFUNCTION("""COMPUTED_VALUE"""),"FSA-1")</f>
        <v>FSA-1</v>
      </c>
      <c r="L841" s="15" t="str">
        <f>IFERROR(__xludf.DUMMYFUNCTION("""COMPUTED_VALUE"""),"AUTORIZADO")</f>
        <v>AUTORIZADO</v>
      </c>
      <c r="M841" s="15" t="str">
        <f>IFERROR(__xludf.DUMMYFUNCTION("""COMPUTED_VALUE"""),"NA ORIGEM")</f>
        <v>NA ORIGEM</v>
      </c>
      <c r="N841" s="15" t="str">
        <f>IFERROR(__xludf.DUMMYFUNCTION("""COMPUTED_VALUE"""),"Antes Prazo")</f>
        <v>Antes Prazo</v>
      </c>
      <c r="O841" s="15" t="str">
        <f>IFERROR(__xludf.DUMMYFUNCTION("""COMPUTED_VALUE"""),"B2B")</f>
        <v>B2B</v>
      </c>
      <c r="P841" s="16">
        <f>IFERROR(__xludf.DUMMYFUNCTION("""COMPUTED_VALUE"""),56.59)</f>
        <v>56.59</v>
      </c>
      <c r="Q841" s="15">
        <f>IFERROR(__xludf.DUMMYFUNCTION("""COMPUTED_VALUE"""),3.0)</f>
        <v>3</v>
      </c>
      <c r="R841" s="15" t="str">
        <f>IFERROR(__xludf.DUMMYFUNCTION("""COMPUTED_VALUE"""),"RODO")</f>
        <v>RODO</v>
      </c>
      <c r="S841" s="15" t="str">
        <f>IFERROR(__xludf.DUMMYFUNCTION("""COMPUTED_VALUE"""),"ITN")</f>
        <v>ITN</v>
      </c>
      <c r="T841" s="15" t="str">
        <f>IFERROR(__xludf.DUMMYFUNCTION("""COMPUTED_VALUE"""),"2")</f>
        <v>2</v>
      </c>
      <c r="U841" s="15" t="str">
        <f>IFERROR(__xludf.DUMMYFUNCTION("""COMPUTED_VALUE"""),"266840222 1306334 8177476 manoel jose dos santos me(0001010893) trifil rec 2")</f>
        <v>266840222 1306334 8177476 manoel jose dos santos me(0001010893) trifil rec 2</v>
      </c>
      <c r="V841" s="15" t="b">
        <f>IFERROR(__xludf.DUMMYFUNCTION("""COMPUTED_VALUE"""),FALSE)</f>
        <v>0</v>
      </c>
    </row>
    <row r="842">
      <c r="A842" s="19">
        <f>IFERROR(__xludf.DUMMYFUNCTION("""COMPUTED_VALUE"""),46304.0)</f>
        <v>46304</v>
      </c>
      <c r="B842" s="19">
        <f>IFERROR(__xludf.DUMMYFUNCTION("""COMPUTED_VALUE"""),46316.0)</f>
        <v>46316</v>
      </c>
      <c r="C842" s="15">
        <f>IFERROR(__xludf.DUMMYFUNCTION("""COMPUTED_VALUE"""),7.0)</f>
        <v>7</v>
      </c>
      <c r="D842" s="15" t="str">
        <f>IFERROR(__xludf.DUMMYFUNCTION("""COMPUTED_VALUE"""),"STO")</f>
        <v>STO</v>
      </c>
      <c r="E842" s="15" t="str">
        <f>IFERROR(__xludf.DUMMYFUNCTION("""COMPUTED_VALUE"""),"HS ROUPAS INTIMAS EIRELI")</f>
        <v>HS ROUPAS INTIMAS EIRELI</v>
      </c>
      <c r="F842" s="15" t="str">
        <f>IFERROR(__xludf.DUMMYFUNCTION("""COMPUTED_VALUE"""),"TRIFIL")</f>
        <v>TRIFIL</v>
      </c>
      <c r="G842" s="15" t="str">
        <f>IFERROR(__xludf.DUMMYFUNCTION("""COMPUTED_VALUE"""),"266840223")</f>
        <v>266840223</v>
      </c>
      <c r="H842" s="15" t="str">
        <f>IFERROR(__xludf.DUMMYFUNCTION("""COMPUTED_VALUE"""),"1306234")</f>
        <v>1306234</v>
      </c>
      <c r="I842" s="15" t="str">
        <f>IFERROR(__xludf.DUMMYFUNCTION("""COMPUTED_VALUE"""),"8177525")</f>
        <v>8177525</v>
      </c>
      <c r="J842" s="15" t="str">
        <f>IFERROR(__xludf.DUMMYFUNCTION("""COMPUTED_VALUE"""),"CIF")</f>
        <v>CIF</v>
      </c>
      <c r="K842" s="15" t="str">
        <f>IFERROR(__xludf.DUMMYFUNCTION("""COMPUTED_VALUE"""),"SAO-1")</f>
        <v>SAO-1</v>
      </c>
      <c r="L842" s="15" t="str">
        <f>IFERROR(__xludf.DUMMYFUNCTION("""COMPUTED_VALUE"""),"AUTORIZADO")</f>
        <v>AUTORIZADO</v>
      </c>
      <c r="M842" s="15" t="str">
        <f>IFERROR(__xludf.DUMMYFUNCTION("""COMPUTED_VALUE"""),"NA ORIGEM")</f>
        <v>NA ORIGEM</v>
      </c>
      <c r="N842" s="15" t="str">
        <f>IFERROR(__xludf.DUMMYFUNCTION("""COMPUTED_VALUE"""),"Antes Prazo")</f>
        <v>Antes Prazo</v>
      </c>
      <c r="O842" s="15" t="str">
        <f>IFERROR(__xludf.DUMMYFUNCTION("""COMPUTED_VALUE"""),"B2B")</f>
        <v>B2B</v>
      </c>
      <c r="P842" s="16">
        <f>IFERROR(__xludf.DUMMYFUNCTION("""COMPUTED_VALUE"""),45.49)</f>
        <v>45.49</v>
      </c>
      <c r="Q842" s="15">
        <f>IFERROR(__xludf.DUMMYFUNCTION("""COMPUTED_VALUE"""),1.0)</f>
        <v>1</v>
      </c>
      <c r="R842" s="15" t="str">
        <f>IFERROR(__xludf.DUMMYFUNCTION("""COMPUTED_VALUE"""),"RODO")</f>
        <v>RODO</v>
      </c>
      <c r="S842" s="15" t="str">
        <f>IFERROR(__xludf.DUMMYFUNCTION("""COMPUTED_VALUE"""),"ITN")</f>
        <v>ITN</v>
      </c>
      <c r="T842" s="15" t="str">
        <f>IFERROR(__xludf.DUMMYFUNCTION("""COMPUTED_VALUE"""),"542")</f>
        <v>542</v>
      </c>
      <c r="U842" s="15" t="str">
        <f>IFERROR(__xludf.DUMMYFUNCTION("""COMPUTED_VALUE"""),"266840223 1306234 8177525 hs roupas intimas eireli trifil sto 542")</f>
        <v>266840223 1306234 8177525 hs roupas intimas eireli trifil sto 542</v>
      </c>
      <c r="V842" s="15" t="b">
        <f>IFERROR(__xludf.DUMMYFUNCTION("""COMPUTED_VALUE"""),FALSE)</f>
        <v>0</v>
      </c>
    </row>
    <row r="843">
      <c r="A843" s="19">
        <f>IFERROR(__xludf.DUMMYFUNCTION("""COMPUTED_VALUE"""),46304.0)</f>
        <v>46304</v>
      </c>
      <c r="B843" s="19">
        <f>IFERROR(__xludf.DUMMYFUNCTION("""COMPUTED_VALUE"""),46316.0)</f>
        <v>46316</v>
      </c>
      <c r="C843" s="15">
        <f>IFERROR(__xludf.DUMMYFUNCTION("""COMPUTED_VALUE"""),7.0)</f>
        <v>7</v>
      </c>
      <c r="D843" s="15" t="str">
        <f>IFERROR(__xludf.DUMMYFUNCTION("""COMPUTED_VALUE"""),"STO")</f>
        <v>STO</v>
      </c>
      <c r="E843" s="15" t="str">
        <f>IFERROR(__xludf.DUMMYFUNCTION("""COMPUTED_VALUE"""),"MARIA LUCIA SANCHES LINGERIE")</f>
        <v>MARIA LUCIA SANCHES LINGERIE</v>
      </c>
      <c r="F843" s="15" t="str">
        <f>IFERROR(__xludf.DUMMYFUNCTION("""COMPUTED_VALUE"""),"TRIFIL")</f>
        <v>TRIFIL</v>
      </c>
      <c r="G843" s="15" t="str">
        <f>IFERROR(__xludf.DUMMYFUNCTION("""COMPUTED_VALUE"""),"266840224")</f>
        <v>266840224</v>
      </c>
      <c r="H843" s="15" t="str">
        <f>IFERROR(__xludf.DUMMYFUNCTION("""COMPUTED_VALUE"""),"1306386")</f>
        <v>1306386</v>
      </c>
      <c r="I843" s="15" t="str">
        <f>IFERROR(__xludf.DUMMYFUNCTION("""COMPUTED_VALUE"""),"8177477")</f>
        <v>8177477</v>
      </c>
      <c r="J843" s="15" t="str">
        <f>IFERROR(__xludf.DUMMYFUNCTION("""COMPUTED_VALUE"""),"CIF")</f>
        <v>CIF</v>
      </c>
      <c r="K843" s="15" t="str">
        <f>IFERROR(__xludf.DUMMYFUNCTION("""COMPUTED_VALUE"""),"FSA-1")</f>
        <v>FSA-1</v>
      </c>
      <c r="L843" s="15" t="str">
        <f>IFERROR(__xludf.DUMMYFUNCTION("""COMPUTED_VALUE"""),"AUTORIZADO")</f>
        <v>AUTORIZADO</v>
      </c>
      <c r="M843" s="15" t="str">
        <f>IFERROR(__xludf.DUMMYFUNCTION("""COMPUTED_VALUE"""),"NA ORIGEM")</f>
        <v>NA ORIGEM</v>
      </c>
      <c r="N843" s="15" t="str">
        <f>IFERROR(__xludf.DUMMYFUNCTION("""COMPUTED_VALUE"""),"Antes Prazo")</f>
        <v>Antes Prazo</v>
      </c>
      <c r="O843" s="15" t="str">
        <f>IFERROR(__xludf.DUMMYFUNCTION("""COMPUTED_VALUE"""),"B2B")</f>
        <v>B2B</v>
      </c>
      <c r="P843" s="16">
        <f>IFERROR(__xludf.DUMMYFUNCTION("""COMPUTED_VALUE"""),45.49)</f>
        <v>45.49</v>
      </c>
      <c r="Q843" s="15">
        <f>IFERROR(__xludf.DUMMYFUNCTION("""COMPUTED_VALUE"""),1.0)</f>
        <v>1</v>
      </c>
      <c r="R843" s="15" t="str">
        <f>IFERROR(__xludf.DUMMYFUNCTION("""COMPUTED_VALUE"""),"RODO")</f>
        <v>RODO</v>
      </c>
      <c r="S843" s="15" t="str">
        <f>IFERROR(__xludf.DUMMYFUNCTION("""COMPUTED_VALUE"""),"ITN")</f>
        <v>ITN</v>
      </c>
      <c r="T843" s="15" t="str">
        <f>IFERROR(__xludf.DUMMYFUNCTION("""COMPUTED_VALUE"""),"542")</f>
        <v>542</v>
      </c>
      <c r="U843" s="15" t="str">
        <f>IFERROR(__xludf.DUMMYFUNCTION("""COMPUTED_VALUE"""),"266840224 1306386 8177477 maria lucia sanches lingerie trifil sto 542")</f>
        <v>266840224 1306386 8177477 maria lucia sanches lingerie trifil sto 542</v>
      </c>
      <c r="V843" s="15" t="b">
        <f>IFERROR(__xludf.DUMMYFUNCTION("""COMPUTED_VALUE"""),FALSE)</f>
        <v>0</v>
      </c>
    </row>
    <row r="844">
      <c r="A844" s="19">
        <f>IFERROR(__xludf.DUMMYFUNCTION("""COMPUTED_VALUE"""),46304.0)</f>
        <v>46304</v>
      </c>
      <c r="B844" s="19">
        <f>IFERROR(__xludf.DUMMYFUNCTION("""COMPUTED_VALUE"""),46321.0)</f>
        <v>46321</v>
      </c>
      <c r="C844" s="15">
        <f>IFERROR(__xludf.DUMMYFUNCTION("""COMPUTED_VALUE"""),10.0)</f>
        <v>10</v>
      </c>
      <c r="D844" s="15" t="str">
        <f>IFERROR(__xludf.DUMMYFUNCTION("""COMPUTED_VALUE"""),"REC")</f>
        <v>REC</v>
      </c>
      <c r="E844" s="15" t="str">
        <f>IFERROR(__xludf.DUMMYFUNCTION("""COMPUTED_VALUE"""),"RC COMERCIO DE ARTIGOS TEXTEIS LTDA")</f>
        <v>RC COMERCIO DE ARTIGOS TEXTEIS LTDA</v>
      </c>
      <c r="F844" s="15" t="str">
        <f>IFERROR(__xludf.DUMMYFUNCTION("""COMPUTED_VALUE"""),"TRIFIL")</f>
        <v>TRIFIL</v>
      </c>
      <c r="G844" s="15" t="str">
        <f>IFERROR(__xludf.DUMMYFUNCTION("""COMPUTED_VALUE"""),"266840225")</f>
        <v>266840225</v>
      </c>
      <c r="H844" s="15" t="str">
        <f>IFERROR(__xludf.DUMMYFUNCTION("""COMPUTED_VALUE"""),"1305659")</f>
        <v>1305659</v>
      </c>
      <c r="I844" s="15" t="str">
        <f>IFERROR(__xludf.DUMMYFUNCTION("""COMPUTED_VALUE"""),"8177448")</f>
        <v>8177448</v>
      </c>
      <c r="J844" s="15" t="str">
        <f>IFERROR(__xludf.DUMMYFUNCTION("""COMPUTED_VALUE"""),"CIF")</f>
        <v>CIF</v>
      </c>
      <c r="K844" s="15" t="str">
        <f>IFERROR(__xludf.DUMMYFUNCTION("""COMPUTED_VALUE"""),"FSA-1")</f>
        <v>FSA-1</v>
      </c>
      <c r="L844" s="15" t="str">
        <f>IFERROR(__xludf.DUMMYFUNCTION("""COMPUTED_VALUE"""),"AUTORIZADO")</f>
        <v>AUTORIZADO</v>
      </c>
      <c r="M844" s="15" t="str">
        <f>IFERROR(__xludf.DUMMYFUNCTION("""COMPUTED_VALUE"""),"NA ORIGEM")</f>
        <v>NA ORIGEM</v>
      </c>
      <c r="N844" s="15" t="str">
        <f>IFERROR(__xludf.DUMMYFUNCTION("""COMPUTED_VALUE"""),"Antes Prazo")</f>
        <v>Antes Prazo</v>
      </c>
      <c r="O844" s="15" t="str">
        <f>IFERROR(__xludf.DUMMYFUNCTION("""COMPUTED_VALUE"""),"B2B")</f>
        <v>B2B</v>
      </c>
      <c r="P844" s="16">
        <f>IFERROR(__xludf.DUMMYFUNCTION("""COMPUTED_VALUE"""),56.59)</f>
        <v>56.59</v>
      </c>
      <c r="Q844" s="15">
        <f>IFERROR(__xludf.DUMMYFUNCTION("""COMPUTED_VALUE"""),2.0)</f>
        <v>2</v>
      </c>
      <c r="R844" s="15" t="str">
        <f>IFERROR(__xludf.DUMMYFUNCTION("""COMPUTED_VALUE"""),"RODO")</f>
        <v>RODO</v>
      </c>
      <c r="S844" s="15" t="str">
        <f>IFERROR(__xludf.DUMMYFUNCTION("""COMPUTED_VALUE"""),"ITN")</f>
        <v>ITN</v>
      </c>
      <c r="T844" s="15" t="str">
        <f>IFERROR(__xludf.DUMMYFUNCTION("""COMPUTED_VALUE"""),"105")</f>
        <v>105</v>
      </c>
      <c r="U844" s="15" t="str">
        <f>IFERROR(__xludf.DUMMYFUNCTION("""COMPUTED_VALUE"""),"266840225 1305659 8177448 rc comercio de artigos texteis ltda trifil rec 105")</f>
        <v>266840225 1305659 8177448 rc comercio de artigos texteis ltda trifil rec 105</v>
      </c>
      <c r="V844" s="15" t="b">
        <f>IFERROR(__xludf.DUMMYFUNCTION("""COMPUTED_VALUE"""),FALSE)</f>
        <v>0</v>
      </c>
    </row>
    <row r="845">
      <c r="A845" s="19">
        <f>IFERROR(__xludf.DUMMYFUNCTION("""COMPUTED_VALUE"""),46304.0)</f>
        <v>46304</v>
      </c>
      <c r="B845" s="19">
        <f>IFERROR(__xludf.DUMMYFUNCTION("""COMPUTED_VALUE"""),46318.0)</f>
        <v>46318</v>
      </c>
      <c r="C845" s="15">
        <f>IFERROR(__xludf.DUMMYFUNCTION("""COMPUTED_VALUE"""),9.0)</f>
        <v>9</v>
      </c>
      <c r="D845" s="15" t="str">
        <f>IFERROR(__xludf.DUMMYFUNCTION("""COMPUTED_VALUE"""),"QGP")</f>
        <v>QGP</v>
      </c>
      <c r="E845" s="15" t="str">
        <f>IFERROR(__xludf.DUMMYFUNCTION("""COMPUTED_VALUE"""),"SOBRAL MODAS LTDA ME")</f>
        <v>SOBRAL MODAS LTDA ME</v>
      </c>
      <c r="F845" s="15" t="str">
        <f>IFERROR(__xludf.DUMMYFUNCTION("""COMPUTED_VALUE"""),"TRIFIL")</f>
        <v>TRIFIL</v>
      </c>
      <c r="G845" s="15" t="str">
        <f>IFERROR(__xludf.DUMMYFUNCTION("""COMPUTED_VALUE"""),"266840226")</f>
        <v>266840226</v>
      </c>
      <c r="H845" s="15" t="str">
        <f>IFERROR(__xludf.DUMMYFUNCTION("""COMPUTED_VALUE"""),"1306474")</f>
        <v>1306474</v>
      </c>
      <c r="I845" s="15" t="str">
        <f>IFERROR(__xludf.DUMMYFUNCTION("""COMPUTED_VALUE"""),"8177526")</f>
        <v>8177526</v>
      </c>
      <c r="J845" s="15" t="str">
        <f>IFERROR(__xludf.DUMMYFUNCTION("""COMPUTED_VALUE"""),"CIF")</f>
        <v>CIF</v>
      </c>
      <c r="K845" s="15" t="str">
        <f>IFERROR(__xludf.DUMMYFUNCTION("""COMPUTED_VALUE"""),"FSA-1")</f>
        <v>FSA-1</v>
      </c>
      <c r="L845" s="15" t="str">
        <f>IFERROR(__xludf.DUMMYFUNCTION("""COMPUTED_VALUE"""),"AUTORIZADO")</f>
        <v>AUTORIZADO</v>
      </c>
      <c r="M845" s="15" t="str">
        <f>IFERROR(__xludf.DUMMYFUNCTION("""COMPUTED_VALUE"""),"NA ORIGEM")</f>
        <v>NA ORIGEM</v>
      </c>
      <c r="N845" s="15" t="str">
        <f>IFERROR(__xludf.DUMMYFUNCTION("""COMPUTED_VALUE"""),"Antes Prazo")</f>
        <v>Antes Prazo</v>
      </c>
      <c r="O845" s="15" t="str">
        <f>IFERROR(__xludf.DUMMYFUNCTION("""COMPUTED_VALUE"""),"B2B")</f>
        <v>B2B</v>
      </c>
      <c r="P845" s="16">
        <f>IFERROR(__xludf.DUMMYFUNCTION("""COMPUTED_VALUE"""),63.12)</f>
        <v>63.12</v>
      </c>
      <c r="Q845" s="15">
        <f>IFERROR(__xludf.DUMMYFUNCTION("""COMPUTED_VALUE"""),1.0)</f>
        <v>1</v>
      </c>
      <c r="R845" s="15" t="str">
        <f>IFERROR(__xludf.DUMMYFUNCTION("""COMPUTED_VALUE"""),"RODO")</f>
        <v>RODO</v>
      </c>
      <c r="S845" s="15" t="str">
        <f>IFERROR(__xludf.DUMMYFUNCTION("""COMPUTED_VALUE"""),"ITN")</f>
        <v>ITN</v>
      </c>
      <c r="T845" s="15" t="str">
        <f>IFERROR(__xludf.DUMMYFUNCTION("""COMPUTED_VALUE"""),"2")</f>
        <v>2</v>
      </c>
      <c r="U845" s="15" t="str">
        <f>IFERROR(__xludf.DUMMYFUNCTION("""COMPUTED_VALUE"""),"266840226 1306474 8177526 sobral modas ltda me trifil qgp 2")</f>
        <v>266840226 1306474 8177526 sobral modas ltda me trifil qgp 2</v>
      </c>
      <c r="V845" s="15" t="b">
        <f>IFERROR(__xludf.DUMMYFUNCTION("""COMPUTED_VALUE"""),FALSE)</f>
        <v>0</v>
      </c>
    </row>
    <row r="846">
      <c r="A846" s="19">
        <f>IFERROR(__xludf.DUMMYFUNCTION("""COMPUTED_VALUE"""),46304.0)</f>
        <v>46304</v>
      </c>
      <c r="B846" s="19">
        <f>IFERROR(__xludf.DUMMYFUNCTION("""COMPUTED_VALUE"""),46318.0)</f>
        <v>46318</v>
      </c>
      <c r="C846" s="15">
        <f>IFERROR(__xludf.DUMMYFUNCTION("""COMPUTED_VALUE"""),9.0)</f>
        <v>9</v>
      </c>
      <c r="D846" s="15" t="str">
        <f>IFERROR(__xludf.DUMMYFUNCTION("""COMPUTED_VALUE"""),"CAU")</f>
        <v>CAU</v>
      </c>
      <c r="E846" s="15" t="str">
        <f>IFERROR(__xludf.DUMMYFUNCTION("""COMPUTED_VALUE"""),"MAGAZINE PERENE LTDA")</f>
        <v>MAGAZINE PERENE LTDA</v>
      </c>
      <c r="F846" s="15" t="str">
        <f>IFERROR(__xludf.DUMMYFUNCTION("""COMPUTED_VALUE"""),"TRIFIL")</f>
        <v>TRIFIL</v>
      </c>
      <c r="G846" s="15" t="str">
        <f>IFERROR(__xludf.DUMMYFUNCTION("""COMPUTED_VALUE"""),"266840227")</f>
        <v>266840227</v>
      </c>
      <c r="H846" s="15" t="str">
        <f>IFERROR(__xludf.DUMMYFUNCTION("""COMPUTED_VALUE"""),"1306311")</f>
        <v>1306311</v>
      </c>
      <c r="I846" s="15" t="str">
        <f>IFERROR(__xludf.DUMMYFUNCTION("""COMPUTED_VALUE"""),"8177449")</f>
        <v>8177449</v>
      </c>
      <c r="J846" s="15" t="str">
        <f>IFERROR(__xludf.DUMMYFUNCTION("""COMPUTED_VALUE"""),"CIF")</f>
        <v>CIF</v>
      </c>
      <c r="K846" s="15" t="str">
        <f>IFERROR(__xludf.DUMMYFUNCTION("""COMPUTED_VALUE"""),"FSA-1")</f>
        <v>FSA-1</v>
      </c>
      <c r="L846" s="15" t="str">
        <f>IFERROR(__xludf.DUMMYFUNCTION("""COMPUTED_VALUE"""),"AUTORIZADO")</f>
        <v>AUTORIZADO</v>
      </c>
      <c r="M846" s="15" t="str">
        <f>IFERROR(__xludf.DUMMYFUNCTION("""COMPUTED_VALUE"""),"NA ORIGEM")</f>
        <v>NA ORIGEM</v>
      </c>
      <c r="N846" s="15" t="str">
        <f>IFERROR(__xludf.DUMMYFUNCTION("""COMPUTED_VALUE"""),"Antes Prazo")</f>
        <v>Antes Prazo</v>
      </c>
      <c r="O846" s="15" t="str">
        <f>IFERROR(__xludf.DUMMYFUNCTION("""COMPUTED_VALUE"""),"B2B")</f>
        <v>B2B</v>
      </c>
      <c r="P846" s="16">
        <f>IFERROR(__xludf.DUMMYFUNCTION("""COMPUTED_VALUE"""),63.12)</f>
        <v>63.12</v>
      </c>
      <c r="Q846" s="15">
        <f>IFERROR(__xludf.DUMMYFUNCTION("""COMPUTED_VALUE"""),2.0)</f>
        <v>2</v>
      </c>
      <c r="R846" s="15" t="str">
        <f>IFERROR(__xludf.DUMMYFUNCTION("""COMPUTED_VALUE"""),"RODO")</f>
        <v>RODO</v>
      </c>
      <c r="S846" s="15" t="str">
        <f>IFERROR(__xludf.DUMMYFUNCTION("""COMPUTED_VALUE"""),"ITN")</f>
        <v>ITN</v>
      </c>
      <c r="T846" s="15" t="str">
        <f>IFERROR(__xludf.DUMMYFUNCTION("""COMPUTED_VALUE"""),"106")</f>
        <v>106</v>
      </c>
      <c r="U846" s="15" t="str">
        <f>IFERROR(__xludf.DUMMYFUNCTION("""COMPUTED_VALUE"""),"266840227 1306311 8177449 magazine perene ltda trifil cau 106")</f>
        <v>266840227 1306311 8177449 magazine perene ltda trifil cau 106</v>
      </c>
      <c r="V846" s="15" t="b">
        <f>IFERROR(__xludf.DUMMYFUNCTION("""COMPUTED_VALUE"""),FALSE)</f>
        <v>0</v>
      </c>
    </row>
    <row r="847">
      <c r="A847" s="19">
        <f>IFERROR(__xludf.DUMMYFUNCTION("""COMPUTED_VALUE"""),46304.0)</f>
        <v>46304</v>
      </c>
      <c r="B847" s="19">
        <f>IFERROR(__xludf.DUMMYFUNCTION("""COMPUTED_VALUE"""),46323.0)</f>
        <v>46323</v>
      </c>
      <c r="C847" s="15">
        <f>IFERROR(__xludf.DUMMYFUNCTION("""COMPUTED_VALUE"""),12.0)</f>
        <v>12</v>
      </c>
      <c r="D847" s="15" t="str">
        <f>IFERROR(__xludf.DUMMYFUNCTION("""COMPUTED_VALUE"""),"SGR")</f>
        <v>SGR</v>
      </c>
      <c r="E847" s="15" t="str">
        <f>IFERROR(__xludf.DUMMYFUNCTION("""COMPUTED_VALUE"""),"DEPOSITO SAO JOSE")</f>
        <v>DEPOSITO SAO JOSE</v>
      </c>
      <c r="F847" s="15" t="str">
        <f>IFERROR(__xludf.DUMMYFUNCTION("""COMPUTED_VALUE"""),"TRIFIL")</f>
        <v>TRIFIL</v>
      </c>
      <c r="G847" s="15" t="str">
        <f>IFERROR(__xludf.DUMMYFUNCTION("""COMPUTED_VALUE"""),"266840228")</f>
        <v>266840228</v>
      </c>
      <c r="H847" s="15" t="str">
        <f>IFERROR(__xludf.DUMMYFUNCTION("""COMPUTED_VALUE"""),"1306228")</f>
        <v>1306228</v>
      </c>
      <c r="I847" s="15" t="str">
        <f>IFERROR(__xludf.DUMMYFUNCTION("""COMPUTED_VALUE"""),"8177478")</f>
        <v>8177478</v>
      </c>
      <c r="J847" s="15" t="str">
        <f>IFERROR(__xludf.DUMMYFUNCTION("""COMPUTED_VALUE"""),"CIF")</f>
        <v>CIF</v>
      </c>
      <c r="K847" s="15" t="str">
        <f>IFERROR(__xludf.DUMMYFUNCTION("""COMPUTED_VALUE"""),"FSA-1")</f>
        <v>FSA-1</v>
      </c>
      <c r="L847" s="15" t="str">
        <f>IFERROR(__xludf.DUMMYFUNCTION("""COMPUTED_VALUE"""),"AUTORIZADO")</f>
        <v>AUTORIZADO</v>
      </c>
      <c r="M847" s="15" t="str">
        <f>IFERROR(__xludf.DUMMYFUNCTION("""COMPUTED_VALUE"""),"NA ORIGEM")</f>
        <v>NA ORIGEM</v>
      </c>
      <c r="N847" s="15" t="str">
        <f>IFERROR(__xludf.DUMMYFUNCTION("""COMPUTED_VALUE"""),"Antes Prazo")</f>
        <v>Antes Prazo</v>
      </c>
      <c r="O847" s="15" t="str">
        <f>IFERROR(__xludf.DUMMYFUNCTION("""COMPUTED_VALUE"""),"B2B")</f>
        <v>B2B</v>
      </c>
      <c r="P847" s="16">
        <f>IFERROR(__xludf.DUMMYFUNCTION("""COMPUTED_VALUE"""),63.12)</f>
        <v>63.12</v>
      </c>
      <c r="Q847" s="15">
        <f>IFERROR(__xludf.DUMMYFUNCTION("""COMPUTED_VALUE"""),1.0)</f>
        <v>1</v>
      </c>
      <c r="R847" s="15" t="str">
        <f>IFERROR(__xludf.DUMMYFUNCTION("""COMPUTED_VALUE"""),"RODO")</f>
        <v>RODO</v>
      </c>
      <c r="S847" s="15" t="str">
        <f>IFERROR(__xludf.DUMMYFUNCTION("""COMPUTED_VALUE"""),"ITN")</f>
        <v>ITN</v>
      </c>
      <c r="T847" s="15" t="str">
        <f>IFERROR(__xludf.DUMMYFUNCTION("""COMPUTED_VALUE"""),"4")</f>
        <v>4</v>
      </c>
      <c r="U847" s="15" t="str">
        <f>IFERROR(__xludf.DUMMYFUNCTION("""COMPUTED_VALUE"""),"266840228 1306228 8177478 deposito sao jose trifil sgr 4")</f>
        <v>266840228 1306228 8177478 deposito sao jose trifil sgr 4</v>
      </c>
      <c r="V847" s="15" t="b">
        <f>IFERROR(__xludf.DUMMYFUNCTION("""COMPUTED_VALUE"""),FALSE)</f>
        <v>0</v>
      </c>
    </row>
    <row r="848">
      <c r="A848" s="19">
        <f>IFERROR(__xludf.DUMMYFUNCTION("""COMPUTED_VALUE"""),46304.0)</f>
        <v>46304</v>
      </c>
      <c r="B848" s="19">
        <f>IFERROR(__xludf.DUMMYFUNCTION("""COMPUTED_VALUE"""),46318.0)</f>
        <v>46318</v>
      </c>
      <c r="C848" s="15">
        <f>IFERROR(__xludf.DUMMYFUNCTION("""COMPUTED_VALUE"""),9.0)</f>
        <v>9</v>
      </c>
      <c r="D848" s="15" t="str">
        <f>IFERROR(__xludf.DUMMYFUNCTION("""COMPUTED_VALUE"""),"PNZ")</f>
        <v>PNZ</v>
      </c>
      <c r="E848" s="15" t="str">
        <f>IFERROR(__xludf.DUMMYFUNCTION("""COMPUTED_VALUE"""),"Anoka Comercio Para Vestuario Ltda")</f>
        <v>Anoka Comercio Para Vestuario Ltda</v>
      </c>
      <c r="F848" s="15" t="str">
        <f>IFERROR(__xludf.DUMMYFUNCTION("""COMPUTED_VALUE"""),"TRIFIL")</f>
        <v>TRIFIL</v>
      </c>
      <c r="G848" s="15" t="str">
        <f>IFERROR(__xludf.DUMMYFUNCTION("""COMPUTED_VALUE"""),"266840229")</f>
        <v>266840229</v>
      </c>
      <c r="H848" s="15" t="str">
        <f>IFERROR(__xludf.DUMMYFUNCTION("""COMPUTED_VALUE"""),"1306335")</f>
        <v>1306335</v>
      </c>
      <c r="I848" s="15" t="str">
        <f>IFERROR(__xludf.DUMMYFUNCTION("""COMPUTED_VALUE"""),"8177427")</f>
        <v>8177427</v>
      </c>
      <c r="J848" s="15" t="str">
        <f>IFERROR(__xludf.DUMMYFUNCTION("""COMPUTED_VALUE"""),"CIF")</f>
        <v>CIF</v>
      </c>
      <c r="K848" s="15" t="str">
        <f>IFERROR(__xludf.DUMMYFUNCTION("""COMPUTED_VALUE"""),"FSA-1")</f>
        <v>FSA-1</v>
      </c>
      <c r="L848" s="15" t="str">
        <f>IFERROR(__xludf.DUMMYFUNCTION("""COMPUTED_VALUE"""),"AUTORIZADO")</f>
        <v>AUTORIZADO</v>
      </c>
      <c r="M848" s="15" t="str">
        <f>IFERROR(__xludf.DUMMYFUNCTION("""COMPUTED_VALUE"""),"NA ORIGEM")</f>
        <v>NA ORIGEM</v>
      </c>
      <c r="N848" s="15" t="str">
        <f>IFERROR(__xludf.DUMMYFUNCTION("""COMPUTED_VALUE"""),"Antes Prazo")</f>
        <v>Antes Prazo</v>
      </c>
      <c r="O848" s="15" t="str">
        <f>IFERROR(__xludf.DUMMYFUNCTION("""COMPUTED_VALUE"""),"B2B")</f>
        <v>B2B</v>
      </c>
      <c r="P848" s="16">
        <f>IFERROR(__xludf.DUMMYFUNCTION("""COMPUTED_VALUE"""),65.16)</f>
        <v>65.16</v>
      </c>
      <c r="Q848" s="15">
        <f>IFERROR(__xludf.DUMMYFUNCTION("""COMPUTED_VALUE"""),5.0)</f>
        <v>5</v>
      </c>
      <c r="R848" s="15" t="str">
        <f>IFERROR(__xludf.DUMMYFUNCTION("""COMPUTED_VALUE"""),"RODO")</f>
        <v>RODO</v>
      </c>
      <c r="S848" s="15" t="str">
        <f>IFERROR(__xludf.DUMMYFUNCTION("""COMPUTED_VALUE"""),"ITN")</f>
        <v>ITN</v>
      </c>
      <c r="T848" s="15" t="str">
        <f>IFERROR(__xludf.DUMMYFUNCTION("""COMPUTED_VALUE"""),"1")</f>
        <v>1</v>
      </c>
      <c r="U848" s="15" t="str">
        <f>IFERROR(__xludf.DUMMYFUNCTION("""COMPUTED_VALUE"""),"266840229 1306335 8177427 anoka comercio para vestuario ltda trifil pnz 1")</f>
        <v>266840229 1306335 8177427 anoka comercio para vestuario ltda trifil pnz 1</v>
      </c>
      <c r="V848" s="15" t="b">
        <f>IFERROR(__xludf.DUMMYFUNCTION("""COMPUTED_VALUE"""),FALSE)</f>
        <v>0</v>
      </c>
    </row>
    <row r="849">
      <c r="A849" s="19">
        <f>IFERROR(__xludf.DUMMYFUNCTION("""COMPUTED_VALUE"""),46304.0)</f>
        <v>46304</v>
      </c>
      <c r="B849" s="19">
        <f>IFERROR(__xludf.DUMMYFUNCTION("""COMPUTED_VALUE"""),46321.0)</f>
        <v>46321</v>
      </c>
      <c r="C849" s="15">
        <f>IFERROR(__xludf.DUMMYFUNCTION("""COMPUTED_VALUE"""),10.0)</f>
        <v>10</v>
      </c>
      <c r="D849" s="15" t="str">
        <f>IFERROR(__xludf.DUMMYFUNCTION("""COMPUTED_VALUE"""),"CAU")</f>
        <v>CAU</v>
      </c>
      <c r="E849" s="15" t="str">
        <f>IFERROR(__xludf.DUMMYFUNCTION("""COMPUTED_VALUE"""),"J. RILDO FARIAS ME")</f>
        <v>J. RILDO FARIAS ME</v>
      </c>
      <c r="F849" s="15" t="str">
        <f>IFERROR(__xludf.DUMMYFUNCTION("""COMPUTED_VALUE"""),"TRIFIL")</f>
        <v>TRIFIL</v>
      </c>
      <c r="G849" s="15" t="str">
        <f>IFERROR(__xludf.DUMMYFUNCTION("""COMPUTED_VALUE"""),"266840230")</f>
        <v>266840230</v>
      </c>
      <c r="H849" s="15" t="str">
        <f>IFERROR(__xludf.DUMMYFUNCTION("""COMPUTED_VALUE"""),"1306275")</f>
        <v>1306275</v>
      </c>
      <c r="I849" s="15" t="str">
        <f>IFERROR(__xludf.DUMMYFUNCTION("""COMPUTED_VALUE"""),"8177527")</f>
        <v>8177527</v>
      </c>
      <c r="J849" s="15" t="str">
        <f>IFERROR(__xludf.DUMMYFUNCTION("""COMPUTED_VALUE"""),"CIF")</f>
        <v>CIF</v>
      </c>
      <c r="K849" s="15" t="str">
        <f>IFERROR(__xludf.DUMMYFUNCTION("""COMPUTED_VALUE"""),"FSA-1")</f>
        <v>FSA-1</v>
      </c>
      <c r="L849" s="15" t="str">
        <f>IFERROR(__xludf.DUMMYFUNCTION("""COMPUTED_VALUE"""),"AUTORIZADO")</f>
        <v>AUTORIZADO</v>
      </c>
      <c r="M849" s="15" t="str">
        <f>IFERROR(__xludf.DUMMYFUNCTION("""COMPUTED_VALUE"""),"NA ORIGEM")</f>
        <v>NA ORIGEM</v>
      </c>
      <c r="N849" s="15" t="str">
        <f>IFERROR(__xludf.DUMMYFUNCTION("""COMPUTED_VALUE"""),"Antes Prazo")</f>
        <v>Antes Prazo</v>
      </c>
      <c r="O849" s="15" t="str">
        <f>IFERROR(__xludf.DUMMYFUNCTION("""COMPUTED_VALUE"""),"B2B")</f>
        <v>B2B</v>
      </c>
      <c r="P849" s="16">
        <f>IFERROR(__xludf.DUMMYFUNCTION("""COMPUTED_VALUE"""),63.12)</f>
        <v>63.12</v>
      </c>
      <c r="Q849" s="15">
        <f>IFERROR(__xludf.DUMMYFUNCTION("""COMPUTED_VALUE"""),1.0)</f>
        <v>1</v>
      </c>
      <c r="R849" s="15" t="str">
        <f>IFERROR(__xludf.DUMMYFUNCTION("""COMPUTED_VALUE"""),"RODO")</f>
        <v>RODO</v>
      </c>
      <c r="S849" s="15" t="str">
        <f>IFERROR(__xludf.DUMMYFUNCTION("""COMPUTED_VALUE"""),"ITN")</f>
        <v>ITN</v>
      </c>
      <c r="T849" s="15" t="str">
        <f>IFERROR(__xludf.DUMMYFUNCTION("""COMPUTED_VALUE"""),"102")</f>
        <v>102</v>
      </c>
      <c r="U849" s="15" t="str">
        <f>IFERROR(__xludf.DUMMYFUNCTION("""COMPUTED_VALUE"""),"266840230 1306275 8177527 j. rildo farias me trifil cau 102")</f>
        <v>266840230 1306275 8177527 j. rildo farias me trifil cau 102</v>
      </c>
      <c r="V849" s="15" t="b">
        <f>IFERROR(__xludf.DUMMYFUNCTION("""COMPUTED_VALUE"""),FALSE)</f>
        <v>0</v>
      </c>
    </row>
    <row r="850">
      <c r="A850" s="19">
        <f>IFERROR(__xludf.DUMMYFUNCTION("""COMPUTED_VALUE"""),46304.0)</f>
        <v>46304</v>
      </c>
      <c r="B850" s="19">
        <f>IFERROR(__xludf.DUMMYFUNCTION("""COMPUTED_VALUE"""),46321.0)</f>
        <v>46321</v>
      </c>
      <c r="C850" s="15">
        <f>IFERROR(__xludf.DUMMYFUNCTION("""COMPUTED_VALUE"""),10.0)</f>
        <v>10</v>
      </c>
      <c r="D850" s="15" t="str">
        <f>IFERROR(__xludf.DUMMYFUNCTION("""COMPUTED_VALUE"""),"CAU")</f>
        <v>CAU</v>
      </c>
      <c r="E850" s="15" t="str">
        <f>IFERROR(__xludf.DUMMYFUNCTION("""COMPUTED_VALUE"""),"ARNALDO LUIS DA SILVA ME")</f>
        <v>ARNALDO LUIS DA SILVA ME</v>
      </c>
      <c r="F850" s="15" t="str">
        <f>IFERROR(__xludf.DUMMYFUNCTION("""COMPUTED_VALUE"""),"TRIFIL")</f>
        <v>TRIFIL</v>
      </c>
      <c r="G850" s="15" t="str">
        <f>IFERROR(__xludf.DUMMYFUNCTION("""COMPUTED_VALUE"""),"266840231")</f>
        <v>266840231</v>
      </c>
      <c r="H850" s="15" t="str">
        <f>IFERROR(__xludf.DUMMYFUNCTION("""COMPUTED_VALUE"""),"1306250")</f>
        <v>1306250</v>
      </c>
      <c r="I850" s="15" t="str">
        <f>IFERROR(__xludf.DUMMYFUNCTION("""COMPUTED_VALUE"""),"8177528")</f>
        <v>8177528</v>
      </c>
      <c r="J850" s="15" t="str">
        <f>IFERROR(__xludf.DUMMYFUNCTION("""COMPUTED_VALUE"""),"CIF")</f>
        <v>CIF</v>
      </c>
      <c r="K850" s="15" t="str">
        <f>IFERROR(__xludf.DUMMYFUNCTION("""COMPUTED_VALUE"""),"FSA-1")</f>
        <v>FSA-1</v>
      </c>
      <c r="L850" s="15" t="str">
        <f>IFERROR(__xludf.DUMMYFUNCTION("""COMPUTED_VALUE"""),"AUTORIZADO")</f>
        <v>AUTORIZADO</v>
      </c>
      <c r="M850" s="15" t="str">
        <f>IFERROR(__xludf.DUMMYFUNCTION("""COMPUTED_VALUE"""),"NA ORIGEM")</f>
        <v>NA ORIGEM</v>
      </c>
      <c r="N850" s="15" t="str">
        <f>IFERROR(__xludf.DUMMYFUNCTION("""COMPUTED_VALUE"""),"Antes Prazo")</f>
        <v>Antes Prazo</v>
      </c>
      <c r="O850" s="15" t="str">
        <f>IFERROR(__xludf.DUMMYFUNCTION("""COMPUTED_VALUE"""),"B2B")</f>
        <v>B2B</v>
      </c>
      <c r="P850" s="16">
        <f>IFERROR(__xludf.DUMMYFUNCTION("""COMPUTED_VALUE"""),63.12)</f>
        <v>63.12</v>
      </c>
      <c r="Q850" s="15">
        <f>IFERROR(__xludf.DUMMYFUNCTION("""COMPUTED_VALUE"""),1.0)</f>
        <v>1</v>
      </c>
      <c r="R850" s="15" t="str">
        <f>IFERROR(__xludf.DUMMYFUNCTION("""COMPUTED_VALUE"""),"RODO")</f>
        <v>RODO</v>
      </c>
      <c r="S850" s="15" t="str">
        <f>IFERROR(__xludf.DUMMYFUNCTION("""COMPUTED_VALUE"""),"ITN")</f>
        <v>ITN</v>
      </c>
      <c r="T850" s="15" t="str">
        <f>IFERROR(__xludf.DUMMYFUNCTION("""COMPUTED_VALUE"""),"102")</f>
        <v>102</v>
      </c>
      <c r="U850" s="15" t="str">
        <f>IFERROR(__xludf.DUMMYFUNCTION("""COMPUTED_VALUE"""),"266840231 1306250 8177528 arnaldo luis da silva me trifil cau 102")</f>
        <v>266840231 1306250 8177528 arnaldo luis da silva me trifil cau 102</v>
      </c>
      <c r="V850" s="15" t="b">
        <f>IFERROR(__xludf.DUMMYFUNCTION("""COMPUTED_VALUE"""),FALSE)</f>
        <v>0</v>
      </c>
    </row>
    <row r="851">
      <c r="A851" s="19">
        <f>IFERROR(__xludf.DUMMYFUNCTION("""COMPUTED_VALUE"""),46304.0)</f>
        <v>46304</v>
      </c>
      <c r="B851" s="19">
        <f>IFERROR(__xludf.DUMMYFUNCTION("""COMPUTED_VALUE"""),46318.0)</f>
        <v>46318</v>
      </c>
      <c r="C851" s="15">
        <f>IFERROR(__xludf.DUMMYFUNCTION("""COMPUTED_VALUE"""),9.0)</f>
        <v>9</v>
      </c>
      <c r="D851" s="15" t="str">
        <f>IFERROR(__xludf.DUMMYFUNCTION("""COMPUTED_VALUE"""),"MCZ")</f>
        <v>MCZ</v>
      </c>
      <c r="E851" s="15" t="str">
        <f>IFERROR(__xludf.DUMMYFUNCTION("""COMPUTED_VALUE"""),"ISABEL CRISTINA DA SILVA - ME")</f>
        <v>ISABEL CRISTINA DA SILVA - ME</v>
      </c>
      <c r="F851" s="15" t="str">
        <f>IFERROR(__xludf.DUMMYFUNCTION("""COMPUTED_VALUE"""),"TRIFIL")</f>
        <v>TRIFIL</v>
      </c>
      <c r="G851" s="15" t="str">
        <f>IFERROR(__xludf.DUMMYFUNCTION("""COMPUTED_VALUE"""),"266840232")</f>
        <v>266840232</v>
      </c>
      <c r="H851" s="15" t="str">
        <f>IFERROR(__xludf.DUMMYFUNCTION("""COMPUTED_VALUE"""),"1306207")</f>
        <v>1306207</v>
      </c>
      <c r="I851" s="15" t="str">
        <f>IFERROR(__xludf.DUMMYFUNCTION("""COMPUTED_VALUE"""),"8177562")</f>
        <v>8177562</v>
      </c>
      <c r="J851" s="15" t="str">
        <f>IFERROR(__xludf.DUMMYFUNCTION("""COMPUTED_VALUE"""),"CIF")</f>
        <v>CIF</v>
      </c>
      <c r="K851" s="15" t="str">
        <f>IFERROR(__xludf.DUMMYFUNCTION("""COMPUTED_VALUE"""),"FSA-1")</f>
        <v>FSA-1</v>
      </c>
      <c r="L851" s="15" t="str">
        <f>IFERROR(__xludf.DUMMYFUNCTION("""COMPUTED_VALUE"""),"AUTORIZADO")</f>
        <v>AUTORIZADO</v>
      </c>
      <c r="M851" s="15" t="str">
        <f>IFERROR(__xludf.DUMMYFUNCTION("""COMPUTED_VALUE"""),"NA ORIGEM")</f>
        <v>NA ORIGEM</v>
      </c>
      <c r="N851" s="15" t="str">
        <f>IFERROR(__xludf.DUMMYFUNCTION("""COMPUTED_VALUE"""),"Antes Prazo")</f>
        <v>Antes Prazo</v>
      </c>
      <c r="O851" s="15" t="str">
        <f>IFERROR(__xludf.DUMMYFUNCTION("""COMPUTED_VALUE"""),"B2B")</f>
        <v>B2B</v>
      </c>
      <c r="P851" s="16">
        <f>IFERROR(__xludf.DUMMYFUNCTION("""COMPUTED_VALUE"""),57.25)</f>
        <v>57.25</v>
      </c>
      <c r="Q851" s="15">
        <f>IFERROR(__xludf.DUMMYFUNCTION("""COMPUTED_VALUE"""),1.0)</f>
        <v>1</v>
      </c>
      <c r="R851" s="15" t="str">
        <f>IFERROR(__xludf.DUMMYFUNCTION("""COMPUTED_VALUE"""),"RODO")</f>
        <v>RODO</v>
      </c>
      <c r="S851" s="15" t="str">
        <f>IFERROR(__xludf.DUMMYFUNCTION("""COMPUTED_VALUE"""),"ITN")</f>
        <v>ITN</v>
      </c>
      <c r="T851" s="15" t="str">
        <f>IFERROR(__xludf.DUMMYFUNCTION("""COMPUTED_VALUE"""),"103")</f>
        <v>103</v>
      </c>
      <c r="U851" s="15" t="str">
        <f>IFERROR(__xludf.DUMMYFUNCTION("""COMPUTED_VALUE"""),"266840232 1306207 8177562 isabel cristina da silva - me trifil mcz 103")</f>
        <v>266840232 1306207 8177562 isabel cristina da silva - me trifil mcz 103</v>
      </c>
      <c r="V851" s="15" t="b">
        <f>IFERROR(__xludf.DUMMYFUNCTION("""COMPUTED_VALUE"""),FALSE)</f>
        <v>0</v>
      </c>
    </row>
    <row r="852">
      <c r="A852" s="19">
        <f>IFERROR(__xludf.DUMMYFUNCTION("""COMPUTED_VALUE"""),46304.0)</f>
        <v>46304</v>
      </c>
      <c r="B852" s="19">
        <f>IFERROR(__xludf.DUMMYFUNCTION("""COMPUTED_VALUE"""),46316.0)</f>
        <v>46316</v>
      </c>
      <c r="C852" s="15">
        <f>IFERROR(__xludf.DUMMYFUNCTION("""COMPUTED_VALUE"""),7.0)</f>
        <v>7</v>
      </c>
      <c r="D852" s="15" t="str">
        <f>IFERROR(__xludf.DUMMYFUNCTION("""COMPUTED_VALUE"""),"CPV")</f>
        <v>CPV</v>
      </c>
      <c r="E852" s="15" t="str">
        <f>IFERROR(__xludf.DUMMYFUNCTION("""COMPUTED_VALUE"""),"A POTIGUAR(PAI)")</f>
        <v>A POTIGUAR(PAI)</v>
      </c>
      <c r="F852" s="15" t="str">
        <f>IFERROR(__xludf.DUMMYFUNCTION("""COMPUTED_VALUE"""),"TRIFIL")</f>
        <v>TRIFIL</v>
      </c>
      <c r="G852" s="15" t="str">
        <f>IFERROR(__xludf.DUMMYFUNCTION("""COMPUTED_VALUE"""),"266840234")</f>
        <v>266840234</v>
      </c>
      <c r="H852" s="15" t="str">
        <f>IFERROR(__xludf.DUMMYFUNCTION("""COMPUTED_VALUE"""),"1306358")</f>
        <v>1306358</v>
      </c>
      <c r="I852" s="15" t="str">
        <f>IFERROR(__xludf.DUMMYFUNCTION("""COMPUTED_VALUE"""),"8177450")</f>
        <v>8177450</v>
      </c>
      <c r="J852" s="15" t="str">
        <f>IFERROR(__xludf.DUMMYFUNCTION("""COMPUTED_VALUE"""),"CIF")</f>
        <v>CIF</v>
      </c>
      <c r="K852" s="15" t="str">
        <f>IFERROR(__xludf.DUMMYFUNCTION("""COMPUTED_VALUE"""),"FSA-1")</f>
        <v>FSA-1</v>
      </c>
      <c r="L852" s="15" t="str">
        <f>IFERROR(__xludf.DUMMYFUNCTION("""COMPUTED_VALUE"""),"AUTORIZADO")</f>
        <v>AUTORIZADO</v>
      </c>
      <c r="M852" s="15" t="str">
        <f>IFERROR(__xludf.DUMMYFUNCTION("""COMPUTED_VALUE"""),"NA ORIGEM")</f>
        <v>NA ORIGEM</v>
      </c>
      <c r="N852" s="15" t="str">
        <f>IFERROR(__xludf.DUMMYFUNCTION("""COMPUTED_VALUE"""),"Antes Prazo")</f>
        <v>Antes Prazo</v>
      </c>
      <c r="O852" s="15" t="str">
        <f>IFERROR(__xludf.DUMMYFUNCTION("""COMPUTED_VALUE"""),"B2B")</f>
        <v>B2B</v>
      </c>
      <c r="P852" s="16">
        <f>IFERROR(__xludf.DUMMYFUNCTION("""COMPUTED_VALUE"""),70.83)</f>
        <v>70.83</v>
      </c>
      <c r="Q852" s="15">
        <f>IFERROR(__xludf.DUMMYFUNCTION("""COMPUTED_VALUE"""),4.0)</f>
        <v>4</v>
      </c>
      <c r="R852" s="15" t="str">
        <f>IFERROR(__xludf.DUMMYFUNCTION("""COMPUTED_VALUE"""),"RODO")</f>
        <v>RODO</v>
      </c>
      <c r="S852" s="15" t="str">
        <f>IFERROR(__xludf.DUMMYFUNCTION("""COMPUTED_VALUE"""),"ITN")</f>
        <v>ITN</v>
      </c>
      <c r="T852" s="15" t="str">
        <f>IFERROR(__xludf.DUMMYFUNCTION("""COMPUTED_VALUE"""),"1")</f>
        <v>1</v>
      </c>
      <c r="U852" s="15" t="str">
        <f>IFERROR(__xludf.DUMMYFUNCTION("""COMPUTED_VALUE"""),"266840234 1306358 8177450 a potiguar(pai) trifil cpv 1")</f>
        <v>266840234 1306358 8177450 a potiguar(pai) trifil cpv 1</v>
      </c>
      <c r="V852" s="15" t="b">
        <f>IFERROR(__xludf.DUMMYFUNCTION("""COMPUTED_VALUE"""),FALSE)</f>
        <v>0</v>
      </c>
    </row>
    <row r="853">
      <c r="A853" s="19">
        <f>IFERROR(__xludf.DUMMYFUNCTION("""COMPUTED_VALUE"""),46304.0)</f>
        <v>46304</v>
      </c>
      <c r="B853" s="19">
        <f>IFERROR(__xludf.DUMMYFUNCTION("""COMPUTED_VALUE"""),46324.0)</f>
        <v>46324</v>
      </c>
      <c r="C853" s="15">
        <f>IFERROR(__xludf.DUMMYFUNCTION("""COMPUTED_VALUE"""),13.0)</f>
        <v>13</v>
      </c>
      <c r="D853" s="15" t="str">
        <f>IFERROR(__xludf.DUMMYFUNCTION("""COMPUTED_VALUE"""),"CJZ")</f>
        <v>CJZ</v>
      </c>
      <c r="E853" s="15" t="str">
        <f>IFERROR(__xludf.DUMMYFUNCTION("""COMPUTED_VALUE"""),"COMPREVESTE -")</f>
        <v>COMPREVESTE -</v>
      </c>
      <c r="F853" s="15" t="str">
        <f>IFERROR(__xludf.DUMMYFUNCTION("""COMPUTED_VALUE"""),"TRIFIL")</f>
        <v>TRIFIL</v>
      </c>
      <c r="G853" s="15" t="str">
        <f>IFERROR(__xludf.DUMMYFUNCTION("""COMPUTED_VALUE"""),"266840236")</f>
        <v>266840236</v>
      </c>
      <c r="H853" s="15" t="str">
        <f>IFERROR(__xludf.DUMMYFUNCTION("""COMPUTED_VALUE"""),"1305908")</f>
        <v>1305908</v>
      </c>
      <c r="I853" s="15" t="str">
        <f>IFERROR(__xludf.DUMMYFUNCTION("""COMPUTED_VALUE"""),"8177529")</f>
        <v>8177529</v>
      </c>
      <c r="J853" s="15" t="str">
        <f>IFERROR(__xludf.DUMMYFUNCTION("""COMPUTED_VALUE"""),"CIF")</f>
        <v>CIF</v>
      </c>
      <c r="K853" s="15" t="str">
        <f>IFERROR(__xludf.DUMMYFUNCTION("""COMPUTED_VALUE"""),"FSA-1")</f>
        <v>FSA-1</v>
      </c>
      <c r="L853" s="15" t="str">
        <f>IFERROR(__xludf.DUMMYFUNCTION("""COMPUTED_VALUE"""),"AUTORIZADO")</f>
        <v>AUTORIZADO</v>
      </c>
      <c r="M853" s="15" t="str">
        <f>IFERROR(__xludf.DUMMYFUNCTION("""COMPUTED_VALUE"""),"NA ORIGEM")</f>
        <v>NA ORIGEM</v>
      </c>
      <c r="N853" s="15" t="str">
        <f>IFERROR(__xludf.DUMMYFUNCTION("""COMPUTED_VALUE"""),"Antes Prazo")</f>
        <v>Antes Prazo</v>
      </c>
      <c r="O853" s="15" t="str">
        <f>IFERROR(__xludf.DUMMYFUNCTION("""COMPUTED_VALUE"""),"B2B")</f>
        <v>B2B</v>
      </c>
      <c r="P853" s="16">
        <f>IFERROR(__xludf.DUMMYFUNCTION("""COMPUTED_VALUE"""),71.9)</f>
        <v>71.9</v>
      </c>
      <c r="Q853" s="15">
        <f>IFERROR(__xludf.DUMMYFUNCTION("""COMPUTED_VALUE"""),1.0)</f>
        <v>1</v>
      </c>
      <c r="R853" s="15" t="str">
        <f>IFERROR(__xludf.DUMMYFUNCTION("""COMPUTED_VALUE"""),"RODO")</f>
        <v>RODO</v>
      </c>
      <c r="S853" s="15" t="str">
        <f>IFERROR(__xludf.DUMMYFUNCTION("""COMPUTED_VALUE"""),"ITN")</f>
        <v>ITN</v>
      </c>
      <c r="T853" s="15" t="str">
        <f>IFERROR(__xludf.DUMMYFUNCTION("""COMPUTED_VALUE"""),"1")</f>
        <v>1</v>
      </c>
      <c r="U853" s="15" t="str">
        <f>IFERROR(__xludf.DUMMYFUNCTION("""COMPUTED_VALUE"""),"266840236 1305908 8177529 compreveste - trifil cjz 1")</f>
        <v>266840236 1305908 8177529 compreveste - trifil cjz 1</v>
      </c>
      <c r="V853" s="15" t="b">
        <f>IFERROR(__xludf.DUMMYFUNCTION("""COMPUTED_VALUE"""),FALSE)</f>
        <v>0</v>
      </c>
    </row>
    <row r="854">
      <c r="A854" s="19">
        <f>IFERROR(__xludf.DUMMYFUNCTION("""COMPUTED_VALUE"""),46304.0)</f>
        <v>46304</v>
      </c>
      <c r="B854" s="19">
        <f>IFERROR(__xludf.DUMMYFUNCTION("""COMPUTED_VALUE"""),46322.0)</f>
        <v>46322</v>
      </c>
      <c r="C854" s="15">
        <f>IFERROR(__xludf.DUMMYFUNCTION("""COMPUTED_VALUE"""),11.0)</f>
        <v>11</v>
      </c>
      <c r="D854" s="15" t="str">
        <f>IFERROR(__xludf.DUMMYFUNCTION("""COMPUTED_VALUE"""),"MVF")</f>
        <v>MVF</v>
      </c>
      <c r="E854" s="15" t="str">
        <f>IFERROR(__xludf.DUMMYFUNCTION("""COMPUTED_VALUE"""),"EVANIA DE MEDEIROS JACOME(0001010625)")</f>
        <v>EVANIA DE MEDEIROS JACOME(0001010625)</v>
      </c>
      <c r="F854" s="15" t="str">
        <f>IFERROR(__xludf.DUMMYFUNCTION("""COMPUTED_VALUE"""),"TRIFIL")</f>
        <v>TRIFIL</v>
      </c>
      <c r="G854" s="15" t="str">
        <f>IFERROR(__xludf.DUMMYFUNCTION("""COMPUTED_VALUE"""),"266840238")</f>
        <v>266840238</v>
      </c>
      <c r="H854" s="15" t="str">
        <f>IFERROR(__xludf.DUMMYFUNCTION("""COMPUTED_VALUE"""),"1306315")</f>
        <v>1306315</v>
      </c>
      <c r="I854" s="15" t="str">
        <f>IFERROR(__xludf.DUMMYFUNCTION("""COMPUTED_VALUE"""),"8177530")</f>
        <v>8177530</v>
      </c>
      <c r="J854" s="15" t="str">
        <f>IFERROR(__xludf.DUMMYFUNCTION("""COMPUTED_VALUE"""),"CIF")</f>
        <v>CIF</v>
      </c>
      <c r="K854" s="15" t="str">
        <f>IFERROR(__xludf.DUMMYFUNCTION("""COMPUTED_VALUE"""),"FSA-1")</f>
        <v>FSA-1</v>
      </c>
      <c r="L854" s="15" t="str">
        <f>IFERROR(__xludf.DUMMYFUNCTION("""COMPUTED_VALUE"""),"AUTORIZADO")</f>
        <v>AUTORIZADO</v>
      </c>
      <c r="M854" s="15" t="str">
        <f>IFERROR(__xludf.DUMMYFUNCTION("""COMPUTED_VALUE"""),"NA ORIGEM")</f>
        <v>NA ORIGEM</v>
      </c>
      <c r="N854" s="15" t="str">
        <f>IFERROR(__xludf.DUMMYFUNCTION("""COMPUTED_VALUE"""),"Antes Prazo")</f>
        <v>Antes Prazo</v>
      </c>
      <c r="O854" s="15" t="str">
        <f>IFERROR(__xludf.DUMMYFUNCTION("""COMPUTED_VALUE"""),"B2B")</f>
        <v>B2B</v>
      </c>
      <c r="P854" s="16">
        <f>IFERROR(__xludf.DUMMYFUNCTION("""COMPUTED_VALUE"""),71.9)</f>
        <v>71.9</v>
      </c>
      <c r="Q854" s="15">
        <f>IFERROR(__xludf.DUMMYFUNCTION("""COMPUTED_VALUE"""),1.0)</f>
        <v>1</v>
      </c>
      <c r="R854" s="15" t="str">
        <f>IFERROR(__xludf.DUMMYFUNCTION("""COMPUTED_VALUE"""),"RODO")</f>
        <v>RODO</v>
      </c>
      <c r="S854" s="15" t="str">
        <f>IFERROR(__xludf.DUMMYFUNCTION("""COMPUTED_VALUE"""),"ITN")</f>
        <v>ITN</v>
      </c>
      <c r="T854" s="15" t="str">
        <f>IFERROR(__xludf.DUMMYFUNCTION("""COMPUTED_VALUE"""),"")</f>
        <v/>
      </c>
      <c r="U854" s="15" t="str">
        <f>IFERROR(__xludf.DUMMYFUNCTION("""COMPUTED_VALUE"""),"266840238 1306315 8177530 evania de medeiros jacome(0001010625) trifil mvf ")</f>
        <v>266840238 1306315 8177530 evania de medeiros jacome(0001010625) trifil mvf </v>
      </c>
      <c r="V854" s="15" t="b">
        <f>IFERROR(__xludf.DUMMYFUNCTION("""COMPUTED_VALUE"""),FALSE)</f>
        <v>0</v>
      </c>
    </row>
    <row r="855">
      <c r="A855" s="19">
        <f>IFERROR(__xludf.DUMMYFUNCTION("""COMPUTED_VALUE"""),46304.0)</f>
        <v>46304</v>
      </c>
      <c r="B855" s="19">
        <f>IFERROR(__xludf.DUMMYFUNCTION("""COMPUTED_VALUE"""),46321.0)</f>
        <v>46321</v>
      </c>
      <c r="C855" s="15">
        <f>IFERROR(__xludf.DUMMYFUNCTION("""COMPUTED_VALUE"""),10.0)</f>
        <v>10</v>
      </c>
      <c r="D855" s="15" t="str">
        <f>IFERROR(__xludf.DUMMYFUNCTION("""COMPUTED_VALUE"""),"FOR")</f>
        <v>FOR</v>
      </c>
      <c r="E855" s="15" t="str">
        <f>IFERROR(__xludf.DUMMYFUNCTION("""COMPUTED_VALUE"""),"F. SAMARA MORAIS DE OLIVEIRA LTDA")</f>
        <v>F. SAMARA MORAIS DE OLIVEIRA LTDA</v>
      </c>
      <c r="F855" s="15" t="str">
        <f>IFERROR(__xludf.DUMMYFUNCTION("""COMPUTED_VALUE"""),"TRIFIL")</f>
        <v>TRIFIL</v>
      </c>
      <c r="G855" s="15" t="str">
        <f>IFERROR(__xludf.DUMMYFUNCTION("""COMPUTED_VALUE"""),"266840239")</f>
        <v>266840239</v>
      </c>
      <c r="H855" s="15" t="str">
        <f>IFERROR(__xludf.DUMMYFUNCTION("""COMPUTED_VALUE"""),"1306212")</f>
        <v>1306212</v>
      </c>
      <c r="I855" s="15" t="str">
        <f>IFERROR(__xludf.DUMMYFUNCTION("""COMPUTED_VALUE"""),"8177531")</f>
        <v>8177531</v>
      </c>
      <c r="J855" s="15" t="str">
        <f>IFERROR(__xludf.DUMMYFUNCTION("""COMPUTED_VALUE"""),"CIF")</f>
        <v>CIF</v>
      </c>
      <c r="K855" s="15" t="str">
        <f>IFERROR(__xludf.DUMMYFUNCTION("""COMPUTED_VALUE"""),"FSA-1")</f>
        <v>FSA-1</v>
      </c>
      <c r="L855" s="15" t="str">
        <f>IFERROR(__xludf.DUMMYFUNCTION("""COMPUTED_VALUE"""),"AUTORIZADO")</f>
        <v>AUTORIZADO</v>
      </c>
      <c r="M855" s="15" t="str">
        <f>IFERROR(__xludf.DUMMYFUNCTION("""COMPUTED_VALUE"""),"NA ORIGEM")</f>
        <v>NA ORIGEM</v>
      </c>
      <c r="N855" s="15" t="str">
        <f>IFERROR(__xludf.DUMMYFUNCTION("""COMPUTED_VALUE"""),"Antes Prazo")</f>
        <v>Antes Prazo</v>
      </c>
      <c r="O855" s="15" t="str">
        <f>IFERROR(__xludf.DUMMYFUNCTION("""COMPUTED_VALUE"""),"B2B")</f>
        <v>B2B</v>
      </c>
      <c r="P855" s="16">
        <f>IFERROR(__xludf.DUMMYFUNCTION("""COMPUTED_VALUE"""),64.23)</f>
        <v>64.23</v>
      </c>
      <c r="Q855" s="15">
        <f>IFERROR(__xludf.DUMMYFUNCTION("""COMPUTED_VALUE"""),1.0)</f>
        <v>1</v>
      </c>
      <c r="R855" s="15" t="str">
        <f>IFERROR(__xludf.DUMMYFUNCTION("""COMPUTED_VALUE"""),"RODO")</f>
        <v>RODO</v>
      </c>
      <c r="S855" s="15" t="str">
        <f>IFERROR(__xludf.DUMMYFUNCTION("""COMPUTED_VALUE"""),"ITN")</f>
        <v>ITN</v>
      </c>
      <c r="T855" s="15" t="str">
        <f>IFERROR(__xludf.DUMMYFUNCTION("""COMPUTED_VALUE"""),"101")</f>
        <v>101</v>
      </c>
      <c r="U855" s="15" t="str">
        <f>IFERROR(__xludf.DUMMYFUNCTION("""COMPUTED_VALUE"""),"266840239 1306212 8177531 f. samara morais de oliveira ltda trifil for 101")</f>
        <v>266840239 1306212 8177531 f. samara morais de oliveira ltda trifil for 101</v>
      </c>
      <c r="V855" s="15" t="b">
        <f>IFERROR(__xludf.DUMMYFUNCTION("""COMPUTED_VALUE"""),FALSE)</f>
        <v>0</v>
      </c>
    </row>
    <row r="856">
      <c r="A856" s="19">
        <f>IFERROR(__xludf.DUMMYFUNCTION("""COMPUTED_VALUE"""),46304.0)</f>
        <v>46304</v>
      </c>
      <c r="B856" s="19">
        <f>IFERROR(__xludf.DUMMYFUNCTION("""COMPUTED_VALUE"""),46324.0)</f>
        <v>46324</v>
      </c>
      <c r="C856" s="15">
        <f>IFERROR(__xludf.DUMMYFUNCTION("""COMPUTED_VALUE"""),13.0)</f>
        <v>13</v>
      </c>
      <c r="D856" s="15" t="str">
        <f>IFERROR(__xludf.DUMMYFUNCTION("""COMPUTED_VALUE"""),"FLB")</f>
        <v>FLB</v>
      </c>
      <c r="E856" s="15" t="str">
        <f>IFERROR(__xludf.DUMMYFUNCTION("""COMPUTED_VALUE"""),"LORHANA MODAS-FLB")</f>
        <v>LORHANA MODAS-FLB</v>
      </c>
      <c r="F856" s="15" t="str">
        <f>IFERROR(__xludf.DUMMYFUNCTION("""COMPUTED_VALUE"""),"TRIFIL")</f>
        <v>TRIFIL</v>
      </c>
      <c r="G856" s="15" t="str">
        <f>IFERROR(__xludf.DUMMYFUNCTION("""COMPUTED_VALUE"""),"266840240")</f>
        <v>266840240</v>
      </c>
      <c r="H856" s="15" t="str">
        <f>IFERROR(__xludf.DUMMYFUNCTION("""COMPUTED_VALUE"""),"1306186")</f>
        <v>1306186</v>
      </c>
      <c r="I856" s="15" t="str">
        <f>IFERROR(__xludf.DUMMYFUNCTION("""COMPUTED_VALUE"""),"8177479")</f>
        <v>8177479</v>
      </c>
      <c r="J856" s="15" t="str">
        <f>IFERROR(__xludf.DUMMYFUNCTION("""COMPUTED_VALUE"""),"CIF")</f>
        <v>CIF</v>
      </c>
      <c r="K856" s="15" t="str">
        <f>IFERROR(__xludf.DUMMYFUNCTION("""COMPUTED_VALUE"""),"FSA-1")</f>
        <v>FSA-1</v>
      </c>
      <c r="L856" s="15" t="str">
        <f>IFERROR(__xludf.DUMMYFUNCTION("""COMPUTED_VALUE"""),"AUTORIZADO")</f>
        <v>AUTORIZADO</v>
      </c>
      <c r="M856" s="15" t="str">
        <f>IFERROR(__xludf.DUMMYFUNCTION("""COMPUTED_VALUE"""),"NA ORIGEM")</f>
        <v>NA ORIGEM</v>
      </c>
      <c r="N856" s="15" t="str">
        <f>IFERROR(__xludf.DUMMYFUNCTION("""COMPUTED_VALUE"""),"Antes Prazo")</f>
        <v>Antes Prazo</v>
      </c>
      <c r="O856" s="15" t="str">
        <f>IFERROR(__xludf.DUMMYFUNCTION("""COMPUTED_VALUE"""),"B2B")</f>
        <v>B2B</v>
      </c>
      <c r="P856" s="16">
        <f>IFERROR(__xludf.DUMMYFUNCTION("""COMPUTED_VALUE"""),71.9)</f>
        <v>71.9</v>
      </c>
      <c r="Q856" s="15">
        <f>IFERROR(__xludf.DUMMYFUNCTION("""COMPUTED_VALUE"""),1.0)</f>
        <v>1</v>
      </c>
      <c r="R856" s="15" t="str">
        <f>IFERROR(__xludf.DUMMYFUNCTION("""COMPUTED_VALUE"""),"RODO")</f>
        <v>RODO</v>
      </c>
      <c r="S856" s="15" t="str">
        <f>IFERROR(__xludf.DUMMYFUNCTION("""COMPUTED_VALUE"""),"ITN")</f>
        <v>ITN</v>
      </c>
      <c r="T856" s="15" t="str">
        <f>IFERROR(__xludf.DUMMYFUNCTION("""COMPUTED_VALUE"""),"0101f")</f>
        <v>0101f</v>
      </c>
      <c r="U856" s="15" t="str">
        <f>IFERROR(__xludf.DUMMYFUNCTION("""COMPUTED_VALUE"""),"266840240 1306186 8177479 lorhana modas-flb trifil flb 0101f")</f>
        <v>266840240 1306186 8177479 lorhana modas-flb trifil flb 0101f</v>
      </c>
      <c r="V856" s="15" t="b">
        <f>IFERROR(__xludf.DUMMYFUNCTION("""COMPUTED_VALUE"""),FALSE)</f>
        <v>0</v>
      </c>
    </row>
    <row r="857">
      <c r="A857" s="19">
        <f>IFERROR(__xludf.DUMMYFUNCTION("""COMPUTED_VALUE"""),46304.0)</f>
        <v>46304</v>
      </c>
      <c r="B857" s="19">
        <f>IFERROR(__xludf.DUMMYFUNCTION("""COMPUTED_VALUE"""),46330.0)</f>
        <v>46330</v>
      </c>
      <c r="C857" s="15">
        <f>IFERROR(__xludf.DUMMYFUNCTION("""COMPUTED_VALUE"""),16.0)</f>
        <v>16</v>
      </c>
      <c r="D857" s="15" t="str">
        <f>IFERROR(__xludf.DUMMYFUNCTION("""COMPUTED_VALUE"""),"SIN")</f>
        <v>SIN</v>
      </c>
      <c r="E857" s="15" t="str">
        <f>IFERROR(__xludf.DUMMYFUNCTION("""COMPUTED_VALUE"""),"LOJA SEDUCAO LTDA")</f>
        <v>LOJA SEDUCAO LTDA</v>
      </c>
      <c r="F857" s="15" t="str">
        <f>IFERROR(__xludf.DUMMYFUNCTION("""COMPUTED_VALUE"""),"TRIFIL")</f>
        <v>TRIFIL</v>
      </c>
      <c r="G857" s="15" t="str">
        <f>IFERROR(__xludf.DUMMYFUNCTION("""COMPUTED_VALUE"""),"266840241")</f>
        <v>266840241</v>
      </c>
      <c r="H857" s="15" t="str">
        <f>IFERROR(__xludf.DUMMYFUNCTION("""COMPUTED_VALUE"""),"1306576")</f>
        <v>1306576</v>
      </c>
      <c r="I857" s="15" t="str">
        <f>IFERROR(__xludf.DUMMYFUNCTION("""COMPUTED_VALUE"""),"8177428")</f>
        <v>8177428</v>
      </c>
      <c r="J857" s="15" t="str">
        <f>IFERROR(__xludf.DUMMYFUNCTION("""COMPUTED_VALUE"""),"CIF")</f>
        <v>CIF</v>
      </c>
      <c r="K857" s="15" t="str">
        <f>IFERROR(__xludf.DUMMYFUNCTION("""COMPUTED_VALUE"""),"FSA-1")</f>
        <v>FSA-1</v>
      </c>
      <c r="L857" s="15" t="str">
        <f>IFERROR(__xludf.DUMMYFUNCTION("""COMPUTED_VALUE"""),"AUTORIZADO")</f>
        <v>AUTORIZADO</v>
      </c>
      <c r="M857" s="15" t="str">
        <f>IFERROR(__xludf.DUMMYFUNCTION("""COMPUTED_VALUE"""),"NA ORIGEM")</f>
        <v>NA ORIGEM</v>
      </c>
      <c r="N857" s="15" t="str">
        <f>IFERROR(__xludf.DUMMYFUNCTION("""COMPUTED_VALUE"""),"Antes Prazo")</f>
        <v>Antes Prazo</v>
      </c>
      <c r="O857" s="15" t="str">
        <f>IFERROR(__xludf.DUMMYFUNCTION("""COMPUTED_VALUE"""),"B2B")</f>
        <v>B2B</v>
      </c>
      <c r="P857" s="16">
        <f>IFERROR(__xludf.DUMMYFUNCTION("""COMPUTED_VALUE"""),83.69)</f>
        <v>83.69</v>
      </c>
      <c r="Q857" s="15">
        <f>IFERROR(__xludf.DUMMYFUNCTION("""COMPUTED_VALUE"""),5.0)</f>
        <v>5</v>
      </c>
      <c r="R857" s="15" t="str">
        <f>IFERROR(__xludf.DUMMYFUNCTION("""COMPUTED_VALUE"""),"RODO")</f>
        <v>RODO</v>
      </c>
      <c r="S857" s="15" t="str">
        <f>IFERROR(__xludf.DUMMYFUNCTION("""COMPUTED_VALUE"""),"ITN")</f>
        <v>ITN</v>
      </c>
      <c r="T857" s="15" t="str">
        <f>IFERROR(__xludf.DUMMYFUNCTION("""COMPUTED_VALUE"""),"102")</f>
        <v>102</v>
      </c>
      <c r="U857" s="15" t="str">
        <f>IFERROR(__xludf.DUMMYFUNCTION("""COMPUTED_VALUE"""),"266840241 1306576 8177428 loja seducao ltda trifil sin 102")</f>
        <v>266840241 1306576 8177428 loja seducao ltda trifil sin 102</v>
      </c>
      <c r="V857" s="15" t="b">
        <f>IFERROR(__xludf.DUMMYFUNCTION("""COMPUTED_VALUE"""),FALSE)</f>
        <v>0</v>
      </c>
    </row>
    <row r="858">
      <c r="A858" s="19">
        <f>IFERROR(__xludf.DUMMYFUNCTION("""COMPUTED_VALUE"""),46304.0)</f>
        <v>46304</v>
      </c>
      <c r="B858" s="19">
        <f>IFERROR(__xludf.DUMMYFUNCTION("""COMPUTED_VALUE"""),46330.0)</f>
        <v>46330</v>
      </c>
      <c r="C858" s="15">
        <f>IFERROR(__xludf.DUMMYFUNCTION("""COMPUTED_VALUE"""),15.0)</f>
        <v>15</v>
      </c>
      <c r="D858" s="15" t="str">
        <f>IFERROR(__xludf.DUMMYFUNCTION("""COMPUTED_VALUE"""),"IMP")</f>
        <v>IMP</v>
      </c>
      <c r="E858" s="15" t="str">
        <f>IFERROR(__xludf.DUMMYFUNCTION("""COMPUTED_VALUE"""),"DAVID ROMEU DE CARVALHO")</f>
        <v>DAVID ROMEU DE CARVALHO</v>
      </c>
      <c r="F858" s="15" t="str">
        <f>IFERROR(__xludf.DUMMYFUNCTION("""COMPUTED_VALUE"""),"TRIFIL")</f>
        <v>TRIFIL</v>
      </c>
      <c r="G858" s="15" t="str">
        <f>IFERROR(__xludf.DUMMYFUNCTION("""COMPUTED_VALUE"""),"266840242")</f>
        <v>266840242</v>
      </c>
      <c r="H858" s="15" t="str">
        <f>IFERROR(__xludf.DUMMYFUNCTION("""COMPUTED_VALUE"""),"1306591")</f>
        <v>1306591</v>
      </c>
      <c r="I858" s="15" t="str">
        <f>IFERROR(__xludf.DUMMYFUNCTION("""COMPUTED_VALUE"""),"8177408")</f>
        <v>8177408</v>
      </c>
      <c r="J858" s="15" t="str">
        <f>IFERROR(__xludf.DUMMYFUNCTION("""COMPUTED_VALUE"""),"CIF")</f>
        <v>CIF</v>
      </c>
      <c r="K858" s="15" t="str">
        <f>IFERROR(__xludf.DUMMYFUNCTION("""COMPUTED_VALUE"""),"SAO-1")</f>
        <v>SAO-1</v>
      </c>
      <c r="L858" s="15" t="str">
        <f>IFERROR(__xludf.DUMMYFUNCTION("""COMPUTED_VALUE"""),"AUTORIZADO")</f>
        <v>AUTORIZADO</v>
      </c>
      <c r="M858" s="15" t="str">
        <f>IFERROR(__xludf.DUMMYFUNCTION("""COMPUTED_VALUE"""),"NA ORIGEM")</f>
        <v>NA ORIGEM</v>
      </c>
      <c r="N858" s="15" t="str">
        <f>IFERROR(__xludf.DUMMYFUNCTION("""COMPUTED_VALUE"""),"Antes Prazo")</f>
        <v>Antes Prazo</v>
      </c>
      <c r="O858" s="15" t="str">
        <f>IFERROR(__xludf.DUMMYFUNCTION("""COMPUTED_VALUE"""),"B2B")</f>
        <v>B2B</v>
      </c>
      <c r="P858" s="16">
        <f>IFERROR(__xludf.DUMMYFUNCTION("""COMPUTED_VALUE"""),91.11)</f>
        <v>91.11</v>
      </c>
      <c r="Q858" s="15">
        <f>IFERROR(__xludf.DUMMYFUNCTION("""COMPUTED_VALUE"""),6.0)</f>
        <v>6</v>
      </c>
      <c r="R858" s="15" t="str">
        <f>IFERROR(__xludf.DUMMYFUNCTION("""COMPUTED_VALUE"""),"RODO")</f>
        <v>RODO</v>
      </c>
      <c r="S858" s="15" t="str">
        <f>IFERROR(__xludf.DUMMYFUNCTION("""COMPUTED_VALUE"""),"ITN")</f>
        <v>ITN</v>
      </c>
      <c r="T858" s="15" t="str">
        <f>IFERROR(__xludf.DUMMYFUNCTION("""COMPUTED_VALUE"""),"400")</f>
        <v>400</v>
      </c>
      <c r="U858" s="15" t="str">
        <f>IFERROR(__xludf.DUMMYFUNCTION("""COMPUTED_VALUE"""),"266840242 1306591 8177408 david romeu de carvalho trifil imp 400")</f>
        <v>266840242 1306591 8177408 david romeu de carvalho trifil imp 400</v>
      </c>
      <c r="V858" s="15" t="b">
        <f>IFERROR(__xludf.DUMMYFUNCTION("""COMPUTED_VALUE"""),FALSE)</f>
        <v>0</v>
      </c>
    </row>
    <row r="859">
      <c r="A859" s="19">
        <f>IFERROR(__xludf.DUMMYFUNCTION("""COMPUTED_VALUE"""),46304.0)</f>
        <v>46304</v>
      </c>
      <c r="B859" s="19">
        <f>IFERROR(__xludf.DUMMYFUNCTION("""COMPUTED_VALUE"""),46321.0)</f>
        <v>46321</v>
      </c>
      <c r="C859" s="15">
        <f>IFERROR(__xludf.DUMMYFUNCTION("""COMPUTED_VALUE"""),9.0)</f>
        <v>9</v>
      </c>
      <c r="D859" s="15" t="str">
        <f>IFERROR(__xludf.DUMMYFUNCTION("""COMPUTED_VALUE"""),"IMP")</f>
        <v>IMP</v>
      </c>
      <c r="E859" s="15" t="str">
        <f>IFERROR(__xludf.DUMMYFUNCTION("""COMPUTED_VALUE"""),"CARDINS EMPREENDIMENTOS LTDA")</f>
        <v>CARDINS EMPREENDIMENTOS LTDA</v>
      </c>
      <c r="F859" s="15" t="str">
        <f>IFERROR(__xludf.DUMMYFUNCTION("""COMPUTED_VALUE"""),"TRIFIL")</f>
        <v>TRIFIL</v>
      </c>
      <c r="G859" s="15" t="str">
        <f>IFERROR(__xludf.DUMMYFUNCTION("""COMPUTED_VALUE"""),"266840243")</f>
        <v>266840243</v>
      </c>
      <c r="H859" s="15" t="str">
        <f>IFERROR(__xludf.DUMMYFUNCTION("""COMPUTED_VALUE"""),"1306071")</f>
        <v>1306071</v>
      </c>
      <c r="I859" s="15" t="str">
        <f>IFERROR(__xludf.DUMMYFUNCTION("""COMPUTED_VALUE"""),"8177429")</f>
        <v>8177429</v>
      </c>
      <c r="J859" s="15" t="str">
        <f>IFERROR(__xludf.DUMMYFUNCTION("""COMPUTED_VALUE"""),"CIF")</f>
        <v>CIF</v>
      </c>
      <c r="K859" s="15" t="str">
        <f>IFERROR(__xludf.DUMMYFUNCTION("""COMPUTED_VALUE"""),"SAO-1")</f>
        <v>SAO-1</v>
      </c>
      <c r="L859" s="15" t="str">
        <f>IFERROR(__xludf.DUMMYFUNCTION("""COMPUTED_VALUE"""),"AUTORIZADO")</f>
        <v>AUTORIZADO</v>
      </c>
      <c r="M859" s="15" t="str">
        <f>IFERROR(__xludf.DUMMYFUNCTION("""COMPUTED_VALUE"""),"NA ORIGEM")</f>
        <v>NA ORIGEM</v>
      </c>
      <c r="N859" s="15" t="str">
        <f>IFERROR(__xludf.DUMMYFUNCTION("""COMPUTED_VALUE"""),"Antes Prazo")</f>
        <v>Antes Prazo</v>
      </c>
      <c r="O859" s="15" t="str">
        <f>IFERROR(__xludf.DUMMYFUNCTION("""COMPUTED_VALUE"""),"B2B")</f>
        <v>B2B</v>
      </c>
      <c r="P859" s="16">
        <f>IFERROR(__xludf.DUMMYFUNCTION("""COMPUTED_VALUE"""),64.23)</f>
        <v>64.23</v>
      </c>
      <c r="Q859" s="15">
        <f>IFERROR(__xludf.DUMMYFUNCTION("""COMPUTED_VALUE"""),1.0)</f>
        <v>1</v>
      </c>
      <c r="R859" s="15" t="str">
        <f>IFERROR(__xludf.DUMMYFUNCTION("""COMPUTED_VALUE"""),"RODO")</f>
        <v>RODO</v>
      </c>
      <c r="S859" s="15" t="str">
        <f>IFERROR(__xludf.DUMMYFUNCTION("""COMPUTED_VALUE"""),"ITN")</f>
        <v>ITN</v>
      </c>
      <c r="T859" s="15" t="str">
        <f>IFERROR(__xludf.DUMMYFUNCTION("""COMPUTED_VALUE"""),"1")</f>
        <v>1</v>
      </c>
      <c r="U859" s="15" t="str">
        <f>IFERROR(__xludf.DUMMYFUNCTION("""COMPUTED_VALUE"""),"266840243 1306071 8177429 cardins empreendimentos ltda trifil imp 1")</f>
        <v>266840243 1306071 8177429 cardins empreendimentos ltda trifil imp 1</v>
      </c>
      <c r="V859" s="15" t="b">
        <f>IFERROR(__xludf.DUMMYFUNCTION("""COMPUTED_VALUE"""),FALSE)</f>
        <v>0</v>
      </c>
    </row>
    <row r="860">
      <c r="A860" s="19">
        <f>IFERROR(__xludf.DUMMYFUNCTION("""COMPUTED_VALUE"""),46304.0)</f>
        <v>46304</v>
      </c>
      <c r="B860" s="19">
        <f>IFERROR(__xludf.DUMMYFUNCTION("""COMPUTED_VALUE"""),46338.0)</f>
        <v>46338</v>
      </c>
      <c r="C860" s="15">
        <f>IFERROR(__xludf.DUMMYFUNCTION("""COMPUTED_VALUE"""),21.0)</f>
        <v>21</v>
      </c>
      <c r="D860" s="15" t="str">
        <f>IFERROR(__xludf.DUMMYFUNCTION("""COMPUTED_VALUE"""),"IMP")</f>
        <v>IMP</v>
      </c>
      <c r="E860" s="15" t="str">
        <f>IFERROR(__xludf.DUMMYFUNCTION("""COMPUTED_VALUE"""),"N O Araujo - ME")</f>
        <v>N O Araujo - ME</v>
      </c>
      <c r="F860" s="15" t="str">
        <f>IFERROR(__xludf.DUMMYFUNCTION("""COMPUTED_VALUE"""),"TRIFIL")</f>
        <v>TRIFIL</v>
      </c>
      <c r="G860" s="15" t="str">
        <f>IFERROR(__xludf.DUMMYFUNCTION("""COMPUTED_VALUE"""),"266840244")</f>
        <v>266840244</v>
      </c>
      <c r="H860" s="15" t="str">
        <f>IFERROR(__xludf.DUMMYFUNCTION("""COMPUTED_VALUE"""),"1305869")</f>
        <v>1305869</v>
      </c>
      <c r="I860" s="15" t="str">
        <f>IFERROR(__xludf.DUMMYFUNCTION("""COMPUTED_VALUE"""),"8177451")</f>
        <v>8177451</v>
      </c>
      <c r="J860" s="15" t="str">
        <f>IFERROR(__xludf.DUMMYFUNCTION("""COMPUTED_VALUE"""),"CIF")</f>
        <v>CIF</v>
      </c>
      <c r="K860" s="15" t="str">
        <f>IFERROR(__xludf.DUMMYFUNCTION("""COMPUTED_VALUE"""),"SAO-1")</f>
        <v>SAO-1</v>
      </c>
      <c r="L860" s="15" t="str">
        <f>IFERROR(__xludf.DUMMYFUNCTION("""COMPUTED_VALUE"""),"AUTORIZADO")</f>
        <v>AUTORIZADO</v>
      </c>
      <c r="M860" s="15" t="str">
        <f>IFERROR(__xludf.DUMMYFUNCTION("""COMPUTED_VALUE"""),"NA ORIGEM")</f>
        <v>NA ORIGEM</v>
      </c>
      <c r="N860" s="15" t="str">
        <f>IFERROR(__xludf.DUMMYFUNCTION("""COMPUTED_VALUE"""),"Antes Prazo")</f>
        <v>Antes Prazo</v>
      </c>
      <c r="O860" s="15" t="str">
        <f>IFERROR(__xludf.DUMMYFUNCTION("""COMPUTED_VALUE"""),"B2B")</f>
        <v>B2B</v>
      </c>
      <c r="P860" s="16">
        <f>IFERROR(__xludf.DUMMYFUNCTION("""COMPUTED_VALUE"""),83.69)</f>
        <v>83.69</v>
      </c>
      <c r="Q860" s="15">
        <f>IFERROR(__xludf.DUMMYFUNCTION("""COMPUTED_VALUE"""),5.0)</f>
        <v>5</v>
      </c>
      <c r="R860" s="15" t="str">
        <f>IFERROR(__xludf.DUMMYFUNCTION("""COMPUTED_VALUE"""),"RODO")</f>
        <v>RODO</v>
      </c>
      <c r="S860" s="15" t="str">
        <f>IFERROR(__xludf.DUMMYFUNCTION("""COMPUTED_VALUE"""),"ITN")</f>
        <v>ITN</v>
      </c>
      <c r="T860" s="15" t="str">
        <f>IFERROR(__xludf.DUMMYFUNCTION("""COMPUTED_VALUE"""),"300")</f>
        <v>300</v>
      </c>
      <c r="U860" s="15" t="str">
        <f>IFERROR(__xludf.DUMMYFUNCTION("""COMPUTED_VALUE"""),"266840244 1305869 8177451 n o araujo - me trifil imp 300")</f>
        <v>266840244 1305869 8177451 n o araujo - me trifil imp 300</v>
      </c>
      <c r="V860" s="15" t="b">
        <f>IFERROR(__xludf.DUMMYFUNCTION("""COMPUTED_VALUE"""),FALSE)</f>
        <v>0</v>
      </c>
    </row>
    <row r="861">
      <c r="A861" s="19">
        <f>IFERROR(__xludf.DUMMYFUNCTION("""COMPUTED_VALUE"""),46304.0)</f>
        <v>46304</v>
      </c>
      <c r="B861" s="19">
        <f>IFERROR(__xludf.DUMMYFUNCTION("""COMPUTED_VALUE"""),46331.0)</f>
        <v>46331</v>
      </c>
      <c r="C861" s="15">
        <f>IFERROR(__xludf.DUMMYFUNCTION("""COMPUTED_VALUE"""),17.0)</f>
        <v>17</v>
      </c>
      <c r="D861" s="15" t="str">
        <f>IFERROR(__xludf.DUMMYFUNCTION("""COMPUTED_VALUE"""),"TUR")</f>
        <v>TUR</v>
      </c>
      <c r="E861" s="15" t="str">
        <f>IFERROR(__xludf.DUMMYFUNCTION("""COMPUTED_VALUE"""),"LOJAS RAMAR")</f>
        <v>LOJAS RAMAR</v>
      </c>
      <c r="F861" s="15" t="str">
        <f>IFERROR(__xludf.DUMMYFUNCTION("""COMPUTED_VALUE"""),"TRIFIL")</f>
        <v>TRIFIL</v>
      </c>
      <c r="G861" s="15" t="str">
        <f>IFERROR(__xludf.DUMMYFUNCTION("""COMPUTED_VALUE"""),"266840245")</f>
        <v>266840245</v>
      </c>
      <c r="H861" s="15" t="str">
        <f>IFERROR(__xludf.DUMMYFUNCTION("""COMPUTED_VALUE"""),"1305874")</f>
        <v>1305874</v>
      </c>
      <c r="I861" s="15" t="str">
        <f>IFERROR(__xludf.DUMMYFUNCTION("""COMPUTED_VALUE"""),"8177532")</f>
        <v>8177532</v>
      </c>
      <c r="J861" s="15" t="str">
        <f>IFERROR(__xludf.DUMMYFUNCTION("""COMPUTED_VALUE"""),"CIF")</f>
        <v>CIF</v>
      </c>
      <c r="K861" s="15" t="str">
        <f>IFERROR(__xludf.DUMMYFUNCTION("""COMPUTED_VALUE"""),"FSA-1")</f>
        <v>FSA-1</v>
      </c>
      <c r="L861" s="15" t="str">
        <f>IFERROR(__xludf.DUMMYFUNCTION("""COMPUTED_VALUE"""),"AUTORIZADO")</f>
        <v>AUTORIZADO</v>
      </c>
      <c r="M861" s="15" t="str">
        <f>IFERROR(__xludf.DUMMYFUNCTION("""COMPUTED_VALUE"""),"NA ORIGEM")</f>
        <v>NA ORIGEM</v>
      </c>
      <c r="N861" s="15" t="str">
        <f>IFERROR(__xludf.DUMMYFUNCTION("""COMPUTED_VALUE"""),"Antes Prazo")</f>
        <v>Antes Prazo</v>
      </c>
      <c r="O861" s="15" t="str">
        <f>IFERROR(__xludf.DUMMYFUNCTION("""COMPUTED_VALUE"""),"B2B")</f>
        <v>B2B</v>
      </c>
      <c r="P861" s="16">
        <f>IFERROR(__xludf.DUMMYFUNCTION("""COMPUTED_VALUE"""),71.87)</f>
        <v>71.87</v>
      </c>
      <c r="Q861" s="15">
        <f>IFERROR(__xludf.DUMMYFUNCTION("""COMPUTED_VALUE"""),1.0)</f>
        <v>1</v>
      </c>
      <c r="R861" s="15" t="str">
        <f>IFERROR(__xludf.DUMMYFUNCTION("""COMPUTED_VALUE"""),"RODO")</f>
        <v>RODO</v>
      </c>
      <c r="S861" s="15" t="str">
        <f>IFERROR(__xludf.DUMMYFUNCTION("""COMPUTED_VALUE"""),"ITN")</f>
        <v>ITN</v>
      </c>
      <c r="T861" s="15" t="str">
        <f>IFERROR(__xludf.DUMMYFUNCTION("""COMPUTED_VALUE"""),"800")</f>
        <v>800</v>
      </c>
      <c r="U861" s="15" t="str">
        <f>IFERROR(__xludf.DUMMYFUNCTION("""COMPUTED_VALUE"""),"266840245 1305874 8177532 lojas ramar trifil tur 800")</f>
        <v>266840245 1305874 8177532 lojas ramar trifil tur 800</v>
      </c>
      <c r="V861" s="15" t="b">
        <f>IFERROR(__xludf.DUMMYFUNCTION("""COMPUTED_VALUE"""),FALSE)</f>
        <v>0</v>
      </c>
    </row>
    <row r="862">
      <c r="A862" s="19">
        <f>IFERROR(__xludf.DUMMYFUNCTION("""COMPUTED_VALUE"""),46304.0)</f>
        <v>46304</v>
      </c>
      <c r="B862" s="19">
        <f>IFERROR(__xludf.DUMMYFUNCTION("""COMPUTED_VALUE"""),46330.0)</f>
        <v>46330</v>
      </c>
      <c r="C862" s="15">
        <f>IFERROR(__xludf.DUMMYFUNCTION("""COMPUTED_VALUE"""),16.0)</f>
        <v>16</v>
      </c>
      <c r="D862" s="15" t="str">
        <f>IFERROR(__xludf.DUMMYFUNCTION("""COMPUTED_VALUE"""),"NBL")</f>
        <v>NBL</v>
      </c>
      <c r="E862" s="15" t="str">
        <f>IFERROR(__xludf.DUMMYFUNCTION("""COMPUTED_VALUE"""),"J.M. QUEIROZ E CIA LTDA")</f>
        <v>J.M. QUEIROZ E CIA LTDA</v>
      </c>
      <c r="F862" s="15" t="str">
        <f>IFERROR(__xludf.DUMMYFUNCTION("""COMPUTED_VALUE"""),"TRIFIL")</f>
        <v>TRIFIL</v>
      </c>
      <c r="G862" s="15" t="str">
        <f>IFERROR(__xludf.DUMMYFUNCTION("""COMPUTED_VALUE"""),"266840246")</f>
        <v>266840246</v>
      </c>
      <c r="H862" s="15" t="str">
        <f>IFERROR(__xludf.DUMMYFUNCTION("""COMPUTED_VALUE"""),"1306176")</f>
        <v>1306176</v>
      </c>
      <c r="I862" s="15" t="str">
        <f>IFERROR(__xludf.DUMMYFUNCTION("""COMPUTED_VALUE"""),"8177563")</f>
        <v>8177563</v>
      </c>
      <c r="J862" s="15" t="str">
        <f>IFERROR(__xludf.DUMMYFUNCTION("""COMPUTED_VALUE"""),"CIF")</f>
        <v>CIF</v>
      </c>
      <c r="K862" s="15" t="str">
        <f>IFERROR(__xludf.DUMMYFUNCTION("""COMPUTED_VALUE"""),"FSA-1")</f>
        <v>FSA-1</v>
      </c>
      <c r="L862" s="15" t="str">
        <f>IFERROR(__xludf.DUMMYFUNCTION("""COMPUTED_VALUE"""),"AUTORIZADO")</f>
        <v>AUTORIZADO</v>
      </c>
      <c r="M862" s="15" t="str">
        <f>IFERROR(__xludf.DUMMYFUNCTION("""COMPUTED_VALUE"""),"NA ORIGEM")</f>
        <v>NA ORIGEM</v>
      </c>
      <c r="N862" s="15" t="str">
        <f>IFERROR(__xludf.DUMMYFUNCTION("""COMPUTED_VALUE"""),"Antes Prazo")</f>
        <v>Antes Prazo</v>
      </c>
      <c r="O862" s="15" t="str">
        <f>IFERROR(__xludf.DUMMYFUNCTION("""COMPUTED_VALUE"""),"B2B")</f>
        <v>B2B</v>
      </c>
      <c r="P862" s="16">
        <f>IFERROR(__xludf.DUMMYFUNCTION("""COMPUTED_VALUE"""),71.87)</f>
        <v>71.87</v>
      </c>
      <c r="Q862" s="15">
        <f>IFERROR(__xludf.DUMMYFUNCTION("""COMPUTED_VALUE"""),1.0)</f>
        <v>1</v>
      </c>
      <c r="R862" s="15" t="str">
        <f>IFERROR(__xludf.DUMMYFUNCTION("""COMPUTED_VALUE"""),"RODO")</f>
        <v>RODO</v>
      </c>
      <c r="S862" s="15" t="str">
        <f>IFERROR(__xludf.DUMMYFUNCTION("""COMPUTED_VALUE"""),"ITN")</f>
        <v>ITN</v>
      </c>
      <c r="T862" s="15" t="str">
        <f>IFERROR(__xludf.DUMMYFUNCTION("""COMPUTED_VALUE"""),"200")</f>
        <v>200</v>
      </c>
      <c r="U862" s="15" t="str">
        <f>IFERROR(__xludf.DUMMYFUNCTION("""COMPUTED_VALUE"""),"266840246 1306176 8177563 j.m. queiroz e cia ltda trifil nbl 200")</f>
        <v>266840246 1306176 8177563 j.m. queiroz e cia ltda trifil nbl 200</v>
      </c>
      <c r="V862" s="15" t="b">
        <f>IFERROR(__xludf.DUMMYFUNCTION("""COMPUTED_VALUE"""),FALSE)</f>
        <v>0</v>
      </c>
    </row>
    <row r="863">
      <c r="A863" s="19">
        <f>IFERROR(__xludf.DUMMYFUNCTION("""COMPUTED_VALUE"""),46304.0)</f>
        <v>46304</v>
      </c>
      <c r="B863" s="19">
        <f>IFERROR(__xludf.DUMMYFUNCTION("""COMPUTED_VALUE"""),46332.0)</f>
        <v>46332</v>
      </c>
      <c r="C863" s="15">
        <f>IFERROR(__xludf.DUMMYFUNCTION("""COMPUTED_VALUE"""),18.0)</f>
        <v>18</v>
      </c>
      <c r="D863" s="15" t="str">
        <f>IFERROR(__xludf.DUMMYFUNCTION("""COMPUTED_VALUE"""),"NBL")</f>
        <v>NBL</v>
      </c>
      <c r="E863" s="15" t="str">
        <f>IFERROR(__xludf.DUMMYFUNCTION("""COMPUTED_VALUE"""),"FENIX CALCADOS")</f>
        <v>FENIX CALCADOS</v>
      </c>
      <c r="F863" s="15" t="str">
        <f>IFERROR(__xludf.DUMMYFUNCTION("""COMPUTED_VALUE"""),"TRIFIL")</f>
        <v>TRIFIL</v>
      </c>
      <c r="G863" s="15" t="str">
        <f>IFERROR(__xludf.DUMMYFUNCTION("""COMPUTED_VALUE"""),"266840247")</f>
        <v>266840247</v>
      </c>
      <c r="H863" s="15" t="str">
        <f>IFERROR(__xludf.DUMMYFUNCTION("""COMPUTED_VALUE"""),"1298312")</f>
        <v>1298312</v>
      </c>
      <c r="I863" s="15" t="str">
        <f>IFERROR(__xludf.DUMMYFUNCTION("""COMPUTED_VALUE"""),"8177409")</f>
        <v>8177409</v>
      </c>
      <c r="J863" s="15" t="str">
        <f>IFERROR(__xludf.DUMMYFUNCTION("""COMPUTED_VALUE"""),"CIF")</f>
        <v>CIF</v>
      </c>
      <c r="K863" s="15" t="str">
        <f>IFERROR(__xludf.DUMMYFUNCTION("""COMPUTED_VALUE"""),"FSA-1")</f>
        <v>FSA-1</v>
      </c>
      <c r="L863" s="15" t="str">
        <f>IFERROR(__xludf.DUMMYFUNCTION("""COMPUTED_VALUE"""),"AUTORIZADO")</f>
        <v>AUTORIZADO</v>
      </c>
      <c r="M863" s="15" t="str">
        <f>IFERROR(__xludf.DUMMYFUNCTION("""COMPUTED_VALUE"""),"NA ORIGEM")</f>
        <v>NA ORIGEM</v>
      </c>
      <c r="N863" s="15" t="str">
        <f>IFERROR(__xludf.DUMMYFUNCTION("""COMPUTED_VALUE"""),"Antes Prazo")</f>
        <v>Antes Prazo</v>
      </c>
      <c r="O863" s="15" t="str">
        <f>IFERROR(__xludf.DUMMYFUNCTION("""COMPUTED_VALUE"""),"B2B")</f>
        <v>B2B</v>
      </c>
      <c r="P863" s="16">
        <f>IFERROR(__xludf.DUMMYFUNCTION("""COMPUTED_VALUE"""),203.43)</f>
        <v>203.43</v>
      </c>
      <c r="Q863" s="15">
        <f>IFERROR(__xludf.DUMMYFUNCTION("""COMPUTED_VALUE"""),2.0)</f>
        <v>2</v>
      </c>
      <c r="R863" s="15" t="str">
        <f>IFERROR(__xludf.DUMMYFUNCTION("""COMPUTED_VALUE"""),"RODO")</f>
        <v>RODO</v>
      </c>
      <c r="S863" s="15" t="str">
        <f>IFERROR(__xludf.DUMMYFUNCTION("""COMPUTED_VALUE"""),"ITN")</f>
        <v>ITN</v>
      </c>
      <c r="T863" s="15" t="str">
        <f>IFERROR(__xludf.DUMMYFUNCTION("""COMPUTED_VALUE"""),"902")</f>
        <v>902</v>
      </c>
      <c r="U863" s="15" t="str">
        <f>IFERROR(__xludf.DUMMYFUNCTION("""COMPUTED_VALUE"""),"266840247 1298312 8177409 fenix calcados trifil nbl 902")</f>
        <v>266840247 1298312 8177409 fenix calcados trifil nbl 902</v>
      </c>
      <c r="V863" s="15" t="b">
        <f>IFERROR(__xludf.DUMMYFUNCTION("""COMPUTED_VALUE"""),FALSE)</f>
        <v>0</v>
      </c>
    </row>
    <row r="864">
      <c r="A864" s="19">
        <f>IFERROR(__xludf.DUMMYFUNCTION("""COMPUTED_VALUE"""),46304.0)</f>
        <v>46304</v>
      </c>
      <c r="B864" s="19">
        <f>IFERROR(__xludf.DUMMYFUNCTION("""COMPUTED_VALUE"""),46360.0)</f>
        <v>46360</v>
      </c>
      <c r="C864" s="15">
        <f>IFERROR(__xludf.DUMMYFUNCTION("""COMPUTED_VALUE"""),37.0)</f>
        <v>37</v>
      </c>
      <c r="D864" s="15" t="str">
        <f>IFERROR(__xludf.DUMMYFUNCTION("""COMPUTED_VALUE"""),"BVB")</f>
        <v>BVB</v>
      </c>
      <c r="E864" s="15" t="str">
        <f>IFERROR(__xludf.DUMMYFUNCTION("""COMPUTED_VALUE"""),"SUZANA BULCAO DE SOUZA &amp; CIA")</f>
        <v>SUZANA BULCAO DE SOUZA &amp; CIA</v>
      </c>
      <c r="F864" s="15" t="str">
        <f>IFERROR(__xludf.DUMMYFUNCTION("""COMPUTED_VALUE"""),"TRIFIL")</f>
        <v>TRIFIL</v>
      </c>
      <c r="G864" s="15" t="str">
        <f>IFERROR(__xludf.DUMMYFUNCTION("""COMPUTED_VALUE"""),"266840248")</f>
        <v>266840248</v>
      </c>
      <c r="H864" s="15" t="str">
        <f>IFERROR(__xludf.DUMMYFUNCTION("""COMPUTED_VALUE"""),"1306077")</f>
        <v>1306077</v>
      </c>
      <c r="I864" s="15" t="str">
        <f>IFERROR(__xludf.DUMMYFUNCTION("""COMPUTED_VALUE"""),"8177430")</f>
        <v>8177430</v>
      </c>
      <c r="J864" s="15" t="str">
        <f>IFERROR(__xludf.DUMMYFUNCTION("""COMPUTED_VALUE"""),"CIF")</f>
        <v>CIF</v>
      </c>
      <c r="K864" s="15" t="str">
        <f>IFERROR(__xludf.DUMMYFUNCTION("""COMPUTED_VALUE"""),"SAO-1")</f>
        <v>SAO-1</v>
      </c>
      <c r="L864" s="15" t="str">
        <f>IFERROR(__xludf.DUMMYFUNCTION("""COMPUTED_VALUE"""),"AUTORIZADO")</f>
        <v>AUTORIZADO</v>
      </c>
      <c r="M864" s="15" t="str">
        <f>IFERROR(__xludf.DUMMYFUNCTION("""COMPUTED_VALUE"""),"NA ORIGEM")</f>
        <v>NA ORIGEM</v>
      </c>
      <c r="N864" s="15" t="str">
        <f>IFERROR(__xludf.DUMMYFUNCTION("""COMPUTED_VALUE"""),"Antes Prazo")</f>
        <v>Antes Prazo</v>
      </c>
      <c r="O864" s="15" t="str">
        <f>IFERROR(__xludf.DUMMYFUNCTION("""COMPUTED_VALUE"""),"B2B")</f>
        <v>B2B</v>
      </c>
      <c r="P864" s="16">
        <f>IFERROR(__xludf.DUMMYFUNCTION("""COMPUTED_VALUE"""),283.48)</f>
        <v>283.48</v>
      </c>
      <c r="Q864" s="15">
        <f>IFERROR(__xludf.DUMMYFUNCTION("""COMPUTED_VALUE"""),4.0)</f>
        <v>4</v>
      </c>
      <c r="R864" s="15" t="str">
        <f>IFERROR(__xludf.DUMMYFUNCTION("""COMPUTED_VALUE"""),"RODO")</f>
        <v>RODO</v>
      </c>
      <c r="S864" s="15" t="str">
        <f>IFERROR(__xludf.DUMMYFUNCTION("""COMPUTED_VALUE"""),"ITN")</f>
        <v>ITN</v>
      </c>
      <c r="T864" s="15" t="str">
        <f>IFERROR(__xludf.DUMMYFUNCTION("""COMPUTED_VALUE"""),"103")</f>
        <v>103</v>
      </c>
      <c r="U864" s="15" t="str">
        <f>IFERROR(__xludf.DUMMYFUNCTION("""COMPUTED_VALUE"""),"266840248 1306077 8177430 suzana bulcao de souza &amp; cia trifil bvb 103")</f>
        <v>266840248 1306077 8177430 suzana bulcao de souza &amp; cia trifil bvb 103</v>
      </c>
      <c r="V864" s="15" t="b">
        <f>IFERROR(__xludf.DUMMYFUNCTION("""COMPUTED_VALUE"""),FALSE)</f>
        <v>0</v>
      </c>
    </row>
    <row r="865">
      <c r="A865" s="19">
        <f>IFERROR(__xludf.DUMMYFUNCTION("""COMPUTED_VALUE"""),46304.0)</f>
        <v>46304</v>
      </c>
      <c r="B865" s="19">
        <f>IFERROR(__xludf.DUMMYFUNCTION("""COMPUTED_VALUE"""),46316.0)</f>
        <v>46316</v>
      </c>
      <c r="C865" s="15">
        <f>IFERROR(__xludf.DUMMYFUNCTION("""COMPUTED_VALUE"""),7.0)</f>
        <v>7</v>
      </c>
      <c r="D865" s="15" t="str">
        <f>IFERROR(__xludf.DUMMYFUNCTION("""COMPUTED_VALUE"""),"BSB")</f>
        <v>BSB</v>
      </c>
      <c r="E865" s="15" t="str">
        <f>IFERROR(__xludf.DUMMYFUNCTION("""COMPUTED_VALUE"""),"LINGERIE E CIA - QSB OE LT 05 LJ 04")</f>
        <v>LINGERIE E CIA - QSB OE LT 05 LJ 04</v>
      </c>
      <c r="F865" s="15" t="str">
        <f>IFERROR(__xludf.DUMMYFUNCTION("""COMPUTED_VALUE"""),"TRIFIL")</f>
        <v>TRIFIL</v>
      </c>
      <c r="G865" s="15" t="str">
        <f>IFERROR(__xludf.DUMMYFUNCTION("""COMPUTED_VALUE"""),"266840249")</f>
        <v>266840249</v>
      </c>
      <c r="H865" s="15" t="str">
        <f>IFERROR(__xludf.DUMMYFUNCTION("""COMPUTED_VALUE"""),"1306570")</f>
        <v>1306570</v>
      </c>
      <c r="I865" s="15" t="str">
        <f>IFERROR(__xludf.DUMMYFUNCTION("""COMPUTED_VALUE"""),"8177431")</f>
        <v>8177431</v>
      </c>
      <c r="J865" s="15" t="str">
        <f>IFERROR(__xludf.DUMMYFUNCTION("""COMPUTED_VALUE"""),"CIF")</f>
        <v>CIF</v>
      </c>
      <c r="K865" s="15" t="str">
        <f>IFERROR(__xludf.DUMMYFUNCTION("""COMPUTED_VALUE"""),"SAO-1")</f>
        <v>SAO-1</v>
      </c>
      <c r="L865" s="15" t="str">
        <f>IFERROR(__xludf.DUMMYFUNCTION("""COMPUTED_VALUE"""),"AUTORIZADO")</f>
        <v>AUTORIZADO</v>
      </c>
      <c r="M865" s="15" t="str">
        <f>IFERROR(__xludf.DUMMYFUNCTION("""COMPUTED_VALUE"""),"NA ORIGEM")</f>
        <v>NA ORIGEM</v>
      </c>
      <c r="N865" s="15" t="str">
        <f>IFERROR(__xludf.DUMMYFUNCTION("""COMPUTED_VALUE"""),"Antes Prazo")</f>
        <v>Antes Prazo</v>
      </c>
      <c r="O865" s="15" t="str">
        <f>IFERROR(__xludf.DUMMYFUNCTION("""COMPUTED_VALUE"""),"B2B")</f>
        <v>B2B</v>
      </c>
      <c r="P865" s="16">
        <f>IFERROR(__xludf.DUMMYFUNCTION("""COMPUTED_VALUE"""),51.54)</f>
        <v>51.54</v>
      </c>
      <c r="Q865" s="15">
        <f>IFERROR(__xludf.DUMMYFUNCTION("""COMPUTED_VALUE"""),3.0)</f>
        <v>3</v>
      </c>
      <c r="R865" s="15" t="str">
        <f>IFERROR(__xludf.DUMMYFUNCTION("""COMPUTED_VALUE"""),"RODO")</f>
        <v>RODO</v>
      </c>
      <c r="S865" s="15" t="str">
        <f>IFERROR(__xludf.DUMMYFUNCTION("""COMPUTED_VALUE"""),"ITN")</f>
        <v>ITN</v>
      </c>
      <c r="T865" s="15" t="str">
        <f>IFERROR(__xludf.DUMMYFUNCTION("""COMPUTED_VALUE"""),"11")</f>
        <v>11</v>
      </c>
      <c r="U865" s="15" t="str">
        <f>IFERROR(__xludf.DUMMYFUNCTION("""COMPUTED_VALUE"""),"266840249 1306570 8177431 lingerie e cia - qsb oe lt 05 lj 04 trifil bsb 11")</f>
        <v>266840249 1306570 8177431 lingerie e cia - qsb oe lt 05 lj 04 trifil bsb 11</v>
      </c>
      <c r="V865" s="15" t="b">
        <f>IFERROR(__xludf.DUMMYFUNCTION("""COMPUTED_VALUE"""),FALSE)</f>
        <v>0</v>
      </c>
    </row>
    <row r="866">
      <c r="A866" s="19">
        <f>IFERROR(__xludf.DUMMYFUNCTION("""COMPUTED_VALUE"""),46304.0)</f>
        <v>46304</v>
      </c>
      <c r="B866" s="19">
        <f>IFERROR(__xludf.DUMMYFUNCTION("""COMPUTED_VALUE"""),46321.0)</f>
        <v>46321</v>
      </c>
      <c r="C866" s="15">
        <f>IFERROR(__xludf.DUMMYFUNCTION("""COMPUTED_VALUE"""),10.0)</f>
        <v>10</v>
      </c>
      <c r="D866" s="15" t="str">
        <f>IFERROR(__xludf.DUMMYFUNCTION("""COMPUTED_VALUE"""),"IGO")</f>
        <v>IGO</v>
      </c>
      <c r="E866" s="15" t="str">
        <f>IFERROR(__xludf.DUMMYFUNCTION("""COMPUTED_VALUE"""),"MARIO LONZA SILVA CARVALHO")</f>
        <v>MARIO LONZA SILVA CARVALHO</v>
      </c>
      <c r="F866" s="15" t="str">
        <f>IFERROR(__xludf.DUMMYFUNCTION("""COMPUTED_VALUE"""),"TRIFIL")</f>
        <v>TRIFIL</v>
      </c>
      <c r="G866" s="15" t="str">
        <f>IFERROR(__xludf.DUMMYFUNCTION("""COMPUTED_VALUE"""),"266840250")</f>
        <v>266840250</v>
      </c>
      <c r="H866" s="15" t="str">
        <f>IFERROR(__xludf.DUMMYFUNCTION("""COMPUTED_VALUE"""),"1306321")</f>
        <v>1306321</v>
      </c>
      <c r="I866" s="15" t="str">
        <f>IFERROR(__xludf.DUMMYFUNCTION("""COMPUTED_VALUE"""),"8177533")</f>
        <v>8177533</v>
      </c>
      <c r="J866" s="15" t="str">
        <f>IFERROR(__xludf.DUMMYFUNCTION("""COMPUTED_VALUE"""),"CIF")</f>
        <v>CIF</v>
      </c>
      <c r="K866" s="15" t="str">
        <f>IFERROR(__xludf.DUMMYFUNCTION("""COMPUTED_VALUE"""),"(sem célula)")</f>
        <v>(sem célula)</v>
      </c>
      <c r="L866" s="15" t="str">
        <f>IFERROR(__xludf.DUMMYFUNCTION("""COMPUTED_VALUE"""),"AUTORIZADO")</f>
        <v>AUTORIZADO</v>
      </c>
      <c r="M866" s="15" t="str">
        <f>IFERROR(__xludf.DUMMYFUNCTION("""COMPUTED_VALUE"""),"NA ORIGEM")</f>
        <v>NA ORIGEM</v>
      </c>
      <c r="N866" s="15" t="str">
        <f>IFERROR(__xludf.DUMMYFUNCTION("""COMPUTED_VALUE"""),"Antes Prazo")</f>
        <v>Antes Prazo</v>
      </c>
      <c r="O866" s="15" t="str">
        <f>IFERROR(__xludf.DUMMYFUNCTION("""COMPUTED_VALUE"""),"B2B")</f>
        <v>B2B</v>
      </c>
      <c r="P866" s="16">
        <f>IFERROR(__xludf.DUMMYFUNCTION("""COMPUTED_VALUE"""),63.12)</f>
        <v>63.12</v>
      </c>
      <c r="Q866" s="15">
        <f>IFERROR(__xludf.DUMMYFUNCTION("""COMPUTED_VALUE"""),1.0)</f>
        <v>1</v>
      </c>
      <c r="R866" s="15" t="str">
        <f>IFERROR(__xludf.DUMMYFUNCTION("""COMPUTED_VALUE"""),"RODO")</f>
        <v>RODO</v>
      </c>
      <c r="S866" s="15" t="str">
        <f>IFERROR(__xludf.DUMMYFUNCTION("""COMPUTED_VALUE"""),"ITN")</f>
        <v>ITN</v>
      </c>
      <c r="T866" s="15" t="str">
        <f>IFERROR(__xludf.DUMMYFUNCTION("""COMPUTED_VALUE"""),"320")</f>
        <v>320</v>
      </c>
      <c r="U866" s="15" t="str">
        <f>IFERROR(__xludf.DUMMYFUNCTION("""COMPUTED_VALUE"""),"266840250 1306321 8177533 mario lonza silva carvalho trifil igo 320")</f>
        <v>266840250 1306321 8177533 mario lonza silva carvalho trifil igo 320</v>
      </c>
      <c r="V866" s="15" t="b">
        <f>IFERROR(__xludf.DUMMYFUNCTION("""COMPUTED_VALUE"""),FALSE)</f>
        <v>0</v>
      </c>
    </row>
    <row r="867">
      <c r="A867" s="19">
        <f>IFERROR(__xludf.DUMMYFUNCTION("""COMPUTED_VALUE"""),46304.0)</f>
        <v>46304</v>
      </c>
      <c r="B867" s="19">
        <f>IFERROR(__xludf.DUMMYFUNCTION("""COMPUTED_VALUE"""),46316.0)</f>
        <v>46316</v>
      </c>
      <c r="C867" s="15">
        <f>IFERROR(__xludf.DUMMYFUNCTION("""COMPUTED_VALUE"""),7.0)</f>
        <v>7</v>
      </c>
      <c r="D867" s="15" t="str">
        <f>IFERROR(__xludf.DUMMYFUNCTION("""COMPUTED_VALUE"""),"GYN")</f>
        <v>GYN</v>
      </c>
      <c r="E867" s="15" t="str">
        <f>IFERROR(__xludf.DUMMYFUNCTION("""COMPUTED_VALUE"""),"AMERICA MEIAS")</f>
        <v>AMERICA MEIAS</v>
      </c>
      <c r="F867" s="15" t="str">
        <f>IFERROR(__xludf.DUMMYFUNCTION("""COMPUTED_VALUE"""),"TRIFIL")</f>
        <v>TRIFIL</v>
      </c>
      <c r="G867" s="15" t="str">
        <f>IFERROR(__xludf.DUMMYFUNCTION("""COMPUTED_VALUE"""),"266840251")</f>
        <v>266840251</v>
      </c>
      <c r="H867" s="15" t="str">
        <f>IFERROR(__xludf.DUMMYFUNCTION("""COMPUTED_VALUE"""),"1306083")</f>
        <v>1306083</v>
      </c>
      <c r="I867" s="15" t="str">
        <f>IFERROR(__xludf.DUMMYFUNCTION("""COMPUTED_VALUE"""),"8177452")</f>
        <v>8177452</v>
      </c>
      <c r="J867" s="15" t="str">
        <f>IFERROR(__xludf.DUMMYFUNCTION("""COMPUTED_VALUE"""),"CIF")</f>
        <v>CIF</v>
      </c>
      <c r="K867" s="15" t="str">
        <f>IFERROR(__xludf.DUMMYFUNCTION("""COMPUTED_VALUE"""),"SAO-1")</f>
        <v>SAO-1</v>
      </c>
      <c r="L867" s="15" t="str">
        <f>IFERROR(__xludf.DUMMYFUNCTION("""COMPUTED_VALUE"""),"AUTORIZADO")</f>
        <v>AUTORIZADO</v>
      </c>
      <c r="M867" s="15" t="str">
        <f>IFERROR(__xludf.DUMMYFUNCTION("""COMPUTED_VALUE"""),"NA ORIGEM")</f>
        <v>NA ORIGEM</v>
      </c>
      <c r="N867" s="15" t="str">
        <f>IFERROR(__xludf.DUMMYFUNCTION("""COMPUTED_VALUE"""),"Antes Prazo")</f>
        <v>Antes Prazo</v>
      </c>
      <c r="O867" s="15" t="str">
        <f>IFERROR(__xludf.DUMMYFUNCTION("""COMPUTED_VALUE"""),"B2B")</f>
        <v>B2B</v>
      </c>
      <c r="P867" s="16">
        <f>IFERROR(__xludf.DUMMYFUNCTION("""COMPUTED_VALUE"""),56.59)</f>
        <v>56.59</v>
      </c>
      <c r="Q867" s="15">
        <f>IFERROR(__xludf.DUMMYFUNCTION("""COMPUTED_VALUE"""),1.0)</f>
        <v>1</v>
      </c>
      <c r="R867" s="15" t="str">
        <f>IFERROR(__xludf.DUMMYFUNCTION("""COMPUTED_VALUE"""),"RODO")</f>
        <v>RODO</v>
      </c>
      <c r="S867" s="15" t="str">
        <f>IFERROR(__xludf.DUMMYFUNCTION("""COMPUTED_VALUE"""),"ITN")</f>
        <v>ITN</v>
      </c>
      <c r="T867" s="15" t="str">
        <f>IFERROR(__xludf.DUMMYFUNCTION("""COMPUTED_VALUE"""),"11")</f>
        <v>11</v>
      </c>
      <c r="U867" s="15" t="str">
        <f>IFERROR(__xludf.DUMMYFUNCTION("""COMPUTED_VALUE"""),"266840251 1306083 8177452 america meias trifil gyn 11")</f>
        <v>266840251 1306083 8177452 america meias trifil gyn 11</v>
      </c>
      <c r="V867" s="15" t="b">
        <f>IFERROR(__xludf.DUMMYFUNCTION("""COMPUTED_VALUE"""),FALSE)</f>
        <v>0</v>
      </c>
    </row>
    <row r="868">
      <c r="A868" s="19">
        <f>IFERROR(__xludf.DUMMYFUNCTION("""COMPUTED_VALUE"""),46304.0)</f>
        <v>46304</v>
      </c>
      <c r="B868" s="19">
        <f>IFERROR(__xludf.DUMMYFUNCTION("""COMPUTED_VALUE"""),46316.0)</f>
        <v>46316</v>
      </c>
      <c r="C868" s="15">
        <f>IFERROR(__xludf.DUMMYFUNCTION("""COMPUTED_VALUE"""),7.0)</f>
        <v>7</v>
      </c>
      <c r="D868" s="15" t="str">
        <f>IFERROR(__xludf.DUMMYFUNCTION("""COMPUTED_VALUE"""),"GYN")</f>
        <v>GYN</v>
      </c>
      <c r="E868" s="15" t="str">
        <f>IFERROR(__xludf.DUMMYFUNCTION("""COMPUTED_VALUE"""),"SCALA - GOIANIA SHOPPING")</f>
        <v>SCALA - GOIANIA SHOPPING</v>
      </c>
      <c r="F868" s="15" t="str">
        <f>IFERROR(__xludf.DUMMYFUNCTION("""COMPUTED_VALUE"""),"TRIFIL")</f>
        <v>TRIFIL</v>
      </c>
      <c r="G868" s="15" t="str">
        <f>IFERROR(__xludf.DUMMYFUNCTION("""COMPUTED_VALUE"""),"266840252")</f>
        <v>266840252</v>
      </c>
      <c r="H868" s="15" t="str">
        <f>IFERROR(__xludf.DUMMYFUNCTION("""COMPUTED_VALUE"""),"1305645")</f>
        <v>1305645</v>
      </c>
      <c r="I868" s="15" t="str">
        <f>IFERROR(__xludf.DUMMYFUNCTION("""COMPUTED_VALUE"""),"8177453")</f>
        <v>8177453</v>
      </c>
      <c r="J868" s="15" t="str">
        <f>IFERROR(__xludf.DUMMYFUNCTION("""COMPUTED_VALUE"""),"CIF")</f>
        <v>CIF</v>
      </c>
      <c r="K868" s="15" t="str">
        <f>IFERROR(__xludf.DUMMYFUNCTION("""COMPUTED_VALUE"""),"SAO-1")</f>
        <v>SAO-1</v>
      </c>
      <c r="L868" s="15" t="str">
        <f>IFERROR(__xludf.DUMMYFUNCTION("""COMPUTED_VALUE"""),"AUTORIZADO")</f>
        <v>AUTORIZADO</v>
      </c>
      <c r="M868" s="15" t="str">
        <f>IFERROR(__xludf.DUMMYFUNCTION("""COMPUTED_VALUE"""),"NA ORIGEM")</f>
        <v>NA ORIGEM</v>
      </c>
      <c r="N868" s="15" t="str">
        <f>IFERROR(__xludf.DUMMYFUNCTION("""COMPUTED_VALUE"""),"Antes Prazo")</f>
        <v>Antes Prazo</v>
      </c>
      <c r="O868" s="15" t="str">
        <f>IFERROR(__xludf.DUMMYFUNCTION("""COMPUTED_VALUE"""),"B2B")</f>
        <v>B2B</v>
      </c>
      <c r="P868" s="16">
        <f>IFERROR(__xludf.DUMMYFUNCTION("""COMPUTED_VALUE"""),70.83)</f>
        <v>70.83</v>
      </c>
      <c r="Q868" s="15">
        <f>IFERROR(__xludf.DUMMYFUNCTION("""COMPUTED_VALUE"""),5.0)</f>
        <v>5</v>
      </c>
      <c r="R868" s="15" t="str">
        <f>IFERROR(__xludf.DUMMYFUNCTION("""COMPUTED_VALUE"""),"RODO")</f>
        <v>RODO</v>
      </c>
      <c r="S868" s="15" t="str">
        <f>IFERROR(__xludf.DUMMYFUNCTION("""COMPUTED_VALUE"""),"ITN")</f>
        <v>ITN</v>
      </c>
      <c r="T868" s="15" t="str">
        <f>IFERROR(__xludf.DUMMYFUNCTION("""COMPUTED_VALUE"""),"4")</f>
        <v>4</v>
      </c>
      <c r="U868" s="15" t="str">
        <f>IFERROR(__xludf.DUMMYFUNCTION("""COMPUTED_VALUE"""),"266840252 1305645 8177453 scala - goiania shopping trifil gyn 4")</f>
        <v>266840252 1305645 8177453 scala - goiania shopping trifil gyn 4</v>
      </c>
      <c r="V868" s="15" t="b">
        <f>IFERROR(__xludf.DUMMYFUNCTION("""COMPUTED_VALUE"""),FALSE)</f>
        <v>0</v>
      </c>
    </row>
    <row r="869">
      <c r="A869" s="19">
        <f>IFERROR(__xludf.DUMMYFUNCTION("""COMPUTED_VALUE"""),46304.0)</f>
        <v>46304</v>
      </c>
      <c r="B869" s="19">
        <f>IFERROR(__xludf.DUMMYFUNCTION("""COMPUTED_VALUE"""),46316.0)</f>
        <v>46316</v>
      </c>
      <c r="C869" s="15">
        <f>IFERROR(__xludf.DUMMYFUNCTION("""COMPUTED_VALUE"""),7.0)</f>
        <v>7</v>
      </c>
      <c r="D869" s="15" t="str">
        <f>IFERROR(__xludf.DUMMYFUNCTION("""COMPUTED_VALUE"""),"GYN")</f>
        <v>GYN</v>
      </c>
      <c r="E869" s="15" t="str">
        <f>IFERROR(__xludf.DUMMYFUNCTION("""COMPUTED_VALUE"""),"COMERCIAL J FERREIRA")</f>
        <v>COMERCIAL J FERREIRA</v>
      </c>
      <c r="F869" s="15" t="str">
        <f>IFERROR(__xludf.DUMMYFUNCTION("""COMPUTED_VALUE"""),"TRIFIL")</f>
        <v>TRIFIL</v>
      </c>
      <c r="G869" s="15" t="str">
        <f>IFERROR(__xludf.DUMMYFUNCTION("""COMPUTED_VALUE"""),"266840253")</f>
        <v>266840253</v>
      </c>
      <c r="H869" s="15" t="str">
        <f>IFERROR(__xludf.DUMMYFUNCTION("""COMPUTED_VALUE"""),"1306086")</f>
        <v>1306086</v>
      </c>
      <c r="I869" s="15" t="str">
        <f>IFERROR(__xludf.DUMMYFUNCTION("""COMPUTED_VALUE"""),"8177534")</f>
        <v>8177534</v>
      </c>
      <c r="J869" s="15" t="str">
        <f>IFERROR(__xludf.DUMMYFUNCTION("""COMPUTED_VALUE"""),"CIF")</f>
        <v>CIF</v>
      </c>
      <c r="K869" s="15" t="str">
        <f>IFERROR(__xludf.DUMMYFUNCTION("""COMPUTED_VALUE"""),"SAO-1")</f>
        <v>SAO-1</v>
      </c>
      <c r="L869" s="15" t="str">
        <f>IFERROR(__xludf.DUMMYFUNCTION("""COMPUTED_VALUE"""),"AUTORIZADO")</f>
        <v>AUTORIZADO</v>
      </c>
      <c r="M869" s="15" t="str">
        <f>IFERROR(__xludf.DUMMYFUNCTION("""COMPUTED_VALUE"""),"NA ORIGEM")</f>
        <v>NA ORIGEM</v>
      </c>
      <c r="N869" s="15" t="str">
        <f>IFERROR(__xludf.DUMMYFUNCTION("""COMPUTED_VALUE"""),"Antes Prazo")</f>
        <v>Antes Prazo</v>
      </c>
      <c r="O869" s="15" t="str">
        <f>IFERROR(__xludf.DUMMYFUNCTION("""COMPUTED_VALUE"""),"B2B")</f>
        <v>B2B</v>
      </c>
      <c r="P869" s="16">
        <f>IFERROR(__xludf.DUMMYFUNCTION("""COMPUTED_VALUE"""),56.59)</f>
        <v>56.59</v>
      </c>
      <c r="Q869" s="15">
        <f>IFERROR(__xludf.DUMMYFUNCTION("""COMPUTED_VALUE"""),1.0)</f>
        <v>1</v>
      </c>
      <c r="R869" s="15" t="str">
        <f>IFERROR(__xludf.DUMMYFUNCTION("""COMPUTED_VALUE"""),"RODO")</f>
        <v>RODO</v>
      </c>
      <c r="S869" s="15" t="str">
        <f>IFERROR(__xludf.DUMMYFUNCTION("""COMPUTED_VALUE"""),"ITN")</f>
        <v>ITN</v>
      </c>
      <c r="T869" s="15" t="str">
        <f>IFERROR(__xludf.DUMMYFUNCTION("""COMPUTED_VALUE"""),"14")</f>
        <v>14</v>
      </c>
      <c r="U869" s="15" t="str">
        <f>IFERROR(__xludf.DUMMYFUNCTION("""COMPUTED_VALUE"""),"266840253 1306086 8177534 comercial j ferreira trifil gyn 14")</f>
        <v>266840253 1306086 8177534 comercial j ferreira trifil gyn 14</v>
      </c>
      <c r="V869" s="15" t="b">
        <f>IFERROR(__xludf.DUMMYFUNCTION("""COMPUTED_VALUE"""),FALSE)</f>
        <v>0</v>
      </c>
    </row>
    <row r="870">
      <c r="A870" s="19">
        <f>IFERROR(__xludf.DUMMYFUNCTION("""COMPUTED_VALUE"""),46304.0)</f>
        <v>46304</v>
      </c>
      <c r="B870" s="19">
        <f>IFERROR(__xludf.DUMMYFUNCTION("""COMPUTED_VALUE"""),46317.0)</f>
        <v>46317</v>
      </c>
      <c r="C870" s="15">
        <f>IFERROR(__xludf.DUMMYFUNCTION("""COMPUTED_VALUE"""),8.0)</f>
        <v>8</v>
      </c>
      <c r="D870" s="15" t="str">
        <f>IFERROR(__xludf.DUMMYFUNCTION("""COMPUTED_VALUE"""),"IGO")</f>
        <v>IGO</v>
      </c>
      <c r="E870" s="15" t="str">
        <f>IFERROR(__xludf.DUMMYFUNCTION("""COMPUTED_VALUE"""),"W J TECIDOS LTDA")</f>
        <v>W J TECIDOS LTDA</v>
      </c>
      <c r="F870" s="15" t="str">
        <f>IFERROR(__xludf.DUMMYFUNCTION("""COMPUTED_VALUE"""),"TRIFIL")</f>
        <v>TRIFIL</v>
      </c>
      <c r="G870" s="15" t="str">
        <f>IFERROR(__xludf.DUMMYFUNCTION("""COMPUTED_VALUE"""),"266840254")</f>
        <v>266840254</v>
      </c>
      <c r="H870" s="15" t="str">
        <f>IFERROR(__xludf.DUMMYFUNCTION("""COMPUTED_VALUE"""),"1306280")</f>
        <v>1306280</v>
      </c>
      <c r="I870" s="15" t="str">
        <f>IFERROR(__xludf.DUMMYFUNCTION("""COMPUTED_VALUE"""),"8177480")</f>
        <v>8177480</v>
      </c>
      <c r="J870" s="15" t="str">
        <f>IFERROR(__xludf.DUMMYFUNCTION("""COMPUTED_VALUE"""),"CIF")</f>
        <v>CIF</v>
      </c>
      <c r="K870" s="15" t="str">
        <f>IFERROR(__xludf.DUMMYFUNCTION("""COMPUTED_VALUE"""),"(sem célula)")</f>
        <v>(sem célula)</v>
      </c>
      <c r="L870" s="15" t="str">
        <f>IFERROR(__xludf.DUMMYFUNCTION("""COMPUTED_VALUE"""),"AUTORIZADO")</f>
        <v>AUTORIZADO</v>
      </c>
      <c r="M870" s="15" t="str">
        <f>IFERROR(__xludf.DUMMYFUNCTION("""COMPUTED_VALUE"""),"NA ORIGEM")</f>
        <v>NA ORIGEM</v>
      </c>
      <c r="N870" s="15" t="str">
        <f>IFERROR(__xludf.DUMMYFUNCTION("""COMPUTED_VALUE"""),"Antes Prazo")</f>
        <v>Antes Prazo</v>
      </c>
      <c r="O870" s="15" t="str">
        <f>IFERROR(__xludf.DUMMYFUNCTION("""COMPUTED_VALUE"""),"B2B")</f>
        <v>B2B</v>
      </c>
      <c r="P870" s="16">
        <f>IFERROR(__xludf.DUMMYFUNCTION("""COMPUTED_VALUE"""),56.59)</f>
        <v>56.59</v>
      </c>
      <c r="Q870" s="15">
        <f>IFERROR(__xludf.DUMMYFUNCTION("""COMPUTED_VALUE"""),1.0)</f>
        <v>1</v>
      </c>
      <c r="R870" s="15" t="str">
        <f>IFERROR(__xludf.DUMMYFUNCTION("""COMPUTED_VALUE"""),"RODO")</f>
        <v>RODO</v>
      </c>
      <c r="S870" s="15" t="str">
        <f>IFERROR(__xludf.DUMMYFUNCTION("""COMPUTED_VALUE"""),"ITN")</f>
        <v>ITN</v>
      </c>
      <c r="T870" s="15" t="str">
        <f>IFERROR(__xludf.DUMMYFUNCTION("""COMPUTED_VALUE"""),"32")</f>
        <v>32</v>
      </c>
      <c r="U870" s="15" t="str">
        <f>IFERROR(__xludf.DUMMYFUNCTION("""COMPUTED_VALUE"""),"266840254 1306280 8177480 w j tecidos ltda trifil igo 32")</f>
        <v>266840254 1306280 8177480 w j tecidos ltda trifil igo 32</v>
      </c>
      <c r="V870" s="15" t="b">
        <f>IFERROR(__xludf.DUMMYFUNCTION("""COMPUTED_VALUE"""),FALSE)</f>
        <v>0</v>
      </c>
    </row>
    <row r="871">
      <c r="A871" s="19">
        <f>IFERROR(__xludf.DUMMYFUNCTION("""COMPUTED_VALUE"""),46304.0)</f>
        <v>46304</v>
      </c>
      <c r="B871" s="19">
        <f>IFERROR(__xludf.DUMMYFUNCTION("""COMPUTED_VALUE"""),46318.0)</f>
        <v>46318</v>
      </c>
      <c r="C871" s="15">
        <f>IFERROR(__xludf.DUMMYFUNCTION("""COMPUTED_VALUE"""),9.0)</f>
        <v>9</v>
      </c>
      <c r="D871" s="15" t="str">
        <f>IFERROR(__xludf.DUMMYFUNCTION("""COMPUTED_VALUE"""),"IGO")</f>
        <v>IGO</v>
      </c>
      <c r="E871" s="15" t="str">
        <f>IFERROR(__xludf.DUMMYFUNCTION("""COMPUTED_VALUE"""),"AMERICO CALÇADOS - INHUMAS")</f>
        <v>AMERICO CALÇADOS - INHUMAS</v>
      </c>
      <c r="F871" s="15" t="str">
        <f>IFERROR(__xludf.DUMMYFUNCTION("""COMPUTED_VALUE"""),"TRIFIL")</f>
        <v>TRIFIL</v>
      </c>
      <c r="G871" s="15" t="str">
        <f>IFERROR(__xludf.DUMMYFUNCTION("""COMPUTED_VALUE"""),"266840256")</f>
        <v>266840256</v>
      </c>
      <c r="H871" s="15" t="str">
        <f>IFERROR(__xludf.DUMMYFUNCTION("""COMPUTED_VALUE"""),"1306302")</f>
        <v>1306302</v>
      </c>
      <c r="I871" s="15" t="str">
        <f>IFERROR(__xludf.DUMMYFUNCTION("""COMPUTED_VALUE"""),"8177481")</f>
        <v>8177481</v>
      </c>
      <c r="J871" s="15" t="str">
        <f>IFERROR(__xludf.DUMMYFUNCTION("""COMPUTED_VALUE"""),"CIF")</f>
        <v>CIF</v>
      </c>
      <c r="K871" s="15" t="str">
        <f>IFERROR(__xludf.DUMMYFUNCTION("""COMPUTED_VALUE"""),"(sem célula)")</f>
        <v>(sem célula)</v>
      </c>
      <c r="L871" s="15" t="str">
        <f>IFERROR(__xludf.DUMMYFUNCTION("""COMPUTED_VALUE"""),"AUTORIZADO")</f>
        <v>AUTORIZADO</v>
      </c>
      <c r="M871" s="15" t="str">
        <f>IFERROR(__xludf.DUMMYFUNCTION("""COMPUTED_VALUE"""),"NA ORIGEM")</f>
        <v>NA ORIGEM</v>
      </c>
      <c r="N871" s="15" t="str">
        <f>IFERROR(__xludf.DUMMYFUNCTION("""COMPUTED_VALUE"""),"Antes Prazo")</f>
        <v>Antes Prazo</v>
      </c>
      <c r="O871" s="15" t="str">
        <f>IFERROR(__xludf.DUMMYFUNCTION("""COMPUTED_VALUE"""),"B2B")</f>
        <v>B2B</v>
      </c>
      <c r="P871" s="16">
        <f>IFERROR(__xludf.DUMMYFUNCTION("""COMPUTED_VALUE"""),56.59)</f>
        <v>56.59</v>
      </c>
      <c r="Q871" s="15">
        <f>IFERROR(__xludf.DUMMYFUNCTION("""COMPUTED_VALUE"""),1.0)</f>
        <v>1</v>
      </c>
      <c r="R871" s="15" t="str">
        <f>IFERROR(__xludf.DUMMYFUNCTION("""COMPUTED_VALUE"""),"RODO")</f>
        <v>RODO</v>
      </c>
      <c r="S871" s="15" t="str">
        <f>IFERROR(__xludf.DUMMYFUNCTION("""COMPUTED_VALUE"""),"ITN")</f>
        <v>ITN</v>
      </c>
      <c r="T871" s="15" t="str">
        <f>IFERROR(__xludf.DUMMYFUNCTION("""COMPUTED_VALUE"""),"320")</f>
        <v>320</v>
      </c>
      <c r="U871" s="15" t="str">
        <f>IFERROR(__xludf.DUMMYFUNCTION("""COMPUTED_VALUE"""),"266840256 1306302 8177481 americo calçados - inhumas trifil igo 320")</f>
        <v>266840256 1306302 8177481 americo calçados - inhumas trifil igo 320</v>
      </c>
      <c r="V871" s="15" t="b">
        <f>IFERROR(__xludf.DUMMYFUNCTION("""COMPUTED_VALUE"""),FALSE)</f>
        <v>0</v>
      </c>
    </row>
    <row r="872">
      <c r="A872" s="19">
        <f>IFERROR(__xludf.DUMMYFUNCTION("""COMPUTED_VALUE"""),46304.0)</f>
        <v>46304</v>
      </c>
      <c r="B872" s="19">
        <f>IFERROR(__xludf.DUMMYFUNCTION("""COMPUTED_VALUE"""),46321.0)</f>
        <v>46321</v>
      </c>
      <c r="C872" s="15">
        <f>IFERROR(__xludf.DUMMYFUNCTION("""COMPUTED_VALUE"""),10.0)</f>
        <v>10</v>
      </c>
      <c r="D872" s="15" t="str">
        <f>IFERROR(__xludf.DUMMYFUNCTION("""COMPUTED_VALUE"""),"IGO")</f>
        <v>IGO</v>
      </c>
      <c r="E872" s="15" t="str">
        <f>IFERROR(__xludf.DUMMYFUNCTION("""COMPUTED_VALUE"""),"TERRA NOVA CALÇADOS LTDA")</f>
        <v>TERRA NOVA CALÇADOS LTDA</v>
      </c>
      <c r="F872" s="15" t="str">
        <f>IFERROR(__xludf.DUMMYFUNCTION("""COMPUTED_VALUE"""),"TRIFIL")</f>
        <v>TRIFIL</v>
      </c>
      <c r="G872" s="15" t="str">
        <f>IFERROR(__xludf.DUMMYFUNCTION("""COMPUTED_VALUE"""),"266840257")</f>
        <v>266840257</v>
      </c>
      <c r="H872" s="15" t="str">
        <f>IFERROR(__xludf.DUMMYFUNCTION("""COMPUTED_VALUE"""),"1306475")</f>
        <v>1306475</v>
      </c>
      <c r="I872" s="15" t="str">
        <f>IFERROR(__xludf.DUMMYFUNCTION("""COMPUTED_VALUE"""),"8177454")</f>
        <v>8177454</v>
      </c>
      <c r="J872" s="15" t="str">
        <f>IFERROR(__xludf.DUMMYFUNCTION("""COMPUTED_VALUE"""),"CIF")</f>
        <v>CIF</v>
      </c>
      <c r="K872" s="15" t="str">
        <f>IFERROR(__xludf.DUMMYFUNCTION("""COMPUTED_VALUE"""),"(sem célula)")</f>
        <v>(sem célula)</v>
      </c>
      <c r="L872" s="15" t="str">
        <f>IFERROR(__xludf.DUMMYFUNCTION("""COMPUTED_VALUE"""),"AUTORIZADO")</f>
        <v>AUTORIZADO</v>
      </c>
      <c r="M872" s="15" t="str">
        <f>IFERROR(__xludf.DUMMYFUNCTION("""COMPUTED_VALUE"""),"NA ORIGEM")</f>
        <v>NA ORIGEM</v>
      </c>
      <c r="N872" s="15" t="str">
        <f>IFERROR(__xludf.DUMMYFUNCTION("""COMPUTED_VALUE"""),"Antes Prazo")</f>
        <v>Antes Prazo</v>
      </c>
      <c r="O872" s="15" t="str">
        <f>IFERROR(__xludf.DUMMYFUNCTION("""COMPUTED_VALUE"""),"B2B")</f>
        <v>B2B</v>
      </c>
      <c r="P872" s="16">
        <f>IFERROR(__xludf.DUMMYFUNCTION("""COMPUTED_VALUE"""),63.12)</f>
        <v>63.12</v>
      </c>
      <c r="Q872" s="15">
        <f>IFERROR(__xludf.DUMMYFUNCTION("""COMPUTED_VALUE"""),1.0)</f>
        <v>1</v>
      </c>
      <c r="R872" s="15" t="str">
        <f>IFERROR(__xludf.DUMMYFUNCTION("""COMPUTED_VALUE"""),"RODO")</f>
        <v>RODO</v>
      </c>
      <c r="S872" s="15" t="str">
        <f>IFERROR(__xludf.DUMMYFUNCTION("""COMPUTED_VALUE"""),"ITN")</f>
        <v>ITN</v>
      </c>
      <c r="T872" s="15" t="str">
        <f>IFERROR(__xludf.DUMMYFUNCTION("""COMPUTED_VALUE"""),"390")</f>
        <v>390</v>
      </c>
      <c r="U872" s="15" t="str">
        <f>IFERROR(__xludf.DUMMYFUNCTION("""COMPUTED_VALUE"""),"266840257 1306475 8177454 terra nova calçados ltda trifil igo 390")</f>
        <v>266840257 1306475 8177454 terra nova calçados ltda trifil igo 390</v>
      </c>
      <c r="V872" s="15" t="b">
        <f>IFERROR(__xludf.DUMMYFUNCTION("""COMPUTED_VALUE"""),FALSE)</f>
        <v>0</v>
      </c>
    </row>
    <row r="873">
      <c r="A873" s="19">
        <f>IFERROR(__xludf.DUMMYFUNCTION("""COMPUTED_VALUE"""),46304.0)</f>
        <v>46304</v>
      </c>
      <c r="B873" s="19">
        <f>IFERROR(__xludf.DUMMYFUNCTION("""COMPUTED_VALUE"""),46322.0)</f>
        <v>46322</v>
      </c>
      <c r="C873" s="15">
        <f>IFERROR(__xludf.DUMMYFUNCTION("""COMPUTED_VALUE"""),11.0)</f>
        <v>11</v>
      </c>
      <c r="D873" s="15" t="str">
        <f>IFERROR(__xludf.DUMMYFUNCTION("""COMPUTED_VALUE"""),"RVD")</f>
        <v>RVD</v>
      </c>
      <c r="E873" s="15" t="str">
        <f>IFERROR(__xludf.DUMMYFUNCTION("""COMPUTED_VALUE"""),"ELITE CALCADOS")</f>
        <v>ELITE CALCADOS</v>
      </c>
      <c r="F873" s="15" t="str">
        <f>IFERROR(__xludf.DUMMYFUNCTION("""COMPUTED_VALUE"""),"TRIFIL")</f>
        <v>TRIFIL</v>
      </c>
      <c r="G873" s="15" t="str">
        <f>IFERROR(__xludf.DUMMYFUNCTION("""COMPUTED_VALUE"""),"266840258")</f>
        <v>266840258</v>
      </c>
      <c r="H873" s="15" t="str">
        <f>IFERROR(__xludf.DUMMYFUNCTION("""COMPUTED_VALUE"""),"1306466")</f>
        <v>1306466</v>
      </c>
      <c r="I873" s="15" t="str">
        <f>IFERROR(__xludf.DUMMYFUNCTION("""COMPUTED_VALUE"""),"8177535")</f>
        <v>8177535</v>
      </c>
      <c r="J873" s="15" t="str">
        <f>IFERROR(__xludf.DUMMYFUNCTION("""COMPUTED_VALUE"""),"CIF")</f>
        <v>CIF</v>
      </c>
      <c r="K873" s="15" t="str">
        <f>IFERROR(__xludf.DUMMYFUNCTION("""COMPUTED_VALUE"""),"(sem célula)")</f>
        <v>(sem célula)</v>
      </c>
      <c r="L873" s="15" t="str">
        <f>IFERROR(__xludf.DUMMYFUNCTION("""COMPUTED_VALUE"""),"AUTORIZADO")</f>
        <v>AUTORIZADO</v>
      </c>
      <c r="M873" s="15" t="str">
        <f>IFERROR(__xludf.DUMMYFUNCTION("""COMPUTED_VALUE"""),"NA ORIGEM")</f>
        <v>NA ORIGEM</v>
      </c>
      <c r="N873" s="15" t="str">
        <f>IFERROR(__xludf.DUMMYFUNCTION("""COMPUTED_VALUE"""),"Antes Prazo")</f>
        <v>Antes Prazo</v>
      </c>
      <c r="O873" s="15" t="str">
        <f>IFERROR(__xludf.DUMMYFUNCTION("""COMPUTED_VALUE"""),"B2B")</f>
        <v>B2B</v>
      </c>
      <c r="P873" s="16">
        <f>IFERROR(__xludf.DUMMYFUNCTION("""COMPUTED_VALUE"""),63.12)</f>
        <v>63.12</v>
      </c>
      <c r="Q873" s="15">
        <f>IFERROR(__xludf.DUMMYFUNCTION("""COMPUTED_VALUE"""),1.0)</f>
        <v>1</v>
      </c>
      <c r="R873" s="15" t="str">
        <f>IFERROR(__xludf.DUMMYFUNCTION("""COMPUTED_VALUE"""),"RODO")</f>
        <v>RODO</v>
      </c>
      <c r="S873" s="15" t="str">
        <f>IFERROR(__xludf.DUMMYFUNCTION("""COMPUTED_VALUE"""),"ITN")</f>
        <v>ITN</v>
      </c>
      <c r="T873" s="15" t="str">
        <f>IFERROR(__xludf.DUMMYFUNCTION("""COMPUTED_VALUE"""),"102")</f>
        <v>102</v>
      </c>
      <c r="U873" s="15" t="str">
        <f>IFERROR(__xludf.DUMMYFUNCTION("""COMPUTED_VALUE"""),"266840258 1306466 8177535 elite calcados trifil rvd 102")</f>
        <v>266840258 1306466 8177535 elite calcados trifil rvd 102</v>
      </c>
      <c r="V873" s="15" t="b">
        <f>IFERROR(__xludf.DUMMYFUNCTION("""COMPUTED_VALUE"""),FALSE)</f>
        <v>0</v>
      </c>
    </row>
    <row r="874">
      <c r="A874" s="19">
        <f>IFERROR(__xludf.DUMMYFUNCTION("""COMPUTED_VALUE"""),46304.0)</f>
        <v>46304</v>
      </c>
      <c r="B874" s="19">
        <f>IFERROR(__xludf.DUMMYFUNCTION("""COMPUTED_VALUE"""),46324.0)</f>
        <v>46324</v>
      </c>
      <c r="C874" s="15">
        <f>IFERROR(__xludf.DUMMYFUNCTION("""COMPUTED_VALUE"""),13.0)</f>
        <v>13</v>
      </c>
      <c r="D874" s="15" t="str">
        <f>IFERROR(__xludf.DUMMYFUNCTION("""COMPUTED_VALUE"""),"RVD")</f>
        <v>RVD</v>
      </c>
      <c r="E874" s="15" t="str">
        <f>IFERROR(__xludf.DUMMYFUNCTION("""COMPUTED_VALUE"""),"MAGAZINE ARAGUAIA LTDA - ME")</f>
        <v>MAGAZINE ARAGUAIA LTDA - ME</v>
      </c>
      <c r="F874" s="15" t="str">
        <f>IFERROR(__xludf.DUMMYFUNCTION("""COMPUTED_VALUE"""),"TRIFIL")</f>
        <v>TRIFIL</v>
      </c>
      <c r="G874" s="15" t="str">
        <f>IFERROR(__xludf.DUMMYFUNCTION("""COMPUTED_VALUE"""),"266840260")</f>
        <v>266840260</v>
      </c>
      <c r="H874" s="15" t="str">
        <f>IFERROR(__xludf.DUMMYFUNCTION("""COMPUTED_VALUE"""),"1306239")</f>
        <v>1306239</v>
      </c>
      <c r="I874" s="15" t="str">
        <f>IFERROR(__xludf.DUMMYFUNCTION("""COMPUTED_VALUE"""),"8177536")</f>
        <v>8177536</v>
      </c>
      <c r="J874" s="15" t="str">
        <f>IFERROR(__xludf.DUMMYFUNCTION("""COMPUTED_VALUE"""),"CIF")</f>
        <v>CIF</v>
      </c>
      <c r="K874" s="15" t="str">
        <f>IFERROR(__xludf.DUMMYFUNCTION("""COMPUTED_VALUE"""),"SAO-1")</f>
        <v>SAO-1</v>
      </c>
      <c r="L874" s="15" t="str">
        <f>IFERROR(__xludf.DUMMYFUNCTION("""COMPUTED_VALUE"""),"AUTORIZADO")</f>
        <v>AUTORIZADO</v>
      </c>
      <c r="M874" s="15" t="str">
        <f>IFERROR(__xludf.DUMMYFUNCTION("""COMPUTED_VALUE"""),"NA ORIGEM")</f>
        <v>NA ORIGEM</v>
      </c>
      <c r="N874" s="15" t="str">
        <f>IFERROR(__xludf.DUMMYFUNCTION("""COMPUTED_VALUE"""),"Antes Prazo")</f>
        <v>Antes Prazo</v>
      </c>
      <c r="O874" s="15" t="str">
        <f>IFERROR(__xludf.DUMMYFUNCTION("""COMPUTED_VALUE"""),"B2B")</f>
        <v>B2B</v>
      </c>
      <c r="P874" s="16">
        <f>IFERROR(__xludf.DUMMYFUNCTION("""COMPUTED_VALUE"""),63.12)</f>
        <v>63.12</v>
      </c>
      <c r="Q874" s="15">
        <f>IFERROR(__xludf.DUMMYFUNCTION("""COMPUTED_VALUE"""),1.0)</f>
        <v>1</v>
      </c>
      <c r="R874" s="15" t="str">
        <f>IFERROR(__xludf.DUMMYFUNCTION("""COMPUTED_VALUE"""),"RODO")</f>
        <v>RODO</v>
      </c>
      <c r="S874" s="15" t="str">
        <f>IFERROR(__xludf.DUMMYFUNCTION("""COMPUTED_VALUE"""),"ITN")</f>
        <v>ITN</v>
      </c>
      <c r="T874" s="15" t="str">
        <f>IFERROR(__xludf.DUMMYFUNCTION("""COMPUTED_VALUE"""),"107")</f>
        <v>107</v>
      </c>
      <c r="U874" s="15" t="str">
        <f>IFERROR(__xludf.DUMMYFUNCTION("""COMPUTED_VALUE"""),"266840260 1306239 8177536 magazine araguaia ltda - me trifil rvd 107")</f>
        <v>266840260 1306239 8177536 magazine araguaia ltda - me trifil rvd 107</v>
      </c>
      <c r="V874" s="15" t="b">
        <f>IFERROR(__xludf.DUMMYFUNCTION("""COMPUTED_VALUE"""),FALSE)</f>
        <v>0</v>
      </c>
    </row>
    <row r="875">
      <c r="A875" s="19">
        <f>IFERROR(__xludf.DUMMYFUNCTION("""COMPUTED_VALUE"""),46304.0)</f>
        <v>46304</v>
      </c>
      <c r="B875" s="19">
        <f>IFERROR(__xludf.DUMMYFUNCTION("""COMPUTED_VALUE"""),46324.0)</f>
        <v>46324</v>
      </c>
      <c r="C875" s="15">
        <f>IFERROR(__xludf.DUMMYFUNCTION("""COMPUTED_VALUE"""),13.0)</f>
        <v>13</v>
      </c>
      <c r="D875" s="15" t="str">
        <f>IFERROR(__xludf.DUMMYFUNCTION("""COMPUTED_VALUE"""),"RVD")</f>
        <v>RVD</v>
      </c>
      <c r="E875" s="15" t="str">
        <f>IFERROR(__xludf.DUMMYFUNCTION("""COMPUTED_VALUE"""),"LOJAS ECONOMICA")</f>
        <v>LOJAS ECONOMICA</v>
      </c>
      <c r="F875" s="15" t="str">
        <f>IFERROR(__xludf.DUMMYFUNCTION("""COMPUTED_VALUE"""),"TRIFIL")</f>
        <v>TRIFIL</v>
      </c>
      <c r="G875" s="15" t="str">
        <f>IFERROR(__xludf.DUMMYFUNCTION("""COMPUTED_VALUE"""),"266840261")</f>
        <v>266840261</v>
      </c>
      <c r="H875" s="15" t="str">
        <f>IFERROR(__xludf.DUMMYFUNCTION("""COMPUTED_VALUE"""),"1306368")</f>
        <v>1306368</v>
      </c>
      <c r="I875" s="15" t="str">
        <f>IFERROR(__xludf.DUMMYFUNCTION("""COMPUTED_VALUE"""),"8177482")</f>
        <v>8177482</v>
      </c>
      <c r="J875" s="15" t="str">
        <f>IFERROR(__xludf.DUMMYFUNCTION("""COMPUTED_VALUE"""),"CIF")</f>
        <v>CIF</v>
      </c>
      <c r="K875" s="15" t="str">
        <f>IFERROR(__xludf.DUMMYFUNCTION("""COMPUTED_VALUE"""),"(sem célula)")</f>
        <v>(sem célula)</v>
      </c>
      <c r="L875" s="15" t="str">
        <f>IFERROR(__xludf.DUMMYFUNCTION("""COMPUTED_VALUE"""),"AUTORIZADO")</f>
        <v>AUTORIZADO</v>
      </c>
      <c r="M875" s="15" t="str">
        <f>IFERROR(__xludf.DUMMYFUNCTION("""COMPUTED_VALUE"""),"NA ORIGEM")</f>
        <v>NA ORIGEM</v>
      </c>
      <c r="N875" s="15" t="str">
        <f>IFERROR(__xludf.DUMMYFUNCTION("""COMPUTED_VALUE"""),"Antes Prazo")</f>
        <v>Antes Prazo</v>
      </c>
      <c r="O875" s="15" t="str">
        <f>IFERROR(__xludf.DUMMYFUNCTION("""COMPUTED_VALUE"""),"B2B")</f>
        <v>B2B</v>
      </c>
      <c r="P875" s="16">
        <f>IFERROR(__xludf.DUMMYFUNCTION("""COMPUTED_VALUE"""),63.12)</f>
        <v>63.12</v>
      </c>
      <c r="Q875" s="15">
        <f>IFERROR(__xludf.DUMMYFUNCTION("""COMPUTED_VALUE"""),1.0)</f>
        <v>1</v>
      </c>
      <c r="R875" s="15" t="str">
        <f>IFERROR(__xludf.DUMMYFUNCTION("""COMPUTED_VALUE"""),"RODO")</f>
        <v>RODO</v>
      </c>
      <c r="S875" s="15" t="str">
        <f>IFERROR(__xludf.DUMMYFUNCTION("""COMPUTED_VALUE"""),"ITN")</f>
        <v>ITN</v>
      </c>
      <c r="T875" s="15" t="str">
        <f>IFERROR(__xludf.DUMMYFUNCTION("""COMPUTED_VALUE"""),"103")</f>
        <v>103</v>
      </c>
      <c r="U875" s="15" t="str">
        <f>IFERROR(__xludf.DUMMYFUNCTION("""COMPUTED_VALUE"""),"266840261 1306368 8177482 lojas economica trifil rvd 103")</f>
        <v>266840261 1306368 8177482 lojas economica trifil rvd 103</v>
      </c>
      <c r="V875" s="15" t="b">
        <f>IFERROR(__xludf.DUMMYFUNCTION("""COMPUTED_VALUE"""),FALSE)</f>
        <v>0</v>
      </c>
    </row>
    <row r="876">
      <c r="A876" s="19">
        <f>IFERROR(__xludf.DUMMYFUNCTION("""COMPUTED_VALUE"""),46304.0)</f>
        <v>46304</v>
      </c>
      <c r="B876" s="19">
        <f>IFERROR(__xludf.DUMMYFUNCTION("""COMPUTED_VALUE"""),46321.0)</f>
        <v>46321</v>
      </c>
      <c r="C876" s="15">
        <f>IFERROR(__xludf.DUMMYFUNCTION("""COMPUTED_VALUE"""),10.0)</f>
        <v>10</v>
      </c>
      <c r="D876" s="15" t="str">
        <f>IFERROR(__xludf.DUMMYFUNCTION("""COMPUTED_VALUE"""),"IGO")</f>
        <v>IGO</v>
      </c>
      <c r="E876" s="15" t="str">
        <f>IFERROR(__xludf.DUMMYFUNCTION("""COMPUTED_VALUE"""),"RAVELI TECIDOS LTDA - EPP")</f>
        <v>RAVELI TECIDOS LTDA - EPP</v>
      </c>
      <c r="F876" s="15" t="str">
        <f>IFERROR(__xludf.DUMMYFUNCTION("""COMPUTED_VALUE"""),"TRIFIL")</f>
        <v>TRIFIL</v>
      </c>
      <c r="G876" s="15" t="str">
        <f>IFERROR(__xludf.DUMMYFUNCTION("""COMPUTED_VALUE"""),"266840262")</f>
        <v>266840262</v>
      </c>
      <c r="H876" s="15" t="str">
        <f>IFERROR(__xludf.DUMMYFUNCTION("""COMPUTED_VALUE"""),"1306204")</f>
        <v>1306204</v>
      </c>
      <c r="I876" s="15" t="str">
        <f>IFERROR(__xludf.DUMMYFUNCTION("""COMPUTED_VALUE"""),"8177537")</f>
        <v>8177537</v>
      </c>
      <c r="J876" s="15" t="str">
        <f>IFERROR(__xludf.DUMMYFUNCTION("""COMPUTED_VALUE"""),"CIF")</f>
        <v>CIF</v>
      </c>
      <c r="K876" s="15" t="str">
        <f>IFERROR(__xludf.DUMMYFUNCTION("""COMPUTED_VALUE"""),"(sem célula)")</f>
        <v>(sem célula)</v>
      </c>
      <c r="L876" s="15" t="str">
        <f>IFERROR(__xludf.DUMMYFUNCTION("""COMPUTED_VALUE"""),"AUTORIZADO")</f>
        <v>AUTORIZADO</v>
      </c>
      <c r="M876" s="15" t="str">
        <f>IFERROR(__xludf.DUMMYFUNCTION("""COMPUTED_VALUE"""),"NA ORIGEM")</f>
        <v>NA ORIGEM</v>
      </c>
      <c r="N876" s="15" t="str">
        <f>IFERROR(__xludf.DUMMYFUNCTION("""COMPUTED_VALUE"""),"Antes Prazo")</f>
        <v>Antes Prazo</v>
      </c>
      <c r="O876" s="15" t="str">
        <f>IFERROR(__xludf.DUMMYFUNCTION("""COMPUTED_VALUE"""),"B2B")</f>
        <v>B2B</v>
      </c>
      <c r="P876" s="16">
        <f>IFERROR(__xludf.DUMMYFUNCTION("""COMPUTED_VALUE"""),63.12)</f>
        <v>63.12</v>
      </c>
      <c r="Q876" s="15">
        <f>IFERROR(__xludf.DUMMYFUNCTION("""COMPUTED_VALUE"""),1.0)</f>
        <v>1</v>
      </c>
      <c r="R876" s="15" t="str">
        <f>IFERROR(__xludf.DUMMYFUNCTION("""COMPUTED_VALUE"""),"RODO")</f>
        <v>RODO</v>
      </c>
      <c r="S876" s="15" t="str">
        <f>IFERROR(__xludf.DUMMYFUNCTION("""COMPUTED_VALUE"""),"ITN")</f>
        <v>ITN</v>
      </c>
      <c r="T876" s="15" t="str">
        <f>IFERROR(__xludf.DUMMYFUNCTION("""COMPUTED_VALUE"""),"320")</f>
        <v>320</v>
      </c>
      <c r="U876" s="15" t="str">
        <f>IFERROR(__xludf.DUMMYFUNCTION("""COMPUTED_VALUE"""),"266840262 1306204 8177537 raveli tecidos ltda - epp trifil igo 320")</f>
        <v>266840262 1306204 8177537 raveli tecidos ltda - epp trifil igo 320</v>
      </c>
      <c r="V876" s="15" t="b">
        <f>IFERROR(__xludf.DUMMYFUNCTION("""COMPUTED_VALUE"""),FALSE)</f>
        <v>0</v>
      </c>
    </row>
    <row r="877">
      <c r="A877" s="19">
        <f>IFERROR(__xludf.DUMMYFUNCTION("""COMPUTED_VALUE"""),46304.0)</f>
        <v>46304</v>
      </c>
      <c r="B877" s="19">
        <f>IFERROR(__xludf.DUMMYFUNCTION("""COMPUTED_VALUE"""),46322.0)</f>
        <v>46322</v>
      </c>
      <c r="C877" s="15">
        <f>IFERROR(__xludf.DUMMYFUNCTION("""COMPUTED_VALUE"""),11.0)</f>
        <v>11</v>
      </c>
      <c r="D877" s="15" t="str">
        <f>IFERROR(__xludf.DUMMYFUNCTION("""COMPUTED_VALUE"""),"IGO")</f>
        <v>IGO</v>
      </c>
      <c r="E877" s="15" t="str">
        <f>IFERROR(__xludf.DUMMYFUNCTION("""COMPUTED_VALUE"""),"WELINGTON LUIZ PINTO ME(0001014590)")</f>
        <v>WELINGTON LUIZ PINTO ME(0001014590)</v>
      </c>
      <c r="F877" s="15" t="str">
        <f>IFERROR(__xludf.DUMMYFUNCTION("""COMPUTED_VALUE"""),"TRIFIL")</f>
        <v>TRIFIL</v>
      </c>
      <c r="G877" s="15" t="str">
        <f>IFERROR(__xludf.DUMMYFUNCTION("""COMPUTED_VALUE"""),"266840264")</f>
        <v>266840264</v>
      </c>
      <c r="H877" s="15" t="str">
        <f>IFERROR(__xludf.DUMMYFUNCTION("""COMPUTED_VALUE"""),"1306324")</f>
        <v>1306324</v>
      </c>
      <c r="I877" s="15" t="str">
        <f>IFERROR(__xludf.DUMMYFUNCTION("""COMPUTED_VALUE"""),"8177455")</f>
        <v>8177455</v>
      </c>
      <c r="J877" s="15" t="str">
        <f>IFERROR(__xludf.DUMMYFUNCTION("""COMPUTED_VALUE"""),"CIF")</f>
        <v>CIF</v>
      </c>
      <c r="K877" s="15" t="str">
        <f>IFERROR(__xludf.DUMMYFUNCTION("""COMPUTED_VALUE"""),"(sem célula)")</f>
        <v>(sem célula)</v>
      </c>
      <c r="L877" s="15" t="str">
        <f>IFERROR(__xludf.DUMMYFUNCTION("""COMPUTED_VALUE"""),"AUTORIZADO")</f>
        <v>AUTORIZADO</v>
      </c>
      <c r="M877" s="15" t="str">
        <f>IFERROR(__xludf.DUMMYFUNCTION("""COMPUTED_VALUE"""),"NA ORIGEM")</f>
        <v>NA ORIGEM</v>
      </c>
      <c r="N877" s="15" t="str">
        <f>IFERROR(__xludf.DUMMYFUNCTION("""COMPUTED_VALUE"""),"Antes Prazo")</f>
        <v>Antes Prazo</v>
      </c>
      <c r="O877" s="15" t="str">
        <f>IFERROR(__xludf.DUMMYFUNCTION("""COMPUTED_VALUE"""),"B2B")</f>
        <v>B2B</v>
      </c>
      <c r="P877" s="16">
        <f>IFERROR(__xludf.DUMMYFUNCTION("""COMPUTED_VALUE"""),63.12)</f>
        <v>63.12</v>
      </c>
      <c r="Q877" s="15">
        <f>IFERROR(__xludf.DUMMYFUNCTION("""COMPUTED_VALUE"""),1.0)</f>
        <v>1</v>
      </c>
      <c r="R877" s="15" t="str">
        <f>IFERROR(__xludf.DUMMYFUNCTION("""COMPUTED_VALUE"""),"RODO")</f>
        <v>RODO</v>
      </c>
      <c r="S877" s="15" t="str">
        <f>IFERROR(__xludf.DUMMYFUNCTION("""COMPUTED_VALUE"""),"ITN")</f>
        <v>ITN</v>
      </c>
      <c r="T877" s="15" t="str">
        <f>IFERROR(__xludf.DUMMYFUNCTION("""COMPUTED_VALUE"""),"340")</f>
        <v>340</v>
      </c>
      <c r="U877" s="15" t="str">
        <f>IFERROR(__xludf.DUMMYFUNCTION("""COMPUTED_VALUE"""),"266840264 1306324 8177455 welington luiz pinto me(0001014590) trifil igo 340")</f>
        <v>266840264 1306324 8177455 welington luiz pinto me(0001014590) trifil igo 340</v>
      </c>
      <c r="V877" s="15" t="b">
        <f>IFERROR(__xludf.DUMMYFUNCTION("""COMPUTED_VALUE"""),FALSE)</f>
        <v>0</v>
      </c>
    </row>
    <row r="878">
      <c r="A878" s="19">
        <f>IFERROR(__xludf.DUMMYFUNCTION("""COMPUTED_VALUE"""),46304.0)</f>
        <v>46304</v>
      </c>
      <c r="B878" s="19">
        <f>IFERROR(__xludf.DUMMYFUNCTION("""COMPUTED_VALUE"""),46342.0)</f>
        <v>46342</v>
      </c>
      <c r="C878" s="15">
        <f>IFERROR(__xludf.DUMMYFUNCTION("""COMPUTED_VALUE"""),24.0)</f>
        <v>24</v>
      </c>
      <c r="D878" s="15" t="str">
        <f>IFERROR(__xludf.DUMMYFUNCTION("""COMPUTED_VALUE"""),"JPR")</f>
        <v>JPR</v>
      </c>
      <c r="E878" s="15" t="str">
        <f>IFERROR(__xludf.DUMMYFUNCTION("""COMPUTED_VALUE"""),"AMERICANA MODAS")</f>
        <v>AMERICANA MODAS</v>
      </c>
      <c r="F878" s="15" t="str">
        <f>IFERROR(__xludf.DUMMYFUNCTION("""COMPUTED_VALUE"""),"TRIFIL")</f>
        <v>TRIFIL</v>
      </c>
      <c r="G878" s="15" t="str">
        <f>IFERROR(__xludf.DUMMYFUNCTION("""COMPUTED_VALUE"""),"266840265")</f>
        <v>266840265</v>
      </c>
      <c r="H878" s="15" t="str">
        <f>IFERROR(__xludf.DUMMYFUNCTION("""COMPUTED_VALUE"""),"1306219")</f>
        <v>1306219</v>
      </c>
      <c r="I878" s="15" t="str">
        <f>IFERROR(__xludf.DUMMYFUNCTION("""COMPUTED_VALUE"""),"8177432")</f>
        <v>8177432</v>
      </c>
      <c r="J878" s="15" t="str">
        <f>IFERROR(__xludf.DUMMYFUNCTION("""COMPUTED_VALUE"""),"CIF")</f>
        <v>CIF</v>
      </c>
      <c r="K878" s="15" t="str">
        <f>IFERROR(__xludf.DUMMYFUNCTION("""COMPUTED_VALUE"""),"(sem célula)")</f>
        <v>(sem célula)</v>
      </c>
      <c r="L878" s="15" t="str">
        <f>IFERROR(__xludf.DUMMYFUNCTION("""COMPUTED_VALUE"""),"AUTORIZADO")</f>
        <v>AUTORIZADO</v>
      </c>
      <c r="M878" s="15" t="str">
        <f>IFERROR(__xludf.DUMMYFUNCTION("""COMPUTED_VALUE"""),"NA ORIGEM")</f>
        <v>NA ORIGEM</v>
      </c>
      <c r="N878" s="15" t="str">
        <f>IFERROR(__xludf.DUMMYFUNCTION("""COMPUTED_VALUE"""),"Antes Prazo")</f>
        <v>Antes Prazo</v>
      </c>
      <c r="O878" s="15" t="str">
        <f>IFERROR(__xludf.DUMMYFUNCTION("""COMPUTED_VALUE"""),"B2B")</f>
        <v>B2B</v>
      </c>
      <c r="P878" s="16">
        <f>IFERROR(__xludf.DUMMYFUNCTION("""COMPUTED_VALUE"""),119.2)</f>
        <v>119.2</v>
      </c>
      <c r="Q878" s="15">
        <f>IFERROR(__xludf.DUMMYFUNCTION("""COMPUTED_VALUE"""),1.0)</f>
        <v>1</v>
      </c>
      <c r="R878" s="15" t="str">
        <f>IFERROR(__xludf.DUMMYFUNCTION("""COMPUTED_VALUE"""),"RODO")</f>
        <v>RODO</v>
      </c>
      <c r="S878" s="15" t="str">
        <f>IFERROR(__xludf.DUMMYFUNCTION("""COMPUTED_VALUE"""),"ITN")</f>
        <v>ITN</v>
      </c>
      <c r="T878" s="15" t="str">
        <f>IFERROR(__xludf.DUMMYFUNCTION("""COMPUTED_VALUE"""),"1")</f>
        <v>1</v>
      </c>
      <c r="U878" s="15" t="str">
        <f>IFERROR(__xludf.DUMMYFUNCTION("""COMPUTED_VALUE"""),"266840265 1306219 8177432 americana modas trifil jpr 1")</f>
        <v>266840265 1306219 8177432 americana modas trifil jpr 1</v>
      </c>
      <c r="V878" s="15" t="b">
        <f>IFERROR(__xludf.DUMMYFUNCTION("""COMPUTED_VALUE"""),FALSE)</f>
        <v>0</v>
      </c>
    </row>
    <row r="879">
      <c r="A879" s="19">
        <f>IFERROR(__xludf.DUMMYFUNCTION("""COMPUTED_VALUE"""),46304.0)</f>
        <v>46304</v>
      </c>
      <c r="B879" s="19">
        <f>IFERROR(__xludf.DUMMYFUNCTION("""COMPUTED_VALUE"""),46342.0)</f>
        <v>46342</v>
      </c>
      <c r="C879" s="15">
        <f>IFERROR(__xludf.DUMMYFUNCTION("""COMPUTED_VALUE"""),24.0)</f>
        <v>24</v>
      </c>
      <c r="D879" s="15" t="str">
        <f>IFERROR(__xludf.DUMMYFUNCTION("""COMPUTED_VALUE"""),"JPR")</f>
        <v>JPR</v>
      </c>
      <c r="E879" s="15" t="str">
        <f>IFERROR(__xludf.DUMMYFUNCTION("""COMPUTED_VALUE"""),"ENI DE OLIVEIRA TEIXEIRA ME")</f>
        <v>ENI DE OLIVEIRA TEIXEIRA ME</v>
      </c>
      <c r="F879" s="15" t="str">
        <f>IFERROR(__xludf.DUMMYFUNCTION("""COMPUTED_VALUE"""),"TRIFIL")</f>
        <v>TRIFIL</v>
      </c>
      <c r="G879" s="15" t="str">
        <f>IFERROR(__xludf.DUMMYFUNCTION("""COMPUTED_VALUE"""),"266840267")</f>
        <v>266840267</v>
      </c>
      <c r="H879" s="15" t="str">
        <f>IFERROR(__xludf.DUMMYFUNCTION("""COMPUTED_VALUE"""),"1306441")</f>
        <v>1306441</v>
      </c>
      <c r="I879" s="15" t="str">
        <f>IFERROR(__xludf.DUMMYFUNCTION("""COMPUTED_VALUE"""),"8177456")</f>
        <v>8177456</v>
      </c>
      <c r="J879" s="15" t="str">
        <f>IFERROR(__xludf.DUMMYFUNCTION("""COMPUTED_VALUE"""),"CIF")</f>
        <v>CIF</v>
      </c>
      <c r="K879" s="15" t="str">
        <f>IFERROR(__xludf.DUMMYFUNCTION("""COMPUTED_VALUE"""),"(sem célula)")</f>
        <v>(sem célula)</v>
      </c>
      <c r="L879" s="15" t="str">
        <f>IFERROR(__xludf.DUMMYFUNCTION("""COMPUTED_VALUE"""),"AUTORIZADO")</f>
        <v>AUTORIZADO</v>
      </c>
      <c r="M879" s="15" t="str">
        <f>IFERROR(__xludf.DUMMYFUNCTION("""COMPUTED_VALUE"""),"NA ORIGEM")</f>
        <v>NA ORIGEM</v>
      </c>
      <c r="N879" s="15" t="str">
        <f>IFERROR(__xludf.DUMMYFUNCTION("""COMPUTED_VALUE"""),"Antes Prazo")</f>
        <v>Antes Prazo</v>
      </c>
      <c r="O879" s="15" t="str">
        <f>IFERROR(__xludf.DUMMYFUNCTION("""COMPUTED_VALUE"""),"B2B")</f>
        <v>B2B</v>
      </c>
      <c r="P879" s="16">
        <f>IFERROR(__xludf.DUMMYFUNCTION("""COMPUTED_VALUE"""),119.2)</f>
        <v>119.2</v>
      </c>
      <c r="Q879" s="15">
        <f>IFERROR(__xludf.DUMMYFUNCTION("""COMPUTED_VALUE"""),1.0)</f>
        <v>1</v>
      </c>
      <c r="R879" s="15" t="str">
        <f>IFERROR(__xludf.DUMMYFUNCTION("""COMPUTED_VALUE"""),"RODO")</f>
        <v>RODO</v>
      </c>
      <c r="S879" s="15" t="str">
        <f>IFERROR(__xludf.DUMMYFUNCTION("""COMPUTED_VALUE"""),"ITN")</f>
        <v>ITN</v>
      </c>
      <c r="T879" s="15" t="str">
        <f>IFERROR(__xludf.DUMMYFUNCTION("""COMPUTED_VALUE"""),"1")</f>
        <v>1</v>
      </c>
      <c r="U879" s="15" t="str">
        <f>IFERROR(__xludf.DUMMYFUNCTION("""COMPUTED_VALUE"""),"266840267 1306441 8177456 eni de oliveira teixeira me trifil jpr 1")</f>
        <v>266840267 1306441 8177456 eni de oliveira teixeira me trifil jpr 1</v>
      </c>
      <c r="V879" s="15" t="b">
        <f>IFERROR(__xludf.DUMMYFUNCTION("""COMPUTED_VALUE"""),FALSE)</f>
        <v>0</v>
      </c>
    </row>
    <row r="880">
      <c r="A880" s="19">
        <f>IFERROR(__xludf.DUMMYFUNCTION("""COMPUTED_VALUE"""),46304.0)</f>
        <v>46304</v>
      </c>
      <c r="B880" s="19">
        <f>IFERROR(__xludf.DUMMYFUNCTION("""COMPUTED_VALUE"""),46331.0)</f>
        <v>46331</v>
      </c>
      <c r="C880" s="15">
        <f>IFERROR(__xludf.DUMMYFUNCTION("""COMPUTED_VALUE"""),17.0)</f>
        <v>17</v>
      </c>
      <c r="D880" s="15" t="str">
        <f>IFERROR(__xludf.DUMMYFUNCTION("""COMPUTED_VALUE"""),"PMW")</f>
        <v>PMW</v>
      </c>
      <c r="E880" s="15" t="str">
        <f>IFERROR(__xludf.DUMMYFUNCTION("""COMPUTED_VALUE"""),"ROSIMEIRE MENDES DE OLIVEIRA ALVES 01080")</f>
        <v>ROSIMEIRE MENDES DE OLIVEIRA ALVES 01080</v>
      </c>
      <c r="F880" s="15" t="str">
        <f>IFERROR(__xludf.DUMMYFUNCTION("""COMPUTED_VALUE"""),"TRIFIL")</f>
        <v>TRIFIL</v>
      </c>
      <c r="G880" s="15" t="str">
        <f>IFERROR(__xludf.DUMMYFUNCTION("""COMPUTED_VALUE"""),"266840269")</f>
        <v>266840269</v>
      </c>
      <c r="H880" s="15" t="str">
        <f>IFERROR(__xludf.DUMMYFUNCTION("""COMPUTED_VALUE"""),"1306385")</f>
        <v>1306385</v>
      </c>
      <c r="I880" s="15" t="str">
        <f>IFERROR(__xludf.DUMMYFUNCTION("""COMPUTED_VALUE"""),"8177538")</f>
        <v>8177538</v>
      </c>
      <c r="J880" s="15" t="str">
        <f>IFERROR(__xludf.DUMMYFUNCTION("""COMPUTED_VALUE"""),"CIF")</f>
        <v>CIF</v>
      </c>
      <c r="K880" s="15" t="str">
        <f>IFERROR(__xludf.DUMMYFUNCTION("""COMPUTED_VALUE"""),"(sem célula)")</f>
        <v>(sem célula)</v>
      </c>
      <c r="L880" s="15" t="str">
        <f>IFERROR(__xludf.DUMMYFUNCTION("""COMPUTED_VALUE"""),"AUTORIZADO")</f>
        <v>AUTORIZADO</v>
      </c>
      <c r="M880" s="15" t="str">
        <f>IFERROR(__xludf.DUMMYFUNCTION("""COMPUTED_VALUE"""),"NA ORIGEM")</f>
        <v>NA ORIGEM</v>
      </c>
      <c r="N880" s="15" t="str">
        <f>IFERROR(__xludf.DUMMYFUNCTION("""COMPUTED_VALUE"""),"Antes Prazo")</f>
        <v>Antes Prazo</v>
      </c>
      <c r="O880" s="15" t="str">
        <f>IFERROR(__xludf.DUMMYFUNCTION("""COMPUTED_VALUE"""),"B2B")</f>
        <v>B2B</v>
      </c>
      <c r="P880" s="16">
        <f>IFERROR(__xludf.DUMMYFUNCTION("""COMPUTED_VALUE"""),63.12)</f>
        <v>63.12</v>
      </c>
      <c r="Q880" s="15">
        <f>IFERROR(__xludf.DUMMYFUNCTION("""COMPUTED_VALUE"""),1.0)</f>
        <v>1</v>
      </c>
      <c r="R880" s="15" t="str">
        <f>IFERROR(__xludf.DUMMYFUNCTION("""COMPUTED_VALUE"""),"RODO")</f>
        <v>RODO</v>
      </c>
      <c r="S880" s="15" t="str">
        <f>IFERROR(__xludf.DUMMYFUNCTION("""COMPUTED_VALUE"""),"ITN")</f>
        <v>ITN</v>
      </c>
      <c r="T880" s="15" t="str">
        <f>IFERROR(__xludf.DUMMYFUNCTION("""COMPUTED_VALUE"""),"108")</f>
        <v>108</v>
      </c>
      <c r="U880" s="15" t="str">
        <f>IFERROR(__xludf.DUMMYFUNCTION("""COMPUTED_VALUE"""),"266840269 1306385 8177538 rosimeire mendes de oliveira alves 01080 trifil pmw 108")</f>
        <v>266840269 1306385 8177538 rosimeire mendes de oliveira alves 01080 trifil pmw 108</v>
      </c>
      <c r="V880" s="15" t="b">
        <f>IFERROR(__xludf.DUMMYFUNCTION("""COMPUTED_VALUE"""),FALSE)</f>
        <v>0</v>
      </c>
    </row>
    <row r="881">
      <c r="A881" s="19">
        <f>IFERROR(__xludf.DUMMYFUNCTION("""COMPUTED_VALUE"""),46304.0)</f>
        <v>46304</v>
      </c>
      <c r="B881" s="19">
        <f>IFERROR(__xludf.DUMMYFUNCTION("""COMPUTED_VALUE"""),46331.0)</f>
        <v>46331</v>
      </c>
      <c r="C881" s="15">
        <f>IFERROR(__xludf.DUMMYFUNCTION("""COMPUTED_VALUE"""),17.0)</f>
        <v>17</v>
      </c>
      <c r="D881" s="15" t="str">
        <f>IFERROR(__xludf.DUMMYFUNCTION("""COMPUTED_VALUE"""),"PMW")</f>
        <v>PMW</v>
      </c>
      <c r="E881" s="15" t="str">
        <f>IFERROR(__xludf.DUMMYFUNCTION("""COMPUTED_VALUE"""),"BALTAZAR BELCHIOR DOS REIS(0001003335)")</f>
        <v>BALTAZAR BELCHIOR DOS REIS(0001003335)</v>
      </c>
      <c r="F881" s="15" t="str">
        <f>IFERROR(__xludf.DUMMYFUNCTION("""COMPUTED_VALUE"""),"TRIFIL")</f>
        <v>TRIFIL</v>
      </c>
      <c r="G881" s="15" t="str">
        <f>IFERROR(__xludf.DUMMYFUNCTION("""COMPUTED_VALUE"""),"266840271")</f>
        <v>266840271</v>
      </c>
      <c r="H881" s="15" t="str">
        <f>IFERROR(__xludf.DUMMYFUNCTION("""COMPUTED_VALUE"""),"1306547")</f>
        <v>1306547</v>
      </c>
      <c r="I881" s="15" t="str">
        <f>IFERROR(__xludf.DUMMYFUNCTION("""COMPUTED_VALUE"""),"8177433")</f>
        <v>8177433</v>
      </c>
      <c r="J881" s="15" t="str">
        <f>IFERROR(__xludf.DUMMYFUNCTION("""COMPUTED_VALUE"""),"CIF")</f>
        <v>CIF</v>
      </c>
      <c r="K881" s="15" t="str">
        <f>IFERROR(__xludf.DUMMYFUNCTION("""COMPUTED_VALUE"""),"SAO-1")</f>
        <v>SAO-1</v>
      </c>
      <c r="L881" s="15" t="str">
        <f>IFERROR(__xludf.DUMMYFUNCTION("""COMPUTED_VALUE"""),"AUTORIZADO")</f>
        <v>AUTORIZADO</v>
      </c>
      <c r="M881" s="15" t="str">
        <f>IFERROR(__xludf.DUMMYFUNCTION("""COMPUTED_VALUE"""),"NA ORIGEM")</f>
        <v>NA ORIGEM</v>
      </c>
      <c r="N881" s="15" t="str">
        <f>IFERROR(__xludf.DUMMYFUNCTION("""COMPUTED_VALUE"""),"Antes Prazo")</f>
        <v>Antes Prazo</v>
      </c>
      <c r="O881" s="15" t="str">
        <f>IFERROR(__xludf.DUMMYFUNCTION("""COMPUTED_VALUE"""),"B2B")</f>
        <v>B2B</v>
      </c>
      <c r="P881" s="16">
        <f>IFERROR(__xludf.DUMMYFUNCTION("""COMPUTED_VALUE"""),63.12)</f>
        <v>63.12</v>
      </c>
      <c r="Q881" s="15">
        <f>IFERROR(__xludf.DUMMYFUNCTION("""COMPUTED_VALUE"""),2.0)</f>
        <v>2</v>
      </c>
      <c r="R881" s="15" t="str">
        <f>IFERROR(__xludf.DUMMYFUNCTION("""COMPUTED_VALUE"""),"RODO")</f>
        <v>RODO</v>
      </c>
      <c r="S881" s="15" t="str">
        <f>IFERROR(__xludf.DUMMYFUNCTION("""COMPUTED_VALUE"""),"ITN")</f>
        <v>ITN</v>
      </c>
      <c r="T881" s="15" t="str">
        <f>IFERROR(__xludf.DUMMYFUNCTION("""COMPUTED_VALUE"""),"108")</f>
        <v>108</v>
      </c>
      <c r="U881" s="15" t="str">
        <f>IFERROR(__xludf.DUMMYFUNCTION("""COMPUTED_VALUE"""),"266840271 1306547 8177433 baltazar belchior dos reis(0001003335) trifil pmw 108")</f>
        <v>266840271 1306547 8177433 baltazar belchior dos reis(0001003335) trifil pmw 108</v>
      </c>
      <c r="V881" s="15" t="b">
        <f>IFERROR(__xludf.DUMMYFUNCTION("""COMPUTED_VALUE"""),FALSE)</f>
        <v>0</v>
      </c>
    </row>
    <row r="882">
      <c r="A882" s="19">
        <f>IFERROR(__xludf.DUMMYFUNCTION("""COMPUTED_VALUE"""),46304.0)</f>
        <v>46304</v>
      </c>
      <c r="B882" s="19">
        <f>IFERROR(__xludf.DUMMYFUNCTION("""COMPUTED_VALUE"""),46324.0)</f>
        <v>46324</v>
      </c>
      <c r="C882" s="15">
        <f>IFERROR(__xludf.DUMMYFUNCTION("""COMPUTED_VALUE"""),13.0)</f>
        <v>13</v>
      </c>
      <c r="D882" s="15" t="str">
        <f>IFERROR(__xludf.DUMMYFUNCTION("""COMPUTED_VALUE"""),"PMW")</f>
        <v>PMW</v>
      </c>
      <c r="E882" s="15" t="str">
        <f>IFERROR(__xludf.DUMMYFUNCTION("""COMPUTED_VALUE"""),"DISPARADA COMERCIO TECIDOS LTDA(00010040")</f>
        <v>DISPARADA COMERCIO TECIDOS LTDA(00010040</v>
      </c>
      <c r="F882" s="15" t="str">
        <f>IFERROR(__xludf.DUMMYFUNCTION("""COMPUTED_VALUE"""),"TRIFIL")</f>
        <v>TRIFIL</v>
      </c>
      <c r="G882" s="15" t="str">
        <f>IFERROR(__xludf.DUMMYFUNCTION("""COMPUTED_VALUE"""),"266840273")</f>
        <v>266840273</v>
      </c>
      <c r="H882" s="15" t="str">
        <f>IFERROR(__xludf.DUMMYFUNCTION("""COMPUTED_VALUE"""),"1306257")</f>
        <v>1306257</v>
      </c>
      <c r="I882" s="15" t="str">
        <f>IFERROR(__xludf.DUMMYFUNCTION("""COMPUTED_VALUE"""),"8177539")</f>
        <v>8177539</v>
      </c>
      <c r="J882" s="15" t="str">
        <f>IFERROR(__xludf.DUMMYFUNCTION("""COMPUTED_VALUE"""),"CIF")</f>
        <v>CIF</v>
      </c>
      <c r="K882" s="15" t="str">
        <f>IFERROR(__xludf.DUMMYFUNCTION("""COMPUTED_VALUE"""),"SAO-1")</f>
        <v>SAO-1</v>
      </c>
      <c r="L882" s="15" t="str">
        <f>IFERROR(__xludf.DUMMYFUNCTION("""COMPUTED_VALUE"""),"AUTORIZADO")</f>
        <v>AUTORIZADO</v>
      </c>
      <c r="M882" s="15" t="str">
        <f>IFERROR(__xludf.DUMMYFUNCTION("""COMPUTED_VALUE"""),"NA ORIGEM")</f>
        <v>NA ORIGEM</v>
      </c>
      <c r="N882" s="15" t="str">
        <f>IFERROR(__xludf.DUMMYFUNCTION("""COMPUTED_VALUE"""),"Antes Prazo")</f>
        <v>Antes Prazo</v>
      </c>
      <c r="O882" s="15" t="str">
        <f>IFERROR(__xludf.DUMMYFUNCTION("""COMPUTED_VALUE"""),"B2B")</f>
        <v>B2B</v>
      </c>
      <c r="P882" s="16">
        <f>IFERROR(__xludf.DUMMYFUNCTION("""COMPUTED_VALUE"""),63.12)</f>
        <v>63.12</v>
      </c>
      <c r="Q882" s="15">
        <f>IFERROR(__xludf.DUMMYFUNCTION("""COMPUTED_VALUE"""),1.0)</f>
        <v>1</v>
      </c>
      <c r="R882" s="15" t="str">
        <f>IFERROR(__xludf.DUMMYFUNCTION("""COMPUTED_VALUE"""),"RODO")</f>
        <v>RODO</v>
      </c>
      <c r="S882" s="15" t="str">
        <f>IFERROR(__xludf.DUMMYFUNCTION("""COMPUTED_VALUE"""),"ITN")</f>
        <v>ITN</v>
      </c>
      <c r="T882" s="15" t="str">
        <f>IFERROR(__xludf.DUMMYFUNCTION("""COMPUTED_VALUE"""),"102")</f>
        <v>102</v>
      </c>
      <c r="U882" s="15" t="str">
        <f>IFERROR(__xludf.DUMMYFUNCTION("""COMPUTED_VALUE"""),"266840273 1306257 8177539 disparada comercio tecidos ltda(00010040 trifil pmw 102")</f>
        <v>266840273 1306257 8177539 disparada comercio tecidos ltda(00010040 trifil pmw 102</v>
      </c>
      <c r="V882" s="15" t="b">
        <f>IFERROR(__xludf.DUMMYFUNCTION("""COMPUTED_VALUE"""),FALSE)</f>
        <v>0</v>
      </c>
    </row>
    <row r="883">
      <c r="A883" s="19">
        <f>IFERROR(__xludf.DUMMYFUNCTION("""COMPUTED_VALUE"""),46304.0)</f>
        <v>46304</v>
      </c>
      <c r="B883" s="19">
        <f>IFERROR(__xludf.DUMMYFUNCTION("""COMPUTED_VALUE"""),46325.0)</f>
        <v>46325</v>
      </c>
      <c r="C883" s="15">
        <f>IFERROR(__xludf.DUMMYFUNCTION("""COMPUTED_VALUE"""),14.0)</f>
        <v>14</v>
      </c>
      <c r="D883" s="15" t="str">
        <f>IFERROR(__xludf.DUMMYFUNCTION("""COMPUTED_VALUE"""),"MT2")</f>
        <v>MT2</v>
      </c>
      <c r="E883" s="15" t="str">
        <f>IFERROR(__xludf.DUMMYFUNCTION("""COMPUTED_VALUE"""),"MARIANA MODA INTIMA")</f>
        <v>MARIANA MODA INTIMA</v>
      </c>
      <c r="F883" s="15" t="str">
        <f>IFERROR(__xludf.DUMMYFUNCTION("""COMPUTED_VALUE"""),"TRIFIL")</f>
        <v>TRIFIL</v>
      </c>
      <c r="G883" s="15" t="str">
        <f>IFERROR(__xludf.DUMMYFUNCTION("""COMPUTED_VALUE"""),"266840275")</f>
        <v>266840275</v>
      </c>
      <c r="H883" s="15" t="str">
        <f>IFERROR(__xludf.DUMMYFUNCTION("""COMPUTED_VALUE"""),"1306294")</f>
        <v>1306294</v>
      </c>
      <c r="I883" s="15" t="str">
        <f>IFERROR(__xludf.DUMMYFUNCTION("""COMPUTED_VALUE"""),"8177483")</f>
        <v>8177483</v>
      </c>
      <c r="J883" s="15" t="str">
        <f>IFERROR(__xludf.DUMMYFUNCTION("""COMPUTED_VALUE"""),"CIF")</f>
        <v>CIF</v>
      </c>
      <c r="K883" s="15" t="str">
        <f>IFERROR(__xludf.DUMMYFUNCTION("""COMPUTED_VALUE"""),"(sem célula)")</f>
        <v>(sem célula)</v>
      </c>
      <c r="L883" s="15" t="str">
        <f>IFERROR(__xludf.DUMMYFUNCTION("""COMPUTED_VALUE"""),"AUTORIZADO")</f>
        <v>AUTORIZADO</v>
      </c>
      <c r="M883" s="15" t="str">
        <f>IFERROR(__xludf.DUMMYFUNCTION("""COMPUTED_VALUE"""),"NA ORIGEM")</f>
        <v>NA ORIGEM</v>
      </c>
      <c r="N883" s="15" t="str">
        <f>IFERROR(__xludf.DUMMYFUNCTION("""COMPUTED_VALUE"""),"Antes Prazo")</f>
        <v>Antes Prazo</v>
      </c>
      <c r="O883" s="15" t="str">
        <f>IFERROR(__xludf.DUMMYFUNCTION("""COMPUTED_VALUE"""),"B2B")</f>
        <v>B2B</v>
      </c>
      <c r="P883" s="16">
        <f>IFERROR(__xludf.DUMMYFUNCTION("""COMPUTED_VALUE"""),68.09)</f>
        <v>68.09</v>
      </c>
      <c r="Q883" s="15">
        <f>IFERROR(__xludf.DUMMYFUNCTION("""COMPUTED_VALUE"""),1.0)</f>
        <v>1</v>
      </c>
      <c r="R883" s="15" t="str">
        <f>IFERROR(__xludf.DUMMYFUNCTION("""COMPUTED_VALUE"""),"RODO")</f>
        <v>RODO</v>
      </c>
      <c r="S883" s="15" t="str">
        <f>IFERROR(__xludf.DUMMYFUNCTION("""COMPUTED_VALUE"""),"ITN")</f>
        <v>ITN</v>
      </c>
      <c r="T883" s="15" t="str">
        <f>IFERROR(__xludf.DUMMYFUNCTION("""COMPUTED_VALUE"""),"101")</f>
        <v>101</v>
      </c>
      <c r="U883" s="15" t="str">
        <f>IFERROR(__xludf.DUMMYFUNCTION("""COMPUTED_VALUE"""),"266840275 1306294 8177483 mariana moda intima trifil mt2 101")</f>
        <v>266840275 1306294 8177483 mariana moda intima trifil mt2 101</v>
      </c>
      <c r="V883" s="15" t="b">
        <f>IFERROR(__xludf.DUMMYFUNCTION("""COMPUTED_VALUE"""),FALSE)</f>
        <v>0</v>
      </c>
    </row>
    <row r="884">
      <c r="A884" s="19">
        <f>IFERROR(__xludf.DUMMYFUNCTION("""COMPUTED_VALUE"""),46304.0)</f>
        <v>46304</v>
      </c>
      <c r="B884" s="19">
        <f>IFERROR(__xludf.DUMMYFUNCTION("""COMPUTED_VALUE"""),46323.0)</f>
        <v>46323</v>
      </c>
      <c r="C884" s="15">
        <f>IFERROR(__xludf.DUMMYFUNCTION("""COMPUTED_VALUE"""),12.0)</f>
        <v>12</v>
      </c>
      <c r="D884" s="15" t="str">
        <f>IFERROR(__xludf.DUMMYFUNCTION("""COMPUTED_VALUE"""),"MT2")</f>
        <v>MT2</v>
      </c>
      <c r="E884" s="15" t="str">
        <f>IFERROR(__xludf.DUMMYFUNCTION("""COMPUTED_VALUE"""),"LOJA JR")</f>
        <v>LOJA JR</v>
      </c>
      <c r="F884" s="15" t="str">
        <f>IFERROR(__xludf.DUMMYFUNCTION("""COMPUTED_VALUE"""),"TRIFIL")</f>
        <v>TRIFIL</v>
      </c>
      <c r="G884" s="15" t="str">
        <f>IFERROR(__xludf.DUMMYFUNCTION("""COMPUTED_VALUE"""),"266840276")</f>
        <v>266840276</v>
      </c>
      <c r="H884" s="15" t="str">
        <f>IFERROR(__xludf.DUMMYFUNCTION("""COMPUTED_VALUE"""),"1306265")</f>
        <v>1306265</v>
      </c>
      <c r="I884" s="15" t="str">
        <f>IFERROR(__xludf.DUMMYFUNCTION("""COMPUTED_VALUE"""),"8177484")</f>
        <v>8177484</v>
      </c>
      <c r="J884" s="15" t="str">
        <f>IFERROR(__xludf.DUMMYFUNCTION("""COMPUTED_VALUE"""),"CIF")</f>
        <v>CIF</v>
      </c>
      <c r="K884" s="15" t="str">
        <f>IFERROR(__xludf.DUMMYFUNCTION("""COMPUTED_VALUE"""),"(sem célula)")</f>
        <v>(sem célula)</v>
      </c>
      <c r="L884" s="15" t="str">
        <f>IFERROR(__xludf.DUMMYFUNCTION("""COMPUTED_VALUE"""),"AUTORIZADO")</f>
        <v>AUTORIZADO</v>
      </c>
      <c r="M884" s="15" t="str">
        <f>IFERROR(__xludf.DUMMYFUNCTION("""COMPUTED_VALUE"""),"NA ORIGEM")</f>
        <v>NA ORIGEM</v>
      </c>
      <c r="N884" s="15" t="str">
        <f>IFERROR(__xludf.DUMMYFUNCTION("""COMPUTED_VALUE"""),"Antes Prazo")</f>
        <v>Antes Prazo</v>
      </c>
      <c r="O884" s="15" t="str">
        <f>IFERROR(__xludf.DUMMYFUNCTION("""COMPUTED_VALUE"""),"B2B")</f>
        <v>B2B</v>
      </c>
      <c r="P884" s="16">
        <f>IFERROR(__xludf.DUMMYFUNCTION("""COMPUTED_VALUE"""),68.09)</f>
        <v>68.09</v>
      </c>
      <c r="Q884" s="15">
        <f>IFERROR(__xludf.DUMMYFUNCTION("""COMPUTED_VALUE"""),1.0)</f>
        <v>1</v>
      </c>
      <c r="R884" s="15" t="str">
        <f>IFERROR(__xludf.DUMMYFUNCTION("""COMPUTED_VALUE"""),"RODO")</f>
        <v>RODO</v>
      </c>
      <c r="S884" s="15" t="str">
        <f>IFERROR(__xludf.DUMMYFUNCTION("""COMPUTED_VALUE"""),"ITN")</f>
        <v>ITN</v>
      </c>
      <c r="T884" s="15" t="str">
        <f>IFERROR(__xludf.DUMMYFUNCTION("""COMPUTED_VALUE"""),"301")</f>
        <v>301</v>
      </c>
      <c r="U884" s="15" t="str">
        <f>IFERROR(__xludf.DUMMYFUNCTION("""COMPUTED_VALUE"""),"266840276 1306265 8177484 loja jr trifil mt2 301")</f>
        <v>266840276 1306265 8177484 loja jr trifil mt2 301</v>
      </c>
      <c r="V884" s="15" t="b">
        <f>IFERROR(__xludf.DUMMYFUNCTION("""COMPUTED_VALUE"""),FALSE)</f>
        <v>0</v>
      </c>
    </row>
    <row r="885">
      <c r="A885" s="19">
        <f>IFERROR(__xludf.DUMMYFUNCTION("""COMPUTED_VALUE"""),46304.0)</f>
        <v>46304</v>
      </c>
      <c r="B885" s="19">
        <f>IFERROR(__xludf.DUMMYFUNCTION("""COMPUTED_VALUE"""),46323.0)</f>
        <v>46323</v>
      </c>
      <c r="C885" s="15">
        <f>IFERROR(__xludf.DUMMYFUNCTION("""COMPUTED_VALUE"""),12.0)</f>
        <v>12</v>
      </c>
      <c r="D885" s="15" t="str">
        <f>IFERROR(__xludf.DUMMYFUNCTION("""COMPUTED_VALUE"""),"MT2")</f>
        <v>MT2</v>
      </c>
      <c r="E885" s="15" t="str">
        <f>IFERROR(__xludf.DUMMYFUNCTION("""COMPUTED_VALUE"""),"DEGRADÊ MODAS")</f>
        <v>DEGRADÊ MODAS</v>
      </c>
      <c r="F885" s="15" t="str">
        <f>IFERROR(__xludf.DUMMYFUNCTION("""COMPUTED_VALUE"""),"TRIFIL")</f>
        <v>TRIFIL</v>
      </c>
      <c r="G885" s="15" t="str">
        <f>IFERROR(__xludf.DUMMYFUNCTION("""COMPUTED_VALUE"""),"266840277")</f>
        <v>266840277</v>
      </c>
      <c r="H885" s="15" t="str">
        <f>IFERROR(__xludf.DUMMYFUNCTION("""COMPUTED_VALUE"""),"1306318")</f>
        <v>1306318</v>
      </c>
      <c r="I885" s="15" t="str">
        <f>IFERROR(__xludf.DUMMYFUNCTION("""COMPUTED_VALUE"""),"8177540")</f>
        <v>8177540</v>
      </c>
      <c r="J885" s="15" t="str">
        <f>IFERROR(__xludf.DUMMYFUNCTION("""COMPUTED_VALUE"""),"CIF")</f>
        <v>CIF</v>
      </c>
      <c r="K885" s="15" t="str">
        <f>IFERROR(__xludf.DUMMYFUNCTION("""COMPUTED_VALUE"""),"(sem célula)")</f>
        <v>(sem célula)</v>
      </c>
      <c r="L885" s="15" t="str">
        <f>IFERROR(__xludf.DUMMYFUNCTION("""COMPUTED_VALUE"""),"AUTORIZADO")</f>
        <v>AUTORIZADO</v>
      </c>
      <c r="M885" s="15" t="str">
        <f>IFERROR(__xludf.DUMMYFUNCTION("""COMPUTED_VALUE"""),"NA ORIGEM")</f>
        <v>NA ORIGEM</v>
      </c>
      <c r="N885" s="15" t="str">
        <f>IFERROR(__xludf.DUMMYFUNCTION("""COMPUTED_VALUE"""),"Antes Prazo")</f>
        <v>Antes Prazo</v>
      </c>
      <c r="O885" s="15" t="str">
        <f>IFERROR(__xludf.DUMMYFUNCTION("""COMPUTED_VALUE"""),"B2B")</f>
        <v>B2B</v>
      </c>
      <c r="P885" s="16">
        <f>IFERROR(__xludf.DUMMYFUNCTION("""COMPUTED_VALUE"""),68.09)</f>
        <v>68.09</v>
      </c>
      <c r="Q885" s="15">
        <f>IFERROR(__xludf.DUMMYFUNCTION("""COMPUTED_VALUE"""),1.0)</f>
        <v>1</v>
      </c>
      <c r="R885" s="15" t="str">
        <f>IFERROR(__xludf.DUMMYFUNCTION("""COMPUTED_VALUE"""),"RODO")</f>
        <v>RODO</v>
      </c>
      <c r="S885" s="15" t="str">
        <f>IFERROR(__xludf.DUMMYFUNCTION("""COMPUTED_VALUE"""),"ITN")</f>
        <v>ITN</v>
      </c>
      <c r="T885" s="15" t="str">
        <f>IFERROR(__xludf.DUMMYFUNCTION("""COMPUTED_VALUE"""),"101")</f>
        <v>101</v>
      </c>
      <c r="U885" s="15" t="str">
        <f>IFERROR(__xludf.DUMMYFUNCTION("""COMPUTED_VALUE"""),"266840277 1306318 8177540 degradê modas trifil mt2 101")</f>
        <v>266840277 1306318 8177540 degradê modas trifil mt2 101</v>
      </c>
      <c r="V885" s="15" t="b">
        <f>IFERROR(__xludf.DUMMYFUNCTION("""COMPUTED_VALUE"""),FALSE)</f>
        <v>0</v>
      </c>
    </row>
    <row r="886">
      <c r="A886" s="19">
        <f>IFERROR(__xludf.DUMMYFUNCTION("""COMPUTED_VALUE"""),46304.0)</f>
        <v>46304</v>
      </c>
      <c r="B886" s="19">
        <f>IFERROR(__xludf.DUMMYFUNCTION("""COMPUTED_VALUE"""),46325.0)</f>
        <v>46325</v>
      </c>
      <c r="C886" s="15">
        <f>IFERROR(__xludf.DUMMYFUNCTION("""COMPUTED_VALUE"""),14.0)</f>
        <v>14</v>
      </c>
      <c r="D886" s="15" t="str">
        <f>IFERROR(__xludf.DUMMYFUNCTION("""COMPUTED_VALUE"""),"MT2")</f>
        <v>MT2</v>
      </c>
      <c r="E886" s="15" t="str">
        <f>IFERROR(__xludf.DUMMYFUNCTION("""COMPUTED_VALUE"""),"LUANA MARTINS DE OLIVEIRA E CIA LTDA ME")</f>
        <v>LUANA MARTINS DE OLIVEIRA E CIA LTDA ME</v>
      </c>
      <c r="F886" s="15" t="str">
        <f>IFERROR(__xludf.DUMMYFUNCTION("""COMPUTED_VALUE"""),"TRIFIL")</f>
        <v>TRIFIL</v>
      </c>
      <c r="G886" s="15" t="str">
        <f>IFERROR(__xludf.DUMMYFUNCTION("""COMPUTED_VALUE"""),"266840278")</f>
        <v>266840278</v>
      </c>
      <c r="H886" s="15" t="str">
        <f>IFERROR(__xludf.DUMMYFUNCTION("""COMPUTED_VALUE"""),"1306599")</f>
        <v>1306599</v>
      </c>
      <c r="I886" s="15" t="str">
        <f>IFERROR(__xludf.DUMMYFUNCTION("""COMPUTED_VALUE"""),"8177410")</f>
        <v>8177410</v>
      </c>
      <c r="J886" s="15" t="str">
        <f>IFERROR(__xludf.DUMMYFUNCTION("""COMPUTED_VALUE"""),"CIF")</f>
        <v>CIF</v>
      </c>
      <c r="K886" s="15" t="str">
        <f>IFERROR(__xludf.DUMMYFUNCTION("""COMPUTED_VALUE"""),"SAO-1")</f>
        <v>SAO-1</v>
      </c>
      <c r="L886" s="15" t="str">
        <f>IFERROR(__xludf.DUMMYFUNCTION("""COMPUTED_VALUE"""),"AUTORIZADO")</f>
        <v>AUTORIZADO</v>
      </c>
      <c r="M886" s="15" t="str">
        <f>IFERROR(__xludf.DUMMYFUNCTION("""COMPUTED_VALUE"""),"NA ORIGEM")</f>
        <v>NA ORIGEM</v>
      </c>
      <c r="N886" s="15" t="str">
        <f>IFERROR(__xludf.DUMMYFUNCTION("""COMPUTED_VALUE"""),"Antes Prazo")</f>
        <v>Antes Prazo</v>
      </c>
      <c r="O886" s="15" t="str">
        <f>IFERROR(__xludf.DUMMYFUNCTION("""COMPUTED_VALUE"""),"B2B")</f>
        <v>B2B</v>
      </c>
      <c r="P886" s="16">
        <f>IFERROR(__xludf.DUMMYFUNCTION("""COMPUTED_VALUE"""),68.09)</f>
        <v>68.09</v>
      </c>
      <c r="Q886" s="15">
        <f>IFERROR(__xludf.DUMMYFUNCTION("""COMPUTED_VALUE"""),3.0)</f>
        <v>3</v>
      </c>
      <c r="R886" s="15" t="str">
        <f>IFERROR(__xludf.DUMMYFUNCTION("""COMPUTED_VALUE"""),"RODO")</f>
        <v>RODO</v>
      </c>
      <c r="S886" s="15" t="str">
        <f>IFERROR(__xludf.DUMMYFUNCTION("""COMPUTED_VALUE"""),"ITN")</f>
        <v>ITN</v>
      </c>
      <c r="T886" s="15" t="str">
        <f>IFERROR(__xludf.DUMMYFUNCTION("""COMPUTED_VALUE"""),"101")</f>
        <v>101</v>
      </c>
      <c r="U886" s="15" t="str">
        <f>IFERROR(__xludf.DUMMYFUNCTION("""COMPUTED_VALUE"""),"266840278 1306599 8177410 luana martins de oliveira e cia ltda me trifil mt2 101")</f>
        <v>266840278 1306599 8177410 luana martins de oliveira e cia ltda me trifil mt2 101</v>
      </c>
      <c r="V886" s="15" t="b">
        <f>IFERROR(__xludf.DUMMYFUNCTION("""COMPUTED_VALUE"""),FALSE)</f>
        <v>0</v>
      </c>
    </row>
    <row r="887">
      <c r="A887" s="19">
        <f>IFERROR(__xludf.DUMMYFUNCTION("""COMPUTED_VALUE"""),46304.0)</f>
        <v>46304</v>
      </c>
      <c r="B887" s="19">
        <f>IFERROR(__xludf.DUMMYFUNCTION("""COMPUTED_VALUE"""),46323.0)</f>
        <v>46323</v>
      </c>
      <c r="C887" s="15">
        <f>IFERROR(__xludf.DUMMYFUNCTION("""COMPUTED_VALUE"""),12.0)</f>
        <v>12</v>
      </c>
      <c r="D887" s="15" t="str">
        <f>IFERROR(__xludf.DUMMYFUNCTION("""COMPUTED_VALUE"""),"MSS")</f>
        <v>MSS</v>
      </c>
      <c r="E887" s="15" t="str">
        <f>IFERROR(__xludf.DUMMYFUNCTION("""COMPUTED_VALUE"""),"CREUZA MARIA SANTOS DA SILVA")</f>
        <v>CREUZA MARIA SANTOS DA SILVA</v>
      </c>
      <c r="F887" s="15" t="str">
        <f>IFERROR(__xludf.DUMMYFUNCTION("""COMPUTED_VALUE"""),"TRIFIL")</f>
        <v>TRIFIL</v>
      </c>
      <c r="G887" s="15" t="str">
        <f>IFERROR(__xludf.DUMMYFUNCTION("""COMPUTED_VALUE"""),"266840279")</f>
        <v>266840279</v>
      </c>
      <c r="H887" s="15" t="str">
        <f>IFERROR(__xludf.DUMMYFUNCTION("""COMPUTED_VALUE"""),"1306350")</f>
        <v>1306350</v>
      </c>
      <c r="I887" s="15" t="str">
        <f>IFERROR(__xludf.DUMMYFUNCTION("""COMPUTED_VALUE"""),"8177541")</f>
        <v>8177541</v>
      </c>
      <c r="J887" s="15" t="str">
        <f>IFERROR(__xludf.DUMMYFUNCTION("""COMPUTED_VALUE"""),"CIF")</f>
        <v>CIF</v>
      </c>
      <c r="K887" s="15" t="str">
        <f>IFERROR(__xludf.DUMMYFUNCTION("""COMPUTED_VALUE"""),"SAO-1")</f>
        <v>SAO-1</v>
      </c>
      <c r="L887" s="15" t="str">
        <f>IFERROR(__xludf.DUMMYFUNCTION("""COMPUTED_VALUE"""),"AUTORIZADO")</f>
        <v>AUTORIZADO</v>
      </c>
      <c r="M887" s="15" t="str">
        <f>IFERROR(__xludf.DUMMYFUNCTION("""COMPUTED_VALUE"""),"NA ORIGEM")</f>
        <v>NA ORIGEM</v>
      </c>
      <c r="N887" s="15" t="str">
        <f>IFERROR(__xludf.DUMMYFUNCTION("""COMPUTED_VALUE"""),"Antes Prazo")</f>
        <v>Antes Prazo</v>
      </c>
      <c r="O887" s="15" t="str">
        <f>IFERROR(__xludf.DUMMYFUNCTION("""COMPUTED_VALUE"""),"B2B")</f>
        <v>B2B</v>
      </c>
      <c r="P887" s="16">
        <f>IFERROR(__xludf.DUMMYFUNCTION("""COMPUTED_VALUE"""),68.09)</f>
        <v>68.09</v>
      </c>
      <c r="Q887" s="15">
        <f>IFERROR(__xludf.DUMMYFUNCTION("""COMPUTED_VALUE"""),1.0)</f>
        <v>1</v>
      </c>
      <c r="R887" s="15" t="str">
        <f>IFERROR(__xludf.DUMMYFUNCTION("""COMPUTED_VALUE"""),"RODO")</f>
        <v>RODO</v>
      </c>
      <c r="S887" s="15" t="str">
        <f>IFERROR(__xludf.DUMMYFUNCTION("""COMPUTED_VALUE"""),"ITN")</f>
        <v>ITN</v>
      </c>
      <c r="T887" s="15" t="str">
        <f>IFERROR(__xludf.DUMMYFUNCTION("""COMPUTED_VALUE"""),"503")</f>
        <v>503</v>
      </c>
      <c r="U887" s="15" t="str">
        <f>IFERROR(__xludf.DUMMYFUNCTION("""COMPUTED_VALUE"""),"266840279 1306350 8177541 creuza maria santos da silva trifil mss 503")</f>
        <v>266840279 1306350 8177541 creuza maria santos da silva trifil mss 503</v>
      </c>
      <c r="V887" s="15" t="b">
        <f>IFERROR(__xludf.DUMMYFUNCTION("""COMPUTED_VALUE"""),FALSE)</f>
        <v>0</v>
      </c>
    </row>
    <row r="888">
      <c r="A888" s="19">
        <f>IFERROR(__xludf.DUMMYFUNCTION("""COMPUTED_VALUE"""),46304.0)</f>
        <v>46304</v>
      </c>
      <c r="B888" s="19">
        <f>IFERROR(__xludf.DUMMYFUNCTION("""COMPUTED_VALUE"""),46323.0)</f>
        <v>46323</v>
      </c>
      <c r="C888" s="15">
        <f>IFERROR(__xludf.DUMMYFUNCTION("""COMPUTED_VALUE"""),12.0)</f>
        <v>12</v>
      </c>
      <c r="D888" s="15" t="str">
        <f>IFERROR(__xludf.DUMMYFUNCTION("""COMPUTED_VALUE"""),"MSS")</f>
        <v>MSS</v>
      </c>
      <c r="E888" s="15" t="str">
        <f>IFERROR(__xludf.DUMMYFUNCTION("""COMPUTED_VALUE"""),"LOJA MALWE")</f>
        <v>LOJA MALWE</v>
      </c>
      <c r="F888" s="15" t="str">
        <f>IFERROR(__xludf.DUMMYFUNCTION("""COMPUTED_VALUE"""),"TRIFIL")</f>
        <v>TRIFIL</v>
      </c>
      <c r="G888" s="15" t="str">
        <f>IFERROR(__xludf.DUMMYFUNCTION("""COMPUTED_VALUE"""),"266840281")</f>
        <v>266840281</v>
      </c>
      <c r="H888" s="15" t="str">
        <f>IFERROR(__xludf.DUMMYFUNCTION("""COMPUTED_VALUE"""),"1306471")</f>
        <v>1306471</v>
      </c>
      <c r="I888" s="15" t="str">
        <f>IFERROR(__xludf.DUMMYFUNCTION("""COMPUTED_VALUE"""),"8177542")</f>
        <v>8177542</v>
      </c>
      <c r="J888" s="15" t="str">
        <f>IFERROR(__xludf.DUMMYFUNCTION("""COMPUTED_VALUE"""),"CIF")</f>
        <v>CIF</v>
      </c>
      <c r="K888" s="15" t="str">
        <f>IFERROR(__xludf.DUMMYFUNCTION("""COMPUTED_VALUE"""),"(sem célula)")</f>
        <v>(sem célula)</v>
      </c>
      <c r="L888" s="15" t="str">
        <f>IFERROR(__xludf.DUMMYFUNCTION("""COMPUTED_VALUE"""),"AUTORIZADO")</f>
        <v>AUTORIZADO</v>
      </c>
      <c r="M888" s="15" t="str">
        <f>IFERROR(__xludf.DUMMYFUNCTION("""COMPUTED_VALUE"""),"NA ORIGEM")</f>
        <v>NA ORIGEM</v>
      </c>
      <c r="N888" s="15" t="str">
        <f>IFERROR(__xludf.DUMMYFUNCTION("""COMPUTED_VALUE"""),"Antes Prazo")</f>
        <v>Antes Prazo</v>
      </c>
      <c r="O888" s="15" t="str">
        <f>IFERROR(__xludf.DUMMYFUNCTION("""COMPUTED_VALUE"""),"B2B")</f>
        <v>B2B</v>
      </c>
      <c r="P888" s="16">
        <f>IFERROR(__xludf.DUMMYFUNCTION("""COMPUTED_VALUE"""),68.09)</f>
        <v>68.09</v>
      </c>
      <c r="Q888" s="15">
        <f>IFERROR(__xludf.DUMMYFUNCTION("""COMPUTED_VALUE"""),1.0)</f>
        <v>1</v>
      </c>
      <c r="R888" s="15" t="str">
        <f>IFERROR(__xludf.DUMMYFUNCTION("""COMPUTED_VALUE"""),"RODO")</f>
        <v>RODO</v>
      </c>
      <c r="S888" s="15" t="str">
        <f>IFERROR(__xludf.DUMMYFUNCTION("""COMPUTED_VALUE"""),"ITN")</f>
        <v>ITN</v>
      </c>
      <c r="T888" s="15" t="str">
        <f>IFERROR(__xludf.DUMMYFUNCTION("""COMPUTED_VALUE"""),"600")</f>
        <v>600</v>
      </c>
      <c r="U888" s="15" t="str">
        <f>IFERROR(__xludf.DUMMYFUNCTION("""COMPUTED_VALUE"""),"266840281 1306471 8177542 loja malwe trifil mss 600")</f>
        <v>266840281 1306471 8177542 loja malwe trifil mss 600</v>
      </c>
      <c r="V888" s="15" t="b">
        <f>IFERROR(__xludf.DUMMYFUNCTION("""COMPUTED_VALUE"""),FALSE)</f>
        <v>0</v>
      </c>
    </row>
    <row r="889">
      <c r="A889" s="19">
        <f>IFERROR(__xludf.DUMMYFUNCTION("""COMPUTED_VALUE"""),46304.0)</f>
        <v>46304</v>
      </c>
      <c r="B889" s="19">
        <f>IFERROR(__xludf.DUMMYFUNCTION("""COMPUTED_VALUE"""),46325.0)</f>
        <v>46325</v>
      </c>
      <c r="C889" s="15">
        <f>IFERROR(__xludf.DUMMYFUNCTION("""COMPUTED_VALUE"""),14.0)</f>
        <v>14</v>
      </c>
      <c r="D889" s="15" t="str">
        <f>IFERROR(__xludf.DUMMYFUNCTION("""COMPUTED_VALUE"""),"TRL")</f>
        <v>TRL</v>
      </c>
      <c r="E889" s="15" t="str">
        <f>IFERROR(__xludf.DUMMYFUNCTION("""COMPUTED_VALUE"""),"LOJÃO DOS TECIDOS")</f>
        <v>LOJÃO DOS TECIDOS</v>
      </c>
      <c r="F889" s="15" t="str">
        <f>IFERROR(__xludf.DUMMYFUNCTION("""COMPUTED_VALUE"""),"TRIFIL")</f>
        <v>TRIFIL</v>
      </c>
      <c r="G889" s="15" t="str">
        <f>IFERROR(__xludf.DUMMYFUNCTION("""COMPUTED_VALUE"""),"266840282")</f>
        <v>266840282</v>
      </c>
      <c r="H889" s="15" t="str">
        <f>IFERROR(__xludf.DUMMYFUNCTION("""COMPUTED_VALUE"""),"1306261")</f>
        <v>1306261</v>
      </c>
      <c r="I889" s="15" t="str">
        <f>IFERROR(__xludf.DUMMYFUNCTION("""COMPUTED_VALUE"""),"8177485")</f>
        <v>8177485</v>
      </c>
      <c r="J889" s="15" t="str">
        <f>IFERROR(__xludf.DUMMYFUNCTION("""COMPUTED_VALUE"""),"CIF")</f>
        <v>CIF</v>
      </c>
      <c r="K889" s="15" t="str">
        <f>IFERROR(__xludf.DUMMYFUNCTION("""COMPUTED_VALUE"""),"(sem célula)")</f>
        <v>(sem célula)</v>
      </c>
      <c r="L889" s="15" t="str">
        <f>IFERROR(__xludf.DUMMYFUNCTION("""COMPUTED_VALUE"""),"AUTORIZADO")</f>
        <v>AUTORIZADO</v>
      </c>
      <c r="M889" s="15" t="str">
        <f>IFERROR(__xludf.DUMMYFUNCTION("""COMPUTED_VALUE"""),"NA ORIGEM")</f>
        <v>NA ORIGEM</v>
      </c>
      <c r="N889" s="15" t="str">
        <f>IFERROR(__xludf.DUMMYFUNCTION("""COMPUTED_VALUE"""),"Antes Prazo")</f>
        <v>Antes Prazo</v>
      </c>
      <c r="O889" s="15" t="str">
        <f>IFERROR(__xludf.DUMMYFUNCTION("""COMPUTED_VALUE"""),"B2B")</f>
        <v>B2B</v>
      </c>
      <c r="P889" s="16">
        <f>IFERROR(__xludf.DUMMYFUNCTION("""COMPUTED_VALUE"""),68.09)</f>
        <v>68.09</v>
      </c>
      <c r="Q889" s="15">
        <f>IFERROR(__xludf.DUMMYFUNCTION("""COMPUTED_VALUE"""),1.0)</f>
        <v>1</v>
      </c>
      <c r="R889" s="15" t="str">
        <f>IFERROR(__xludf.DUMMYFUNCTION("""COMPUTED_VALUE"""),"RODO")</f>
        <v>RODO</v>
      </c>
      <c r="S889" s="15" t="str">
        <f>IFERROR(__xludf.DUMMYFUNCTION("""COMPUTED_VALUE"""),"ITN")</f>
        <v>ITN</v>
      </c>
      <c r="T889" s="15" t="str">
        <f>IFERROR(__xludf.DUMMYFUNCTION("""COMPUTED_VALUE"""),"100")</f>
        <v>100</v>
      </c>
      <c r="U889" s="15" t="str">
        <f>IFERROR(__xludf.DUMMYFUNCTION("""COMPUTED_VALUE"""),"266840282 1306261 8177485 lojão dos tecidos trifil trl 100")</f>
        <v>266840282 1306261 8177485 lojão dos tecidos trifil trl 100</v>
      </c>
      <c r="V889" s="15" t="b">
        <f>IFERROR(__xludf.DUMMYFUNCTION("""COMPUTED_VALUE"""),FALSE)</f>
        <v>0</v>
      </c>
    </row>
    <row r="890">
      <c r="A890" s="19">
        <f>IFERROR(__xludf.DUMMYFUNCTION("""COMPUTED_VALUE"""),46304.0)</f>
        <v>46304</v>
      </c>
      <c r="B890" s="19">
        <f>IFERROR(__xludf.DUMMYFUNCTION("""COMPUTED_VALUE"""),46323.0)</f>
        <v>46323</v>
      </c>
      <c r="C890" s="15">
        <f>IFERROR(__xludf.DUMMYFUNCTION("""COMPUTED_VALUE"""),12.0)</f>
        <v>12</v>
      </c>
      <c r="D890" s="15" t="str">
        <f>IFERROR(__xludf.DUMMYFUNCTION("""COMPUTED_VALUE"""),"MSS")</f>
        <v>MSS</v>
      </c>
      <c r="E890" s="15" t="str">
        <f>IFERROR(__xludf.DUMMYFUNCTION("""COMPUTED_VALUE"""),"FOZ CENTER")</f>
        <v>FOZ CENTER</v>
      </c>
      <c r="F890" s="15" t="str">
        <f>IFERROR(__xludf.DUMMYFUNCTION("""COMPUTED_VALUE"""),"TRIFIL")</f>
        <v>TRIFIL</v>
      </c>
      <c r="G890" s="15" t="str">
        <f>IFERROR(__xludf.DUMMYFUNCTION("""COMPUTED_VALUE"""),"266840283")</f>
        <v>266840283</v>
      </c>
      <c r="H890" s="15" t="str">
        <f>IFERROR(__xludf.DUMMYFUNCTION("""COMPUTED_VALUE"""),"1306366")</f>
        <v>1306366</v>
      </c>
      <c r="I890" s="15" t="str">
        <f>IFERROR(__xludf.DUMMYFUNCTION("""COMPUTED_VALUE"""),"8177543")</f>
        <v>8177543</v>
      </c>
      <c r="J890" s="15" t="str">
        <f>IFERROR(__xludf.DUMMYFUNCTION("""COMPUTED_VALUE"""),"CIF")</f>
        <v>CIF</v>
      </c>
      <c r="K890" s="15" t="str">
        <f>IFERROR(__xludf.DUMMYFUNCTION("""COMPUTED_VALUE"""),"(sem célula)")</f>
        <v>(sem célula)</v>
      </c>
      <c r="L890" s="15" t="str">
        <f>IFERROR(__xludf.DUMMYFUNCTION("""COMPUTED_VALUE"""),"AUTORIZADO")</f>
        <v>AUTORIZADO</v>
      </c>
      <c r="M890" s="15" t="str">
        <f>IFERROR(__xludf.DUMMYFUNCTION("""COMPUTED_VALUE"""),"NA ORIGEM")</f>
        <v>NA ORIGEM</v>
      </c>
      <c r="N890" s="15" t="str">
        <f>IFERROR(__xludf.DUMMYFUNCTION("""COMPUTED_VALUE"""),"Antes Prazo")</f>
        <v>Antes Prazo</v>
      </c>
      <c r="O890" s="15" t="str">
        <f>IFERROR(__xludf.DUMMYFUNCTION("""COMPUTED_VALUE"""),"B2B")</f>
        <v>B2B</v>
      </c>
      <c r="P890" s="16">
        <f>IFERROR(__xludf.DUMMYFUNCTION("""COMPUTED_VALUE"""),68.09)</f>
        <v>68.09</v>
      </c>
      <c r="Q890" s="15">
        <f>IFERROR(__xludf.DUMMYFUNCTION("""COMPUTED_VALUE"""),1.0)</f>
        <v>1</v>
      </c>
      <c r="R890" s="15" t="str">
        <f>IFERROR(__xludf.DUMMYFUNCTION("""COMPUTED_VALUE"""),"RODO")</f>
        <v>RODO</v>
      </c>
      <c r="S890" s="15" t="str">
        <f>IFERROR(__xludf.DUMMYFUNCTION("""COMPUTED_VALUE"""),"ITN")</f>
        <v>ITN</v>
      </c>
      <c r="T890" s="15" t="str">
        <f>IFERROR(__xludf.DUMMYFUNCTION("""COMPUTED_VALUE"""),"501")</f>
        <v>501</v>
      </c>
      <c r="U890" s="15" t="str">
        <f>IFERROR(__xludf.DUMMYFUNCTION("""COMPUTED_VALUE"""),"266840283 1306366 8177543 foz center trifil mss 501")</f>
        <v>266840283 1306366 8177543 foz center trifil mss 501</v>
      </c>
      <c r="V890" s="15" t="b">
        <f>IFERROR(__xludf.DUMMYFUNCTION("""COMPUTED_VALUE"""),FALSE)</f>
        <v>0</v>
      </c>
    </row>
    <row r="891">
      <c r="A891" s="19">
        <f>IFERROR(__xludf.DUMMYFUNCTION("""COMPUTED_VALUE"""),46304.0)</f>
        <v>46304</v>
      </c>
      <c r="B891" s="19">
        <f>IFERROR(__xludf.DUMMYFUNCTION("""COMPUTED_VALUE"""),46316.0)</f>
        <v>46316</v>
      </c>
      <c r="C891" s="15">
        <f>IFERROR(__xludf.DUMMYFUNCTION("""COMPUTED_VALUE"""),7.0)</f>
        <v>7</v>
      </c>
      <c r="D891" s="15" t="str">
        <f>IFERROR(__xludf.DUMMYFUNCTION("""COMPUTED_VALUE"""),"CWB")</f>
        <v>CWB</v>
      </c>
      <c r="E891" s="15" t="str">
        <f>IFERROR(__xludf.DUMMYFUNCTION("""COMPUTED_VALUE"""),"L.R.GUSSO CIA LTDA")</f>
        <v>L.R.GUSSO CIA LTDA</v>
      </c>
      <c r="F891" s="15" t="str">
        <f>IFERROR(__xludf.DUMMYFUNCTION("""COMPUTED_VALUE"""),"TRIFIL")</f>
        <v>TRIFIL</v>
      </c>
      <c r="G891" s="15" t="str">
        <f>IFERROR(__xludf.DUMMYFUNCTION("""COMPUTED_VALUE"""),"266840284")</f>
        <v>266840284</v>
      </c>
      <c r="H891" s="15" t="str">
        <f>IFERROR(__xludf.DUMMYFUNCTION("""COMPUTED_VALUE"""),"1306325")</f>
        <v>1306325</v>
      </c>
      <c r="I891" s="15" t="str">
        <f>IFERROR(__xludf.DUMMYFUNCTION("""COMPUTED_VALUE"""),"8177572")</f>
        <v>8177572</v>
      </c>
      <c r="J891" s="15" t="str">
        <f>IFERROR(__xludf.DUMMYFUNCTION("""COMPUTED_VALUE"""),"CIF")</f>
        <v>CIF</v>
      </c>
      <c r="K891" s="15" t="str">
        <f>IFERROR(__xludf.DUMMYFUNCTION("""COMPUTED_VALUE"""),"(sem célula)")</f>
        <v>(sem célula)</v>
      </c>
      <c r="L891" s="15" t="str">
        <f>IFERROR(__xludf.DUMMYFUNCTION("""COMPUTED_VALUE"""),"AUTORIZADO")</f>
        <v>AUTORIZADO</v>
      </c>
      <c r="M891" s="15" t="str">
        <f>IFERROR(__xludf.DUMMYFUNCTION("""COMPUTED_VALUE"""),"NA ORIGEM")</f>
        <v>NA ORIGEM</v>
      </c>
      <c r="N891" s="15" t="str">
        <f>IFERROR(__xludf.DUMMYFUNCTION("""COMPUTED_VALUE"""),"Antes Prazo")</f>
        <v>Antes Prazo</v>
      </c>
      <c r="O891" s="15" t="str">
        <f>IFERROR(__xludf.DUMMYFUNCTION("""COMPUTED_VALUE"""),"B2B")</f>
        <v>B2B</v>
      </c>
      <c r="P891" s="16">
        <f>IFERROR(__xludf.DUMMYFUNCTION("""COMPUTED_VALUE"""),47.89)</f>
        <v>47.89</v>
      </c>
      <c r="Q891" s="15">
        <f>IFERROR(__xludf.DUMMYFUNCTION("""COMPUTED_VALUE"""),1.0)</f>
        <v>1</v>
      </c>
      <c r="R891" s="15" t="str">
        <f>IFERROR(__xludf.DUMMYFUNCTION("""COMPUTED_VALUE"""),"RODO")</f>
        <v>RODO</v>
      </c>
      <c r="S891" s="15" t="str">
        <f>IFERROR(__xludf.DUMMYFUNCTION("""COMPUTED_VALUE"""),"ITN")</f>
        <v>ITN</v>
      </c>
      <c r="T891" s="15" t="str">
        <f>IFERROR(__xludf.DUMMYFUNCTION("""COMPUTED_VALUE"""),"20")</f>
        <v>20</v>
      </c>
      <c r="U891" s="15" t="str">
        <f>IFERROR(__xludf.DUMMYFUNCTION("""COMPUTED_VALUE"""),"266840284 1306325 8177572 l.r.gusso cia ltda trifil cwb 20")</f>
        <v>266840284 1306325 8177572 l.r.gusso cia ltda trifil cwb 20</v>
      </c>
      <c r="V891" s="15" t="b">
        <f>IFERROR(__xludf.DUMMYFUNCTION("""COMPUTED_VALUE"""),FALSE)</f>
        <v>0</v>
      </c>
    </row>
    <row r="892">
      <c r="A892" s="19">
        <f>IFERROR(__xludf.DUMMYFUNCTION("""COMPUTED_VALUE"""),46304.0)</f>
        <v>46304</v>
      </c>
      <c r="B892" s="19">
        <f>IFERROR(__xludf.DUMMYFUNCTION("""COMPUTED_VALUE"""),46316.0)</f>
        <v>46316</v>
      </c>
      <c r="C892" s="15">
        <f>IFERROR(__xludf.DUMMYFUNCTION("""COMPUTED_VALUE"""),7.0)</f>
        <v>7</v>
      </c>
      <c r="D892" s="15" t="str">
        <f>IFERROR(__xludf.DUMMYFUNCTION("""COMPUTED_VALUE"""),"GRU")</f>
        <v>GRU</v>
      </c>
      <c r="E892" s="15" t="str">
        <f>IFERROR(__xludf.DUMMYFUNCTION("""COMPUTED_VALUE"""),"MDBR DA SILVA CALCADOS")</f>
        <v>MDBR DA SILVA CALCADOS</v>
      </c>
      <c r="F892" s="15" t="str">
        <f>IFERROR(__xludf.DUMMYFUNCTION("""COMPUTED_VALUE"""),"TRIFIL")</f>
        <v>TRIFIL</v>
      </c>
      <c r="G892" s="15" t="str">
        <f>IFERROR(__xludf.DUMMYFUNCTION("""COMPUTED_VALUE"""),"266840285")</f>
        <v>266840285</v>
      </c>
      <c r="H892" s="15" t="str">
        <f>IFERROR(__xludf.DUMMYFUNCTION("""COMPUTED_VALUE"""),"1306155")</f>
        <v>1306155</v>
      </c>
      <c r="I892" s="15" t="str">
        <f>IFERROR(__xludf.DUMMYFUNCTION("""COMPUTED_VALUE"""),"8177486")</f>
        <v>8177486</v>
      </c>
      <c r="J892" s="15" t="str">
        <f>IFERROR(__xludf.DUMMYFUNCTION("""COMPUTED_VALUE"""),"CIF")</f>
        <v>CIF</v>
      </c>
      <c r="K892" s="15" t="str">
        <f>IFERROR(__xludf.DUMMYFUNCTION("""COMPUTED_VALUE"""),"(sem célula)")</f>
        <v>(sem célula)</v>
      </c>
      <c r="L892" s="15" t="str">
        <f>IFERROR(__xludf.DUMMYFUNCTION("""COMPUTED_VALUE"""),"AUTORIZADO")</f>
        <v>AUTORIZADO</v>
      </c>
      <c r="M892" s="15" t="str">
        <f>IFERROR(__xludf.DUMMYFUNCTION("""COMPUTED_VALUE"""),"NA ORIGEM")</f>
        <v>NA ORIGEM</v>
      </c>
      <c r="N892" s="15" t="str">
        <f>IFERROR(__xludf.DUMMYFUNCTION("""COMPUTED_VALUE"""),"Antes Prazo")</f>
        <v>Antes Prazo</v>
      </c>
      <c r="O892" s="15" t="str">
        <f>IFERROR(__xludf.DUMMYFUNCTION("""COMPUTED_VALUE"""),"B2B")</f>
        <v>B2B</v>
      </c>
      <c r="P892" s="16">
        <f>IFERROR(__xludf.DUMMYFUNCTION("""COMPUTED_VALUE"""),45.49)</f>
        <v>45.49</v>
      </c>
      <c r="Q892" s="15">
        <f>IFERROR(__xludf.DUMMYFUNCTION("""COMPUTED_VALUE"""),1.0)</f>
        <v>1</v>
      </c>
      <c r="R892" s="15" t="str">
        <f>IFERROR(__xludf.DUMMYFUNCTION("""COMPUTED_VALUE"""),"RODO")</f>
        <v>RODO</v>
      </c>
      <c r="S892" s="15" t="str">
        <f>IFERROR(__xludf.DUMMYFUNCTION("""COMPUTED_VALUE"""),"ITN")</f>
        <v>ITN</v>
      </c>
      <c r="T892" s="15" t="str">
        <f>IFERROR(__xludf.DUMMYFUNCTION("""COMPUTED_VALUE"""),"2810")</f>
        <v>2810</v>
      </c>
      <c r="U892" s="15" t="str">
        <f>IFERROR(__xludf.DUMMYFUNCTION("""COMPUTED_VALUE"""),"266840285 1306155 8177486 mdbr da silva calcados trifil gru 2810")</f>
        <v>266840285 1306155 8177486 mdbr da silva calcados trifil gru 2810</v>
      </c>
      <c r="V892" s="15" t="b">
        <f>IFERROR(__xludf.DUMMYFUNCTION("""COMPUTED_VALUE"""),FALSE)</f>
        <v>0</v>
      </c>
    </row>
    <row r="893">
      <c r="A893" s="19">
        <f>IFERROR(__xludf.DUMMYFUNCTION("""COMPUTED_VALUE"""),46304.0)</f>
        <v>46304</v>
      </c>
      <c r="B893" s="19">
        <f>IFERROR(__xludf.DUMMYFUNCTION("""COMPUTED_VALUE"""),46316.0)</f>
        <v>46316</v>
      </c>
      <c r="C893" s="15">
        <f>IFERROR(__xludf.DUMMYFUNCTION("""COMPUTED_VALUE"""),7.0)</f>
        <v>7</v>
      </c>
      <c r="D893" s="15" t="str">
        <f>IFERROR(__xludf.DUMMYFUNCTION("""COMPUTED_VALUE"""),"CWB")</f>
        <v>CWB</v>
      </c>
      <c r="E893" s="15" t="str">
        <f>IFERROR(__xludf.DUMMYFUNCTION("""COMPUTED_VALUE"""),"M F F COMERCIO DE ROUPAS LTDA")</f>
        <v>M F F COMERCIO DE ROUPAS LTDA</v>
      </c>
      <c r="F893" s="15" t="str">
        <f>IFERROR(__xludf.DUMMYFUNCTION("""COMPUTED_VALUE"""),"TRIFIL")</f>
        <v>TRIFIL</v>
      </c>
      <c r="G893" s="15" t="str">
        <f>IFERROR(__xludf.DUMMYFUNCTION("""COMPUTED_VALUE"""),"266840286")</f>
        <v>266840286</v>
      </c>
      <c r="H893" s="15" t="str">
        <f>IFERROR(__xludf.DUMMYFUNCTION("""COMPUTED_VALUE"""),"1306382")</f>
        <v>1306382</v>
      </c>
      <c r="I893" s="15" t="str">
        <f>IFERROR(__xludf.DUMMYFUNCTION("""COMPUTED_VALUE"""),"8177544")</f>
        <v>8177544</v>
      </c>
      <c r="J893" s="15" t="str">
        <f>IFERROR(__xludf.DUMMYFUNCTION("""COMPUTED_VALUE"""),"CIF")</f>
        <v>CIF</v>
      </c>
      <c r="K893" s="15" t="str">
        <f>IFERROR(__xludf.DUMMYFUNCTION("""COMPUTED_VALUE"""),"FSA-1")</f>
        <v>FSA-1</v>
      </c>
      <c r="L893" s="15" t="str">
        <f>IFERROR(__xludf.DUMMYFUNCTION("""COMPUTED_VALUE"""),"AUTORIZADO")</f>
        <v>AUTORIZADO</v>
      </c>
      <c r="M893" s="15" t="str">
        <f>IFERROR(__xludf.DUMMYFUNCTION("""COMPUTED_VALUE"""),"NA ORIGEM")</f>
        <v>NA ORIGEM</v>
      </c>
      <c r="N893" s="15" t="str">
        <f>IFERROR(__xludf.DUMMYFUNCTION("""COMPUTED_VALUE"""),"Antes Prazo")</f>
        <v>Antes Prazo</v>
      </c>
      <c r="O893" s="15" t="str">
        <f>IFERROR(__xludf.DUMMYFUNCTION("""COMPUTED_VALUE"""),"B2B")</f>
        <v>B2B</v>
      </c>
      <c r="P893" s="16">
        <f>IFERROR(__xludf.DUMMYFUNCTION("""COMPUTED_VALUE"""),47.89)</f>
        <v>47.89</v>
      </c>
      <c r="Q893" s="15">
        <f>IFERROR(__xludf.DUMMYFUNCTION("""COMPUTED_VALUE"""),1.0)</f>
        <v>1</v>
      </c>
      <c r="R893" s="15" t="str">
        <f>IFERROR(__xludf.DUMMYFUNCTION("""COMPUTED_VALUE"""),"RODO")</f>
        <v>RODO</v>
      </c>
      <c r="S893" s="15" t="str">
        <f>IFERROR(__xludf.DUMMYFUNCTION("""COMPUTED_VALUE"""),"ITN")</f>
        <v>ITN</v>
      </c>
      <c r="T893" s="15" t="str">
        <f>IFERROR(__xludf.DUMMYFUNCTION("""COMPUTED_VALUE"""),"19")</f>
        <v>19</v>
      </c>
      <c r="U893" s="15" t="str">
        <f>IFERROR(__xludf.DUMMYFUNCTION("""COMPUTED_VALUE"""),"266840286 1306382 8177544 m f f comercio de roupas ltda trifil cwb 19")</f>
        <v>266840286 1306382 8177544 m f f comercio de roupas ltda trifil cwb 19</v>
      </c>
      <c r="V893" s="15" t="b">
        <f>IFERROR(__xludf.DUMMYFUNCTION("""COMPUTED_VALUE"""),FALSE)</f>
        <v>0</v>
      </c>
    </row>
    <row r="894">
      <c r="A894" s="19">
        <f>IFERROR(__xludf.DUMMYFUNCTION("""COMPUTED_VALUE"""),46304.0)</f>
        <v>46304</v>
      </c>
      <c r="B894" s="19">
        <f>IFERROR(__xludf.DUMMYFUNCTION("""COMPUTED_VALUE"""),46316.0)</f>
        <v>46316</v>
      </c>
      <c r="C894" s="15">
        <f>IFERROR(__xludf.DUMMYFUNCTION("""COMPUTED_VALUE"""),7.0)</f>
        <v>7</v>
      </c>
      <c r="D894" s="15" t="str">
        <f>IFERROR(__xludf.DUMMYFUNCTION("""COMPUTED_VALUE"""),"CWB")</f>
        <v>CWB</v>
      </c>
      <c r="E894" s="15" t="str">
        <f>IFERROR(__xludf.DUMMYFUNCTION("""COMPUTED_VALUE"""),"J.B.S. DREAM S LTDA")</f>
        <v>J.B.S. DREAM S LTDA</v>
      </c>
      <c r="F894" s="15" t="str">
        <f>IFERROR(__xludf.DUMMYFUNCTION("""COMPUTED_VALUE"""),"TRIFIL")</f>
        <v>TRIFIL</v>
      </c>
      <c r="G894" s="15" t="str">
        <f>IFERROR(__xludf.DUMMYFUNCTION("""COMPUTED_VALUE"""),"266840287")</f>
        <v>266840287</v>
      </c>
      <c r="H894" s="15" t="str">
        <f>IFERROR(__xludf.DUMMYFUNCTION("""COMPUTED_VALUE"""),"1306119")</f>
        <v>1306119</v>
      </c>
      <c r="I894" s="15" t="str">
        <f>IFERROR(__xludf.DUMMYFUNCTION("""COMPUTED_VALUE"""),"8177487")</f>
        <v>8177487</v>
      </c>
      <c r="J894" s="15" t="str">
        <f>IFERROR(__xludf.DUMMYFUNCTION("""COMPUTED_VALUE"""),"CIF")</f>
        <v>CIF</v>
      </c>
      <c r="K894" s="15" t="str">
        <f>IFERROR(__xludf.DUMMYFUNCTION("""COMPUTED_VALUE"""),"FSA-1")</f>
        <v>FSA-1</v>
      </c>
      <c r="L894" s="15" t="str">
        <f>IFERROR(__xludf.DUMMYFUNCTION("""COMPUTED_VALUE"""),"AUTORIZADO")</f>
        <v>AUTORIZADO</v>
      </c>
      <c r="M894" s="15" t="str">
        <f>IFERROR(__xludf.DUMMYFUNCTION("""COMPUTED_VALUE"""),"NA ORIGEM")</f>
        <v>NA ORIGEM</v>
      </c>
      <c r="N894" s="15" t="str">
        <f>IFERROR(__xludf.DUMMYFUNCTION("""COMPUTED_VALUE"""),"Antes Prazo")</f>
        <v>Antes Prazo</v>
      </c>
      <c r="O894" s="15" t="str">
        <f>IFERROR(__xludf.DUMMYFUNCTION("""COMPUTED_VALUE"""),"B2B")</f>
        <v>B2B</v>
      </c>
      <c r="P894" s="16">
        <f>IFERROR(__xludf.DUMMYFUNCTION("""COMPUTED_VALUE"""),47.89)</f>
        <v>47.89</v>
      </c>
      <c r="Q894" s="15">
        <f>IFERROR(__xludf.DUMMYFUNCTION("""COMPUTED_VALUE"""),1.0)</f>
        <v>1</v>
      </c>
      <c r="R894" s="15" t="str">
        <f>IFERROR(__xludf.DUMMYFUNCTION("""COMPUTED_VALUE"""),"RODO")</f>
        <v>RODO</v>
      </c>
      <c r="S894" s="15" t="str">
        <f>IFERROR(__xludf.DUMMYFUNCTION("""COMPUTED_VALUE"""),"ITN")</f>
        <v>ITN</v>
      </c>
      <c r="T894" s="15" t="str">
        <f>IFERROR(__xludf.DUMMYFUNCTION("""COMPUTED_VALUE"""),"8")</f>
        <v>8</v>
      </c>
      <c r="U894" s="15" t="str">
        <f>IFERROR(__xludf.DUMMYFUNCTION("""COMPUTED_VALUE"""),"266840287 1306119 8177487 j.b.s. dream s ltda trifil cwb 8")</f>
        <v>266840287 1306119 8177487 j.b.s. dream s ltda trifil cwb 8</v>
      </c>
      <c r="V894" s="15" t="b">
        <f>IFERROR(__xludf.DUMMYFUNCTION("""COMPUTED_VALUE"""),FALSE)</f>
        <v>0</v>
      </c>
    </row>
    <row r="895">
      <c r="A895" s="19">
        <f>IFERROR(__xludf.DUMMYFUNCTION("""COMPUTED_VALUE"""),46304.0)</f>
        <v>46304</v>
      </c>
      <c r="B895" s="19">
        <f>IFERROR(__xludf.DUMMYFUNCTION("""COMPUTED_VALUE"""),46316.0)</f>
        <v>46316</v>
      </c>
      <c r="C895" s="15">
        <f>IFERROR(__xludf.DUMMYFUNCTION("""COMPUTED_VALUE"""),7.0)</f>
        <v>7</v>
      </c>
      <c r="D895" s="15" t="str">
        <f>IFERROR(__xludf.DUMMYFUNCTION("""COMPUTED_VALUE"""),"GRU")</f>
        <v>GRU</v>
      </c>
      <c r="E895" s="15" t="str">
        <f>IFERROR(__xludf.DUMMYFUNCTION("""COMPUTED_VALUE"""),"E. DEPOLE - INTIMATES")</f>
        <v>E. DEPOLE - INTIMATES</v>
      </c>
      <c r="F895" s="15" t="str">
        <f>IFERROR(__xludf.DUMMYFUNCTION("""COMPUTED_VALUE"""),"TRIFIL")</f>
        <v>TRIFIL</v>
      </c>
      <c r="G895" s="15" t="str">
        <f>IFERROR(__xludf.DUMMYFUNCTION("""COMPUTED_VALUE"""),"266840288")</f>
        <v>266840288</v>
      </c>
      <c r="H895" s="15" t="str">
        <f>IFERROR(__xludf.DUMMYFUNCTION("""COMPUTED_VALUE"""),"1306507")</f>
        <v>1306507</v>
      </c>
      <c r="I895" s="15" t="str">
        <f>IFERROR(__xludf.DUMMYFUNCTION("""COMPUTED_VALUE"""),"8177457")</f>
        <v>8177457</v>
      </c>
      <c r="J895" s="15" t="str">
        <f>IFERROR(__xludf.DUMMYFUNCTION("""COMPUTED_VALUE"""),"CIF")</f>
        <v>CIF</v>
      </c>
      <c r="K895" s="15" t="str">
        <f>IFERROR(__xludf.DUMMYFUNCTION("""COMPUTED_VALUE"""),"(sem célula)")</f>
        <v>(sem célula)</v>
      </c>
      <c r="L895" s="15" t="str">
        <f>IFERROR(__xludf.DUMMYFUNCTION("""COMPUTED_VALUE"""),"AUTORIZADO")</f>
        <v>AUTORIZADO</v>
      </c>
      <c r="M895" s="15" t="str">
        <f>IFERROR(__xludf.DUMMYFUNCTION("""COMPUTED_VALUE"""),"NA ORIGEM")</f>
        <v>NA ORIGEM</v>
      </c>
      <c r="N895" s="15" t="str">
        <f>IFERROR(__xludf.DUMMYFUNCTION("""COMPUTED_VALUE"""),"Antes Prazo")</f>
        <v>Antes Prazo</v>
      </c>
      <c r="O895" s="15" t="str">
        <f>IFERROR(__xludf.DUMMYFUNCTION("""COMPUTED_VALUE"""),"B2B")</f>
        <v>B2B</v>
      </c>
      <c r="P895" s="16">
        <f>IFERROR(__xludf.DUMMYFUNCTION("""COMPUTED_VALUE"""),45.49)</f>
        <v>45.49</v>
      </c>
      <c r="Q895" s="15">
        <f>IFERROR(__xludf.DUMMYFUNCTION("""COMPUTED_VALUE"""),1.0)</f>
        <v>1</v>
      </c>
      <c r="R895" s="15" t="str">
        <f>IFERROR(__xludf.DUMMYFUNCTION("""COMPUTED_VALUE"""),"RODO")</f>
        <v>RODO</v>
      </c>
      <c r="S895" s="15" t="str">
        <f>IFERROR(__xludf.DUMMYFUNCTION("""COMPUTED_VALUE"""),"ITN")</f>
        <v>ITN</v>
      </c>
      <c r="T895" s="15" t="str">
        <f>IFERROR(__xludf.DUMMYFUNCTION("""COMPUTED_VALUE"""),"821")</f>
        <v>821</v>
      </c>
      <c r="U895" s="15" t="str">
        <f>IFERROR(__xludf.DUMMYFUNCTION("""COMPUTED_VALUE"""),"266840288 1306507 8177457 e. depole - intimates trifil gru 821")</f>
        <v>266840288 1306507 8177457 e. depole - intimates trifil gru 821</v>
      </c>
      <c r="V895" s="15" t="b">
        <f>IFERROR(__xludf.DUMMYFUNCTION("""COMPUTED_VALUE"""),FALSE)</f>
        <v>0</v>
      </c>
    </row>
    <row r="896">
      <c r="A896" s="19">
        <f>IFERROR(__xludf.DUMMYFUNCTION("""COMPUTED_VALUE"""),46304.0)</f>
        <v>46304</v>
      </c>
      <c r="B896" s="19">
        <f>IFERROR(__xludf.DUMMYFUNCTION("""COMPUTED_VALUE"""),46318.0)</f>
        <v>46318</v>
      </c>
      <c r="C896" s="15">
        <f>IFERROR(__xludf.DUMMYFUNCTION("""COMPUTED_VALUE"""),9.0)</f>
        <v>9</v>
      </c>
      <c r="D896" s="15" t="str">
        <f>IFERROR(__xludf.DUMMYFUNCTION("""COMPUTED_VALUE"""),"CWB")</f>
        <v>CWB</v>
      </c>
      <c r="E896" s="15" t="str">
        <f>IFERROR(__xludf.DUMMYFUNCTION("""COMPUTED_VALUE"""),"LAUDICEIA MACHADO DE JESUS MOREIRA")</f>
        <v>LAUDICEIA MACHADO DE JESUS MOREIRA</v>
      </c>
      <c r="F896" s="15" t="str">
        <f>IFERROR(__xludf.DUMMYFUNCTION("""COMPUTED_VALUE"""),"TRIFIL")</f>
        <v>TRIFIL</v>
      </c>
      <c r="G896" s="15" t="str">
        <f>IFERROR(__xludf.DUMMYFUNCTION("""COMPUTED_VALUE"""),"266840289")</f>
        <v>266840289</v>
      </c>
      <c r="H896" s="15" t="str">
        <f>IFERROR(__xludf.DUMMYFUNCTION("""COMPUTED_VALUE"""),"1306286, 1306287")</f>
        <v>1306286, 1306287</v>
      </c>
      <c r="I896" s="15" t="str">
        <f>IFERROR(__xludf.DUMMYFUNCTION("""COMPUTED_VALUE"""),"8177545")</f>
        <v>8177545</v>
      </c>
      <c r="J896" s="15" t="str">
        <f>IFERROR(__xludf.DUMMYFUNCTION("""COMPUTED_VALUE"""),"CIF")</f>
        <v>CIF</v>
      </c>
      <c r="K896" s="15" t="str">
        <f>IFERROR(__xludf.DUMMYFUNCTION("""COMPUTED_VALUE"""),"FSA-1")</f>
        <v>FSA-1</v>
      </c>
      <c r="L896" s="15" t="str">
        <f>IFERROR(__xludf.DUMMYFUNCTION("""COMPUTED_VALUE"""),"AUTORIZADO")</f>
        <v>AUTORIZADO</v>
      </c>
      <c r="M896" s="15" t="str">
        <f>IFERROR(__xludf.DUMMYFUNCTION("""COMPUTED_VALUE"""),"NA ORIGEM")</f>
        <v>NA ORIGEM</v>
      </c>
      <c r="N896" s="15" t="str">
        <f>IFERROR(__xludf.DUMMYFUNCTION("""COMPUTED_VALUE"""),"Antes Prazo")</f>
        <v>Antes Prazo</v>
      </c>
      <c r="O896" s="15" t="str">
        <f>IFERROR(__xludf.DUMMYFUNCTION("""COMPUTED_VALUE"""),"B2B")</f>
        <v>B2B</v>
      </c>
      <c r="P896" s="16">
        <f>IFERROR(__xludf.DUMMYFUNCTION("""COMPUTED_VALUE"""),60.6)</f>
        <v>60.6</v>
      </c>
      <c r="Q896" s="15">
        <f>IFERROR(__xludf.DUMMYFUNCTION("""COMPUTED_VALUE"""),6.0)</f>
        <v>6</v>
      </c>
      <c r="R896" s="15" t="str">
        <f>IFERROR(__xludf.DUMMYFUNCTION("""COMPUTED_VALUE"""),"RODO")</f>
        <v>RODO</v>
      </c>
      <c r="S896" s="15" t="str">
        <f>IFERROR(__xludf.DUMMYFUNCTION("""COMPUTED_VALUE"""),"ITN")</f>
        <v>ITN</v>
      </c>
      <c r="T896" s="15" t="str">
        <f>IFERROR(__xludf.DUMMYFUNCTION("""COMPUTED_VALUE"""),"104")</f>
        <v>104</v>
      </c>
      <c r="U896" s="15" t="str">
        <f>IFERROR(__xludf.DUMMYFUNCTION("""COMPUTED_VALUE"""),"266840289 1306286, 1306287 8177545 laudiceia machado de jesus moreira trifil cwb 104")</f>
        <v>266840289 1306286, 1306287 8177545 laudiceia machado de jesus moreira trifil cwb 104</v>
      </c>
      <c r="V896" s="15" t="b">
        <f>IFERROR(__xludf.DUMMYFUNCTION("""COMPUTED_VALUE"""),FALSE)</f>
        <v>0</v>
      </c>
    </row>
    <row r="897">
      <c r="A897" s="19">
        <f>IFERROR(__xludf.DUMMYFUNCTION("""COMPUTED_VALUE"""),46304.0)</f>
        <v>46304</v>
      </c>
      <c r="B897" s="19">
        <f>IFERROR(__xludf.DUMMYFUNCTION("""COMPUTED_VALUE"""),46323.0)</f>
        <v>46323</v>
      </c>
      <c r="C897" s="15">
        <f>IFERROR(__xludf.DUMMYFUNCTION("""COMPUTED_VALUE"""),12.0)</f>
        <v>12</v>
      </c>
      <c r="D897" s="15" t="str">
        <f>IFERROR(__xludf.DUMMYFUNCTION("""COMPUTED_VALUE"""),"PGZ")</f>
        <v>PGZ</v>
      </c>
      <c r="E897" s="15" t="str">
        <f>IFERROR(__xludf.DUMMYFUNCTION("""COMPUTED_VALUE"""),"MANFRON CENTER")</f>
        <v>MANFRON CENTER</v>
      </c>
      <c r="F897" s="15" t="str">
        <f>IFERROR(__xludf.DUMMYFUNCTION("""COMPUTED_VALUE"""),"TRIFIL")</f>
        <v>TRIFIL</v>
      </c>
      <c r="G897" s="15" t="str">
        <f>IFERROR(__xludf.DUMMYFUNCTION("""COMPUTED_VALUE"""),"266840290")</f>
        <v>266840290</v>
      </c>
      <c r="H897" s="15" t="str">
        <f>IFERROR(__xludf.DUMMYFUNCTION("""COMPUTED_VALUE"""),"1306243")</f>
        <v>1306243</v>
      </c>
      <c r="I897" s="15" t="str">
        <f>IFERROR(__xludf.DUMMYFUNCTION("""COMPUTED_VALUE"""),"8177546")</f>
        <v>8177546</v>
      </c>
      <c r="J897" s="15" t="str">
        <f>IFERROR(__xludf.DUMMYFUNCTION("""COMPUTED_VALUE"""),"CIF")</f>
        <v>CIF</v>
      </c>
      <c r="K897" s="15" t="str">
        <f>IFERROR(__xludf.DUMMYFUNCTION("""COMPUTED_VALUE"""),"FSA-1")</f>
        <v>FSA-1</v>
      </c>
      <c r="L897" s="15" t="str">
        <f>IFERROR(__xludf.DUMMYFUNCTION("""COMPUTED_VALUE"""),"AUTORIZADO")</f>
        <v>AUTORIZADO</v>
      </c>
      <c r="M897" s="15" t="str">
        <f>IFERROR(__xludf.DUMMYFUNCTION("""COMPUTED_VALUE"""),"NA ORIGEM")</f>
        <v>NA ORIGEM</v>
      </c>
      <c r="N897" s="15" t="str">
        <f>IFERROR(__xludf.DUMMYFUNCTION("""COMPUTED_VALUE"""),"Antes Prazo")</f>
        <v>Antes Prazo</v>
      </c>
      <c r="O897" s="15" t="str">
        <f>IFERROR(__xludf.DUMMYFUNCTION("""COMPUTED_VALUE"""),"B2B")</f>
        <v>B2B</v>
      </c>
      <c r="P897" s="16">
        <f>IFERROR(__xludf.DUMMYFUNCTION("""COMPUTED_VALUE"""),53.7)</f>
        <v>53.7</v>
      </c>
      <c r="Q897" s="15">
        <f>IFERROR(__xludf.DUMMYFUNCTION("""COMPUTED_VALUE"""),1.0)</f>
        <v>1</v>
      </c>
      <c r="R897" s="15" t="str">
        <f>IFERROR(__xludf.DUMMYFUNCTION("""COMPUTED_VALUE"""),"RODO")</f>
        <v>RODO</v>
      </c>
      <c r="S897" s="15" t="str">
        <f>IFERROR(__xludf.DUMMYFUNCTION("""COMPUTED_VALUE"""),"ITN")</f>
        <v>ITN</v>
      </c>
      <c r="T897" s="15" t="str">
        <f>IFERROR(__xludf.DUMMYFUNCTION("""COMPUTED_VALUE"""),"104")</f>
        <v>104</v>
      </c>
      <c r="U897" s="15" t="str">
        <f>IFERROR(__xludf.DUMMYFUNCTION("""COMPUTED_VALUE"""),"266840290 1306243 8177546 manfron center trifil pgz 104")</f>
        <v>266840290 1306243 8177546 manfron center trifil pgz 104</v>
      </c>
      <c r="V897" s="15" t="b">
        <f>IFERROR(__xludf.DUMMYFUNCTION("""COMPUTED_VALUE"""),FALSE)</f>
        <v>0</v>
      </c>
    </row>
    <row r="898">
      <c r="A898" s="19">
        <f>IFERROR(__xludf.DUMMYFUNCTION("""COMPUTED_VALUE"""),46304.0)</f>
        <v>46304</v>
      </c>
      <c r="B898" s="19">
        <f>IFERROR(__xludf.DUMMYFUNCTION("""COMPUTED_VALUE"""),46323.0)</f>
        <v>46323</v>
      </c>
      <c r="C898" s="15">
        <f>IFERROR(__xludf.DUMMYFUNCTION("""COMPUTED_VALUE"""),12.0)</f>
        <v>12</v>
      </c>
      <c r="D898" s="15" t="str">
        <f>IFERROR(__xludf.DUMMYFUNCTION("""COMPUTED_VALUE"""),"CAC")</f>
        <v>CAC</v>
      </c>
      <c r="E898" s="15" t="str">
        <f>IFERROR(__xludf.DUMMYFUNCTION("""COMPUTED_VALUE"""),"FRANCINI GOBETTI SCHAFRANSKI 06685086980")</f>
        <v>FRANCINI GOBETTI SCHAFRANSKI 06685086980</v>
      </c>
      <c r="F898" s="15" t="str">
        <f>IFERROR(__xludf.DUMMYFUNCTION("""COMPUTED_VALUE"""),"TRIFIL")</f>
        <v>TRIFIL</v>
      </c>
      <c r="G898" s="15" t="str">
        <f>IFERROR(__xludf.DUMMYFUNCTION("""COMPUTED_VALUE"""),"266840291")</f>
        <v>266840291</v>
      </c>
      <c r="H898" s="15" t="str">
        <f>IFERROR(__xludf.DUMMYFUNCTION("""COMPUTED_VALUE"""),"1306144")</f>
        <v>1306144</v>
      </c>
      <c r="I898" s="15" t="str">
        <f>IFERROR(__xludf.DUMMYFUNCTION("""COMPUTED_VALUE"""),"8177488")</f>
        <v>8177488</v>
      </c>
      <c r="J898" s="15" t="str">
        <f>IFERROR(__xludf.DUMMYFUNCTION("""COMPUTED_VALUE"""),"CIF")</f>
        <v>CIF</v>
      </c>
      <c r="K898" s="15" t="str">
        <f>IFERROR(__xludf.DUMMYFUNCTION("""COMPUTED_VALUE"""),"FSA-1")</f>
        <v>FSA-1</v>
      </c>
      <c r="L898" s="15" t="str">
        <f>IFERROR(__xludf.DUMMYFUNCTION("""COMPUTED_VALUE"""),"ERRO")</f>
        <v>ERRO</v>
      </c>
      <c r="M898" s="15" t="str">
        <f>IFERROR(__xludf.DUMMYFUNCTION("""COMPUTED_VALUE"""),"NA ORIGEM")</f>
        <v>NA ORIGEM</v>
      </c>
      <c r="N898" s="15" t="str">
        <f>IFERROR(__xludf.DUMMYFUNCTION("""COMPUTED_VALUE"""),"Antes Prazo")</f>
        <v>Antes Prazo</v>
      </c>
      <c r="O898" s="15" t="str">
        <f>IFERROR(__xludf.DUMMYFUNCTION("""COMPUTED_VALUE"""),"B2B")</f>
        <v>B2B</v>
      </c>
      <c r="P898" s="16">
        <f>IFERROR(__xludf.DUMMYFUNCTION("""COMPUTED_VALUE"""),53.7)</f>
        <v>53.7</v>
      </c>
      <c r="Q898" s="15">
        <f>IFERROR(__xludf.DUMMYFUNCTION("""COMPUTED_VALUE"""),1.0)</f>
        <v>1</v>
      </c>
      <c r="R898" s="15" t="str">
        <f>IFERROR(__xludf.DUMMYFUNCTION("""COMPUTED_VALUE"""),"RODO")</f>
        <v>RODO</v>
      </c>
      <c r="S898" s="15" t="str">
        <f>IFERROR(__xludf.DUMMYFUNCTION("""COMPUTED_VALUE"""),"ITN")</f>
        <v>ITN</v>
      </c>
      <c r="T898" s="15" t="str">
        <f>IFERROR(__xludf.DUMMYFUNCTION("""COMPUTED_VALUE"""),"106")</f>
        <v>106</v>
      </c>
      <c r="U898" s="15" t="str">
        <f>IFERROR(__xludf.DUMMYFUNCTION("""COMPUTED_VALUE"""),"266840291 1306144 8177488 francini gobetti schafranski 06685086980 trifil cac 106")</f>
        <v>266840291 1306144 8177488 francini gobetti schafranski 06685086980 trifil cac 106</v>
      </c>
      <c r="V898" s="15" t="b">
        <f>IFERROR(__xludf.DUMMYFUNCTION("""COMPUTED_VALUE"""),FALSE)</f>
        <v>0</v>
      </c>
    </row>
    <row r="899">
      <c r="A899" s="19">
        <f>IFERROR(__xludf.DUMMYFUNCTION("""COMPUTED_VALUE"""),46304.0)</f>
        <v>46304</v>
      </c>
      <c r="B899" s="19">
        <f>IFERROR(__xludf.DUMMYFUNCTION("""COMPUTED_VALUE"""),46322.0)</f>
        <v>46322</v>
      </c>
      <c r="C899" s="15">
        <f>IFERROR(__xludf.DUMMYFUNCTION("""COMPUTED_VALUE"""),11.0)</f>
        <v>11</v>
      </c>
      <c r="D899" s="15" t="str">
        <f>IFERROR(__xludf.DUMMYFUNCTION("""COMPUTED_VALUE"""),"CHP")</f>
        <v>CHP</v>
      </c>
      <c r="E899" s="15" t="str">
        <f>IFERROR(__xludf.DUMMYFUNCTION("""COMPUTED_VALUE"""),"LOJAO CESARVANN")</f>
        <v>LOJAO CESARVANN</v>
      </c>
      <c r="F899" s="15" t="str">
        <f>IFERROR(__xludf.DUMMYFUNCTION("""COMPUTED_VALUE"""),"TRIFIL")</f>
        <v>TRIFIL</v>
      </c>
      <c r="G899" s="15" t="str">
        <f>IFERROR(__xludf.DUMMYFUNCTION("""COMPUTED_VALUE"""),"266840292")</f>
        <v>266840292</v>
      </c>
      <c r="H899" s="15" t="str">
        <f>IFERROR(__xludf.DUMMYFUNCTION("""COMPUTED_VALUE"""),"1306244")</f>
        <v>1306244</v>
      </c>
      <c r="I899" s="15" t="str">
        <f>IFERROR(__xludf.DUMMYFUNCTION("""COMPUTED_VALUE"""),"8177489")</f>
        <v>8177489</v>
      </c>
      <c r="J899" s="15" t="str">
        <f>IFERROR(__xludf.DUMMYFUNCTION("""COMPUTED_VALUE"""),"CIF")</f>
        <v>CIF</v>
      </c>
      <c r="K899" s="15" t="str">
        <f>IFERROR(__xludf.DUMMYFUNCTION("""COMPUTED_VALUE"""),"(sem célula)")</f>
        <v>(sem célula)</v>
      </c>
      <c r="L899" s="15" t="str">
        <f>IFERROR(__xludf.DUMMYFUNCTION("""COMPUTED_VALUE"""),"AUTORIZADO")</f>
        <v>AUTORIZADO</v>
      </c>
      <c r="M899" s="15" t="str">
        <f>IFERROR(__xludf.DUMMYFUNCTION("""COMPUTED_VALUE"""),"NA ORIGEM")</f>
        <v>NA ORIGEM</v>
      </c>
      <c r="N899" s="15" t="str">
        <f>IFERROR(__xludf.DUMMYFUNCTION("""COMPUTED_VALUE"""),"Antes Prazo")</f>
        <v>Antes Prazo</v>
      </c>
      <c r="O899" s="15" t="str">
        <f>IFERROR(__xludf.DUMMYFUNCTION("""COMPUTED_VALUE"""),"B2B")</f>
        <v>B2B</v>
      </c>
      <c r="P899" s="16">
        <f>IFERROR(__xludf.DUMMYFUNCTION("""COMPUTED_VALUE"""),53.7)</f>
        <v>53.7</v>
      </c>
      <c r="Q899" s="15">
        <f>IFERROR(__xludf.DUMMYFUNCTION("""COMPUTED_VALUE"""),1.0)</f>
        <v>1</v>
      </c>
      <c r="R899" s="15" t="str">
        <f>IFERROR(__xludf.DUMMYFUNCTION("""COMPUTED_VALUE"""),"RODO")</f>
        <v>RODO</v>
      </c>
      <c r="S899" s="15" t="str">
        <f>IFERROR(__xludf.DUMMYFUNCTION("""COMPUTED_VALUE"""),"ITN")</f>
        <v>ITN</v>
      </c>
      <c r="T899" s="15" t="str">
        <f>IFERROR(__xludf.DUMMYFUNCTION("""COMPUTED_VALUE"""),"1021")</f>
        <v>1021</v>
      </c>
      <c r="U899" s="15" t="str">
        <f>IFERROR(__xludf.DUMMYFUNCTION("""COMPUTED_VALUE"""),"266840292 1306244 8177489 lojao cesarvann trifil chp 1021")</f>
        <v>266840292 1306244 8177489 lojao cesarvann trifil chp 1021</v>
      </c>
      <c r="V899" s="15" t="b">
        <f>IFERROR(__xludf.DUMMYFUNCTION("""COMPUTED_VALUE"""),FALSE)</f>
        <v>0</v>
      </c>
    </row>
    <row r="900">
      <c r="A900" s="19">
        <f>IFERROR(__xludf.DUMMYFUNCTION("""COMPUTED_VALUE"""),46304.0)</f>
        <v>46304</v>
      </c>
      <c r="B900" s="19">
        <f>IFERROR(__xludf.DUMMYFUNCTION("""COMPUTED_VALUE"""),46321.0)</f>
        <v>46321</v>
      </c>
      <c r="C900" s="15">
        <f>IFERROR(__xludf.DUMMYFUNCTION("""COMPUTED_VALUE"""),10.0)</f>
        <v>10</v>
      </c>
      <c r="D900" s="15" t="str">
        <f>IFERROR(__xludf.DUMMYFUNCTION("""COMPUTED_VALUE"""),"LDB")</f>
        <v>LDB</v>
      </c>
      <c r="E900" s="15" t="str">
        <f>IFERROR(__xludf.DUMMYFUNCTION("""COMPUTED_VALUE"""),"MARCIA IZABEL MORA ME")</f>
        <v>MARCIA IZABEL MORA ME</v>
      </c>
      <c r="F900" s="15" t="str">
        <f>IFERROR(__xludf.DUMMYFUNCTION("""COMPUTED_VALUE"""),"TRIFIL")</f>
        <v>TRIFIL</v>
      </c>
      <c r="G900" s="15" t="str">
        <f>IFERROR(__xludf.DUMMYFUNCTION("""COMPUTED_VALUE"""),"266840294")</f>
        <v>266840294</v>
      </c>
      <c r="H900" s="15" t="str">
        <f>IFERROR(__xludf.DUMMYFUNCTION("""COMPUTED_VALUE"""),"1306136")</f>
        <v>1306136</v>
      </c>
      <c r="I900" s="15" t="str">
        <f>IFERROR(__xludf.DUMMYFUNCTION("""COMPUTED_VALUE"""),"8177490")</f>
        <v>8177490</v>
      </c>
      <c r="J900" s="15" t="str">
        <f>IFERROR(__xludf.DUMMYFUNCTION("""COMPUTED_VALUE"""),"CIF")</f>
        <v>CIF</v>
      </c>
      <c r="K900" s="15" t="str">
        <f>IFERROR(__xludf.DUMMYFUNCTION("""COMPUTED_VALUE"""),"SAO-1")</f>
        <v>SAO-1</v>
      </c>
      <c r="L900" s="15" t="str">
        <f>IFERROR(__xludf.DUMMYFUNCTION("""COMPUTED_VALUE"""),"AUTORIZADO")</f>
        <v>AUTORIZADO</v>
      </c>
      <c r="M900" s="15" t="str">
        <f>IFERROR(__xludf.DUMMYFUNCTION("""COMPUTED_VALUE"""),"NA ORIGEM")</f>
        <v>NA ORIGEM</v>
      </c>
      <c r="N900" s="15" t="str">
        <f>IFERROR(__xludf.DUMMYFUNCTION("""COMPUTED_VALUE"""),"Antes Prazo")</f>
        <v>Antes Prazo</v>
      </c>
      <c r="O900" s="15" t="str">
        <f>IFERROR(__xludf.DUMMYFUNCTION("""COMPUTED_VALUE"""),"B2B")</f>
        <v>B2B</v>
      </c>
      <c r="P900" s="16">
        <f>IFERROR(__xludf.DUMMYFUNCTION("""COMPUTED_VALUE"""),53.7)</f>
        <v>53.7</v>
      </c>
      <c r="Q900" s="15">
        <f>IFERROR(__xludf.DUMMYFUNCTION("""COMPUTED_VALUE"""),2.0)</f>
        <v>2</v>
      </c>
      <c r="R900" s="15" t="str">
        <f>IFERROR(__xludf.DUMMYFUNCTION("""COMPUTED_VALUE"""),"RODO")</f>
        <v>RODO</v>
      </c>
      <c r="S900" s="15" t="str">
        <f>IFERROR(__xludf.DUMMYFUNCTION("""COMPUTED_VALUE"""),"ITN")</f>
        <v>ITN</v>
      </c>
      <c r="T900" s="15" t="str">
        <f>IFERROR(__xludf.DUMMYFUNCTION("""COMPUTED_VALUE"""),"105")</f>
        <v>105</v>
      </c>
      <c r="U900" s="15" t="str">
        <f>IFERROR(__xludf.DUMMYFUNCTION("""COMPUTED_VALUE"""),"266840294 1306136 8177490 marcia izabel mora me trifil ldb 105")</f>
        <v>266840294 1306136 8177490 marcia izabel mora me trifil ldb 105</v>
      </c>
      <c r="V900" s="15" t="b">
        <f>IFERROR(__xludf.DUMMYFUNCTION("""COMPUTED_VALUE"""),FALSE)</f>
        <v>0</v>
      </c>
    </row>
    <row r="901">
      <c r="A901" s="19">
        <f>IFERROR(__xludf.DUMMYFUNCTION("""COMPUTED_VALUE"""),46304.0)</f>
        <v>46304</v>
      </c>
      <c r="B901" s="19">
        <f>IFERROR(__xludf.DUMMYFUNCTION("""COMPUTED_VALUE"""),46321.0)</f>
        <v>46321</v>
      </c>
      <c r="C901" s="15">
        <f>IFERROR(__xludf.DUMMYFUNCTION("""COMPUTED_VALUE"""),10.0)</f>
        <v>10</v>
      </c>
      <c r="D901" s="15" t="str">
        <f>IFERROR(__xludf.DUMMYFUNCTION("""COMPUTED_VALUE"""),"ITJ")</f>
        <v>ITJ</v>
      </c>
      <c r="E901" s="15" t="str">
        <f>IFERROR(__xludf.DUMMYFUNCTION("""COMPUTED_VALUE"""),"SUPERMERCADOS ARCHER S/A")</f>
        <v>SUPERMERCADOS ARCHER S/A</v>
      </c>
      <c r="F901" s="15" t="str">
        <f>IFERROR(__xludf.DUMMYFUNCTION("""COMPUTED_VALUE"""),"TRIFIL")</f>
        <v>TRIFIL</v>
      </c>
      <c r="G901" s="15" t="str">
        <f>IFERROR(__xludf.DUMMYFUNCTION("""COMPUTED_VALUE"""),"266840296")</f>
        <v>266840296</v>
      </c>
      <c r="H901" s="15" t="str">
        <f>IFERROR(__xludf.DUMMYFUNCTION("""COMPUTED_VALUE"""),"1306503")</f>
        <v>1306503</v>
      </c>
      <c r="I901" s="15" t="str">
        <f>IFERROR(__xludf.DUMMYFUNCTION("""COMPUTED_VALUE"""),"8177411")</f>
        <v>8177411</v>
      </c>
      <c r="J901" s="15" t="str">
        <f>IFERROR(__xludf.DUMMYFUNCTION("""COMPUTED_VALUE"""),"CIF")</f>
        <v>CIF</v>
      </c>
      <c r="K901" s="15" t="str">
        <f>IFERROR(__xludf.DUMMYFUNCTION("""COMPUTED_VALUE"""),"FSA-1")</f>
        <v>FSA-1</v>
      </c>
      <c r="L901" s="15" t="str">
        <f>IFERROR(__xludf.DUMMYFUNCTION("""COMPUTED_VALUE"""),"AUTORIZADO")</f>
        <v>AUTORIZADO</v>
      </c>
      <c r="M901" s="15" t="str">
        <f>IFERROR(__xludf.DUMMYFUNCTION("""COMPUTED_VALUE"""),"NA ORIGEM")</f>
        <v>NA ORIGEM</v>
      </c>
      <c r="N901" s="15" t="str">
        <f>IFERROR(__xludf.DUMMYFUNCTION("""COMPUTED_VALUE"""),"Antes Prazo")</f>
        <v>Antes Prazo</v>
      </c>
      <c r="O901" s="15" t="str">
        <f>IFERROR(__xludf.DUMMYFUNCTION("""COMPUTED_VALUE"""),"B2B")</f>
        <v>B2B</v>
      </c>
      <c r="P901" s="16">
        <f>IFERROR(__xludf.DUMMYFUNCTION("""COMPUTED_VALUE"""),60.93)</f>
        <v>60.93</v>
      </c>
      <c r="Q901" s="15">
        <f>IFERROR(__xludf.DUMMYFUNCTION("""COMPUTED_VALUE"""),1.0)</f>
        <v>1</v>
      </c>
      <c r="R901" s="15" t="str">
        <f>IFERROR(__xludf.DUMMYFUNCTION("""COMPUTED_VALUE"""),"RODO")</f>
        <v>RODO</v>
      </c>
      <c r="S901" s="15" t="str">
        <f>IFERROR(__xludf.DUMMYFUNCTION("""COMPUTED_VALUE"""),"ITN")</f>
        <v>ITN</v>
      </c>
      <c r="T901" s="15" t="str">
        <f>IFERROR(__xludf.DUMMYFUNCTION("""COMPUTED_VALUE"""),"106")</f>
        <v>106</v>
      </c>
      <c r="U901" s="15" t="str">
        <f>IFERROR(__xludf.DUMMYFUNCTION("""COMPUTED_VALUE"""),"266840296 1306503 8177411 supermercados archer s/a trifil itj 106")</f>
        <v>266840296 1306503 8177411 supermercados archer s/a trifil itj 106</v>
      </c>
      <c r="V901" s="15" t="b">
        <f>IFERROR(__xludf.DUMMYFUNCTION("""COMPUTED_VALUE"""),FALSE)</f>
        <v>0</v>
      </c>
    </row>
    <row r="902">
      <c r="A902" s="19">
        <f>IFERROR(__xludf.DUMMYFUNCTION("""COMPUTED_VALUE"""),46304.0)</f>
        <v>46304</v>
      </c>
      <c r="B902" s="19">
        <f>IFERROR(__xludf.DUMMYFUNCTION("""COMPUTED_VALUE"""),46321.0)</f>
        <v>46321</v>
      </c>
      <c r="C902" s="15">
        <f>IFERROR(__xludf.DUMMYFUNCTION("""COMPUTED_VALUE"""),10.0)</f>
        <v>10</v>
      </c>
      <c r="D902" s="15" t="str">
        <f>IFERROR(__xludf.DUMMYFUNCTION("""COMPUTED_VALUE"""),"CCM")</f>
        <v>CCM</v>
      </c>
      <c r="E902" s="15" t="str">
        <f>IFERROR(__xludf.DUMMYFUNCTION("""COMPUTED_VALUE"""),"DEISI DA SILVA MARTINS EIRELI")</f>
        <v>DEISI DA SILVA MARTINS EIRELI</v>
      </c>
      <c r="F902" s="15" t="str">
        <f>IFERROR(__xludf.DUMMYFUNCTION("""COMPUTED_VALUE"""),"TRIFIL")</f>
        <v>TRIFIL</v>
      </c>
      <c r="G902" s="15" t="str">
        <f>IFERROR(__xludf.DUMMYFUNCTION("""COMPUTED_VALUE"""),"266840297")</f>
        <v>266840297</v>
      </c>
      <c r="H902" s="15" t="str">
        <f>IFERROR(__xludf.DUMMYFUNCTION("""COMPUTED_VALUE"""),"1306480")</f>
        <v>1306480</v>
      </c>
      <c r="I902" s="15" t="str">
        <f>IFERROR(__xludf.DUMMYFUNCTION("""COMPUTED_VALUE"""),"8177412")</f>
        <v>8177412</v>
      </c>
      <c r="J902" s="15" t="str">
        <f>IFERROR(__xludf.DUMMYFUNCTION("""COMPUTED_VALUE"""),"CIF")</f>
        <v>CIF</v>
      </c>
      <c r="K902" s="15" t="str">
        <f>IFERROR(__xludf.DUMMYFUNCTION("""COMPUTED_VALUE"""),"FSA-1")</f>
        <v>FSA-1</v>
      </c>
      <c r="L902" s="15" t="str">
        <f>IFERROR(__xludf.DUMMYFUNCTION("""COMPUTED_VALUE"""),"AUTORIZADO")</f>
        <v>AUTORIZADO</v>
      </c>
      <c r="M902" s="15" t="str">
        <f>IFERROR(__xludf.DUMMYFUNCTION("""COMPUTED_VALUE"""),"NA ORIGEM")</f>
        <v>NA ORIGEM</v>
      </c>
      <c r="N902" s="15" t="str">
        <f>IFERROR(__xludf.DUMMYFUNCTION("""COMPUTED_VALUE"""),"Antes Prazo")</f>
        <v>Antes Prazo</v>
      </c>
      <c r="O902" s="15" t="str">
        <f>IFERROR(__xludf.DUMMYFUNCTION("""COMPUTED_VALUE"""),"B2B")</f>
        <v>B2B</v>
      </c>
      <c r="P902" s="16">
        <f>IFERROR(__xludf.DUMMYFUNCTION("""COMPUTED_VALUE"""),60.93)</f>
        <v>60.93</v>
      </c>
      <c r="Q902" s="15">
        <f>IFERROR(__xludf.DUMMYFUNCTION("""COMPUTED_VALUE"""),1.0)</f>
        <v>1</v>
      </c>
      <c r="R902" s="15" t="str">
        <f>IFERROR(__xludf.DUMMYFUNCTION("""COMPUTED_VALUE"""),"RODO")</f>
        <v>RODO</v>
      </c>
      <c r="S902" s="15" t="str">
        <f>IFERROR(__xludf.DUMMYFUNCTION("""COMPUTED_VALUE"""),"ITN")</f>
        <v>ITN</v>
      </c>
      <c r="T902" s="15" t="str">
        <f>IFERROR(__xludf.DUMMYFUNCTION("""COMPUTED_VALUE"""),"103")</f>
        <v>103</v>
      </c>
      <c r="U902" s="15" t="str">
        <f>IFERROR(__xludf.DUMMYFUNCTION("""COMPUTED_VALUE"""),"266840297 1306480 8177412 deisi da silva martins eireli trifil ccm 103")</f>
        <v>266840297 1306480 8177412 deisi da silva martins eireli trifil ccm 103</v>
      </c>
      <c r="V902" s="15" t="b">
        <f>IFERROR(__xludf.DUMMYFUNCTION("""COMPUTED_VALUE"""),FALSE)</f>
        <v>0</v>
      </c>
    </row>
    <row r="903">
      <c r="A903" s="19">
        <f>IFERROR(__xludf.DUMMYFUNCTION("""COMPUTED_VALUE"""),46304.0)</f>
        <v>46304</v>
      </c>
      <c r="B903" s="19">
        <f>IFERROR(__xludf.DUMMYFUNCTION("""COMPUTED_VALUE"""),46318.0)</f>
        <v>46318</v>
      </c>
      <c r="C903" s="15">
        <f>IFERROR(__xludf.DUMMYFUNCTION("""COMPUTED_VALUE"""),9.0)</f>
        <v>9</v>
      </c>
      <c r="D903" s="15" t="str">
        <f>IFERROR(__xludf.DUMMYFUNCTION("""COMPUTED_VALUE"""),"CCM")</f>
        <v>CCM</v>
      </c>
      <c r="E903" s="15" t="str">
        <f>IFERROR(__xludf.DUMMYFUNCTION("""COMPUTED_VALUE"""),"SCARPAN CALCADOS LTDA ME - 10832")</f>
        <v>SCARPAN CALCADOS LTDA ME - 10832</v>
      </c>
      <c r="F903" s="15" t="str">
        <f>IFERROR(__xludf.DUMMYFUNCTION("""COMPUTED_VALUE"""),"TRIFIL")</f>
        <v>TRIFIL</v>
      </c>
      <c r="G903" s="15" t="str">
        <f>IFERROR(__xludf.DUMMYFUNCTION("""COMPUTED_VALUE"""),"266840299")</f>
        <v>266840299</v>
      </c>
      <c r="H903" s="15" t="str">
        <f>IFERROR(__xludf.DUMMYFUNCTION("""COMPUTED_VALUE"""),"1306397")</f>
        <v>1306397</v>
      </c>
      <c r="I903" s="15" t="str">
        <f>IFERROR(__xludf.DUMMYFUNCTION("""COMPUTED_VALUE"""),"8177547")</f>
        <v>8177547</v>
      </c>
      <c r="J903" s="15" t="str">
        <f>IFERROR(__xludf.DUMMYFUNCTION("""COMPUTED_VALUE"""),"CIF")</f>
        <v>CIF</v>
      </c>
      <c r="K903" s="15" t="str">
        <f>IFERROR(__xludf.DUMMYFUNCTION("""COMPUTED_VALUE"""),"FSA-1")</f>
        <v>FSA-1</v>
      </c>
      <c r="L903" s="15" t="str">
        <f>IFERROR(__xludf.DUMMYFUNCTION("""COMPUTED_VALUE"""),"AUTORIZADO")</f>
        <v>AUTORIZADO</v>
      </c>
      <c r="M903" s="15" t="str">
        <f>IFERROR(__xludf.DUMMYFUNCTION("""COMPUTED_VALUE"""),"NA ORIGEM")</f>
        <v>NA ORIGEM</v>
      </c>
      <c r="N903" s="15" t="str">
        <f>IFERROR(__xludf.DUMMYFUNCTION("""COMPUTED_VALUE"""),"Antes Prazo")</f>
        <v>Antes Prazo</v>
      </c>
      <c r="O903" s="15" t="str">
        <f>IFERROR(__xludf.DUMMYFUNCTION("""COMPUTED_VALUE"""),"B2B")</f>
        <v>B2B</v>
      </c>
      <c r="P903" s="16">
        <f>IFERROR(__xludf.DUMMYFUNCTION("""COMPUTED_VALUE"""),54.19)</f>
        <v>54.19</v>
      </c>
      <c r="Q903" s="15">
        <f>IFERROR(__xludf.DUMMYFUNCTION("""COMPUTED_VALUE"""),1.0)</f>
        <v>1</v>
      </c>
      <c r="R903" s="15" t="str">
        <f>IFERROR(__xludf.DUMMYFUNCTION("""COMPUTED_VALUE"""),"RODO")</f>
        <v>RODO</v>
      </c>
      <c r="S903" s="15" t="str">
        <f>IFERROR(__xludf.DUMMYFUNCTION("""COMPUTED_VALUE"""),"ITN")</f>
        <v>ITN</v>
      </c>
      <c r="T903" s="15" t="str">
        <f>IFERROR(__xludf.DUMMYFUNCTION("""COMPUTED_VALUE"""),"2")</f>
        <v>2</v>
      </c>
      <c r="U903" s="15" t="str">
        <f>IFERROR(__xludf.DUMMYFUNCTION("""COMPUTED_VALUE"""),"266840299 1306397 8177547 scarpan calcados ltda me - 10832 trifil ccm 2")</f>
        <v>266840299 1306397 8177547 scarpan calcados ltda me - 10832 trifil ccm 2</v>
      </c>
      <c r="V903" s="15" t="b">
        <f>IFERROR(__xludf.DUMMYFUNCTION("""COMPUTED_VALUE"""),FALSE)</f>
        <v>0</v>
      </c>
    </row>
    <row r="904">
      <c r="A904" s="19">
        <f>IFERROR(__xludf.DUMMYFUNCTION("""COMPUTED_VALUE"""),46304.0)</f>
        <v>46304</v>
      </c>
      <c r="B904" s="19">
        <f>IFERROR(__xludf.DUMMYFUNCTION("""COMPUTED_VALUE"""),46321.0)</f>
        <v>46321</v>
      </c>
      <c r="C904" s="15">
        <f>IFERROR(__xludf.DUMMYFUNCTION("""COMPUTED_VALUE"""),10.0)</f>
        <v>10</v>
      </c>
      <c r="D904" s="15" t="str">
        <f>IFERROR(__xludf.DUMMYFUNCTION("""COMPUTED_VALUE"""),"CCM")</f>
        <v>CCM</v>
      </c>
      <c r="E904" s="15" t="str">
        <f>IFERROR(__xludf.DUMMYFUNCTION("""COMPUTED_VALUE"""),"S L ATITUDE MODAS LTDA ME")</f>
        <v>S L ATITUDE MODAS LTDA ME</v>
      </c>
      <c r="F904" s="15" t="str">
        <f>IFERROR(__xludf.DUMMYFUNCTION("""COMPUTED_VALUE"""),"TRIFIL")</f>
        <v>TRIFIL</v>
      </c>
      <c r="G904" s="15" t="str">
        <f>IFERROR(__xludf.DUMMYFUNCTION("""COMPUTED_VALUE"""),"266840302")</f>
        <v>266840302</v>
      </c>
      <c r="H904" s="15" t="str">
        <f>IFERROR(__xludf.DUMMYFUNCTION("""COMPUTED_VALUE"""),"1306426")</f>
        <v>1306426</v>
      </c>
      <c r="I904" s="15" t="str">
        <f>IFERROR(__xludf.DUMMYFUNCTION("""COMPUTED_VALUE"""),"8177564")</f>
        <v>8177564</v>
      </c>
      <c r="J904" s="15" t="str">
        <f>IFERROR(__xludf.DUMMYFUNCTION("""COMPUTED_VALUE"""),"CIF")</f>
        <v>CIF</v>
      </c>
      <c r="K904" s="15" t="str">
        <f>IFERROR(__xludf.DUMMYFUNCTION("""COMPUTED_VALUE"""),"SAO-1")</f>
        <v>SAO-1</v>
      </c>
      <c r="L904" s="15" t="str">
        <f>IFERROR(__xludf.DUMMYFUNCTION("""COMPUTED_VALUE"""),"AUTORIZADO")</f>
        <v>AUTORIZADO</v>
      </c>
      <c r="M904" s="15" t="str">
        <f>IFERROR(__xludf.DUMMYFUNCTION("""COMPUTED_VALUE"""),"NA ORIGEM")</f>
        <v>NA ORIGEM</v>
      </c>
      <c r="N904" s="15" t="str">
        <f>IFERROR(__xludf.DUMMYFUNCTION("""COMPUTED_VALUE"""),"Antes Prazo")</f>
        <v>Antes Prazo</v>
      </c>
      <c r="O904" s="15" t="str">
        <f>IFERROR(__xludf.DUMMYFUNCTION("""COMPUTED_VALUE"""),"B2B")</f>
        <v>B2B</v>
      </c>
      <c r="P904" s="16">
        <f>IFERROR(__xludf.DUMMYFUNCTION("""COMPUTED_VALUE"""),60.93)</f>
        <v>60.93</v>
      </c>
      <c r="Q904" s="15">
        <f>IFERROR(__xludf.DUMMYFUNCTION("""COMPUTED_VALUE"""),1.0)</f>
        <v>1</v>
      </c>
      <c r="R904" s="15" t="str">
        <f>IFERROR(__xludf.DUMMYFUNCTION("""COMPUTED_VALUE"""),"RODO")</f>
        <v>RODO</v>
      </c>
      <c r="S904" s="15" t="str">
        <f>IFERROR(__xludf.DUMMYFUNCTION("""COMPUTED_VALUE"""),"ITN")</f>
        <v>ITN</v>
      </c>
      <c r="T904" s="15" t="str">
        <f>IFERROR(__xludf.DUMMYFUNCTION("""COMPUTED_VALUE"""),"107")</f>
        <v>107</v>
      </c>
      <c r="U904" s="15" t="str">
        <f>IFERROR(__xludf.DUMMYFUNCTION("""COMPUTED_VALUE"""),"266840302 1306426 8177564 s l atitude modas ltda me trifil ccm 107")</f>
        <v>266840302 1306426 8177564 s l atitude modas ltda me trifil ccm 107</v>
      </c>
      <c r="V904" s="15" t="b">
        <f>IFERROR(__xludf.DUMMYFUNCTION("""COMPUTED_VALUE"""),FALSE)</f>
        <v>0</v>
      </c>
    </row>
    <row r="905">
      <c r="A905" s="19">
        <f>IFERROR(__xludf.DUMMYFUNCTION("""COMPUTED_VALUE"""),46304.0)</f>
        <v>46304</v>
      </c>
      <c r="B905" s="19">
        <f>IFERROR(__xludf.DUMMYFUNCTION("""COMPUTED_VALUE"""),46317.0)</f>
        <v>46317</v>
      </c>
      <c r="C905" s="15">
        <f>IFERROR(__xludf.DUMMYFUNCTION("""COMPUTED_VALUE"""),8.0)</f>
        <v>8</v>
      </c>
      <c r="D905" s="15" t="str">
        <f>IFERROR(__xludf.DUMMYFUNCTION("""COMPUTED_VALUE"""),"BNU")</f>
        <v>BNU</v>
      </c>
      <c r="E905" s="15" t="str">
        <f>IFERROR(__xludf.DUMMYFUNCTION("""COMPUTED_VALUE"""),"MARLI CENTER")</f>
        <v>MARLI CENTER</v>
      </c>
      <c r="F905" s="15" t="str">
        <f>IFERROR(__xludf.DUMMYFUNCTION("""COMPUTED_VALUE"""),"TRIFIL")</f>
        <v>TRIFIL</v>
      </c>
      <c r="G905" s="15" t="str">
        <f>IFERROR(__xludf.DUMMYFUNCTION("""COMPUTED_VALUE"""),"266840305")</f>
        <v>266840305</v>
      </c>
      <c r="H905" s="15" t="str">
        <f>IFERROR(__xludf.DUMMYFUNCTION("""COMPUTED_VALUE"""),"1306245")</f>
        <v>1306245</v>
      </c>
      <c r="I905" s="15" t="str">
        <f>IFERROR(__xludf.DUMMYFUNCTION("""COMPUTED_VALUE"""),"8177491")</f>
        <v>8177491</v>
      </c>
      <c r="J905" s="15" t="str">
        <f>IFERROR(__xludf.DUMMYFUNCTION("""COMPUTED_VALUE"""),"CIF")</f>
        <v>CIF</v>
      </c>
      <c r="K905" s="15" t="str">
        <f>IFERROR(__xludf.DUMMYFUNCTION("""COMPUTED_VALUE"""),"FSA-1")</f>
        <v>FSA-1</v>
      </c>
      <c r="L905" s="15" t="str">
        <f>IFERROR(__xludf.DUMMYFUNCTION("""COMPUTED_VALUE"""),"AUTORIZADO")</f>
        <v>AUTORIZADO</v>
      </c>
      <c r="M905" s="15" t="str">
        <f>IFERROR(__xludf.DUMMYFUNCTION("""COMPUTED_VALUE"""),"NA ORIGEM")</f>
        <v>NA ORIGEM</v>
      </c>
      <c r="N905" s="15" t="str">
        <f>IFERROR(__xludf.DUMMYFUNCTION("""COMPUTED_VALUE"""),"Antes Prazo")</f>
        <v>Antes Prazo</v>
      </c>
      <c r="O905" s="15" t="str">
        <f>IFERROR(__xludf.DUMMYFUNCTION("""COMPUTED_VALUE"""),"B2B")</f>
        <v>B2B</v>
      </c>
      <c r="P905" s="16">
        <f>IFERROR(__xludf.DUMMYFUNCTION("""COMPUTED_VALUE"""),60.93)</f>
        <v>60.93</v>
      </c>
      <c r="Q905" s="15">
        <f>IFERROR(__xludf.DUMMYFUNCTION("""COMPUTED_VALUE"""),1.0)</f>
        <v>1</v>
      </c>
      <c r="R905" s="15" t="str">
        <f>IFERROR(__xludf.DUMMYFUNCTION("""COMPUTED_VALUE"""),"RODO")</f>
        <v>RODO</v>
      </c>
      <c r="S905" s="15" t="str">
        <f>IFERROR(__xludf.DUMMYFUNCTION("""COMPUTED_VALUE"""),"ITN")</f>
        <v>ITN</v>
      </c>
      <c r="T905" s="15" t="str">
        <f>IFERROR(__xludf.DUMMYFUNCTION("""COMPUTED_VALUE"""),"10")</f>
        <v>10</v>
      </c>
      <c r="U905" s="15" t="str">
        <f>IFERROR(__xludf.DUMMYFUNCTION("""COMPUTED_VALUE"""),"266840305 1306245 8177491 marli center trifil bnu 10")</f>
        <v>266840305 1306245 8177491 marli center trifil bnu 10</v>
      </c>
      <c r="V905" s="15" t="b">
        <f>IFERROR(__xludf.DUMMYFUNCTION("""COMPUTED_VALUE"""),FALSE)</f>
        <v>0</v>
      </c>
    </row>
    <row r="906">
      <c r="A906" s="19">
        <f>IFERROR(__xludf.DUMMYFUNCTION("""COMPUTED_VALUE"""),46304.0)</f>
        <v>46304</v>
      </c>
      <c r="B906" s="19">
        <f>IFERROR(__xludf.DUMMYFUNCTION("""COMPUTED_VALUE"""),46317.0)</f>
        <v>46317</v>
      </c>
      <c r="C906" s="15">
        <f>IFERROR(__xludf.DUMMYFUNCTION("""COMPUTED_VALUE"""),8.0)</f>
        <v>8</v>
      </c>
      <c r="D906" s="15" t="str">
        <f>IFERROR(__xludf.DUMMYFUNCTION("""COMPUTED_VALUE"""),"BNU")</f>
        <v>BNU</v>
      </c>
      <c r="E906" s="15" t="str">
        <f>IFERROR(__xludf.DUMMYFUNCTION("""COMPUTED_VALUE"""),"LOJA TRANSIT")</f>
        <v>LOJA TRANSIT</v>
      </c>
      <c r="F906" s="15" t="str">
        <f>IFERROR(__xludf.DUMMYFUNCTION("""COMPUTED_VALUE"""),"TRIFIL")</f>
        <v>TRIFIL</v>
      </c>
      <c r="G906" s="15" t="str">
        <f>IFERROR(__xludf.DUMMYFUNCTION("""COMPUTED_VALUE"""),"266840308")</f>
        <v>266840308</v>
      </c>
      <c r="H906" s="15" t="str">
        <f>IFERROR(__xludf.DUMMYFUNCTION("""COMPUTED_VALUE"""),"1306401")</f>
        <v>1306401</v>
      </c>
      <c r="I906" s="15" t="str">
        <f>IFERROR(__xludf.DUMMYFUNCTION("""COMPUTED_VALUE"""),"8177458")</f>
        <v>8177458</v>
      </c>
      <c r="J906" s="15" t="str">
        <f>IFERROR(__xludf.DUMMYFUNCTION("""COMPUTED_VALUE"""),"CIF")</f>
        <v>CIF</v>
      </c>
      <c r="K906" s="15" t="str">
        <f>IFERROR(__xludf.DUMMYFUNCTION("""COMPUTED_VALUE"""),"(sem célula)")</f>
        <v>(sem célula)</v>
      </c>
      <c r="L906" s="15" t="str">
        <f>IFERROR(__xludf.DUMMYFUNCTION("""COMPUTED_VALUE"""),"AUTORIZADO")</f>
        <v>AUTORIZADO</v>
      </c>
      <c r="M906" s="15" t="str">
        <f>IFERROR(__xludf.DUMMYFUNCTION("""COMPUTED_VALUE"""),"NA ORIGEM")</f>
        <v>NA ORIGEM</v>
      </c>
      <c r="N906" s="15" t="str">
        <f>IFERROR(__xludf.DUMMYFUNCTION("""COMPUTED_VALUE"""),"Antes Prazo")</f>
        <v>Antes Prazo</v>
      </c>
      <c r="O906" s="15" t="str">
        <f>IFERROR(__xludf.DUMMYFUNCTION("""COMPUTED_VALUE"""),"B2B")</f>
        <v>B2B</v>
      </c>
      <c r="P906" s="16">
        <f>IFERROR(__xludf.DUMMYFUNCTION("""COMPUTED_VALUE"""),60.93)</f>
        <v>60.93</v>
      </c>
      <c r="Q906" s="15">
        <f>IFERROR(__xludf.DUMMYFUNCTION("""COMPUTED_VALUE"""),1.0)</f>
        <v>1</v>
      </c>
      <c r="R906" s="15" t="str">
        <f>IFERROR(__xludf.DUMMYFUNCTION("""COMPUTED_VALUE"""),"RODO")</f>
        <v>RODO</v>
      </c>
      <c r="S906" s="15" t="str">
        <f>IFERROR(__xludf.DUMMYFUNCTION("""COMPUTED_VALUE"""),"ITN")</f>
        <v>ITN</v>
      </c>
      <c r="T906" s="15" t="str">
        <f>IFERROR(__xludf.DUMMYFUNCTION("""COMPUTED_VALUE"""),"18")</f>
        <v>18</v>
      </c>
      <c r="U906" s="15" t="str">
        <f>IFERROR(__xludf.DUMMYFUNCTION("""COMPUTED_VALUE"""),"266840308 1306401 8177458 loja transit trifil bnu 18")</f>
        <v>266840308 1306401 8177458 loja transit trifil bnu 18</v>
      </c>
      <c r="V906" s="15" t="b">
        <f>IFERROR(__xludf.DUMMYFUNCTION("""COMPUTED_VALUE"""),FALSE)</f>
        <v>0</v>
      </c>
    </row>
    <row r="907">
      <c r="A907" s="19">
        <f>IFERROR(__xludf.DUMMYFUNCTION("""COMPUTED_VALUE"""),46304.0)</f>
        <v>46304</v>
      </c>
      <c r="B907" s="19">
        <f>IFERROR(__xludf.DUMMYFUNCTION("""COMPUTED_VALUE"""),46318.0)</f>
        <v>46318</v>
      </c>
      <c r="C907" s="15">
        <f>IFERROR(__xludf.DUMMYFUNCTION("""COMPUTED_VALUE"""),9.0)</f>
        <v>9</v>
      </c>
      <c r="D907" s="15" t="str">
        <f>IFERROR(__xludf.DUMMYFUNCTION("""COMPUTED_VALUE"""),"JOI")</f>
        <v>JOI</v>
      </c>
      <c r="E907" s="15" t="str">
        <f>IFERROR(__xludf.DUMMYFUNCTION("""COMPUTED_VALUE"""),"B &amp; B Com. de Meias Art.do Vest. Lt")</f>
        <v>B &amp; B Com. de Meias Art.do Vest. Lt</v>
      </c>
      <c r="F907" s="15" t="str">
        <f>IFERROR(__xludf.DUMMYFUNCTION("""COMPUTED_VALUE"""),"TRIFIL")</f>
        <v>TRIFIL</v>
      </c>
      <c r="G907" s="15" t="str">
        <f>IFERROR(__xludf.DUMMYFUNCTION("""COMPUTED_VALUE"""),"266840311")</f>
        <v>266840311</v>
      </c>
      <c r="H907" s="15" t="str">
        <f>IFERROR(__xludf.DUMMYFUNCTION("""COMPUTED_VALUE"""),"1306145")</f>
        <v>1306145</v>
      </c>
      <c r="I907" s="15" t="str">
        <f>IFERROR(__xludf.DUMMYFUNCTION("""COMPUTED_VALUE"""),"8177565")</f>
        <v>8177565</v>
      </c>
      <c r="J907" s="15" t="str">
        <f>IFERROR(__xludf.DUMMYFUNCTION("""COMPUTED_VALUE"""),"CIF")</f>
        <v>CIF</v>
      </c>
      <c r="K907" s="15" t="str">
        <f>IFERROR(__xludf.DUMMYFUNCTION("""COMPUTED_VALUE"""),"FSA-1")</f>
        <v>FSA-1</v>
      </c>
      <c r="L907" s="15" t="str">
        <f>IFERROR(__xludf.DUMMYFUNCTION("""COMPUTED_VALUE"""),"AUTORIZADO")</f>
        <v>AUTORIZADO</v>
      </c>
      <c r="M907" s="15" t="str">
        <f>IFERROR(__xludf.DUMMYFUNCTION("""COMPUTED_VALUE"""),"NA ORIGEM")</f>
        <v>NA ORIGEM</v>
      </c>
      <c r="N907" s="15" t="str">
        <f>IFERROR(__xludf.DUMMYFUNCTION("""COMPUTED_VALUE"""),"Antes Prazo")</f>
        <v>Antes Prazo</v>
      </c>
      <c r="O907" s="15" t="str">
        <f>IFERROR(__xludf.DUMMYFUNCTION("""COMPUTED_VALUE"""),"B2B")</f>
        <v>B2B</v>
      </c>
      <c r="P907" s="16">
        <f>IFERROR(__xludf.DUMMYFUNCTION("""COMPUTED_VALUE"""),54.19)</f>
        <v>54.19</v>
      </c>
      <c r="Q907" s="15">
        <f>IFERROR(__xludf.DUMMYFUNCTION("""COMPUTED_VALUE"""),1.0)</f>
        <v>1</v>
      </c>
      <c r="R907" s="15" t="str">
        <f>IFERROR(__xludf.DUMMYFUNCTION("""COMPUTED_VALUE"""),"RODO")</f>
        <v>RODO</v>
      </c>
      <c r="S907" s="15" t="str">
        <f>IFERROR(__xludf.DUMMYFUNCTION("""COMPUTED_VALUE"""),"ITN")</f>
        <v>ITN</v>
      </c>
      <c r="T907" s="15" t="str">
        <f>IFERROR(__xludf.DUMMYFUNCTION("""COMPUTED_VALUE"""),"2")</f>
        <v>2</v>
      </c>
      <c r="U907" s="15" t="str">
        <f>IFERROR(__xludf.DUMMYFUNCTION("""COMPUTED_VALUE"""),"266840311 1306145 8177565 b &amp; b com. de meias art.do vest. lt trifil joi 2")</f>
        <v>266840311 1306145 8177565 b &amp; b com. de meias art.do vest. lt trifil joi 2</v>
      </c>
      <c r="V907" s="15" t="b">
        <f>IFERROR(__xludf.DUMMYFUNCTION("""COMPUTED_VALUE"""),FALSE)</f>
        <v>0</v>
      </c>
    </row>
    <row r="908">
      <c r="A908" s="19">
        <f>IFERROR(__xludf.DUMMYFUNCTION("""COMPUTED_VALUE"""),46304.0)</f>
        <v>46304</v>
      </c>
      <c r="B908" s="19">
        <f>IFERROR(__xludf.DUMMYFUNCTION("""COMPUTED_VALUE"""),46322.0)</f>
        <v>46322</v>
      </c>
      <c r="C908" s="15">
        <f>IFERROR(__xludf.DUMMYFUNCTION("""COMPUTED_VALUE"""),11.0)</f>
        <v>11</v>
      </c>
      <c r="D908" s="15" t="str">
        <f>IFERROR(__xludf.DUMMYFUNCTION("""COMPUTED_VALUE"""),"XAP")</f>
        <v>XAP</v>
      </c>
      <c r="E908" s="15" t="str">
        <f>IFERROR(__xludf.DUMMYFUNCTION("""COMPUTED_VALUE"""),"BARASUOL EIRELLI EPP")</f>
        <v>BARASUOL EIRELLI EPP</v>
      </c>
      <c r="F908" s="15" t="str">
        <f>IFERROR(__xludf.DUMMYFUNCTION("""COMPUTED_VALUE"""),"TRIFIL")</f>
        <v>TRIFIL</v>
      </c>
      <c r="G908" s="15" t="str">
        <f>IFERROR(__xludf.DUMMYFUNCTION("""COMPUTED_VALUE"""),"266840315")</f>
        <v>266840315</v>
      </c>
      <c r="H908" s="15" t="str">
        <f>IFERROR(__xludf.DUMMYFUNCTION("""COMPUTED_VALUE"""),"1306217")</f>
        <v>1306217</v>
      </c>
      <c r="I908" s="15" t="str">
        <f>IFERROR(__xludf.DUMMYFUNCTION("""COMPUTED_VALUE"""),"8177434")</f>
        <v>8177434</v>
      </c>
      <c r="J908" s="15" t="str">
        <f>IFERROR(__xludf.DUMMYFUNCTION("""COMPUTED_VALUE"""),"CIF")</f>
        <v>CIF</v>
      </c>
      <c r="K908" s="15" t="str">
        <f>IFERROR(__xludf.DUMMYFUNCTION("""COMPUTED_VALUE"""),"FSA-1")</f>
        <v>FSA-1</v>
      </c>
      <c r="L908" s="15" t="str">
        <f>IFERROR(__xludf.DUMMYFUNCTION("""COMPUTED_VALUE"""),"AUTORIZADO")</f>
        <v>AUTORIZADO</v>
      </c>
      <c r="M908" s="15" t="str">
        <f>IFERROR(__xludf.DUMMYFUNCTION("""COMPUTED_VALUE"""),"NA ORIGEM")</f>
        <v>NA ORIGEM</v>
      </c>
      <c r="N908" s="15" t="str">
        <f>IFERROR(__xludf.DUMMYFUNCTION("""COMPUTED_VALUE"""),"Antes Prazo")</f>
        <v>Antes Prazo</v>
      </c>
      <c r="O908" s="15" t="str">
        <f>IFERROR(__xludf.DUMMYFUNCTION("""COMPUTED_VALUE"""),"B2B")</f>
        <v>B2B</v>
      </c>
      <c r="P908" s="16">
        <f>IFERROR(__xludf.DUMMYFUNCTION("""COMPUTED_VALUE"""),60.93)</f>
        <v>60.93</v>
      </c>
      <c r="Q908" s="15">
        <f>IFERROR(__xludf.DUMMYFUNCTION("""COMPUTED_VALUE"""),1.0)</f>
        <v>1</v>
      </c>
      <c r="R908" s="15" t="str">
        <f>IFERROR(__xludf.DUMMYFUNCTION("""COMPUTED_VALUE"""),"RODO")</f>
        <v>RODO</v>
      </c>
      <c r="S908" s="15" t="str">
        <f>IFERROR(__xludf.DUMMYFUNCTION("""COMPUTED_VALUE"""),"ITN")</f>
        <v>ITN</v>
      </c>
      <c r="T908" s="15" t="str">
        <f>IFERROR(__xludf.DUMMYFUNCTION("""COMPUTED_VALUE"""),"101")</f>
        <v>101</v>
      </c>
      <c r="U908" s="15" t="str">
        <f>IFERROR(__xludf.DUMMYFUNCTION("""COMPUTED_VALUE"""),"266840315 1306217 8177434 barasuol eirelli epp trifil xap 101")</f>
        <v>266840315 1306217 8177434 barasuol eirelli epp trifil xap 101</v>
      </c>
      <c r="V908" s="15" t="b">
        <f>IFERROR(__xludf.DUMMYFUNCTION("""COMPUTED_VALUE"""),FALSE)</f>
        <v>0</v>
      </c>
    </row>
    <row r="909">
      <c r="A909" s="19">
        <f>IFERROR(__xludf.DUMMYFUNCTION("""COMPUTED_VALUE"""),46304.0)</f>
        <v>46304</v>
      </c>
      <c r="B909" s="19">
        <f>IFERROR(__xludf.DUMMYFUNCTION("""COMPUTED_VALUE"""),46321.0)</f>
        <v>46321</v>
      </c>
      <c r="C909" s="15">
        <f>IFERROR(__xludf.DUMMYFUNCTION("""COMPUTED_VALUE"""),10.0)</f>
        <v>10</v>
      </c>
      <c r="D909" s="15" t="str">
        <f>IFERROR(__xludf.DUMMYFUNCTION("""COMPUTED_VALUE"""),"XAP")</f>
        <v>XAP</v>
      </c>
      <c r="E909" s="15" t="str">
        <f>IFERROR(__xludf.DUMMYFUNCTION("""COMPUTED_VALUE"""),"WEBBER TECIDOS LTDA EPP")</f>
        <v>WEBBER TECIDOS LTDA EPP</v>
      </c>
      <c r="F909" s="15" t="str">
        <f>IFERROR(__xludf.DUMMYFUNCTION("""COMPUTED_VALUE"""),"TRIFIL")</f>
        <v>TRIFIL</v>
      </c>
      <c r="G909" s="15" t="str">
        <f>IFERROR(__xludf.DUMMYFUNCTION("""COMPUTED_VALUE"""),"266840316")</f>
        <v>266840316</v>
      </c>
      <c r="H909" s="15" t="str">
        <f>IFERROR(__xludf.DUMMYFUNCTION("""COMPUTED_VALUE"""),"1306306")</f>
        <v>1306306</v>
      </c>
      <c r="I909" s="15" t="str">
        <f>IFERROR(__xludf.DUMMYFUNCTION("""COMPUTED_VALUE"""),"8177492")</f>
        <v>8177492</v>
      </c>
      <c r="J909" s="15" t="str">
        <f>IFERROR(__xludf.DUMMYFUNCTION("""COMPUTED_VALUE"""),"CIF")</f>
        <v>CIF</v>
      </c>
      <c r="K909" s="15" t="str">
        <f>IFERROR(__xludf.DUMMYFUNCTION("""COMPUTED_VALUE"""),"FSA-1")</f>
        <v>FSA-1</v>
      </c>
      <c r="L909" s="15" t="str">
        <f>IFERROR(__xludf.DUMMYFUNCTION("""COMPUTED_VALUE"""),"AUTORIZADO")</f>
        <v>AUTORIZADO</v>
      </c>
      <c r="M909" s="15" t="str">
        <f>IFERROR(__xludf.DUMMYFUNCTION("""COMPUTED_VALUE"""),"NA ORIGEM")</f>
        <v>NA ORIGEM</v>
      </c>
      <c r="N909" s="15" t="str">
        <f>IFERROR(__xludf.DUMMYFUNCTION("""COMPUTED_VALUE"""),"Antes Prazo")</f>
        <v>Antes Prazo</v>
      </c>
      <c r="O909" s="15" t="str">
        <f>IFERROR(__xludf.DUMMYFUNCTION("""COMPUTED_VALUE"""),"B2B")</f>
        <v>B2B</v>
      </c>
      <c r="P909" s="16">
        <f>IFERROR(__xludf.DUMMYFUNCTION("""COMPUTED_VALUE"""),60.93)</f>
        <v>60.93</v>
      </c>
      <c r="Q909" s="15">
        <f>IFERROR(__xludf.DUMMYFUNCTION("""COMPUTED_VALUE"""),1.0)</f>
        <v>1</v>
      </c>
      <c r="R909" s="15" t="str">
        <f>IFERROR(__xludf.DUMMYFUNCTION("""COMPUTED_VALUE"""),"RODO")</f>
        <v>RODO</v>
      </c>
      <c r="S909" s="15" t="str">
        <f>IFERROR(__xludf.DUMMYFUNCTION("""COMPUTED_VALUE"""),"ITN")</f>
        <v>ITN</v>
      </c>
      <c r="T909" s="15" t="str">
        <f>IFERROR(__xludf.DUMMYFUNCTION("""COMPUTED_VALUE"""),"101")</f>
        <v>101</v>
      </c>
      <c r="U909" s="15" t="str">
        <f>IFERROR(__xludf.DUMMYFUNCTION("""COMPUTED_VALUE"""),"266840316 1306306 8177492 webber tecidos ltda epp trifil xap 101")</f>
        <v>266840316 1306306 8177492 webber tecidos ltda epp trifil xap 101</v>
      </c>
      <c r="V909" s="15" t="b">
        <f>IFERROR(__xludf.DUMMYFUNCTION("""COMPUTED_VALUE"""),FALSE)</f>
        <v>0</v>
      </c>
    </row>
    <row r="910">
      <c r="A910" s="19">
        <f>IFERROR(__xludf.DUMMYFUNCTION("""COMPUTED_VALUE"""),46304.0)</f>
        <v>46304</v>
      </c>
      <c r="B910" s="19">
        <f>IFERROR(__xludf.DUMMYFUNCTION("""COMPUTED_VALUE"""),46321.0)</f>
        <v>46321</v>
      </c>
      <c r="C910" s="15">
        <f>IFERROR(__xludf.DUMMYFUNCTION("""COMPUTED_VALUE"""),10.0)</f>
        <v>10</v>
      </c>
      <c r="D910" s="15" t="str">
        <f>IFERROR(__xludf.DUMMYFUNCTION("""COMPUTED_VALUE"""),"POA")</f>
        <v>POA</v>
      </c>
      <c r="E910" s="15" t="str">
        <f>IFERROR(__xludf.DUMMYFUNCTION("""COMPUTED_VALUE"""),"TATIANE GODOY DOS SANTOS")</f>
        <v>TATIANE GODOY DOS SANTOS</v>
      </c>
      <c r="F910" s="15" t="str">
        <f>IFERROR(__xludf.DUMMYFUNCTION("""COMPUTED_VALUE"""),"TRIFIL")</f>
        <v>TRIFIL</v>
      </c>
      <c r="G910" s="15" t="str">
        <f>IFERROR(__xludf.DUMMYFUNCTION("""COMPUTED_VALUE"""),"266840317")</f>
        <v>266840317</v>
      </c>
      <c r="H910" s="15" t="str">
        <f>IFERROR(__xludf.DUMMYFUNCTION("""COMPUTED_VALUE"""),"1306255")</f>
        <v>1306255</v>
      </c>
      <c r="I910" s="15" t="str">
        <f>IFERROR(__xludf.DUMMYFUNCTION("""COMPUTED_VALUE"""),"8177493")</f>
        <v>8177493</v>
      </c>
      <c r="J910" s="15" t="str">
        <f>IFERROR(__xludf.DUMMYFUNCTION("""COMPUTED_VALUE"""),"CIF")</f>
        <v>CIF</v>
      </c>
      <c r="K910" s="15" t="str">
        <f>IFERROR(__xludf.DUMMYFUNCTION("""COMPUTED_VALUE"""),"FSA-1")</f>
        <v>FSA-1</v>
      </c>
      <c r="L910" s="15" t="str">
        <f>IFERROR(__xludf.DUMMYFUNCTION("""COMPUTED_VALUE"""),"AUTORIZADO")</f>
        <v>AUTORIZADO</v>
      </c>
      <c r="M910" s="15" t="str">
        <f>IFERROR(__xludf.DUMMYFUNCTION("""COMPUTED_VALUE"""),"NA ORIGEM")</f>
        <v>NA ORIGEM</v>
      </c>
      <c r="N910" s="15" t="str">
        <f>IFERROR(__xludf.DUMMYFUNCTION("""COMPUTED_VALUE"""),"Antes Prazo")</f>
        <v>Antes Prazo</v>
      </c>
      <c r="O910" s="15" t="str">
        <f>IFERROR(__xludf.DUMMYFUNCTION("""COMPUTED_VALUE"""),"B2B")</f>
        <v>B2B</v>
      </c>
      <c r="P910" s="16">
        <f>IFERROR(__xludf.DUMMYFUNCTION("""COMPUTED_VALUE"""),60.04)</f>
        <v>60.04</v>
      </c>
      <c r="Q910" s="15">
        <f>IFERROR(__xludf.DUMMYFUNCTION("""COMPUTED_VALUE"""),1.0)</f>
        <v>1</v>
      </c>
      <c r="R910" s="15" t="str">
        <f>IFERROR(__xludf.DUMMYFUNCTION("""COMPUTED_VALUE"""),"RODO")</f>
        <v>RODO</v>
      </c>
      <c r="S910" s="15" t="str">
        <f>IFERROR(__xludf.DUMMYFUNCTION("""COMPUTED_VALUE"""),"ITN")</f>
        <v>ITN</v>
      </c>
      <c r="T910" s="15" t="str">
        <f>IFERROR(__xludf.DUMMYFUNCTION("""COMPUTED_VALUE"""),"25")</f>
        <v>25</v>
      </c>
      <c r="U910" s="15" t="str">
        <f>IFERROR(__xludf.DUMMYFUNCTION("""COMPUTED_VALUE"""),"266840317 1306255 8177493 tatiane godoy dos santos trifil poa 25")</f>
        <v>266840317 1306255 8177493 tatiane godoy dos santos trifil poa 25</v>
      </c>
      <c r="V910" s="15" t="b">
        <f>IFERROR(__xludf.DUMMYFUNCTION("""COMPUTED_VALUE"""),FALSE)</f>
        <v>0</v>
      </c>
    </row>
    <row r="911">
      <c r="A911" s="19">
        <f>IFERROR(__xludf.DUMMYFUNCTION("""COMPUTED_VALUE"""),46304.0)</f>
        <v>46304</v>
      </c>
      <c r="B911" s="19">
        <f>IFERROR(__xludf.DUMMYFUNCTION("""COMPUTED_VALUE"""),46318.0)</f>
        <v>46318</v>
      </c>
      <c r="C911" s="15">
        <f>IFERROR(__xludf.DUMMYFUNCTION("""COMPUTED_VALUE"""),9.0)</f>
        <v>9</v>
      </c>
      <c r="D911" s="15" t="str">
        <f>IFERROR(__xludf.DUMMYFUNCTION("""COMPUTED_VALUE"""),"CXJ")</f>
        <v>CXJ</v>
      </c>
      <c r="E911" s="15" t="str">
        <f>IFERROR(__xludf.DUMMYFUNCTION("""COMPUTED_VALUE"""),"PECCATO ORIGINALE MODA INTIMA LTDA")</f>
        <v>PECCATO ORIGINALE MODA INTIMA LTDA</v>
      </c>
      <c r="F911" s="15" t="str">
        <f>IFERROR(__xludf.DUMMYFUNCTION("""COMPUTED_VALUE"""),"TRIFIL")</f>
        <v>TRIFIL</v>
      </c>
      <c r="G911" s="15" t="str">
        <f>IFERROR(__xludf.DUMMYFUNCTION("""COMPUTED_VALUE"""),"266840318")</f>
        <v>266840318</v>
      </c>
      <c r="H911" s="15" t="str">
        <f>IFERROR(__xludf.DUMMYFUNCTION("""COMPUTED_VALUE"""),"1306256")</f>
        <v>1306256</v>
      </c>
      <c r="I911" s="15" t="str">
        <f>IFERROR(__xludf.DUMMYFUNCTION("""COMPUTED_VALUE"""),"8177494")</f>
        <v>8177494</v>
      </c>
      <c r="J911" s="15" t="str">
        <f>IFERROR(__xludf.DUMMYFUNCTION("""COMPUTED_VALUE"""),"CIF")</f>
        <v>CIF</v>
      </c>
      <c r="K911" s="15" t="str">
        <f>IFERROR(__xludf.DUMMYFUNCTION("""COMPUTED_VALUE"""),"FSA-1")</f>
        <v>FSA-1</v>
      </c>
      <c r="L911" s="15" t="str">
        <f>IFERROR(__xludf.DUMMYFUNCTION("""COMPUTED_VALUE"""),"AUTORIZADO")</f>
        <v>AUTORIZADO</v>
      </c>
      <c r="M911" s="15" t="str">
        <f>IFERROR(__xludf.DUMMYFUNCTION("""COMPUTED_VALUE"""),"NA ORIGEM")</f>
        <v>NA ORIGEM</v>
      </c>
      <c r="N911" s="15" t="str">
        <f>IFERROR(__xludf.DUMMYFUNCTION("""COMPUTED_VALUE"""),"Antes Prazo")</f>
        <v>Antes Prazo</v>
      </c>
      <c r="O911" s="15" t="str">
        <f>IFERROR(__xludf.DUMMYFUNCTION("""COMPUTED_VALUE"""),"B2B")</f>
        <v>B2B</v>
      </c>
      <c r="P911" s="16">
        <f>IFERROR(__xludf.DUMMYFUNCTION("""COMPUTED_VALUE"""),67.68)</f>
        <v>67.68</v>
      </c>
      <c r="Q911" s="15">
        <f>IFERROR(__xludf.DUMMYFUNCTION("""COMPUTED_VALUE"""),1.0)</f>
        <v>1</v>
      </c>
      <c r="R911" s="15" t="str">
        <f>IFERROR(__xludf.DUMMYFUNCTION("""COMPUTED_VALUE"""),"RODO")</f>
        <v>RODO</v>
      </c>
      <c r="S911" s="15" t="str">
        <f>IFERROR(__xludf.DUMMYFUNCTION("""COMPUTED_VALUE"""),"ITN")</f>
        <v>ITN</v>
      </c>
      <c r="T911" s="15" t="str">
        <f>IFERROR(__xludf.DUMMYFUNCTION("""COMPUTED_VALUE"""),"101")</f>
        <v>101</v>
      </c>
      <c r="U911" s="15" t="str">
        <f>IFERROR(__xludf.DUMMYFUNCTION("""COMPUTED_VALUE"""),"266840318 1306256 8177494 peccato originale moda intima ltda trifil cxj 101")</f>
        <v>266840318 1306256 8177494 peccato originale moda intima ltda trifil cxj 101</v>
      </c>
      <c r="V911" s="15" t="b">
        <f>IFERROR(__xludf.DUMMYFUNCTION("""COMPUTED_VALUE"""),FALSE)</f>
        <v>0</v>
      </c>
    </row>
    <row r="912">
      <c r="A912" s="19">
        <f>IFERROR(__xludf.DUMMYFUNCTION("""COMPUTED_VALUE"""),46304.0)</f>
        <v>46304</v>
      </c>
      <c r="B912" s="19">
        <f>IFERROR(__xludf.DUMMYFUNCTION("""COMPUTED_VALUE"""),46322.0)</f>
        <v>46322</v>
      </c>
      <c r="C912" s="15">
        <f>IFERROR(__xludf.DUMMYFUNCTION("""COMPUTED_VALUE"""),11.0)</f>
        <v>11</v>
      </c>
      <c r="D912" s="15" t="str">
        <f>IFERROR(__xludf.DUMMYFUNCTION("""COMPUTED_VALUE"""),"CXJ")</f>
        <v>CXJ</v>
      </c>
      <c r="E912" s="15" t="str">
        <f>IFERROR(__xludf.DUMMYFUNCTION("""COMPUTED_VALUE"""),"DUPE CALÇADOS")</f>
        <v>DUPE CALÇADOS</v>
      </c>
      <c r="F912" s="15" t="str">
        <f>IFERROR(__xludf.DUMMYFUNCTION("""COMPUTED_VALUE"""),"TRIFIL")</f>
        <v>TRIFIL</v>
      </c>
      <c r="G912" s="15" t="str">
        <f>IFERROR(__xludf.DUMMYFUNCTION("""COMPUTED_VALUE"""),"266840319")</f>
        <v>266840319</v>
      </c>
      <c r="H912" s="15" t="str">
        <f>IFERROR(__xludf.DUMMYFUNCTION("""COMPUTED_VALUE"""),"1306413")</f>
        <v>1306413</v>
      </c>
      <c r="I912" s="15" t="str">
        <f>IFERROR(__xludf.DUMMYFUNCTION("""COMPUTED_VALUE"""),"8177495")</f>
        <v>8177495</v>
      </c>
      <c r="J912" s="15" t="str">
        <f>IFERROR(__xludf.DUMMYFUNCTION("""COMPUTED_VALUE"""),"CIF")</f>
        <v>CIF</v>
      </c>
      <c r="K912" s="15" t="str">
        <f>IFERROR(__xludf.DUMMYFUNCTION("""COMPUTED_VALUE"""),"FSA-1")</f>
        <v>FSA-1</v>
      </c>
      <c r="L912" s="15" t="str">
        <f>IFERROR(__xludf.DUMMYFUNCTION("""COMPUTED_VALUE"""),"AUTORIZADO")</f>
        <v>AUTORIZADO</v>
      </c>
      <c r="M912" s="15" t="str">
        <f>IFERROR(__xludf.DUMMYFUNCTION("""COMPUTED_VALUE"""),"NA ORIGEM")</f>
        <v>NA ORIGEM</v>
      </c>
      <c r="N912" s="15" t="str">
        <f>IFERROR(__xludf.DUMMYFUNCTION("""COMPUTED_VALUE"""),"Antes Prazo")</f>
        <v>Antes Prazo</v>
      </c>
      <c r="O912" s="15" t="str">
        <f>IFERROR(__xludf.DUMMYFUNCTION("""COMPUTED_VALUE"""),"B2B")</f>
        <v>B2B</v>
      </c>
      <c r="P912" s="16">
        <f>IFERROR(__xludf.DUMMYFUNCTION("""COMPUTED_VALUE"""),67.68)</f>
        <v>67.68</v>
      </c>
      <c r="Q912" s="15">
        <f>IFERROR(__xludf.DUMMYFUNCTION("""COMPUTED_VALUE"""),1.0)</f>
        <v>1</v>
      </c>
      <c r="R912" s="15" t="str">
        <f>IFERROR(__xludf.DUMMYFUNCTION("""COMPUTED_VALUE"""),"RODO")</f>
        <v>RODO</v>
      </c>
      <c r="S912" s="15" t="str">
        <f>IFERROR(__xludf.DUMMYFUNCTION("""COMPUTED_VALUE"""),"ITN")</f>
        <v>ITN</v>
      </c>
      <c r="T912" s="15" t="str">
        <f>IFERROR(__xludf.DUMMYFUNCTION("""COMPUTED_VALUE"""),"500")</f>
        <v>500</v>
      </c>
      <c r="U912" s="15" t="str">
        <f>IFERROR(__xludf.DUMMYFUNCTION("""COMPUTED_VALUE"""),"266840319 1306413 8177495 dupe calçados trifil cxj 500")</f>
        <v>266840319 1306413 8177495 dupe calçados trifil cxj 500</v>
      </c>
      <c r="V912" s="15" t="b">
        <f>IFERROR(__xludf.DUMMYFUNCTION("""COMPUTED_VALUE"""),FALSE)</f>
        <v>0</v>
      </c>
    </row>
    <row r="913">
      <c r="A913" s="19">
        <f>IFERROR(__xludf.DUMMYFUNCTION("""COMPUTED_VALUE"""),46304.0)</f>
        <v>46304</v>
      </c>
      <c r="B913" s="19">
        <f>IFERROR(__xludf.DUMMYFUNCTION("""COMPUTED_VALUE"""),46321.0)</f>
        <v>46321</v>
      </c>
      <c r="C913" s="15">
        <f>IFERROR(__xludf.DUMMYFUNCTION("""COMPUTED_VALUE"""),10.0)</f>
        <v>10</v>
      </c>
      <c r="D913" s="15" t="str">
        <f>IFERROR(__xludf.DUMMYFUNCTION("""COMPUTED_VALUE"""),"SOS")</f>
        <v>SOS</v>
      </c>
      <c r="E913" s="15" t="str">
        <f>IFERROR(__xludf.DUMMYFUNCTION("""COMPUTED_VALUE"""),"LUCIA ROSA DA COSTA")</f>
        <v>LUCIA ROSA DA COSTA</v>
      </c>
      <c r="F913" s="15" t="str">
        <f>IFERROR(__xludf.DUMMYFUNCTION("""COMPUTED_VALUE"""),"TRIFIL")</f>
        <v>TRIFIL</v>
      </c>
      <c r="G913" s="15" t="str">
        <f>IFERROR(__xludf.DUMMYFUNCTION("""COMPUTED_VALUE"""),"266840320")</f>
        <v>266840320</v>
      </c>
      <c r="H913" s="15" t="str">
        <f>IFERROR(__xludf.DUMMYFUNCTION("""COMPUTED_VALUE"""),"1306237")</f>
        <v>1306237</v>
      </c>
      <c r="I913" s="15" t="str">
        <f>IFERROR(__xludf.DUMMYFUNCTION("""COMPUTED_VALUE"""),"8177566")</f>
        <v>8177566</v>
      </c>
      <c r="J913" s="15" t="str">
        <f>IFERROR(__xludf.DUMMYFUNCTION("""COMPUTED_VALUE"""),"CIF")</f>
        <v>CIF</v>
      </c>
      <c r="K913" s="15" t="str">
        <f>IFERROR(__xludf.DUMMYFUNCTION("""COMPUTED_VALUE"""),"FSA-1")</f>
        <v>FSA-1</v>
      </c>
      <c r="L913" s="15" t="str">
        <f>IFERROR(__xludf.DUMMYFUNCTION("""COMPUTED_VALUE"""),"AUTORIZADO")</f>
        <v>AUTORIZADO</v>
      </c>
      <c r="M913" s="15" t="str">
        <f>IFERROR(__xludf.DUMMYFUNCTION("""COMPUTED_VALUE"""),"NA ORIGEM")</f>
        <v>NA ORIGEM</v>
      </c>
      <c r="N913" s="15" t="str">
        <f>IFERROR(__xludf.DUMMYFUNCTION("""COMPUTED_VALUE"""),"Antes Prazo")</f>
        <v>Antes Prazo</v>
      </c>
      <c r="O913" s="15" t="str">
        <f>IFERROR(__xludf.DUMMYFUNCTION("""COMPUTED_VALUE"""),"B2B")</f>
        <v>B2B</v>
      </c>
      <c r="P913" s="16">
        <f>IFERROR(__xludf.DUMMYFUNCTION("""COMPUTED_VALUE"""),67.68)</f>
        <v>67.68</v>
      </c>
      <c r="Q913" s="15">
        <f>IFERROR(__xludf.DUMMYFUNCTION("""COMPUTED_VALUE"""),1.0)</f>
        <v>1</v>
      </c>
      <c r="R913" s="15" t="str">
        <f>IFERROR(__xludf.DUMMYFUNCTION("""COMPUTED_VALUE"""),"RODO")</f>
        <v>RODO</v>
      </c>
      <c r="S913" s="15" t="str">
        <f>IFERROR(__xludf.DUMMYFUNCTION("""COMPUTED_VALUE"""),"ITN")</f>
        <v>ITN</v>
      </c>
      <c r="T913" s="15" t="str">
        <f>IFERROR(__xludf.DUMMYFUNCTION("""COMPUTED_VALUE"""),"116")</f>
        <v>116</v>
      </c>
      <c r="U913" s="15" t="str">
        <f>IFERROR(__xludf.DUMMYFUNCTION("""COMPUTED_VALUE"""),"266840320 1306237 8177566 lucia rosa da costa trifil sos 116")</f>
        <v>266840320 1306237 8177566 lucia rosa da costa trifil sos 116</v>
      </c>
      <c r="V913" s="15" t="b">
        <f>IFERROR(__xludf.DUMMYFUNCTION("""COMPUTED_VALUE"""),FALSE)</f>
        <v>0</v>
      </c>
    </row>
    <row r="914">
      <c r="A914" s="19">
        <f>IFERROR(__xludf.DUMMYFUNCTION("""COMPUTED_VALUE"""),46304.0)</f>
        <v>46304</v>
      </c>
      <c r="B914" s="19">
        <f>IFERROR(__xludf.DUMMYFUNCTION("""COMPUTED_VALUE"""),46317.0)</f>
        <v>46317</v>
      </c>
      <c r="C914" s="15">
        <f>IFERROR(__xludf.DUMMYFUNCTION("""COMPUTED_VALUE"""),8.0)</f>
        <v>8</v>
      </c>
      <c r="D914" s="15" t="str">
        <f>IFERROR(__xludf.DUMMYFUNCTION("""COMPUTED_VALUE"""),"QHV")</f>
        <v>QHV</v>
      </c>
      <c r="E914" s="15" t="str">
        <f>IFERROR(__xludf.DUMMYFUNCTION("""COMPUTED_VALUE"""),"Anton Comercio de Confeccoes Ltda")</f>
        <v>Anton Comercio de Confeccoes Ltda</v>
      </c>
      <c r="F914" s="15" t="str">
        <f>IFERROR(__xludf.DUMMYFUNCTION("""COMPUTED_VALUE"""),"TRIFIL")</f>
        <v>TRIFIL</v>
      </c>
      <c r="G914" s="15" t="str">
        <f>IFERROR(__xludf.DUMMYFUNCTION("""COMPUTED_VALUE"""),"266840321")</f>
        <v>266840321</v>
      </c>
      <c r="H914" s="15" t="str">
        <f>IFERROR(__xludf.DUMMYFUNCTION("""COMPUTED_VALUE"""),"1306327")</f>
        <v>1306327</v>
      </c>
      <c r="I914" s="15" t="str">
        <f>IFERROR(__xludf.DUMMYFUNCTION("""COMPUTED_VALUE"""),"8177496")</f>
        <v>8177496</v>
      </c>
      <c r="J914" s="15" t="str">
        <f>IFERROR(__xludf.DUMMYFUNCTION("""COMPUTED_VALUE"""),"CIF")</f>
        <v>CIF</v>
      </c>
      <c r="K914" s="15" t="str">
        <f>IFERROR(__xludf.DUMMYFUNCTION("""COMPUTED_VALUE"""),"FSA-1")</f>
        <v>FSA-1</v>
      </c>
      <c r="L914" s="15" t="str">
        <f>IFERROR(__xludf.DUMMYFUNCTION("""COMPUTED_VALUE"""),"AUTORIZADO")</f>
        <v>AUTORIZADO</v>
      </c>
      <c r="M914" s="15" t="str">
        <f>IFERROR(__xludf.DUMMYFUNCTION("""COMPUTED_VALUE"""),"NA ORIGEM")</f>
        <v>NA ORIGEM</v>
      </c>
      <c r="N914" s="15" t="str">
        <f>IFERROR(__xludf.DUMMYFUNCTION("""COMPUTED_VALUE"""),"Antes Prazo")</f>
        <v>Antes Prazo</v>
      </c>
      <c r="O914" s="15" t="str">
        <f>IFERROR(__xludf.DUMMYFUNCTION("""COMPUTED_VALUE"""),"B2B")</f>
        <v>B2B</v>
      </c>
      <c r="P914" s="16">
        <f>IFERROR(__xludf.DUMMYFUNCTION("""COMPUTED_VALUE"""),60.04)</f>
        <v>60.04</v>
      </c>
      <c r="Q914" s="15">
        <f>IFERROR(__xludf.DUMMYFUNCTION("""COMPUTED_VALUE"""),1.0)</f>
        <v>1</v>
      </c>
      <c r="R914" s="15" t="str">
        <f>IFERROR(__xludf.DUMMYFUNCTION("""COMPUTED_VALUE"""),"RODO")</f>
        <v>RODO</v>
      </c>
      <c r="S914" s="15" t="str">
        <f>IFERROR(__xludf.DUMMYFUNCTION("""COMPUTED_VALUE"""),"ITN")</f>
        <v>ITN</v>
      </c>
      <c r="T914" s="15" t="str">
        <f>IFERROR(__xludf.DUMMYFUNCTION("""COMPUTED_VALUE"""),"110")</f>
        <v>110</v>
      </c>
      <c r="U914" s="15" t="str">
        <f>IFERROR(__xludf.DUMMYFUNCTION("""COMPUTED_VALUE"""),"266840321 1306327 8177496 anton comercio de confeccoes ltda trifil qhv 110")</f>
        <v>266840321 1306327 8177496 anton comercio de confeccoes ltda trifil qhv 110</v>
      </c>
      <c r="V914" s="15" t="b">
        <f>IFERROR(__xludf.DUMMYFUNCTION("""COMPUTED_VALUE"""),FALSE)</f>
        <v>0</v>
      </c>
    </row>
    <row r="915">
      <c r="A915" s="19">
        <f>IFERROR(__xludf.DUMMYFUNCTION("""COMPUTED_VALUE"""),46304.0)</f>
        <v>46304</v>
      </c>
      <c r="B915" s="19">
        <f>IFERROR(__xludf.DUMMYFUNCTION("""COMPUTED_VALUE"""),46317.0)</f>
        <v>46317</v>
      </c>
      <c r="C915" s="15">
        <f>IFERROR(__xludf.DUMMYFUNCTION("""COMPUTED_VALUE"""),8.0)</f>
        <v>8</v>
      </c>
      <c r="D915" s="15" t="str">
        <f>IFERROR(__xludf.DUMMYFUNCTION("""COMPUTED_VALUE"""),"QHV")</f>
        <v>QHV</v>
      </c>
      <c r="E915" s="15" t="str">
        <f>IFERROR(__xludf.DUMMYFUNCTION("""COMPUTED_VALUE"""),"LUPO - COMERCIO DE MEIAS GRAMADO")</f>
        <v>LUPO - COMERCIO DE MEIAS GRAMADO</v>
      </c>
      <c r="F915" s="15" t="str">
        <f>IFERROR(__xludf.DUMMYFUNCTION("""COMPUTED_VALUE"""),"TRIFIL")</f>
        <v>TRIFIL</v>
      </c>
      <c r="G915" s="15" t="str">
        <f>IFERROR(__xludf.DUMMYFUNCTION("""COMPUTED_VALUE"""),"266840322")</f>
        <v>266840322</v>
      </c>
      <c r="H915" s="15" t="str">
        <f>IFERROR(__xludf.DUMMYFUNCTION("""COMPUTED_VALUE"""),"1306363")</f>
        <v>1306363</v>
      </c>
      <c r="I915" s="15" t="str">
        <f>IFERROR(__xludf.DUMMYFUNCTION("""COMPUTED_VALUE"""),"8177567")</f>
        <v>8177567</v>
      </c>
      <c r="J915" s="15" t="str">
        <f>IFERROR(__xludf.DUMMYFUNCTION("""COMPUTED_VALUE"""),"CIF")</f>
        <v>CIF</v>
      </c>
      <c r="K915" s="15" t="str">
        <f>IFERROR(__xludf.DUMMYFUNCTION("""COMPUTED_VALUE"""),"FSA-1")</f>
        <v>FSA-1</v>
      </c>
      <c r="L915" s="15" t="str">
        <f>IFERROR(__xludf.DUMMYFUNCTION("""COMPUTED_VALUE"""),"AUTORIZADO")</f>
        <v>AUTORIZADO</v>
      </c>
      <c r="M915" s="15" t="str">
        <f>IFERROR(__xludf.DUMMYFUNCTION("""COMPUTED_VALUE"""),"NA ORIGEM")</f>
        <v>NA ORIGEM</v>
      </c>
      <c r="N915" s="15" t="str">
        <f>IFERROR(__xludf.DUMMYFUNCTION("""COMPUTED_VALUE"""),"Antes Prazo")</f>
        <v>Antes Prazo</v>
      </c>
      <c r="O915" s="15" t="str">
        <f>IFERROR(__xludf.DUMMYFUNCTION("""COMPUTED_VALUE"""),"B2B")</f>
        <v>B2B</v>
      </c>
      <c r="P915" s="16">
        <f>IFERROR(__xludf.DUMMYFUNCTION("""COMPUTED_VALUE"""),67.68)</f>
        <v>67.68</v>
      </c>
      <c r="Q915" s="15">
        <f>IFERROR(__xludf.DUMMYFUNCTION("""COMPUTED_VALUE"""),2.0)</f>
        <v>2</v>
      </c>
      <c r="R915" s="15" t="str">
        <f>IFERROR(__xludf.DUMMYFUNCTION("""COMPUTED_VALUE"""),"RODO")</f>
        <v>RODO</v>
      </c>
      <c r="S915" s="15" t="str">
        <f>IFERROR(__xludf.DUMMYFUNCTION("""COMPUTED_VALUE"""),"ITN")</f>
        <v>ITN</v>
      </c>
      <c r="T915" s="15" t="str">
        <f>IFERROR(__xludf.DUMMYFUNCTION("""COMPUTED_VALUE"""),"102")</f>
        <v>102</v>
      </c>
      <c r="U915" s="15" t="str">
        <f>IFERROR(__xludf.DUMMYFUNCTION("""COMPUTED_VALUE"""),"266840322 1306363 8177567 lupo - comercio de meias gramado trifil qhv 102")</f>
        <v>266840322 1306363 8177567 lupo - comercio de meias gramado trifil qhv 102</v>
      </c>
      <c r="V915" s="15" t="b">
        <f>IFERROR(__xludf.DUMMYFUNCTION("""COMPUTED_VALUE"""),FALSE)</f>
        <v>0</v>
      </c>
    </row>
    <row r="916">
      <c r="A916" s="19">
        <f>IFERROR(__xludf.DUMMYFUNCTION("""COMPUTED_VALUE"""),46304.0)</f>
        <v>46304</v>
      </c>
      <c r="B916" s="19">
        <f>IFERROR(__xludf.DUMMYFUNCTION("""COMPUTED_VALUE"""),46317.0)</f>
        <v>46317</v>
      </c>
      <c r="C916" s="15">
        <f>IFERROR(__xludf.DUMMYFUNCTION("""COMPUTED_VALUE"""),8.0)</f>
        <v>8</v>
      </c>
      <c r="D916" s="15" t="str">
        <f>IFERROR(__xludf.DUMMYFUNCTION("""COMPUTED_VALUE"""),"QHV")</f>
        <v>QHV</v>
      </c>
      <c r="E916" s="15" t="str">
        <f>IFERROR(__xludf.DUMMYFUNCTION("""COMPUTED_VALUE"""),"LOJA DOSSIN")</f>
        <v>LOJA DOSSIN</v>
      </c>
      <c r="F916" s="15" t="str">
        <f>IFERROR(__xludf.DUMMYFUNCTION("""COMPUTED_VALUE"""),"TRIFIL")</f>
        <v>TRIFIL</v>
      </c>
      <c r="G916" s="15" t="str">
        <f>IFERROR(__xludf.DUMMYFUNCTION("""COMPUTED_VALUE"""),"266840323")</f>
        <v>266840323</v>
      </c>
      <c r="H916" s="15" t="str">
        <f>IFERROR(__xludf.DUMMYFUNCTION("""COMPUTED_VALUE"""),"1305802")</f>
        <v>1305802</v>
      </c>
      <c r="I916" s="15" t="str">
        <f>IFERROR(__xludf.DUMMYFUNCTION("""COMPUTED_VALUE"""),"8177548")</f>
        <v>8177548</v>
      </c>
      <c r="J916" s="15" t="str">
        <f>IFERROR(__xludf.DUMMYFUNCTION("""COMPUTED_VALUE"""),"CIF")</f>
        <v>CIF</v>
      </c>
      <c r="K916" s="15" t="str">
        <f>IFERROR(__xludf.DUMMYFUNCTION("""COMPUTED_VALUE"""),"FSA-1")</f>
        <v>FSA-1</v>
      </c>
      <c r="L916" s="15" t="str">
        <f>IFERROR(__xludf.DUMMYFUNCTION("""COMPUTED_VALUE"""),"AUTORIZADO")</f>
        <v>AUTORIZADO</v>
      </c>
      <c r="M916" s="15" t="str">
        <f>IFERROR(__xludf.DUMMYFUNCTION("""COMPUTED_VALUE"""),"NA ORIGEM")</f>
        <v>NA ORIGEM</v>
      </c>
      <c r="N916" s="15" t="str">
        <f>IFERROR(__xludf.DUMMYFUNCTION("""COMPUTED_VALUE"""),"Antes Prazo")</f>
        <v>Antes Prazo</v>
      </c>
      <c r="O916" s="15" t="str">
        <f>IFERROR(__xludf.DUMMYFUNCTION("""COMPUTED_VALUE"""),"B2B")</f>
        <v>B2B</v>
      </c>
      <c r="P916" s="16">
        <f>IFERROR(__xludf.DUMMYFUNCTION("""COMPUTED_VALUE"""),67.68)</f>
        <v>67.68</v>
      </c>
      <c r="Q916" s="15">
        <f>IFERROR(__xludf.DUMMYFUNCTION("""COMPUTED_VALUE"""),1.0)</f>
        <v>1</v>
      </c>
      <c r="R916" s="15" t="str">
        <f>IFERROR(__xludf.DUMMYFUNCTION("""COMPUTED_VALUE"""),"RODO")</f>
        <v>RODO</v>
      </c>
      <c r="S916" s="15" t="str">
        <f>IFERROR(__xludf.DUMMYFUNCTION("""COMPUTED_VALUE"""),"ITN")</f>
        <v>ITN</v>
      </c>
      <c r="T916" s="15" t="str">
        <f>IFERROR(__xludf.DUMMYFUNCTION("""COMPUTED_VALUE"""),"109")</f>
        <v>109</v>
      </c>
      <c r="U916" s="15" t="str">
        <f>IFERROR(__xludf.DUMMYFUNCTION("""COMPUTED_VALUE"""),"266840323 1305802 8177548 loja dossin trifil qhv 109")</f>
        <v>266840323 1305802 8177548 loja dossin trifil qhv 109</v>
      </c>
      <c r="V916" s="15" t="b">
        <f>IFERROR(__xludf.DUMMYFUNCTION("""COMPUTED_VALUE"""),FALSE)</f>
        <v>0</v>
      </c>
    </row>
    <row r="917">
      <c r="A917" s="19">
        <f>IFERROR(__xludf.DUMMYFUNCTION("""COMPUTED_VALUE"""),46304.0)</f>
        <v>46304</v>
      </c>
      <c r="B917" s="19">
        <f>IFERROR(__xludf.DUMMYFUNCTION("""COMPUTED_VALUE"""),46316.0)</f>
        <v>46316</v>
      </c>
      <c r="C917" s="15">
        <f>IFERROR(__xludf.DUMMYFUNCTION("""COMPUTED_VALUE"""),7.0)</f>
        <v>7</v>
      </c>
      <c r="D917" s="15" t="str">
        <f>IFERROR(__xludf.DUMMYFUNCTION("""COMPUTED_VALUE"""),"ABS")</f>
        <v>ABS</v>
      </c>
      <c r="E917" s="15" t="str">
        <f>IFERROR(__xludf.DUMMYFUNCTION("""COMPUTED_VALUE"""),"SHOES BETE CALCADOS EIRELI")</f>
        <v>SHOES BETE CALCADOS EIRELI</v>
      </c>
      <c r="F917" s="15" t="str">
        <f>IFERROR(__xludf.DUMMYFUNCTION("""COMPUTED_VALUE"""),"TRIFIL")</f>
        <v>TRIFIL</v>
      </c>
      <c r="G917" s="15" t="str">
        <f>IFERROR(__xludf.DUMMYFUNCTION("""COMPUTED_VALUE"""),"266840324")</f>
        <v>266840324</v>
      </c>
      <c r="H917" s="15" t="str">
        <f>IFERROR(__xludf.DUMMYFUNCTION("""COMPUTED_VALUE"""),"1305824")</f>
        <v>1305824</v>
      </c>
      <c r="I917" s="15" t="str">
        <f>IFERROR(__xludf.DUMMYFUNCTION("""COMPUTED_VALUE"""),"8177549")</f>
        <v>8177549</v>
      </c>
      <c r="J917" s="15" t="str">
        <f>IFERROR(__xludf.DUMMYFUNCTION("""COMPUTED_VALUE"""),"CIF")</f>
        <v>CIF</v>
      </c>
      <c r="K917" s="15" t="str">
        <f>IFERROR(__xludf.DUMMYFUNCTION("""COMPUTED_VALUE"""),"(sem célula)")</f>
        <v>(sem célula)</v>
      </c>
      <c r="L917" s="15" t="str">
        <f>IFERROR(__xludf.DUMMYFUNCTION("""COMPUTED_VALUE"""),"AUTORIZADO")</f>
        <v>AUTORIZADO</v>
      </c>
      <c r="M917" s="15" t="str">
        <f>IFERROR(__xludf.DUMMYFUNCTION("""COMPUTED_VALUE"""),"NA ORIGEM")</f>
        <v>NA ORIGEM</v>
      </c>
      <c r="N917" s="15" t="str">
        <f>IFERROR(__xludf.DUMMYFUNCTION("""COMPUTED_VALUE"""),"Antes Prazo")</f>
        <v>Antes Prazo</v>
      </c>
      <c r="O917" s="15" t="str">
        <f>IFERROR(__xludf.DUMMYFUNCTION("""COMPUTED_VALUE"""),"B2B")</f>
        <v>B2B</v>
      </c>
      <c r="P917" s="16">
        <f>IFERROR(__xludf.DUMMYFUNCTION("""COMPUTED_VALUE"""),45.49)</f>
        <v>45.49</v>
      </c>
      <c r="Q917" s="15">
        <f>IFERROR(__xludf.DUMMYFUNCTION("""COMPUTED_VALUE"""),1.0)</f>
        <v>1</v>
      </c>
      <c r="R917" s="15" t="str">
        <f>IFERROR(__xludf.DUMMYFUNCTION("""COMPUTED_VALUE"""),"RODO")</f>
        <v>RODO</v>
      </c>
      <c r="S917" s="15" t="str">
        <f>IFERROR(__xludf.DUMMYFUNCTION("""COMPUTED_VALUE"""),"ITN")</f>
        <v>ITN</v>
      </c>
      <c r="T917" s="15" t="str">
        <f>IFERROR(__xludf.DUMMYFUNCTION("""COMPUTED_VALUE"""),"930")</f>
        <v>930</v>
      </c>
      <c r="U917" s="15" t="str">
        <f>IFERROR(__xludf.DUMMYFUNCTION("""COMPUTED_VALUE"""),"266840324 1305824 8177549 shoes bete calcados eireli trifil abs 930")</f>
        <v>266840324 1305824 8177549 shoes bete calcados eireli trifil abs 930</v>
      </c>
      <c r="V917" s="15" t="b">
        <f>IFERROR(__xludf.DUMMYFUNCTION("""COMPUTED_VALUE"""),FALSE)</f>
        <v>0</v>
      </c>
    </row>
    <row r="918">
      <c r="A918" s="19">
        <f>IFERROR(__xludf.DUMMYFUNCTION("""COMPUTED_VALUE"""),46304.0)</f>
        <v>46304</v>
      </c>
      <c r="B918" s="19">
        <f>IFERROR(__xludf.DUMMYFUNCTION("""COMPUTED_VALUE"""),46318.0)</f>
        <v>46318</v>
      </c>
      <c r="C918" s="15">
        <f>IFERROR(__xludf.DUMMYFUNCTION("""COMPUTED_VALUE"""),9.0)</f>
        <v>9</v>
      </c>
      <c r="D918" s="15" t="str">
        <f>IFERROR(__xludf.DUMMYFUNCTION("""COMPUTED_VALUE"""),"PET")</f>
        <v>PET</v>
      </c>
      <c r="E918" s="15" t="str">
        <f>IFERROR(__xludf.DUMMYFUNCTION("""COMPUTED_VALUE"""),"Eloi Bilhalva Martins 46268405900")</f>
        <v>Eloi Bilhalva Martins 46268405900</v>
      </c>
      <c r="F918" s="15" t="str">
        <f>IFERROR(__xludf.DUMMYFUNCTION("""COMPUTED_VALUE"""),"TRIFIL")</f>
        <v>TRIFIL</v>
      </c>
      <c r="G918" s="15" t="str">
        <f>IFERROR(__xludf.DUMMYFUNCTION("""COMPUTED_VALUE"""),"266840325")</f>
        <v>266840325</v>
      </c>
      <c r="H918" s="15" t="str">
        <f>IFERROR(__xludf.DUMMYFUNCTION("""COMPUTED_VALUE"""),"1306416")</f>
        <v>1306416</v>
      </c>
      <c r="I918" s="15" t="str">
        <f>IFERROR(__xludf.DUMMYFUNCTION("""COMPUTED_VALUE"""),"8177497")</f>
        <v>8177497</v>
      </c>
      <c r="J918" s="15" t="str">
        <f>IFERROR(__xludf.DUMMYFUNCTION("""COMPUTED_VALUE"""),"CIF")</f>
        <v>CIF</v>
      </c>
      <c r="K918" s="15" t="str">
        <f>IFERROR(__xludf.DUMMYFUNCTION("""COMPUTED_VALUE"""),"FSA-1")</f>
        <v>FSA-1</v>
      </c>
      <c r="L918" s="15" t="str">
        <f>IFERROR(__xludf.DUMMYFUNCTION("""COMPUTED_VALUE"""),"AUTORIZADO")</f>
        <v>AUTORIZADO</v>
      </c>
      <c r="M918" s="15" t="str">
        <f>IFERROR(__xludf.DUMMYFUNCTION("""COMPUTED_VALUE"""),"NA ORIGEM")</f>
        <v>NA ORIGEM</v>
      </c>
      <c r="N918" s="15" t="str">
        <f>IFERROR(__xludf.DUMMYFUNCTION("""COMPUTED_VALUE"""),"Antes Prazo")</f>
        <v>Antes Prazo</v>
      </c>
      <c r="O918" s="15" t="str">
        <f>IFERROR(__xludf.DUMMYFUNCTION("""COMPUTED_VALUE"""),"B2B")</f>
        <v>B2B</v>
      </c>
      <c r="P918" s="16">
        <f>IFERROR(__xludf.DUMMYFUNCTION("""COMPUTED_VALUE"""),60.04)</f>
        <v>60.04</v>
      </c>
      <c r="Q918" s="15">
        <f>IFERROR(__xludf.DUMMYFUNCTION("""COMPUTED_VALUE"""),1.0)</f>
        <v>1</v>
      </c>
      <c r="R918" s="15" t="str">
        <f>IFERROR(__xludf.DUMMYFUNCTION("""COMPUTED_VALUE"""),"RODO")</f>
        <v>RODO</v>
      </c>
      <c r="S918" s="15" t="str">
        <f>IFERROR(__xludf.DUMMYFUNCTION("""COMPUTED_VALUE"""),"ITN")</f>
        <v>ITN</v>
      </c>
      <c r="T918" s="15" t="str">
        <f>IFERROR(__xludf.DUMMYFUNCTION("""COMPUTED_VALUE"""),"1")</f>
        <v>1</v>
      </c>
      <c r="U918" s="15" t="str">
        <f>IFERROR(__xludf.DUMMYFUNCTION("""COMPUTED_VALUE"""),"266840325 1306416 8177497 eloi bilhalva martins 46268405900 trifil pet 1")</f>
        <v>266840325 1306416 8177497 eloi bilhalva martins 46268405900 trifil pet 1</v>
      </c>
      <c r="V918" s="15" t="b">
        <f>IFERROR(__xludf.DUMMYFUNCTION("""COMPUTED_VALUE"""),FALSE)</f>
        <v>0</v>
      </c>
    </row>
    <row r="919">
      <c r="A919" s="19">
        <f>IFERROR(__xludf.DUMMYFUNCTION("""COMPUTED_VALUE"""),46304.0)</f>
        <v>46304</v>
      </c>
      <c r="B919" s="19">
        <f>IFERROR(__xludf.DUMMYFUNCTION("""COMPUTED_VALUE"""),46321.0)</f>
        <v>46321</v>
      </c>
      <c r="C919" s="15">
        <f>IFERROR(__xludf.DUMMYFUNCTION("""COMPUTED_VALUE"""),10.0)</f>
        <v>10</v>
      </c>
      <c r="D919" s="15" t="str">
        <f>IFERROR(__xludf.DUMMYFUNCTION("""COMPUTED_VALUE"""),"RIA")</f>
        <v>RIA</v>
      </c>
      <c r="E919" s="15" t="str">
        <f>IFERROR(__xludf.DUMMYFUNCTION("""COMPUTED_VALUE"""),"MARIA DE LURDES BACK DA SILVA")</f>
        <v>MARIA DE LURDES BACK DA SILVA</v>
      </c>
      <c r="F919" s="15" t="str">
        <f>IFERROR(__xludf.DUMMYFUNCTION("""COMPUTED_VALUE"""),"TRIFIL")</f>
        <v>TRIFIL</v>
      </c>
      <c r="G919" s="15" t="str">
        <f>IFERROR(__xludf.DUMMYFUNCTION("""COMPUTED_VALUE"""),"266840326")</f>
        <v>266840326</v>
      </c>
      <c r="H919" s="15" t="str">
        <f>IFERROR(__xludf.DUMMYFUNCTION("""COMPUTED_VALUE"""),"1306276")</f>
        <v>1306276</v>
      </c>
      <c r="I919" s="15" t="str">
        <f>IFERROR(__xludf.DUMMYFUNCTION("""COMPUTED_VALUE"""),"8177498")</f>
        <v>8177498</v>
      </c>
      <c r="J919" s="15" t="str">
        <f>IFERROR(__xludf.DUMMYFUNCTION("""COMPUTED_VALUE"""),"CIF")</f>
        <v>CIF</v>
      </c>
      <c r="K919" s="15" t="str">
        <f>IFERROR(__xludf.DUMMYFUNCTION("""COMPUTED_VALUE"""),"(sem célula)")</f>
        <v>(sem célula)</v>
      </c>
      <c r="L919" s="15" t="str">
        <f>IFERROR(__xludf.DUMMYFUNCTION("""COMPUTED_VALUE"""),"AUTORIZADO")</f>
        <v>AUTORIZADO</v>
      </c>
      <c r="M919" s="15" t="str">
        <f>IFERROR(__xludf.DUMMYFUNCTION("""COMPUTED_VALUE"""),"NA ORIGEM")</f>
        <v>NA ORIGEM</v>
      </c>
      <c r="N919" s="15" t="str">
        <f>IFERROR(__xludf.DUMMYFUNCTION("""COMPUTED_VALUE"""),"Antes Prazo")</f>
        <v>Antes Prazo</v>
      </c>
      <c r="O919" s="15" t="str">
        <f>IFERROR(__xludf.DUMMYFUNCTION("""COMPUTED_VALUE"""),"B2B")</f>
        <v>B2B</v>
      </c>
      <c r="P919" s="16">
        <f>IFERROR(__xludf.DUMMYFUNCTION("""COMPUTED_VALUE"""),67.68)</f>
        <v>67.68</v>
      </c>
      <c r="Q919" s="15">
        <f>IFERROR(__xludf.DUMMYFUNCTION("""COMPUTED_VALUE"""),1.0)</f>
        <v>1</v>
      </c>
      <c r="R919" s="15" t="str">
        <f>IFERROR(__xludf.DUMMYFUNCTION("""COMPUTED_VALUE"""),"RODO")</f>
        <v>RODO</v>
      </c>
      <c r="S919" s="15" t="str">
        <f>IFERROR(__xludf.DUMMYFUNCTION("""COMPUTED_VALUE"""),"ITN")</f>
        <v>ITN</v>
      </c>
      <c r="T919" s="15" t="str">
        <f>IFERROR(__xludf.DUMMYFUNCTION("""COMPUTED_VALUE"""),"107")</f>
        <v>107</v>
      </c>
      <c r="U919" s="15" t="str">
        <f>IFERROR(__xludf.DUMMYFUNCTION("""COMPUTED_VALUE"""),"266840326 1306276 8177498 maria de lurdes back da silva trifil ria 107")</f>
        <v>266840326 1306276 8177498 maria de lurdes back da silva trifil ria 107</v>
      </c>
      <c r="V919" s="15" t="b">
        <f>IFERROR(__xludf.DUMMYFUNCTION("""COMPUTED_VALUE"""),FALSE)</f>
        <v>0</v>
      </c>
    </row>
    <row r="920">
      <c r="A920" s="19">
        <f>IFERROR(__xludf.DUMMYFUNCTION("""COMPUTED_VALUE"""),46304.0)</f>
        <v>46304</v>
      </c>
      <c r="B920" s="19">
        <f>IFERROR(__xludf.DUMMYFUNCTION("""COMPUTED_VALUE"""),46322.0)</f>
        <v>46322</v>
      </c>
      <c r="C920" s="15">
        <f>IFERROR(__xludf.DUMMYFUNCTION("""COMPUTED_VALUE"""),11.0)</f>
        <v>11</v>
      </c>
      <c r="D920" s="15" t="str">
        <f>IFERROR(__xludf.DUMMYFUNCTION("""COMPUTED_VALUE"""),"POA")</f>
        <v>POA</v>
      </c>
      <c r="E920" s="15" t="str">
        <f>IFERROR(__xludf.DUMMYFUNCTION("""COMPUTED_VALUE"""),"GRAZZIANI BARBOZA DE SOUZA")</f>
        <v>GRAZZIANI BARBOZA DE SOUZA</v>
      </c>
      <c r="F920" s="15" t="str">
        <f>IFERROR(__xludf.DUMMYFUNCTION("""COMPUTED_VALUE"""),"TRIFIL")</f>
        <v>TRIFIL</v>
      </c>
      <c r="G920" s="15" t="str">
        <f>IFERROR(__xludf.DUMMYFUNCTION("""COMPUTED_VALUE"""),"266840327")</f>
        <v>266840327</v>
      </c>
      <c r="H920" s="15" t="str">
        <f>IFERROR(__xludf.DUMMYFUNCTION("""COMPUTED_VALUE"""),"1306455")</f>
        <v>1306455</v>
      </c>
      <c r="I920" s="15" t="str">
        <f>IFERROR(__xludf.DUMMYFUNCTION("""COMPUTED_VALUE"""),"8177568")</f>
        <v>8177568</v>
      </c>
      <c r="J920" s="15" t="str">
        <f>IFERROR(__xludf.DUMMYFUNCTION("""COMPUTED_VALUE"""),"CIF")</f>
        <v>CIF</v>
      </c>
      <c r="K920" s="15" t="str">
        <f>IFERROR(__xludf.DUMMYFUNCTION("""COMPUTED_VALUE"""),"FSA-1")</f>
        <v>FSA-1</v>
      </c>
      <c r="L920" s="15" t="str">
        <f>IFERROR(__xludf.DUMMYFUNCTION("""COMPUTED_VALUE"""),"AUTORIZADO")</f>
        <v>AUTORIZADO</v>
      </c>
      <c r="M920" s="15" t="str">
        <f>IFERROR(__xludf.DUMMYFUNCTION("""COMPUTED_VALUE"""),"NA ORIGEM")</f>
        <v>NA ORIGEM</v>
      </c>
      <c r="N920" s="15" t="str">
        <f>IFERROR(__xludf.DUMMYFUNCTION("""COMPUTED_VALUE"""),"Antes Prazo")</f>
        <v>Antes Prazo</v>
      </c>
      <c r="O920" s="15" t="str">
        <f>IFERROR(__xludf.DUMMYFUNCTION("""COMPUTED_VALUE"""),"B2B")</f>
        <v>B2B</v>
      </c>
      <c r="P920" s="16">
        <f>IFERROR(__xludf.DUMMYFUNCTION("""COMPUTED_VALUE"""),67.68)</f>
        <v>67.68</v>
      </c>
      <c r="Q920" s="15">
        <f>IFERROR(__xludf.DUMMYFUNCTION("""COMPUTED_VALUE"""),1.0)</f>
        <v>1</v>
      </c>
      <c r="R920" s="15" t="str">
        <f>IFERROR(__xludf.DUMMYFUNCTION("""COMPUTED_VALUE"""),"RODO")</f>
        <v>RODO</v>
      </c>
      <c r="S920" s="15" t="str">
        <f>IFERROR(__xludf.DUMMYFUNCTION("""COMPUTED_VALUE"""),"ITN")</f>
        <v>ITN</v>
      </c>
      <c r="T920" s="15" t="str">
        <f>IFERROR(__xludf.DUMMYFUNCTION("""COMPUTED_VALUE"""),"101")</f>
        <v>101</v>
      </c>
      <c r="U920" s="15" t="str">
        <f>IFERROR(__xludf.DUMMYFUNCTION("""COMPUTED_VALUE"""),"266840327 1306455 8177568 grazziani barboza de souza trifil poa 101")</f>
        <v>266840327 1306455 8177568 grazziani barboza de souza trifil poa 101</v>
      </c>
      <c r="V920" s="15" t="b">
        <f>IFERROR(__xludf.DUMMYFUNCTION("""COMPUTED_VALUE"""),FALSE)</f>
        <v>0</v>
      </c>
    </row>
    <row r="921">
      <c r="A921" s="19">
        <f>IFERROR(__xludf.DUMMYFUNCTION("""COMPUTED_VALUE"""),46304.0)</f>
        <v>46304</v>
      </c>
      <c r="B921" s="19">
        <f>IFERROR(__xludf.DUMMYFUNCTION("""COMPUTED_VALUE"""),46318.0)</f>
        <v>46318</v>
      </c>
      <c r="C921" s="15">
        <f>IFERROR(__xludf.DUMMYFUNCTION("""COMPUTED_VALUE"""),9.0)</f>
        <v>9</v>
      </c>
      <c r="D921" s="15" t="str">
        <f>IFERROR(__xludf.DUMMYFUNCTION("""COMPUTED_VALUE"""),"CSU")</f>
        <v>CSU</v>
      </c>
      <c r="E921" s="15" t="str">
        <f>IFERROR(__xludf.DUMMYFUNCTION("""COMPUTED_VALUE"""),"MINHAGRIFFE")</f>
        <v>MINHAGRIFFE</v>
      </c>
      <c r="F921" s="15" t="str">
        <f>IFERROR(__xludf.DUMMYFUNCTION("""COMPUTED_VALUE"""),"TRIFIL")</f>
        <v>TRIFIL</v>
      </c>
      <c r="G921" s="15" t="str">
        <f>IFERROR(__xludf.DUMMYFUNCTION("""COMPUTED_VALUE"""),"266840328")</f>
        <v>266840328</v>
      </c>
      <c r="H921" s="15" t="str">
        <f>IFERROR(__xludf.DUMMYFUNCTION("""COMPUTED_VALUE"""),"1303832")</f>
        <v>1303832</v>
      </c>
      <c r="I921" s="15" t="str">
        <f>IFERROR(__xludf.DUMMYFUNCTION("""COMPUTED_VALUE"""),"8177597")</f>
        <v>8177597</v>
      </c>
      <c r="J921" s="15" t="str">
        <f>IFERROR(__xludf.DUMMYFUNCTION("""COMPUTED_VALUE"""),"CIF")</f>
        <v>CIF</v>
      </c>
      <c r="K921" s="15" t="str">
        <f>IFERROR(__xludf.DUMMYFUNCTION("""COMPUTED_VALUE"""),"FSA-1")</f>
        <v>FSA-1</v>
      </c>
      <c r="L921" s="15" t="str">
        <f>IFERROR(__xludf.DUMMYFUNCTION("""COMPUTED_VALUE"""),"AUTORIZADO")</f>
        <v>AUTORIZADO</v>
      </c>
      <c r="M921" s="15" t="str">
        <f>IFERROR(__xludf.DUMMYFUNCTION("""COMPUTED_VALUE"""),"NA ORIGEM")</f>
        <v>NA ORIGEM</v>
      </c>
      <c r="N921" s="15" t="str">
        <f>IFERROR(__xludf.DUMMYFUNCTION("""COMPUTED_VALUE"""),"Antes Prazo")</f>
        <v>Antes Prazo</v>
      </c>
      <c r="O921" s="15" t="str">
        <f>IFERROR(__xludf.DUMMYFUNCTION("""COMPUTED_VALUE"""),"B2B")</f>
        <v>B2B</v>
      </c>
      <c r="P921" s="16">
        <f>IFERROR(__xludf.DUMMYFUNCTION("""COMPUTED_VALUE"""),60.04)</f>
        <v>60.04</v>
      </c>
      <c r="Q921" s="15">
        <f>IFERROR(__xludf.DUMMYFUNCTION("""COMPUTED_VALUE"""),2.0)</f>
        <v>2</v>
      </c>
      <c r="R921" s="15" t="str">
        <f>IFERROR(__xludf.DUMMYFUNCTION("""COMPUTED_VALUE"""),"RODO")</f>
        <v>RODO</v>
      </c>
      <c r="S921" s="15" t="str">
        <f>IFERROR(__xludf.DUMMYFUNCTION("""COMPUTED_VALUE"""),"ITN")</f>
        <v>ITN</v>
      </c>
      <c r="T921" s="15" t="str">
        <f>IFERROR(__xludf.DUMMYFUNCTION("""COMPUTED_VALUE"""),"1")</f>
        <v>1</v>
      </c>
      <c r="U921" s="15" t="str">
        <f>IFERROR(__xludf.DUMMYFUNCTION("""COMPUTED_VALUE"""),"266840328 1303832 8177597 minhagriffe trifil csu 1")</f>
        <v>266840328 1303832 8177597 minhagriffe trifil csu 1</v>
      </c>
      <c r="V921" s="15" t="b">
        <f>IFERROR(__xludf.DUMMYFUNCTION("""COMPUTED_VALUE"""),FALSE)</f>
        <v>0</v>
      </c>
    </row>
    <row r="922">
      <c r="A922" s="19">
        <f>IFERROR(__xludf.DUMMYFUNCTION("""COMPUTED_VALUE"""),46304.0)</f>
        <v>46304</v>
      </c>
      <c r="B922" s="19">
        <f>IFERROR(__xludf.DUMMYFUNCTION("""COMPUTED_VALUE"""),46322.0)</f>
        <v>46322</v>
      </c>
      <c r="C922" s="15">
        <f>IFERROR(__xludf.DUMMYFUNCTION("""COMPUTED_VALUE"""),11.0)</f>
        <v>11</v>
      </c>
      <c r="D922" s="15" t="str">
        <f>IFERROR(__xludf.DUMMYFUNCTION("""COMPUTED_VALUE"""),"RIA")</f>
        <v>RIA</v>
      </c>
      <c r="E922" s="15" t="str">
        <f>IFERROR(__xludf.DUMMYFUNCTION("""COMPUTED_VALUE"""),"CASARAO VERDE")</f>
        <v>CASARAO VERDE</v>
      </c>
      <c r="F922" s="15" t="str">
        <f>IFERROR(__xludf.DUMMYFUNCTION("""COMPUTED_VALUE"""),"TRIFIL")</f>
        <v>TRIFIL</v>
      </c>
      <c r="G922" s="15" t="str">
        <f>IFERROR(__xludf.DUMMYFUNCTION("""COMPUTED_VALUE"""),"266840329")</f>
        <v>266840329</v>
      </c>
      <c r="H922" s="15" t="str">
        <f>IFERROR(__xludf.DUMMYFUNCTION("""COMPUTED_VALUE"""),"1306252")</f>
        <v>1306252</v>
      </c>
      <c r="I922" s="15" t="str">
        <f>IFERROR(__xludf.DUMMYFUNCTION("""COMPUTED_VALUE"""),"8177550")</f>
        <v>8177550</v>
      </c>
      <c r="J922" s="15" t="str">
        <f>IFERROR(__xludf.DUMMYFUNCTION("""COMPUTED_VALUE"""),"CIF")</f>
        <v>CIF</v>
      </c>
      <c r="K922" s="15" t="str">
        <f>IFERROR(__xludf.DUMMYFUNCTION("""COMPUTED_VALUE"""),"SAO-1")</f>
        <v>SAO-1</v>
      </c>
      <c r="L922" s="15" t="str">
        <f>IFERROR(__xludf.DUMMYFUNCTION("""COMPUTED_VALUE"""),"AUTORIZADO")</f>
        <v>AUTORIZADO</v>
      </c>
      <c r="M922" s="15" t="str">
        <f>IFERROR(__xludf.DUMMYFUNCTION("""COMPUTED_VALUE"""),"NA ORIGEM")</f>
        <v>NA ORIGEM</v>
      </c>
      <c r="N922" s="15" t="str">
        <f>IFERROR(__xludf.DUMMYFUNCTION("""COMPUTED_VALUE"""),"Antes Prazo")</f>
        <v>Antes Prazo</v>
      </c>
      <c r="O922" s="15" t="str">
        <f>IFERROR(__xludf.DUMMYFUNCTION("""COMPUTED_VALUE"""),"B2B")</f>
        <v>B2B</v>
      </c>
      <c r="P922" s="16">
        <f>IFERROR(__xludf.DUMMYFUNCTION("""COMPUTED_VALUE"""),67.68)</f>
        <v>67.68</v>
      </c>
      <c r="Q922" s="15">
        <f>IFERROR(__xludf.DUMMYFUNCTION("""COMPUTED_VALUE"""),1.0)</f>
        <v>1</v>
      </c>
      <c r="R922" s="15" t="str">
        <f>IFERROR(__xludf.DUMMYFUNCTION("""COMPUTED_VALUE"""),"RODO")</f>
        <v>RODO</v>
      </c>
      <c r="S922" s="15" t="str">
        <f>IFERROR(__xludf.DUMMYFUNCTION("""COMPUTED_VALUE"""),"ITN")</f>
        <v>ITN</v>
      </c>
      <c r="T922" s="15" t="str">
        <f>IFERROR(__xludf.DUMMYFUNCTION("""COMPUTED_VALUE"""),"106")</f>
        <v>106</v>
      </c>
      <c r="U922" s="15" t="str">
        <f>IFERROR(__xludf.DUMMYFUNCTION("""COMPUTED_VALUE"""),"266840329 1306252 8177550 casarao verde trifil ria 106")</f>
        <v>266840329 1306252 8177550 casarao verde trifil ria 106</v>
      </c>
      <c r="V922" s="15" t="b">
        <f>IFERROR(__xludf.DUMMYFUNCTION("""COMPUTED_VALUE"""),FALSE)</f>
        <v>0</v>
      </c>
    </row>
    <row r="923">
      <c r="A923" s="19">
        <f>IFERROR(__xludf.DUMMYFUNCTION("""COMPUTED_VALUE"""),46304.0)</f>
        <v>46304</v>
      </c>
      <c r="B923" s="19">
        <f>IFERROR(__xludf.DUMMYFUNCTION("""COMPUTED_VALUE"""),46322.0)</f>
        <v>46322</v>
      </c>
      <c r="C923" s="15">
        <f>IFERROR(__xludf.DUMMYFUNCTION("""COMPUTED_VALUE"""),11.0)</f>
        <v>11</v>
      </c>
      <c r="D923" s="15" t="str">
        <f>IFERROR(__xludf.DUMMYFUNCTION("""COMPUTED_VALUE"""),"RIA")</f>
        <v>RIA</v>
      </c>
      <c r="E923" s="15" t="str">
        <f>IFERROR(__xludf.DUMMYFUNCTION("""COMPUTED_VALUE"""),"MAHMUD M.MUSTAFA &amp; CIA.LTDA.")</f>
        <v>MAHMUD M.MUSTAFA &amp; CIA.LTDA.</v>
      </c>
      <c r="F923" s="15" t="str">
        <f>IFERROR(__xludf.DUMMYFUNCTION("""COMPUTED_VALUE"""),"TRIFIL")</f>
        <v>TRIFIL</v>
      </c>
      <c r="G923" s="15" t="str">
        <f>IFERROR(__xludf.DUMMYFUNCTION("""COMPUTED_VALUE"""),"266840330")</f>
        <v>266840330</v>
      </c>
      <c r="H923" s="15" t="str">
        <f>IFERROR(__xludf.DUMMYFUNCTION("""COMPUTED_VALUE"""),"1306227")</f>
        <v>1306227</v>
      </c>
      <c r="I923" s="15" t="str">
        <f>IFERROR(__xludf.DUMMYFUNCTION("""COMPUTED_VALUE"""),"8177551")</f>
        <v>8177551</v>
      </c>
      <c r="J923" s="15" t="str">
        <f>IFERROR(__xludf.DUMMYFUNCTION("""COMPUTED_VALUE"""),"CIF")</f>
        <v>CIF</v>
      </c>
      <c r="K923" s="15" t="str">
        <f>IFERROR(__xludf.DUMMYFUNCTION("""COMPUTED_VALUE"""),"(sem célula)")</f>
        <v>(sem célula)</v>
      </c>
      <c r="L923" s="15" t="str">
        <f>IFERROR(__xludf.DUMMYFUNCTION("""COMPUTED_VALUE"""),"AUTORIZADO")</f>
        <v>AUTORIZADO</v>
      </c>
      <c r="M923" s="15" t="str">
        <f>IFERROR(__xludf.DUMMYFUNCTION("""COMPUTED_VALUE"""),"NA ORIGEM")</f>
        <v>NA ORIGEM</v>
      </c>
      <c r="N923" s="15" t="str">
        <f>IFERROR(__xludf.DUMMYFUNCTION("""COMPUTED_VALUE"""),"Antes Prazo")</f>
        <v>Antes Prazo</v>
      </c>
      <c r="O923" s="15" t="str">
        <f>IFERROR(__xludf.DUMMYFUNCTION("""COMPUTED_VALUE"""),"B2B")</f>
        <v>B2B</v>
      </c>
      <c r="P923" s="16">
        <f>IFERROR(__xludf.DUMMYFUNCTION("""COMPUTED_VALUE"""),67.68)</f>
        <v>67.68</v>
      </c>
      <c r="Q923" s="15">
        <f>IFERROR(__xludf.DUMMYFUNCTION("""COMPUTED_VALUE"""),1.0)</f>
        <v>1</v>
      </c>
      <c r="R923" s="15" t="str">
        <f>IFERROR(__xludf.DUMMYFUNCTION("""COMPUTED_VALUE"""),"RODO")</f>
        <v>RODO</v>
      </c>
      <c r="S923" s="15" t="str">
        <f>IFERROR(__xludf.DUMMYFUNCTION("""COMPUTED_VALUE"""),"ITN")</f>
        <v>ITN</v>
      </c>
      <c r="T923" s="15" t="str">
        <f>IFERROR(__xludf.DUMMYFUNCTION("""COMPUTED_VALUE"""),"110")</f>
        <v>110</v>
      </c>
      <c r="U923" s="15" t="str">
        <f>IFERROR(__xludf.DUMMYFUNCTION("""COMPUTED_VALUE"""),"266840330 1306227 8177551 mahmud m.mustafa &amp; cia.ltda. trifil ria 110")</f>
        <v>266840330 1306227 8177551 mahmud m.mustafa &amp; cia.ltda. trifil ria 110</v>
      </c>
      <c r="V923" s="15" t="b">
        <f>IFERROR(__xludf.DUMMYFUNCTION("""COMPUTED_VALUE"""),FALSE)</f>
        <v>0</v>
      </c>
    </row>
    <row r="924">
      <c r="A924" s="19">
        <f>IFERROR(__xludf.DUMMYFUNCTION("""COMPUTED_VALUE"""),46304.0)</f>
        <v>46304</v>
      </c>
      <c r="B924" s="19">
        <f>IFERROR(__xludf.DUMMYFUNCTION("""COMPUTED_VALUE"""),46318.0)</f>
        <v>46318</v>
      </c>
      <c r="C924" s="15">
        <f>IFERROR(__xludf.DUMMYFUNCTION("""COMPUTED_VALUE"""),9.0)</f>
        <v>9</v>
      </c>
      <c r="D924" s="15" t="str">
        <f>IFERROR(__xludf.DUMMYFUNCTION("""COMPUTED_VALUE"""),"GEL")</f>
        <v>GEL</v>
      </c>
      <c r="E924" s="15" t="str">
        <f>IFERROR(__xludf.DUMMYFUNCTION("""COMPUTED_VALUE"""),"LOJAS FARROUPILHA LTDA")</f>
        <v>LOJAS FARROUPILHA LTDA</v>
      </c>
      <c r="F924" s="15" t="str">
        <f>IFERROR(__xludf.DUMMYFUNCTION("""COMPUTED_VALUE"""),"TRIFIL")</f>
        <v>TRIFIL</v>
      </c>
      <c r="G924" s="15" t="str">
        <f>IFERROR(__xludf.DUMMYFUNCTION("""COMPUTED_VALUE"""),"266840331")</f>
        <v>266840331</v>
      </c>
      <c r="H924" s="15" t="str">
        <f>IFERROR(__xludf.DUMMYFUNCTION("""COMPUTED_VALUE"""),"1306215")</f>
        <v>1306215</v>
      </c>
      <c r="I924" s="15" t="str">
        <f>IFERROR(__xludf.DUMMYFUNCTION("""COMPUTED_VALUE"""),"8177552")</f>
        <v>8177552</v>
      </c>
      <c r="J924" s="15" t="str">
        <f>IFERROR(__xludf.DUMMYFUNCTION("""COMPUTED_VALUE"""),"CIF")</f>
        <v>CIF</v>
      </c>
      <c r="K924" s="15" t="str">
        <f>IFERROR(__xludf.DUMMYFUNCTION("""COMPUTED_VALUE"""),"FSA-1")</f>
        <v>FSA-1</v>
      </c>
      <c r="L924" s="15" t="str">
        <f>IFERROR(__xludf.DUMMYFUNCTION("""COMPUTED_VALUE"""),"AUTORIZADO")</f>
        <v>AUTORIZADO</v>
      </c>
      <c r="M924" s="15" t="str">
        <f>IFERROR(__xludf.DUMMYFUNCTION("""COMPUTED_VALUE"""),"NA ORIGEM")</f>
        <v>NA ORIGEM</v>
      </c>
      <c r="N924" s="15" t="str">
        <f>IFERROR(__xludf.DUMMYFUNCTION("""COMPUTED_VALUE"""),"Antes Prazo")</f>
        <v>Antes Prazo</v>
      </c>
      <c r="O924" s="15" t="str">
        <f>IFERROR(__xludf.DUMMYFUNCTION("""COMPUTED_VALUE"""),"B2B")</f>
        <v>B2B</v>
      </c>
      <c r="P924" s="16">
        <f>IFERROR(__xludf.DUMMYFUNCTION("""COMPUTED_VALUE"""),60.04)</f>
        <v>60.04</v>
      </c>
      <c r="Q924" s="15">
        <f>IFERROR(__xludf.DUMMYFUNCTION("""COMPUTED_VALUE"""),1.0)</f>
        <v>1</v>
      </c>
      <c r="R924" s="15" t="str">
        <f>IFERROR(__xludf.DUMMYFUNCTION("""COMPUTED_VALUE"""),"RODO")</f>
        <v>RODO</v>
      </c>
      <c r="S924" s="15" t="str">
        <f>IFERROR(__xludf.DUMMYFUNCTION("""COMPUTED_VALUE"""),"ITN")</f>
        <v>ITN</v>
      </c>
      <c r="T924" s="15" t="str">
        <f>IFERROR(__xludf.DUMMYFUNCTION("""COMPUTED_VALUE"""),"1")</f>
        <v>1</v>
      </c>
      <c r="U924" s="15" t="str">
        <f>IFERROR(__xludf.DUMMYFUNCTION("""COMPUTED_VALUE"""),"266840331 1306215 8177552 lojas farroupilha ltda trifil gel 1")</f>
        <v>266840331 1306215 8177552 lojas farroupilha ltda trifil gel 1</v>
      </c>
      <c r="V924" s="15" t="b">
        <f>IFERROR(__xludf.DUMMYFUNCTION("""COMPUTED_VALUE"""),FALSE)</f>
        <v>0</v>
      </c>
    </row>
    <row r="925">
      <c r="A925" s="19">
        <f>IFERROR(__xludf.DUMMYFUNCTION("""COMPUTED_VALUE"""),46304.0)</f>
        <v>46304</v>
      </c>
      <c r="B925" s="19">
        <f>IFERROR(__xludf.DUMMYFUNCTION("""COMPUTED_VALUE"""),46321.0)</f>
        <v>46321</v>
      </c>
      <c r="C925" s="15">
        <f>IFERROR(__xludf.DUMMYFUNCTION("""COMPUTED_VALUE"""),10.0)</f>
        <v>10</v>
      </c>
      <c r="D925" s="15" t="str">
        <f>IFERROR(__xludf.DUMMYFUNCTION("""COMPUTED_VALUE"""),"GEL")</f>
        <v>GEL</v>
      </c>
      <c r="E925" s="15" t="str">
        <f>IFERROR(__xludf.DUMMYFUNCTION("""COMPUTED_VALUE"""),"SAELI CALÇADOS")</f>
        <v>SAELI CALÇADOS</v>
      </c>
      <c r="F925" s="15" t="str">
        <f>IFERROR(__xludf.DUMMYFUNCTION("""COMPUTED_VALUE"""),"TRIFIL")</f>
        <v>TRIFIL</v>
      </c>
      <c r="G925" s="15" t="str">
        <f>IFERROR(__xludf.DUMMYFUNCTION("""COMPUTED_VALUE"""),"266840332")</f>
        <v>266840332</v>
      </c>
      <c r="H925" s="15" t="str">
        <f>IFERROR(__xludf.DUMMYFUNCTION("""COMPUTED_VALUE"""),"1306157")</f>
        <v>1306157</v>
      </c>
      <c r="I925" s="15" t="str">
        <f>IFERROR(__xludf.DUMMYFUNCTION("""COMPUTED_VALUE"""),"8177569")</f>
        <v>8177569</v>
      </c>
      <c r="J925" s="15" t="str">
        <f>IFERROR(__xludf.DUMMYFUNCTION("""COMPUTED_VALUE"""),"CIF")</f>
        <v>CIF</v>
      </c>
      <c r="K925" s="15" t="str">
        <f>IFERROR(__xludf.DUMMYFUNCTION("""COMPUTED_VALUE"""),"FSA-1")</f>
        <v>FSA-1</v>
      </c>
      <c r="L925" s="15" t="str">
        <f>IFERROR(__xludf.DUMMYFUNCTION("""COMPUTED_VALUE"""),"AUTORIZADO")</f>
        <v>AUTORIZADO</v>
      </c>
      <c r="M925" s="15" t="str">
        <f>IFERROR(__xludf.DUMMYFUNCTION("""COMPUTED_VALUE"""),"NA ORIGEM")</f>
        <v>NA ORIGEM</v>
      </c>
      <c r="N925" s="15" t="str">
        <f>IFERROR(__xludf.DUMMYFUNCTION("""COMPUTED_VALUE"""),"Antes Prazo")</f>
        <v>Antes Prazo</v>
      </c>
      <c r="O925" s="15" t="str">
        <f>IFERROR(__xludf.DUMMYFUNCTION("""COMPUTED_VALUE"""),"B2B")</f>
        <v>B2B</v>
      </c>
      <c r="P925" s="16">
        <f>IFERROR(__xludf.DUMMYFUNCTION("""COMPUTED_VALUE"""),67.68)</f>
        <v>67.68</v>
      </c>
      <c r="Q925" s="15">
        <f>IFERROR(__xludf.DUMMYFUNCTION("""COMPUTED_VALUE"""),1.0)</f>
        <v>1</v>
      </c>
      <c r="R925" s="15" t="str">
        <f>IFERROR(__xludf.DUMMYFUNCTION("""COMPUTED_VALUE"""),"RODO")</f>
        <v>RODO</v>
      </c>
      <c r="S925" s="15" t="str">
        <f>IFERROR(__xludf.DUMMYFUNCTION("""COMPUTED_VALUE"""),"ITN")</f>
        <v>ITN</v>
      </c>
      <c r="T925" s="15" t="str">
        <f>IFERROR(__xludf.DUMMYFUNCTION("""COMPUTED_VALUE"""),"104")</f>
        <v>104</v>
      </c>
      <c r="U925" s="15" t="str">
        <f>IFERROR(__xludf.DUMMYFUNCTION("""COMPUTED_VALUE"""),"266840332 1306157 8177569 saeli calçados trifil gel 104")</f>
        <v>266840332 1306157 8177569 saeli calçados trifil gel 104</v>
      </c>
      <c r="V925" s="15" t="b">
        <f>IFERROR(__xludf.DUMMYFUNCTION("""COMPUTED_VALUE"""),FALSE)</f>
        <v>0</v>
      </c>
    </row>
    <row r="926">
      <c r="A926" s="19">
        <f>IFERROR(__xludf.DUMMYFUNCTION("""COMPUTED_VALUE"""),46304.0)</f>
        <v>46304</v>
      </c>
      <c r="B926" s="19">
        <f>IFERROR(__xludf.DUMMYFUNCTION("""COMPUTED_VALUE"""),46325.0)</f>
        <v>46325</v>
      </c>
      <c r="C926" s="15">
        <f>IFERROR(__xludf.DUMMYFUNCTION("""COMPUTED_VALUE"""),14.0)</f>
        <v>14</v>
      </c>
      <c r="D926" s="15" t="str">
        <f>IFERROR(__xludf.DUMMYFUNCTION("""COMPUTED_VALUE"""),"PFB")</f>
        <v>PFB</v>
      </c>
      <c r="E926" s="15" t="str">
        <f>IFERROR(__xludf.DUMMYFUNCTION("""COMPUTED_VALUE"""),"MARCIA ELVIRA LOPES DA SILVA -")</f>
        <v>MARCIA ELVIRA LOPES DA SILVA -</v>
      </c>
      <c r="F926" s="15" t="str">
        <f>IFERROR(__xludf.DUMMYFUNCTION("""COMPUTED_VALUE"""),"TRIFIL")</f>
        <v>TRIFIL</v>
      </c>
      <c r="G926" s="15" t="str">
        <f>IFERROR(__xludf.DUMMYFUNCTION("""COMPUTED_VALUE"""),"266840334")</f>
        <v>266840334</v>
      </c>
      <c r="H926" s="15" t="str">
        <f>IFERROR(__xludf.DUMMYFUNCTION("""COMPUTED_VALUE"""),"1306388")</f>
        <v>1306388</v>
      </c>
      <c r="I926" s="15" t="str">
        <f>IFERROR(__xludf.DUMMYFUNCTION("""COMPUTED_VALUE"""),"8177553")</f>
        <v>8177553</v>
      </c>
      <c r="J926" s="15" t="str">
        <f>IFERROR(__xludf.DUMMYFUNCTION("""COMPUTED_VALUE"""),"CIF")</f>
        <v>CIF</v>
      </c>
      <c r="K926" s="15" t="str">
        <f>IFERROR(__xludf.DUMMYFUNCTION("""COMPUTED_VALUE"""),"FSA-1")</f>
        <v>FSA-1</v>
      </c>
      <c r="L926" s="15" t="str">
        <f>IFERROR(__xludf.DUMMYFUNCTION("""COMPUTED_VALUE"""),"AUTORIZADO")</f>
        <v>AUTORIZADO</v>
      </c>
      <c r="M926" s="15" t="str">
        <f>IFERROR(__xludf.DUMMYFUNCTION("""COMPUTED_VALUE"""),"NA ORIGEM")</f>
        <v>NA ORIGEM</v>
      </c>
      <c r="N926" s="15" t="str">
        <f>IFERROR(__xludf.DUMMYFUNCTION("""COMPUTED_VALUE"""),"Antes Prazo")</f>
        <v>Antes Prazo</v>
      </c>
      <c r="O926" s="15" t="str">
        <f>IFERROR(__xludf.DUMMYFUNCTION("""COMPUTED_VALUE"""),"B2B")</f>
        <v>B2B</v>
      </c>
      <c r="P926" s="16">
        <f>IFERROR(__xludf.DUMMYFUNCTION("""COMPUTED_VALUE"""),67.68)</f>
        <v>67.68</v>
      </c>
      <c r="Q926" s="15">
        <f>IFERROR(__xludf.DUMMYFUNCTION("""COMPUTED_VALUE"""),1.0)</f>
        <v>1</v>
      </c>
      <c r="R926" s="15" t="str">
        <f>IFERROR(__xludf.DUMMYFUNCTION("""COMPUTED_VALUE"""),"RODO")</f>
        <v>RODO</v>
      </c>
      <c r="S926" s="15" t="str">
        <f>IFERROR(__xludf.DUMMYFUNCTION("""COMPUTED_VALUE"""),"ITN")</f>
        <v>ITN</v>
      </c>
      <c r="T926" s="15" t="str">
        <f>IFERROR(__xludf.DUMMYFUNCTION("""COMPUTED_VALUE"""),"115")</f>
        <v>115</v>
      </c>
      <c r="U926" s="15" t="str">
        <f>IFERROR(__xludf.DUMMYFUNCTION("""COMPUTED_VALUE"""),"266840334 1306388 8177553 marcia elvira lopes da silva - trifil pfb 115")</f>
        <v>266840334 1306388 8177553 marcia elvira lopes da silva - trifil pfb 115</v>
      </c>
      <c r="V926" s="15" t="b">
        <f>IFERROR(__xludf.DUMMYFUNCTION("""COMPUTED_VALUE"""),FALSE)</f>
        <v>0</v>
      </c>
    </row>
    <row r="927">
      <c r="A927" s="19">
        <f>IFERROR(__xludf.DUMMYFUNCTION("""COMPUTED_VALUE"""),46304.0)</f>
        <v>46304</v>
      </c>
      <c r="B927" s="19">
        <f>IFERROR(__xludf.DUMMYFUNCTION("""COMPUTED_VALUE"""),46324.0)</f>
        <v>46324</v>
      </c>
      <c r="C927" s="15">
        <f>IFERROR(__xludf.DUMMYFUNCTION("""COMPUTED_VALUE"""),13.0)</f>
        <v>13</v>
      </c>
      <c r="D927" s="15" t="str">
        <f>IFERROR(__xludf.DUMMYFUNCTION("""COMPUTED_VALUE"""),"PFB")</f>
        <v>PFB</v>
      </c>
      <c r="E927" s="15" t="str">
        <f>IFERROR(__xludf.DUMMYFUNCTION("""COMPUTED_VALUE"""),"ENILU CONFECÇÕES")</f>
        <v>ENILU CONFECÇÕES</v>
      </c>
      <c r="F927" s="15" t="str">
        <f>IFERROR(__xludf.DUMMYFUNCTION("""COMPUTED_VALUE"""),"TRIFIL")</f>
        <v>TRIFIL</v>
      </c>
      <c r="G927" s="15" t="str">
        <f>IFERROR(__xludf.DUMMYFUNCTION("""COMPUTED_VALUE"""),"266840335")</f>
        <v>266840335</v>
      </c>
      <c r="H927" s="15" t="str">
        <f>IFERROR(__xludf.DUMMYFUNCTION("""COMPUTED_VALUE"""),"1306296")</f>
        <v>1306296</v>
      </c>
      <c r="I927" s="15" t="str">
        <f>IFERROR(__xludf.DUMMYFUNCTION("""COMPUTED_VALUE"""),"8177570")</f>
        <v>8177570</v>
      </c>
      <c r="J927" s="15" t="str">
        <f>IFERROR(__xludf.DUMMYFUNCTION("""COMPUTED_VALUE"""),"CIF")</f>
        <v>CIF</v>
      </c>
      <c r="K927" s="15" t="str">
        <f>IFERROR(__xludf.DUMMYFUNCTION("""COMPUTED_VALUE"""),"FSA-1")</f>
        <v>FSA-1</v>
      </c>
      <c r="L927" s="15" t="str">
        <f>IFERROR(__xludf.DUMMYFUNCTION("""COMPUTED_VALUE"""),"AUTORIZADO")</f>
        <v>AUTORIZADO</v>
      </c>
      <c r="M927" s="15" t="str">
        <f>IFERROR(__xludf.DUMMYFUNCTION("""COMPUTED_VALUE"""),"NA ORIGEM")</f>
        <v>NA ORIGEM</v>
      </c>
      <c r="N927" s="15" t="str">
        <f>IFERROR(__xludf.DUMMYFUNCTION("""COMPUTED_VALUE"""),"Antes Prazo")</f>
        <v>Antes Prazo</v>
      </c>
      <c r="O927" s="15" t="str">
        <f>IFERROR(__xludf.DUMMYFUNCTION("""COMPUTED_VALUE"""),"B2B")</f>
        <v>B2B</v>
      </c>
      <c r="P927" s="16">
        <f>IFERROR(__xludf.DUMMYFUNCTION("""COMPUTED_VALUE"""),67.68)</f>
        <v>67.68</v>
      </c>
      <c r="Q927" s="15">
        <f>IFERROR(__xludf.DUMMYFUNCTION("""COMPUTED_VALUE"""),1.0)</f>
        <v>1</v>
      </c>
      <c r="R927" s="15" t="str">
        <f>IFERROR(__xludf.DUMMYFUNCTION("""COMPUTED_VALUE"""),"RODO")</f>
        <v>RODO</v>
      </c>
      <c r="S927" s="15" t="str">
        <f>IFERROR(__xludf.DUMMYFUNCTION("""COMPUTED_VALUE"""),"ITN")</f>
        <v>ITN</v>
      </c>
      <c r="T927" s="15" t="str">
        <f>IFERROR(__xludf.DUMMYFUNCTION("""COMPUTED_VALUE"""),"102")</f>
        <v>102</v>
      </c>
      <c r="U927" s="15" t="str">
        <f>IFERROR(__xludf.DUMMYFUNCTION("""COMPUTED_VALUE"""),"266840335 1306296 8177570 enilu confecções trifil pfb 102")</f>
        <v>266840335 1306296 8177570 enilu confecções trifil pfb 102</v>
      </c>
      <c r="V927" s="15" t="b">
        <f>IFERROR(__xludf.DUMMYFUNCTION("""COMPUTED_VALUE"""),FALSE)</f>
        <v>0</v>
      </c>
    </row>
    <row r="928">
      <c r="A928" s="19">
        <f>IFERROR(__xludf.DUMMYFUNCTION("""COMPUTED_VALUE"""),46304.0)</f>
        <v>46304</v>
      </c>
      <c r="B928" s="19">
        <f>IFERROR(__xludf.DUMMYFUNCTION("""COMPUTED_VALUE"""),46324.0)</f>
        <v>46324</v>
      </c>
      <c r="C928" s="15">
        <f>IFERROR(__xludf.DUMMYFUNCTION("""COMPUTED_VALUE"""),13.0)</f>
        <v>13</v>
      </c>
      <c r="D928" s="15" t="str">
        <f>IFERROR(__xludf.DUMMYFUNCTION("""COMPUTED_VALUE"""),"PFB")</f>
        <v>PFB</v>
      </c>
      <c r="E928" s="15" t="str">
        <f>IFERROR(__xludf.DUMMYFUNCTION("""COMPUTED_VALUE"""),"Maria M. Paiz")</f>
        <v>Maria M. Paiz</v>
      </c>
      <c r="F928" s="15" t="str">
        <f>IFERROR(__xludf.DUMMYFUNCTION("""COMPUTED_VALUE"""),"TRIFIL")</f>
        <v>TRIFIL</v>
      </c>
      <c r="G928" s="15" t="str">
        <f>IFERROR(__xludf.DUMMYFUNCTION("""COMPUTED_VALUE"""),"266840337")</f>
        <v>266840337</v>
      </c>
      <c r="H928" s="15" t="str">
        <f>IFERROR(__xludf.DUMMYFUNCTION("""COMPUTED_VALUE"""),"1306307")</f>
        <v>1306307</v>
      </c>
      <c r="I928" s="15" t="str">
        <f>IFERROR(__xludf.DUMMYFUNCTION("""COMPUTED_VALUE"""),"8177554")</f>
        <v>8177554</v>
      </c>
      <c r="J928" s="15" t="str">
        <f>IFERROR(__xludf.DUMMYFUNCTION("""COMPUTED_VALUE"""),"CIF")</f>
        <v>CIF</v>
      </c>
      <c r="K928" s="15" t="str">
        <f>IFERROR(__xludf.DUMMYFUNCTION("""COMPUTED_VALUE"""),"FSA-1")</f>
        <v>FSA-1</v>
      </c>
      <c r="L928" s="15" t="str">
        <f>IFERROR(__xludf.DUMMYFUNCTION("""COMPUTED_VALUE"""),"AUTORIZADO")</f>
        <v>AUTORIZADO</v>
      </c>
      <c r="M928" s="15" t="str">
        <f>IFERROR(__xludf.DUMMYFUNCTION("""COMPUTED_VALUE"""),"NA ORIGEM")</f>
        <v>NA ORIGEM</v>
      </c>
      <c r="N928" s="15" t="str">
        <f>IFERROR(__xludf.DUMMYFUNCTION("""COMPUTED_VALUE"""),"Antes Prazo")</f>
        <v>Antes Prazo</v>
      </c>
      <c r="O928" s="15" t="str">
        <f>IFERROR(__xludf.DUMMYFUNCTION("""COMPUTED_VALUE"""),"B2B")</f>
        <v>B2B</v>
      </c>
      <c r="P928" s="16">
        <f>IFERROR(__xludf.DUMMYFUNCTION("""COMPUTED_VALUE"""),67.68)</f>
        <v>67.68</v>
      </c>
      <c r="Q928" s="15">
        <f>IFERROR(__xludf.DUMMYFUNCTION("""COMPUTED_VALUE"""),1.0)</f>
        <v>1</v>
      </c>
      <c r="R928" s="15" t="str">
        <f>IFERROR(__xludf.DUMMYFUNCTION("""COMPUTED_VALUE"""),"RODO")</f>
        <v>RODO</v>
      </c>
      <c r="S928" s="15" t="str">
        <f>IFERROR(__xludf.DUMMYFUNCTION("""COMPUTED_VALUE"""),"ITN")</f>
        <v>ITN</v>
      </c>
      <c r="T928" s="15" t="str">
        <f>IFERROR(__xludf.DUMMYFUNCTION("""COMPUTED_VALUE"""),"103")</f>
        <v>103</v>
      </c>
      <c r="U928" s="15" t="str">
        <f>IFERROR(__xludf.DUMMYFUNCTION("""COMPUTED_VALUE"""),"266840337 1306307 8177554 maria m. paiz trifil pfb 103")</f>
        <v>266840337 1306307 8177554 maria m. paiz trifil pfb 103</v>
      </c>
      <c r="V928" s="15" t="b">
        <f>IFERROR(__xludf.DUMMYFUNCTION("""COMPUTED_VALUE"""),FALSE)</f>
        <v>0</v>
      </c>
    </row>
    <row r="929">
      <c r="A929" s="19">
        <f>IFERROR(__xludf.DUMMYFUNCTION("""COMPUTED_VALUE"""),46304.0)</f>
        <v>46304</v>
      </c>
      <c r="B929" s="19">
        <f>IFERROR(__xludf.DUMMYFUNCTION("""COMPUTED_VALUE"""),46314.0)</f>
        <v>46314</v>
      </c>
      <c r="C929" s="15">
        <f>IFERROR(__xludf.DUMMYFUNCTION("""COMPUTED_VALUE"""),5.0)</f>
        <v>5</v>
      </c>
      <c r="D929" s="15" t="str">
        <f>IFERROR(__xludf.DUMMYFUNCTION("""COMPUTED_VALUE"""),"RIO")</f>
        <v>RIO</v>
      </c>
      <c r="E929" s="15" t="str">
        <f>IFERROR(__xludf.DUMMYFUNCTION("""COMPUTED_VALUE"""),"FERNANDA PAULA DA SILVA BARBOSA")</f>
        <v>FERNANDA PAULA DA SILVA BARBOSA</v>
      </c>
      <c r="F929" s="15" t="str">
        <f>IFERROR(__xludf.DUMMYFUNCTION("""COMPUTED_VALUE"""),"SENSORE COMERCIO DISTRIBUICAO EXPORT IMP")</f>
        <v>SENSORE COMERCIO DISTRIBUICAO EXPORT IMP</v>
      </c>
      <c r="G929" s="15" t="str">
        <f>IFERROR(__xludf.DUMMYFUNCTION("""COMPUTED_VALUE"""),"266854912")</f>
        <v>266854912</v>
      </c>
      <c r="H929" s="15" t="str">
        <f>IFERROR(__xludf.DUMMYFUNCTION("""COMPUTED_VALUE"""),"2636")</f>
        <v>2636</v>
      </c>
      <c r="I929" s="15" t="str">
        <f>IFERROR(__xludf.DUMMYFUNCTION("""COMPUTED_VALUE"""),"0")</f>
        <v>0</v>
      </c>
      <c r="J929" s="15" t="str">
        <f>IFERROR(__xludf.DUMMYFUNCTION("""COMPUTED_VALUE"""),"CIF")</f>
        <v>CIF</v>
      </c>
      <c r="K929" s="15" t="str">
        <f>IFERROR(__xludf.DUMMYFUNCTION("""COMPUTED_VALUE"""),"(sem célula)")</f>
        <v>(sem célula)</v>
      </c>
      <c r="L929" s="15" t="str">
        <f>IFERROR(__xludf.DUMMYFUNCTION("""COMPUTED_VALUE"""),"SEM CT-E")</f>
        <v>SEM CT-E</v>
      </c>
      <c r="M929" s="15" t="str">
        <f>IFERROR(__xludf.DUMMYFUNCTION("""COMPUTED_VALUE"""),"NA ORIGEM")</f>
        <v>NA ORIGEM</v>
      </c>
      <c r="N929" s="15" t="str">
        <f>IFERROR(__xludf.DUMMYFUNCTION("""COMPUTED_VALUE"""),"Antes Prazo")</f>
        <v>Antes Prazo</v>
      </c>
      <c r="O929" s="15" t="str">
        <f>IFERROR(__xludf.DUMMYFUNCTION("""COMPUTED_VALUE"""),"(não informada)")</f>
        <v>(não informada)</v>
      </c>
      <c r="P929" s="16">
        <f>IFERROR(__xludf.DUMMYFUNCTION("""COMPUTED_VALUE"""),104.55)</f>
        <v>104.55</v>
      </c>
      <c r="Q929" s="15">
        <f>IFERROR(__xludf.DUMMYFUNCTION("""COMPUTED_VALUE"""),1.0)</f>
        <v>1</v>
      </c>
      <c r="R929" s="15" t="str">
        <f>IFERROR(__xludf.DUMMYFUNCTION("""COMPUTED_VALUE"""),"RODO")</f>
        <v>RODO</v>
      </c>
      <c r="S929" s="15" t="str">
        <f>IFERROR(__xludf.DUMMYFUNCTION("""COMPUTED_VALUE"""),"ITN")</f>
        <v>ITN</v>
      </c>
      <c r="T929" s="15" t="str">
        <f>IFERROR(__xludf.DUMMYFUNCTION("""COMPUTED_VALUE"""),"117")</f>
        <v>117</v>
      </c>
      <c r="U929" s="15" t="str">
        <f>IFERROR(__xludf.DUMMYFUNCTION("""COMPUTED_VALUE"""),"266854912 2636 0 fernanda paula da silva barbosa sensore comercio distribuicao export imp rio 117")</f>
        <v>266854912 2636 0 fernanda paula da silva barbosa sensore comercio distribuicao export imp rio 117</v>
      </c>
      <c r="V929" s="15" t="b">
        <f>IFERROR(__xludf.DUMMYFUNCTION("""COMPUTED_VALUE"""),FALSE)</f>
        <v>0</v>
      </c>
    </row>
    <row r="930">
      <c r="A930" s="19">
        <f>IFERROR(__xludf.DUMMYFUNCTION("""COMPUTED_VALUE"""),46304.0)</f>
        <v>46304</v>
      </c>
      <c r="B930" s="19">
        <f>IFERROR(__xludf.DUMMYFUNCTION("""COMPUTED_VALUE"""),46314.0)</f>
        <v>46314</v>
      </c>
      <c r="C930" s="15">
        <f>IFERROR(__xludf.DUMMYFUNCTION("""COMPUTED_VALUE"""),5.0)</f>
        <v>5</v>
      </c>
      <c r="D930" s="15" t="str">
        <f>IFERROR(__xludf.DUMMYFUNCTION("""COMPUTED_VALUE"""),"GRU")</f>
        <v>GRU</v>
      </c>
      <c r="E930" s="15" t="str">
        <f>IFERROR(__xludf.DUMMYFUNCTION("""COMPUTED_VALUE"""),"MARIA CLARA DA SILVA CARDOSO")</f>
        <v>MARIA CLARA DA SILVA CARDOSO</v>
      </c>
      <c r="F930" s="15" t="str">
        <f>IFERROR(__xludf.DUMMYFUNCTION("""COMPUTED_VALUE"""),"SENSORE COMERCIO DISTRIBUICAO EXPORT IMP")</f>
        <v>SENSORE COMERCIO DISTRIBUICAO EXPORT IMP</v>
      </c>
      <c r="G930" s="15" t="str">
        <f>IFERROR(__xludf.DUMMYFUNCTION("""COMPUTED_VALUE"""),"266854914")</f>
        <v>266854914</v>
      </c>
      <c r="H930" s="15" t="str">
        <f>IFERROR(__xludf.DUMMYFUNCTION("""COMPUTED_VALUE"""),"2634")</f>
        <v>2634</v>
      </c>
      <c r="I930" s="15" t="str">
        <f>IFERROR(__xludf.DUMMYFUNCTION("""COMPUTED_VALUE"""),"0")</f>
        <v>0</v>
      </c>
      <c r="J930" s="15" t="str">
        <f>IFERROR(__xludf.DUMMYFUNCTION("""COMPUTED_VALUE"""),"CIF")</f>
        <v>CIF</v>
      </c>
      <c r="K930" s="15" t="str">
        <f>IFERROR(__xludf.DUMMYFUNCTION("""COMPUTED_VALUE"""),"(sem célula)")</f>
        <v>(sem célula)</v>
      </c>
      <c r="L930" s="15" t="str">
        <f>IFERROR(__xludf.DUMMYFUNCTION("""COMPUTED_VALUE"""),"SEM CT-E")</f>
        <v>SEM CT-E</v>
      </c>
      <c r="M930" s="15" t="str">
        <f>IFERROR(__xludf.DUMMYFUNCTION("""COMPUTED_VALUE"""),"NA ORIGEM")</f>
        <v>NA ORIGEM</v>
      </c>
      <c r="N930" s="15" t="str">
        <f>IFERROR(__xludf.DUMMYFUNCTION("""COMPUTED_VALUE"""),"Antes Prazo")</f>
        <v>Antes Prazo</v>
      </c>
      <c r="O930" s="15" t="str">
        <f>IFERROR(__xludf.DUMMYFUNCTION("""COMPUTED_VALUE"""),"(não informada)")</f>
        <v>(não informada)</v>
      </c>
      <c r="P930" s="16">
        <f>IFERROR(__xludf.DUMMYFUNCTION("""COMPUTED_VALUE"""),124.44)</f>
        <v>124.44</v>
      </c>
      <c r="Q930" s="15">
        <f>IFERROR(__xludf.DUMMYFUNCTION("""COMPUTED_VALUE"""),1.0)</f>
        <v>1</v>
      </c>
      <c r="R930" s="15" t="str">
        <f>IFERROR(__xludf.DUMMYFUNCTION("""COMPUTED_VALUE"""),"RODO")</f>
        <v>RODO</v>
      </c>
      <c r="S930" s="15" t="str">
        <f>IFERROR(__xludf.DUMMYFUNCTION("""COMPUTED_VALUE"""),"ITN")</f>
        <v>ITN</v>
      </c>
      <c r="T930" s="15" t="str">
        <f>IFERROR(__xludf.DUMMYFUNCTION("""COMPUTED_VALUE"""),"2350")</f>
        <v>2350</v>
      </c>
      <c r="U930" s="15" t="str">
        <f>IFERROR(__xludf.DUMMYFUNCTION("""COMPUTED_VALUE"""),"266854914 2634 0 maria clara da silva cardoso sensore comercio distribuicao export imp gru 2350")</f>
        <v>266854914 2634 0 maria clara da silva cardoso sensore comercio distribuicao export imp gru 2350</v>
      </c>
      <c r="V930" s="15" t="b">
        <f>IFERROR(__xludf.DUMMYFUNCTION("""COMPUTED_VALUE"""),FALSE)</f>
        <v>0</v>
      </c>
    </row>
    <row r="931">
      <c r="A931" s="19">
        <f>IFERROR(__xludf.DUMMYFUNCTION("""COMPUTED_VALUE"""),46304.0)</f>
        <v>46304</v>
      </c>
      <c r="B931" s="19">
        <f>IFERROR(__xludf.DUMMYFUNCTION("""COMPUTED_VALUE"""),46321.0)</f>
        <v>46321</v>
      </c>
      <c r="C931" s="15">
        <f>IFERROR(__xludf.DUMMYFUNCTION("""COMPUTED_VALUE"""),10.0)</f>
        <v>10</v>
      </c>
      <c r="D931" s="15" t="str">
        <f>IFERROR(__xludf.DUMMYFUNCTION("""COMPUTED_VALUE"""),"MSS")</f>
        <v>MSS</v>
      </c>
      <c r="E931" s="15" t="str">
        <f>IFERROR(__xludf.DUMMYFUNCTION("""COMPUTED_VALUE"""),"CLAUDINES CRUZ PINTO")</f>
        <v>CLAUDINES CRUZ PINTO</v>
      </c>
      <c r="F931" s="15" t="str">
        <f>IFERROR(__xludf.DUMMYFUNCTION("""COMPUTED_VALUE"""),"SENSORE COMERCIO DISTRIBUICAO EXPORT IMP")</f>
        <v>SENSORE COMERCIO DISTRIBUICAO EXPORT IMP</v>
      </c>
      <c r="G931" s="15" t="str">
        <f>IFERROR(__xludf.DUMMYFUNCTION("""COMPUTED_VALUE"""),"266854917")</f>
        <v>266854917</v>
      </c>
      <c r="H931" s="15" t="str">
        <f>IFERROR(__xludf.DUMMYFUNCTION("""COMPUTED_VALUE"""),"2635")</f>
        <v>2635</v>
      </c>
      <c r="I931" s="15" t="str">
        <f>IFERROR(__xludf.DUMMYFUNCTION("""COMPUTED_VALUE"""),"0")</f>
        <v>0</v>
      </c>
      <c r="J931" s="15" t="str">
        <f>IFERROR(__xludf.DUMMYFUNCTION("""COMPUTED_VALUE"""),"CIF")</f>
        <v>CIF</v>
      </c>
      <c r="K931" s="15" t="str">
        <f>IFERROR(__xludf.DUMMYFUNCTION("""COMPUTED_VALUE"""),"(sem célula)")</f>
        <v>(sem célula)</v>
      </c>
      <c r="L931" s="15" t="str">
        <f>IFERROR(__xludf.DUMMYFUNCTION("""COMPUTED_VALUE"""),"SEM CT-E")</f>
        <v>SEM CT-E</v>
      </c>
      <c r="M931" s="15" t="str">
        <f>IFERROR(__xludf.DUMMYFUNCTION("""COMPUTED_VALUE"""),"NA ORIGEM")</f>
        <v>NA ORIGEM</v>
      </c>
      <c r="N931" s="15" t="str">
        <f>IFERROR(__xludf.DUMMYFUNCTION("""COMPUTED_VALUE"""),"Antes Prazo")</f>
        <v>Antes Prazo</v>
      </c>
      <c r="O931" s="15" t="str">
        <f>IFERROR(__xludf.DUMMYFUNCTION("""COMPUTED_VALUE"""),"(não informada)")</f>
        <v>(não informada)</v>
      </c>
      <c r="P931" s="16">
        <f>IFERROR(__xludf.DUMMYFUNCTION("""COMPUTED_VALUE"""),178.85)</f>
        <v>178.85</v>
      </c>
      <c r="Q931" s="15">
        <f>IFERROR(__xludf.DUMMYFUNCTION("""COMPUTED_VALUE"""),1.0)</f>
        <v>1</v>
      </c>
      <c r="R931" s="15" t="str">
        <f>IFERROR(__xludf.DUMMYFUNCTION("""COMPUTED_VALUE"""),"RODO")</f>
        <v>RODO</v>
      </c>
      <c r="S931" s="15" t="str">
        <f>IFERROR(__xludf.DUMMYFUNCTION("""COMPUTED_VALUE"""),"ITN")</f>
        <v>ITN</v>
      </c>
      <c r="T931" s="15" t="str">
        <f>IFERROR(__xludf.DUMMYFUNCTION("""COMPUTED_VALUE"""),"503")</f>
        <v>503</v>
      </c>
      <c r="U931" s="15" t="str">
        <f>IFERROR(__xludf.DUMMYFUNCTION("""COMPUTED_VALUE"""),"266854917 2635 0 claudines cruz pinto sensore comercio distribuicao export imp mss 503")</f>
        <v>266854917 2635 0 claudines cruz pinto sensore comercio distribuicao export imp mss 503</v>
      </c>
      <c r="V931" s="15" t="b">
        <f>IFERROR(__xludf.DUMMYFUNCTION("""COMPUTED_VALUE"""),FALSE)</f>
        <v>0</v>
      </c>
    </row>
    <row r="932">
      <c r="A932" s="19">
        <f>IFERROR(__xludf.DUMMYFUNCTION("""COMPUTED_VALUE"""),46304.0)</f>
        <v>46304</v>
      </c>
      <c r="B932" s="19">
        <f>IFERROR(__xludf.DUMMYFUNCTION("""COMPUTED_VALUE"""),46314.0)</f>
        <v>46314</v>
      </c>
      <c r="C932" s="15">
        <f>IFERROR(__xludf.DUMMYFUNCTION("""COMPUTED_VALUE"""),5.0)</f>
        <v>5</v>
      </c>
      <c r="D932" s="15" t="str">
        <f>IFERROR(__xludf.DUMMYFUNCTION("""COMPUTED_VALUE"""),"BSB")</f>
        <v>BSB</v>
      </c>
      <c r="E932" s="15" t="str">
        <f>IFERROR(__xludf.DUMMYFUNCTION("""COMPUTED_VALUE"""),"AVATIM CHEIROS DA TERRA")</f>
        <v>AVATIM CHEIROS DA TERRA</v>
      </c>
      <c r="F932" s="15" t="str">
        <f>IFERROR(__xludf.DUMMYFUNCTION("""COMPUTED_VALUE"""),"SENSORE COMERCIO DISTRIBUICAO EXPORT IMP")</f>
        <v>SENSORE COMERCIO DISTRIBUICAO EXPORT IMP</v>
      </c>
      <c r="G932" s="15" t="str">
        <f>IFERROR(__xludf.DUMMYFUNCTION("""COMPUTED_VALUE"""),"266854919")</f>
        <v>266854919</v>
      </c>
      <c r="H932" s="15" t="str">
        <f>IFERROR(__xludf.DUMMYFUNCTION("""COMPUTED_VALUE"""),"2613")</f>
        <v>2613</v>
      </c>
      <c r="I932" s="15" t="str">
        <f>IFERROR(__xludf.DUMMYFUNCTION("""COMPUTED_VALUE"""),"0")</f>
        <v>0</v>
      </c>
      <c r="J932" s="15" t="str">
        <f>IFERROR(__xludf.DUMMYFUNCTION("""COMPUTED_VALUE"""),"FOB")</f>
        <v>FOB</v>
      </c>
      <c r="K932" s="15" t="str">
        <f>IFERROR(__xludf.DUMMYFUNCTION("""COMPUTED_VALUE"""),"(sem célula)")</f>
        <v>(sem célula)</v>
      </c>
      <c r="L932" s="15" t="str">
        <f>IFERROR(__xludf.DUMMYFUNCTION("""COMPUTED_VALUE"""),"SEM CT-E")</f>
        <v>SEM CT-E</v>
      </c>
      <c r="M932" s="15" t="str">
        <f>IFERROR(__xludf.DUMMYFUNCTION("""COMPUTED_VALUE"""),"NA ORIGEM")</f>
        <v>NA ORIGEM</v>
      </c>
      <c r="N932" s="15" t="str">
        <f>IFERROR(__xludf.DUMMYFUNCTION("""COMPUTED_VALUE"""),"Antes Prazo")</f>
        <v>Antes Prazo</v>
      </c>
      <c r="O932" s="15" t="str">
        <f>IFERROR(__xludf.DUMMYFUNCTION("""COMPUTED_VALUE"""),"(não informada)")</f>
        <v>(não informada)</v>
      </c>
      <c r="P932" s="16">
        <f>IFERROR(__xludf.DUMMYFUNCTION("""COMPUTED_VALUE"""),675.27)</f>
        <v>675.27</v>
      </c>
      <c r="Q932" s="15">
        <f>IFERROR(__xludf.DUMMYFUNCTION("""COMPUTED_VALUE"""),16.0)</f>
        <v>16</v>
      </c>
      <c r="R932" s="15" t="str">
        <f>IFERROR(__xludf.DUMMYFUNCTION("""COMPUTED_VALUE"""),"RODO")</f>
        <v>RODO</v>
      </c>
      <c r="S932" s="15" t="str">
        <f>IFERROR(__xludf.DUMMYFUNCTION("""COMPUTED_VALUE"""),"ITN")</f>
        <v>ITN</v>
      </c>
      <c r="T932" s="15" t="str">
        <f>IFERROR(__xludf.DUMMYFUNCTION("""COMPUTED_VALUE"""),"21")</f>
        <v>21</v>
      </c>
      <c r="U932" s="15" t="str">
        <f>IFERROR(__xludf.DUMMYFUNCTION("""COMPUTED_VALUE"""),"266854919 2613 0 avatim cheiros da terra sensore comercio distribuicao export imp bsb 21")</f>
        <v>266854919 2613 0 avatim cheiros da terra sensore comercio distribuicao export imp bsb 21</v>
      </c>
      <c r="V932" s="15" t="b">
        <f>IFERROR(__xludf.DUMMYFUNCTION("""COMPUTED_VALUE"""),FALSE)</f>
        <v>0</v>
      </c>
    </row>
    <row r="933">
      <c r="A933" s="19">
        <f>IFERROR(__xludf.DUMMYFUNCTION("""COMPUTED_VALUE"""),46304.0)</f>
        <v>46304</v>
      </c>
      <c r="B933" s="19">
        <f>IFERROR(__xludf.DUMMYFUNCTION("""COMPUTED_VALUE"""),46324.0)</f>
        <v>46324</v>
      </c>
      <c r="C933" s="15">
        <f>IFERROR(__xludf.DUMMYFUNCTION("""COMPUTED_VALUE"""),13.0)</f>
        <v>13</v>
      </c>
      <c r="D933" s="15" t="str">
        <f>IFERROR(__xludf.DUMMYFUNCTION("""COMPUTED_VALUE"""),"MT3")</f>
        <v>MT3</v>
      </c>
      <c r="E933" s="15" t="str">
        <f>IFERROR(__xludf.DUMMYFUNCTION("""COMPUTED_VALUE"""),"AVATIM CHEIROS DA TERRA")</f>
        <v>AVATIM CHEIROS DA TERRA</v>
      </c>
      <c r="F933" s="15" t="str">
        <f>IFERROR(__xludf.DUMMYFUNCTION("""COMPUTED_VALUE"""),"SENSORE COMERCIO DISTRIBUICAO EXPORT IMP")</f>
        <v>SENSORE COMERCIO DISTRIBUICAO EXPORT IMP</v>
      </c>
      <c r="G933" s="15" t="str">
        <f>IFERROR(__xludf.DUMMYFUNCTION("""COMPUTED_VALUE"""),"266854921")</f>
        <v>266854921</v>
      </c>
      <c r="H933" s="15" t="str">
        <f>IFERROR(__xludf.DUMMYFUNCTION("""COMPUTED_VALUE"""),"2564")</f>
        <v>2564</v>
      </c>
      <c r="I933" s="15" t="str">
        <f>IFERROR(__xludf.DUMMYFUNCTION("""COMPUTED_VALUE"""),"0")</f>
        <v>0</v>
      </c>
      <c r="J933" s="15" t="str">
        <f>IFERROR(__xludf.DUMMYFUNCTION("""COMPUTED_VALUE"""),"FOB")</f>
        <v>FOB</v>
      </c>
      <c r="K933" s="15" t="str">
        <f>IFERROR(__xludf.DUMMYFUNCTION("""COMPUTED_VALUE"""),"(sem célula)")</f>
        <v>(sem célula)</v>
      </c>
      <c r="L933" s="15" t="str">
        <f>IFERROR(__xludf.DUMMYFUNCTION("""COMPUTED_VALUE"""),"SEM CT-E")</f>
        <v>SEM CT-E</v>
      </c>
      <c r="M933" s="15" t="str">
        <f>IFERROR(__xludf.DUMMYFUNCTION("""COMPUTED_VALUE"""),"NA ORIGEM")</f>
        <v>NA ORIGEM</v>
      </c>
      <c r="N933" s="15" t="str">
        <f>IFERROR(__xludf.DUMMYFUNCTION("""COMPUTED_VALUE"""),"Antes Prazo")</f>
        <v>Antes Prazo</v>
      </c>
      <c r="O933" s="15" t="str">
        <f>IFERROR(__xludf.DUMMYFUNCTION("""COMPUTED_VALUE"""),"(não informada)")</f>
        <v>(não informada)</v>
      </c>
      <c r="P933" s="16">
        <f>IFERROR(__xludf.DUMMYFUNCTION("""COMPUTED_VALUE"""),509.16)</f>
        <v>509.16</v>
      </c>
      <c r="Q933" s="15">
        <f>IFERROR(__xludf.DUMMYFUNCTION("""COMPUTED_VALUE"""),14.0)</f>
        <v>14</v>
      </c>
      <c r="R933" s="15" t="str">
        <f>IFERROR(__xludf.DUMMYFUNCTION("""COMPUTED_VALUE"""),"RODO")</f>
        <v>RODO</v>
      </c>
      <c r="S933" s="15" t="str">
        <f>IFERROR(__xludf.DUMMYFUNCTION("""COMPUTED_VALUE"""),"ITN")</f>
        <v>ITN</v>
      </c>
      <c r="T933" s="15" t="str">
        <f>IFERROR(__xludf.DUMMYFUNCTION("""COMPUTED_VALUE"""),"100")</f>
        <v>100</v>
      </c>
      <c r="U933" s="15" t="str">
        <f>IFERROR(__xludf.DUMMYFUNCTION("""COMPUTED_VALUE"""),"266854921 2564 0 avatim cheiros da terra sensore comercio distribuicao export imp mt3 100")</f>
        <v>266854921 2564 0 avatim cheiros da terra sensore comercio distribuicao export imp mt3 100</v>
      </c>
      <c r="V933" s="15" t="b">
        <f>IFERROR(__xludf.DUMMYFUNCTION("""COMPUTED_VALUE"""),FALSE)</f>
        <v>0</v>
      </c>
    </row>
    <row r="934">
      <c r="A934" s="19">
        <f>IFERROR(__xludf.DUMMYFUNCTION("""COMPUTED_VALUE"""),46304.0)</f>
        <v>46304</v>
      </c>
      <c r="B934" s="19">
        <f>IFERROR(__xludf.DUMMYFUNCTION("""COMPUTED_VALUE"""),46314.0)</f>
        <v>46314</v>
      </c>
      <c r="C934" s="15">
        <f>IFERROR(__xludf.DUMMYFUNCTION("""COMPUTED_VALUE"""),5.0)</f>
        <v>5</v>
      </c>
      <c r="D934" s="15" t="str">
        <f>IFERROR(__xludf.DUMMYFUNCTION("""COMPUTED_VALUE"""),"BSB")</f>
        <v>BSB</v>
      </c>
      <c r="E934" s="15" t="str">
        <f>IFERROR(__xludf.DUMMYFUNCTION("""COMPUTED_VALUE"""),"DL AROMAS PERFUMARIA E COSMETICOS LTDA")</f>
        <v>DL AROMAS PERFUMARIA E COSMETICOS LTDA</v>
      </c>
      <c r="F934" s="15" t="str">
        <f>IFERROR(__xludf.DUMMYFUNCTION("""COMPUTED_VALUE"""),"SENSORE COMERCIO DISTRIBUICAO EXPORT IMP")</f>
        <v>SENSORE COMERCIO DISTRIBUICAO EXPORT IMP</v>
      </c>
      <c r="G934" s="15" t="str">
        <f>IFERROR(__xludf.DUMMYFUNCTION("""COMPUTED_VALUE"""),"266854923")</f>
        <v>266854923</v>
      </c>
      <c r="H934" s="15" t="str">
        <f>IFERROR(__xludf.DUMMYFUNCTION("""COMPUTED_VALUE"""),"2631")</f>
        <v>2631</v>
      </c>
      <c r="I934" s="15" t="str">
        <f>IFERROR(__xludf.DUMMYFUNCTION("""COMPUTED_VALUE"""),"0")</f>
        <v>0</v>
      </c>
      <c r="J934" s="15" t="str">
        <f>IFERROR(__xludf.DUMMYFUNCTION("""COMPUTED_VALUE"""),"FOB")</f>
        <v>FOB</v>
      </c>
      <c r="K934" s="15" t="str">
        <f>IFERROR(__xludf.DUMMYFUNCTION("""COMPUTED_VALUE"""),"(sem célula)")</f>
        <v>(sem célula)</v>
      </c>
      <c r="L934" s="15" t="str">
        <f>IFERROR(__xludf.DUMMYFUNCTION("""COMPUTED_VALUE"""),"SEM CT-E")</f>
        <v>SEM CT-E</v>
      </c>
      <c r="M934" s="15" t="str">
        <f>IFERROR(__xludf.DUMMYFUNCTION("""COMPUTED_VALUE"""),"NA ORIGEM")</f>
        <v>NA ORIGEM</v>
      </c>
      <c r="N934" s="15" t="str">
        <f>IFERROR(__xludf.DUMMYFUNCTION("""COMPUTED_VALUE"""),"Antes Prazo")</f>
        <v>Antes Prazo</v>
      </c>
      <c r="O934" s="15" t="str">
        <f>IFERROR(__xludf.DUMMYFUNCTION("""COMPUTED_VALUE"""),"(não informada)")</f>
        <v>(não informada)</v>
      </c>
      <c r="P934" s="16">
        <f>IFERROR(__xludf.DUMMYFUNCTION("""COMPUTED_VALUE"""),1203.12)</f>
        <v>1203.12</v>
      </c>
      <c r="Q934" s="15">
        <f>IFERROR(__xludf.DUMMYFUNCTION("""COMPUTED_VALUE"""),25.0)</f>
        <v>25</v>
      </c>
      <c r="R934" s="15" t="str">
        <f>IFERROR(__xludf.DUMMYFUNCTION("""COMPUTED_VALUE"""),"RODO")</f>
        <v>RODO</v>
      </c>
      <c r="S934" s="15" t="str">
        <f>IFERROR(__xludf.DUMMYFUNCTION("""COMPUTED_VALUE"""),"ITN")</f>
        <v>ITN</v>
      </c>
      <c r="T934" s="15" t="str">
        <f>IFERROR(__xludf.DUMMYFUNCTION("""COMPUTED_VALUE"""),"20")</f>
        <v>20</v>
      </c>
      <c r="U934" s="15" t="str">
        <f>IFERROR(__xludf.DUMMYFUNCTION("""COMPUTED_VALUE"""),"266854923 2631 0 dl aromas perfumaria e cosmeticos ltda sensore comercio distribuicao export imp bsb 20")</f>
        <v>266854923 2631 0 dl aromas perfumaria e cosmeticos ltda sensore comercio distribuicao export imp bsb 20</v>
      </c>
      <c r="V934" s="15" t="b">
        <f>IFERROR(__xludf.DUMMYFUNCTION("""COMPUTED_VALUE"""),FALSE)</f>
        <v>0</v>
      </c>
    </row>
    <row r="935">
      <c r="A935" s="19">
        <f>IFERROR(__xludf.DUMMYFUNCTION("""COMPUTED_VALUE"""),46304.0)</f>
        <v>46304</v>
      </c>
      <c r="B935" s="19">
        <f>IFERROR(__xludf.DUMMYFUNCTION("""COMPUTED_VALUE"""),46314.0)</f>
        <v>46314</v>
      </c>
      <c r="C935" s="15">
        <f>IFERROR(__xludf.DUMMYFUNCTION("""COMPUTED_VALUE"""),5.0)</f>
        <v>5</v>
      </c>
      <c r="D935" s="15" t="str">
        <f>IFERROR(__xludf.DUMMYFUNCTION("""COMPUTED_VALUE"""),"BSB")</f>
        <v>BSB</v>
      </c>
      <c r="E935" s="15" t="str">
        <f>IFERROR(__xludf.DUMMYFUNCTION("""COMPUTED_VALUE"""),"D2L GILBERTO PERFUMARIA E COSMETICOS LTD")</f>
        <v>D2L GILBERTO PERFUMARIA E COSMETICOS LTD</v>
      </c>
      <c r="F935" s="15" t="str">
        <f>IFERROR(__xludf.DUMMYFUNCTION("""COMPUTED_VALUE"""),"SENSORE COMERCIO DISTRIBUICAO EXPORT IMP")</f>
        <v>SENSORE COMERCIO DISTRIBUICAO EXPORT IMP</v>
      </c>
      <c r="G935" s="15" t="str">
        <f>IFERROR(__xludf.DUMMYFUNCTION("""COMPUTED_VALUE"""),"266854925")</f>
        <v>266854925</v>
      </c>
      <c r="H935" s="15" t="str">
        <f>IFERROR(__xludf.DUMMYFUNCTION("""COMPUTED_VALUE"""),"2701")</f>
        <v>2701</v>
      </c>
      <c r="I935" s="15" t="str">
        <f>IFERROR(__xludf.DUMMYFUNCTION("""COMPUTED_VALUE"""),"0")</f>
        <v>0</v>
      </c>
      <c r="J935" s="15" t="str">
        <f>IFERROR(__xludf.DUMMYFUNCTION("""COMPUTED_VALUE"""),"FOB")</f>
        <v>FOB</v>
      </c>
      <c r="K935" s="15" t="str">
        <f>IFERROR(__xludf.DUMMYFUNCTION("""COMPUTED_VALUE"""),"(sem célula)")</f>
        <v>(sem célula)</v>
      </c>
      <c r="L935" s="15" t="str">
        <f>IFERROR(__xludf.DUMMYFUNCTION("""COMPUTED_VALUE"""),"SEM CT-E")</f>
        <v>SEM CT-E</v>
      </c>
      <c r="M935" s="15" t="str">
        <f>IFERROR(__xludf.DUMMYFUNCTION("""COMPUTED_VALUE"""),"NA ORIGEM")</f>
        <v>NA ORIGEM</v>
      </c>
      <c r="N935" s="15" t="str">
        <f>IFERROR(__xludf.DUMMYFUNCTION("""COMPUTED_VALUE"""),"Antes Prazo")</f>
        <v>Antes Prazo</v>
      </c>
      <c r="O935" s="15" t="str">
        <f>IFERROR(__xludf.DUMMYFUNCTION("""COMPUTED_VALUE"""),"(não informada)")</f>
        <v>(não informada)</v>
      </c>
      <c r="P935" s="16">
        <f>IFERROR(__xludf.DUMMYFUNCTION("""COMPUTED_VALUE"""),541.82)</f>
        <v>541.82</v>
      </c>
      <c r="Q935" s="15">
        <f>IFERROR(__xludf.DUMMYFUNCTION("""COMPUTED_VALUE"""),22.0)</f>
        <v>22</v>
      </c>
      <c r="R935" s="15" t="str">
        <f>IFERROR(__xludf.DUMMYFUNCTION("""COMPUTED_VALUE"""),"RODO")</f>
        <v>RODO</v>
      </c>
      <c r="S935" s="15" t="str">
        <f>IFERROR(__xludf.DUMMYFUNCTION("""COMPUTED_VALUE"""),"ITN")</f>
        <v>ITN</v>
      </c>
      <c r="T935" s="15" t="str">
        <f>IFERROR(__xludf.DUMMYFUNCTION("""COMPUTED_VALUE"""),"7")</f>
        <v>7</v>
      </c>
      <c r="U935" s="15" t="str">
        <f>IFERROR(__xludf.DUMMYFUNCTION("""COMPUTED_VALUE"""),"266854925 2701 0 d2l gilberto perfumaria e cosmeticos ltd sensore comercio distribuicao export imp bsb 7")</f>
        <v>266854925 2701 0 d2l gilberto perfumaria e cosmeticos ltd sensore comercio distribuicao export imp bsb 7</v>
      </c>
      <c r="V935" s="15" t="b">
        <f>IFERROR(__xludf.DUMMYFUNCTION("""COMPUTED_VALUE"""),FALSE)</f>
        <v>0</v>
      </c>
    </row>
    <row r="936">
      <c r="A936" s="19">
        <f>IFERROR(__xludf.DUMMYFUNCTION("""COMPUTED_VALUE"""),46304.0)</f>
        <v>46304</v>
      </c>
      <c r="B936" s="19">
        <f>IFERROR(__xludf.DUMMYFUNCTION("""COMPUTED_VALUE"""),46316.0)</f>
        <v>46316</v>
      </c>
      <c r="C936" s="15">
        <f>IFERROR(__xludf.DUMMYFUNCTION("""COMPUTED_VALUE"""),7.0)</f>
        <v>7</v>
      </c>
      <c r="D936" s="15" t="str">
        <f>IFERROR(__xludf.DUMMYFUNCTION("""COMPUTED_VALUE"""),"MT3")</f>
        <v>MT3</v>
      </c>
      <c r="E936" s="15" t="str">
        <f>IFERROR(__xludf.DUMMYFUNCTION("""COMPUTED_VALUE"""),"AVATIM CHEIROS DA TERRA")</f>
        <v>AVATIM CHEIROS DA TERRA</v>
      </c>
      <c r="F936" s="15" t="str">
        <f>IFERROR(__xludf.DUMMYFUNCTION("""COMPUTED_VALUE"""),"SENSORE COMERCIO DISTRIBUICAO EXPORT IMP")</f>
        <v>SENSORE COMERCIO DISTRIBUICAO EXPORT IMP</v>
      </c>
      <c r="G936" s="15" t="str">
        <f>IFERROR(__xludf.DUMMYFUNCTION("""COMPUTED_VALUE"""),"266854928")</f>
        <v>266854928</v>
      </c>
      <c r="H936" s="15" t="str">
        <f>IFERROR(__xludf.DUMMYFUNCTION("""COMPUTED_VALUE"""),"2690")</f>
        <v>2690</v>
      </c>
      <c r="I936" s="15" t="str">
        <f>IFERROR(__xludf.DUMMYFUNCTION("""COMPUTED_VALUE"""),"0")</f>
        <v>0</v>
      </c>
      <c r="J936" s="15" t="str">
        <f>IFERROR(__xludf.DUMMYFUNCTION("""COMPUTED_VALUE"""),"FOB")</f>
        <v>FOB</v>
      </c>
      <c r="K936" s="15" t="str">
        <f>IFERROR(__xludf.DUMMYFUNCTION("""COMPUTED_VALUE"""),"(sem célula)")</f>
        <v>(sem célula)</v>
      </c>
      <c r="L936" s="15" t="str">
        <f>IFERROR(__xludf.DUMMYFUNCTION("""COMPUTED_VALUE"""),"SEM CT-E")</f>
        <v>SEM CT-E</v>
      </c>
      <c r="M936" s="15" t="str">
        <f>IFERROR(__xludf.DUMMYFUNCTION("""COMPUTED_VALUE"""),"NA ORIGEM")</f>
        <v>NA ORIGEM</v>
      </c>
      <c r="N936" s="15" t="str">
        <f>IFERROR(__xludf.DUMMYFUNCTION("""COMPUTED_VALUE"""),"Antes Prazo")</f>
        <v>Antes Prazo</v>
      </c>
      <c r="O936" s="15" t="str">
        <f>IFERROR(__xludf.DUMMYFUNCTION("""COMPUTED_VALUE"""),"(não informada)")</f>
        <v>(não informada)</v>
      </c>
      <c r="P936" s="16">
        <f>IFERROR(__xludf.DUMMYFUNCTION("""COMPUTED_VALUE"""),284.91)</f>
        <v>284.91</v>
      </c>
      <c r="Q936" s="15">
        <f>IFERROR(__xludf.DUMMYFUNCTION("""COMPUTED_VALUE"""),6.0)</f>
        <v>6</v>
      </c>
      <c r="R936" s="15" t="str">
        <f>IFERROR(__xludf.DUMMYFUNCTION("""COMPUTED_VALUE"""),"RODO")</f>
        <v>RODO</v>
      </c>
      <c r="S936" s="15" t="str">
        <f>IFERROR(__xludf.DUMMYFUNCTION("""COMPUTED_VALUE"""),"ITN")</f>
        <v>ITN</v>
      </c>
      <c r="T936" s="15" t="str">
        <f>IFERROR(__xludf.DUMMYFUNCTION("""COMPUTED_VALUE"""),"2")</f>
        <v>2</v>
      </c>
      <c r="U936" s="15" t="str">
        <f>IFERROR(__xludf.DUMMYFUNCTION("""COMPUTED_VALUE"""),"266854928 2690 0 avatim cheiros da terra sensore comercio distribuicao export imp mt3 2")</f>
        <v>266854928 2690 0 avatim cheiros da terra sensore comercio distribuicao export imp mt3 2</v>
      </c>
      <c r="V936" s="15" t="b">
        <f>IFERROR(__xludf.DUMMYFUNCTION("""COMPUTED_VALUE"""),FALSE)</f>
        <v>0</v>
      </c>
    </row>
    <row r="937">
      <c r="A937" s="19">
        <f>IFERROR(__xludf.DUMMYFUNCTION("""COMPUTED_VALUE"""),46304.0)</f>
        <v>46304</v>
      </c>
      <c r="B937" s="19">
        <f>IFERROR(__xludf.DUMMYFUNCTION("""COMPUTED_VALUE"""),46314.0)</f>
        <v>46314</v>
      </c>
      <c r="C937" s="15">
        <f>IFERROR(__xludf.DUMMYFUNCTION("""COMPUTED_VALUE"""),5.0)</f>
        <v>5</v>
      </c>
      <c r="D937" s="15" t="str">
        <f>IFERROR(__xludf.DUMMYFUNCTION("""COMPUTED_VALUE"""),"MCZ")</f>
        <v>MCZ</v>
      </c>
      <c r="E937" s="15" t="str">
        <f>IFERROR(__xludf.DUMMYFUNCTION("""COMPUTED_VALUE"""),"AVATIM ( ARAPIRACA )")</f>
        <v>AVATIM ( ARAPIRACA )</v>
      </c>
      <c r="F937" s="15" t="str">
        <f>IFERROR(__xludf.DUMMYFUNCTION("""COMPUTED_VALUE"""),"SENSORE COMERCIO DISTRIBUICAO EXPORT IMP")</f>
        <v>SENSORE COMERCIO DISTRIBUICAO EXPORT IMP</v>
      </c>
      <c r="G937" s="15" t="str">
        <f>IFERROR(__xludf.DUMMYFUNCTION("""COMPUTED_VALUE"""),"266854930")</f>
        <v>266854930</v>
      </c>
      <c r="H937" s="15" t="str">
        <f>IFERROR(__xludf.DUMMYFUNCTION("""COMPUTED_VALUE"""),"2658")</f>
        <v>2658</v>
      </c>
      <c r="I937" s="15" t="str">
        <f>IFERROR(__xludf.DUMMYFUNCTION("""COMPUTED_VALUE"""),"0")</f>
        <v>0</v>
      </c>
      <c r="J937" s="15" t="str">
        <f>IFERROR(__xludf.DUMMYFUNCTION("""COMPUTED_VALUE"""),"FOB")</f>
        <v>FOB</v>
      </c>
      <c r="K937" s="15" t="str">
        <f>IFERROR(__xludf.DUMMYFUNCTION("""COMPUTED_VALUE"""),"(sem célula)")</f>
        <v>(sem célula)</v>
      </c>
      <c r="L937" s="15" t="str">
        <f>IFERROR(__xludf.DUMMYFUNCTION("""COMPUTED_VALUE"""),"SEM CT-E")</f>
        <v>SEM CT-E</v>
      </c>
      <c r="M937" s="15" t="str">
        <f>IFERROR(__xludf.DUMMYFUNCTION("""COMPUTED_VALUE"""),"NA ORIGEM")</f>
        <v>NA ORIGEM</v>
      </c>
      <c r="N937" s="15" t="str">
        <f>IFERROR(__xludf.DUMMYFUNCTION("""COMPUTED_VALUE"""),"Antes Prazo")</f>
        <v>Antes Prazo</v>
      </c>
      <c r="O937" s="15" t="str">
        <f>IFERROR(__xludf.DUMMYFUNCTION("""COMPUTED_VALUE"""),"(não informada)")</f>
        <v>(não informada)</v>
      </c>
      <c r="P937" s="16">
        <f>IFERROR(__xludf.DUMMYFUNCTION("""COMPUTED_VALUE"""),597.67)</f>
        <v>597.67</v>
      </c>
      <c r="Q937" s="15">
        <f>IFERROR(__xludf.DUMMYFUNCTION("""COMPUTED_VALUE"""),23.0)</f>
        <v>23</v>
      </c>
      <c r="R937" s="15" t="str">
        <f>IFERROR(__xludf.DUMMYFUNCTION("""COMPUTED_VALUE"""),"RODO")</f>
        <v>RODO</v>
      </c>
      <c r="S937" s="15" t="str">
        <f>IFERROR(__xludf.DUMMYFUNCTION("""COMPUTED_VALUE"""),"ITN")</f>
        <v>ITN</v>
      </c>
      <c r="T937" s="15" t="str">
        <f>IFERROR(__xludf.DUMMYFUNCTION("""COMPUTED_VALUE"""),"107")</f>
        <v>107</v>
      </c>
      <c r="U937" s="15" t="str">
        <f>IFERROR(__xludf.DUMMYFUNCTION("""COMPUTED_VALUE"""),"266854930 2658 0 avatim ( arapiraca ) sensore comercio distribuicao export imp mcz 107")</f>
        <v>266854930 2658 0 avatim ( arapiraca ) sensore comercio distribuicao export imp mcz 107</v>
      </c>
      <c r="V937" s="15" t="b">
        <f>IFERROR(__xludf.DUMMYFUNCTION("""COMPUTED_VALUE"""),FALSE)</f>
        <v>0</v>
      </c>
    </row>
    <row r="938">
      <c r="A938" s="19">
        <f>IFERROR(__xludf.DUMMYFUNCTION("""COMPUTED_VALUE"""),46304.0)</f>
        <v>46304</v>
      </c>
      <c r="B938" s="19">
        <f>IFERROR(__xludf.DUMMYFUNCTION("""COMPUTED_VALUE"""),46314.0)</f>
        <v>46314</v>
      </c>
      <c r="C938" s="15">
        <f>IFERROR(__xludf.DUMMYFUNCTION("""COMPUTED_VALUE"""),5.0)</f>
        <v>5</v>
      </c>
      <c r="D938" s="15" t="str">
        <f>IFERROR(__xludf.DUMMYFUNCTION("""COMPUTED_VALUE"""),"NAT")</f>
        <v>NAT</v>
      </c>
      <c r="E938" s="15" t="str">
        <f>IFERROR(__xludf.DUMMYFUNCTION("""COMPUTED_VALUE"""),"AVATIM CHEIROS DA TERRA NATAL SHOPPING")</f>
        <v>AVATIM CHEIROS DA TERRA NATAL SHOPPING</v>
      </c>
      <c r="F938" s="15" t="str">
        <f>IFERROR(__xludf.DUMMYFUNCTION("""COMPUTED_VALUE"""),"SENSORE COMERCIO DISTRIBUICAO EXPORT IMP")</f>
        <v>SENSORE COMERCIO DISTRIBUICAO EXPORT IMP</v>
      </c>
      <c r="G938" s="15" t="str">
        <f>IFERROR(__xludf.DUMMYFUNCTION("""COMPUTED_VALUE"""),"266854932")</f>
        <v>266854932</v>
      </c>
      <c r="H938" s="15" t="str">
        <f>IFERROR(__xludf.DUMMYFUNCTION("""COMPUTED_VALUE"""),"2633")</f>
        <v>2633</v>
      </c>
      <c r="I938" s="15" t="str">
        <f>IFERROR(__xludf.DUMMYFUNCTION("""COMPUTED_VALUE"""),"0")</f>
        <v>0</v>
      </c>
      <c r="J938" s="15" t="str">
        <f>IFERROR(__xludf.DUMMYFUNCTION("""COMPUTED_VALUE"""),"FOB")</f>
        <v>FOB</v>
      </c>
      <c r="K938" s="15" t="str">
        <f>IFERROR(__xludf.DUMMYFUNCTION("""COMPUTED_VALUE"""),"(sem célula)")</f>
        <v>(sem célula)</v>
      </c>
      <c r="L938" s="15" t="str">
        <f>IFERROR(__xludf.DUMMYFUNCTION("""COMPUTED_VALUE"""),"SEM CT-E")</f>
        <v>SEM CT-E</v>
      </c>
      <c r="M938" s="15" t="str">
        <f>IFERROR(__xludf.DUMMYFUNCTION("""COMPUTED_VALUE"""),"NA ORIGEM")</f>
        <v>NA ORIGEM</v>
      </c>
      <c r="N938" s="15" t="str">
        <f>IFERROR(__xludf.DUMMYFUNCTION("""COMPUTED_VALUE"""),"Antes Prazo")</f>
        <v>Antes Prazo</v>
      </c>
      <c r="O938" s="15" t="str">
        <f>IFERROR(__xludf.DUMMYFUNCTION("""COMPUTED_VALUE"""),"(não informada)")</f>
        <v>(não informada)</v>
      </c>
      <c r="P938" s="16">
        <f>IFERROR(__xludf.DUMMYFUNCTION("""COMPUTED_VALUE"""),1947.22)</f>
        <v>1947.22</v>
      </c>
      <c r="Q938" s="15">
        <f>IFERROR(__xludf.DUMMYFUNCTION("""COMPUTED_VALUE"""),28.0)</f>
        <v>28</v>
      </c>
      <c r="R938" s="15" t="str">
        <f>IFERROR(__xludf.DUMMYFUNCTION("""COMPUTED_VALUE"""),"RODO")</f>
        <v>RODO</v>
      </c>
      <c r="S938" s="15" t="str">
        <f>IFERROR(__xludf.DUMMYFUNCTION("""COMPUTED_VALUE"""),"ITN")</f>
        <v>ITN</v>
      </c>
      <c r="T938" s="15" t="str">
        <f>IFERROR(__xludf.DUMMYFUNCTION("""COMPUTED_VALUE"""),"5")</f>
        <v>5</v>
      </c>
      <c r="U938" s="15" t="str">
        <f>IFERROR(__xludf.DUMMYFUNCTION("""COMPUTED_VALUE"""),"266854932 2633 0 avatim cheiros da terra natal shopping sensore comercio distribuicao export imp nat 5")</f>
        <v>266854932 2633 0 avatim cheiros da terra natal shopping sensore comercio distribuicao export imp nat 5</v>
      </c>
      <c r="V938" s="15" t="b">
        <f>IFERROR(__xludf.DUMMYFUNCTION("""COMPUTED_VALUE"""),FALSE)</f>
        <v>0</v>
      </c>
    </row>
    <row r="939">
      <c r="A939" s="19">
        <f>IFERROR(__xludf.DUMMYFUNCTION("""COMPUTED_VALUE"""),46304.0)</f>
        <v>46304</v>
      </c>
      <c r="B939" s="19">
        <f>IFERROR(__xludf.DUMMYFUNCTION("""COMPUTED_VALUE"""),46322.0)</f>
        <v>46322</v>
      </c>
      <c r="C939" s="15">
        <f>IFERROR(__xludf.DUMMYFUNCTION("""COMPUTED_VALUE"""),11.0)</f>
        <v>11</v>
      </c>
      <c r="D939" s="15" t="str">
        <f>IFERROR(__xludf.DUMMYFUNCTION("""COMPUTED_VALUE"""),"MT2")</f>
        <v>MT2</v>
      </c>
      <c r="E939" s="15" t="str">
        <f>IFERROR(__xludf.DUMMYFUNCTION("""COMPUTED_VALUE"""),"AVATIM CHEIROS DA TERRA")</f>
        <v>AVATIM CHEIROS DA TERRA</v>
      </c>
      <c r="F939" s="15" t="str">
        <f>IFERROR(__xludf.DUMMYFUNCTION("""COMPUTED_VALUE"""),"SENSORE COMERCIO DISTRIBUICAO EXPORT IMP")</f>
        <v>SENSORE COMERCIO DISTRIBUICAO EXPORT IMP</v>
      </c>
      <c r="G939" s="15" t="str">
        <f>IFERROR(__xludf.DUMMYFUNCTION("""COMPUTED_VALUE"""),"266854934")</f>
        <v>266854934</v>
      </c>
      <c r="H939" s="15" t="str">
        <f>IFERROR(__xludf.DUMMYFUNCTION("""COMPUTED_VALUE"""),"2562")</f>
        <v>2562</v>
      </c>
      <c r="I939" s="15" t="str">
        <f>IFERROR(__xludf.DUMMYFUNCTION("""COMPUTED_VALUE"""),"0")</f>
        <v>0</v>
      </c>
      <c r="J939" s="15" t="str">
        <f>IFERROR(__xludf.DUMMYFUNCTION("""COMPUTED_VALUE"""),"FOB")</f>
        <v>FOB</v>
      </c>
      <c r="K939" s="15" t="str">
        <f>IFERROR(__xludf.DUMMYFUNCTION("""COMPUTED_VALUE"""),"(sem célula)")</f>
        <v>(sem célula)</v>
      </c>
      <c r="L939" s="15" t="str">
        <f>IFERROR(__xludf.DUMMYFUNCTION("""COMPUTED_VALUE"""),"SEM CT-E")</f>
        <v>SEM CT-E</v>
      </c>
      <c r="M939" s="15" t="str">
        <f>IFERROR(__xludf.DUMMYFUNCTION("""COMPUTED_VALUE"""),"NA ORIGEM")</f>
        <v>NA ORIGEM</v>
      </c>
      <c r="N939" s="15" t="str">
        <f>IFERROR(__xludf.DUMMYFUNCTION("""COMPUTED_VALUE"""),"Antes Prazo")</f>
        <v>Antes Prazo</v>
      </c>
      <c r="O939" s="15" t="str">
        <f>IFERROR(__xludf.DUMMYFUNCTION("""COMPUTED_VALUE"""),"(não informada)")</f>
        <v>(não informada)</v>
      </c>
      <c r="P939" s="16">
        <f>IFERROR(__xludf.DUMMYFUNCTION("""COMPUTED_VALUE"""),1203.07)</f>
        <v>1203.07</v>
      </c>
      <c r="Q939" s="15">
        <f>IFERROR(__xludf.DUMMYFUNCTION("""COMPUTED_VALUE"""),30.0)</f>
        <v>30</v>
      </c>
      <c r="R939" s="15" t="str">
        <f>IFERROR(__xludf.DUMMYFUNCTION("""COMPUTED_VALUE"""),"RODO")</f>
        <v>RODO</v>
      </c>
      <c r="S939" s="15" t="str">
        <f>IFERROR(__xludf.DUMMYFUNCTION("""COMPUTED_VALUE"""),"ITN")</f>
        <v>ITN</v>
      </c>
      <c r="T939" s="15" t="str">
        <f>IFERROR(__xludf.DUMMYFUNCTION("""COMPUTED_VALUE"""),"301")</f>
        <v>301</v>
      </c>
      <c r="U939" s="15" t="str">
        <f>IFERROR(__xludf.DUMMYFUNCTION("""COMPUTED_VALUE"""),"266854934 2562 0 avatim cheiros da terra sensore comercio distribuicao export imp mt2 301")</f>
        <v>266854934 2562 0 avatim cheiros da terra sensore comercio distribuicao export imp mt2 301</v>
      </c>
      <c r="V939" s="15" t="b">
        <f>IFERROR(__xludf.DUMMYFUNCTION("""COMPUTED_VALUE"""),FALSE)</f>
        <v>0</v>
      </c>
    </row>
    <row r="940">
      <c r="A940" s="19">
        <f>IFERROR(__xludf.DUMMYFUNCTION("""COMPUTED_VALUE"""),46304.0)</f>
        <v>46304</v>
      </c>
      <c r="B940" s="19">
        <f>IFERROR(__xludf.DUMMYFUNCTION("""COMPUTED_VALUE"""),46316.0)</f>
        <v>46316</v>
      </c>
      <c r="C940" s="15">
        <f>IFERROR(__xludf.DUMMYFUNCTION("""COMPUTED_VALUE"""),7.0)</f>
        <v>7</v>
      </c>
      <c r="D940" s="15" t="str">
        <f>IFERROR(__xludf.DUMMYFUNCTION("""COMPUTED_VALUE"""),"MT3")</f>
        <v>MT3</v>
      </c>
      <c r="E940" s="15" t="str">
        <f>IFERROR(__xludf.DUMMYFUNCTION("""COMPUTED_VALUE"""),"AVATIM CHEIROS DA TERRA")</f>
        <v>AVATIM CHEIROS DA TERRA</v>
      </c>
      <c r="F940" s="15" t="str">
        <f>IFERROR(__xludf.DUMMYFUNCTION("""COMPUTED_VALUE"""),"SENSORE COMERCIO DISTRIBUICAO EXPORT IMP")</f>
        <v>SENSORE COMERCIO DISTRIBUICAO EXPORT IMP</v>
      </c>
      <c r="G940" s="15" t="str">
        <f>IFERROR(__xludf.DUMMYFUNCTION("""COMPUTED_VALUE"""),"266857867")</f>
        <v>266857867</v>
      </c>
      <c r="H940" s="15" t="str">
        <f>IFERROR(__xludf.DUMMYFUNCTION("""COMPUTED_VALUE"""),"2667")</f>
        <v>2667</v>
      </c>
      <c r="I940" s="15" t="str">
        <f>IFERROR(__xludf.DUMMYFUNCTION("""COMPUTED_VALUE"""),"8177632")</f>
        <v>8177632</v>
      </c>
      <c r="J940" s="15" t="str">
        <f>IFERROR(__xludf.DUMMYFUNCTION("""COMPUTED_VALUE"""),"FOB")</f>
        <v>FOB</v>
      </c>
      <c r="K940" s="15" t="str">
        <f>IFERROR(__xludf.DUMMYFUNCTION("""COMPUTED_VALUE"""),"(sem célula)")</f>
        <v>(sem célula)</v>
      </c>
      <c r="L940" s="15" t="str">
        <f>IFERROR(__xludf.DUMMYFUNCTION("""COMPUTED_VALUE"""),"AUTORIZADO")</f>
        <v>AUTORIZADO</v>
      </c>
      <c r="M940" s="15" t="str">
        <f>IFERROR(__xludf.DUMMYFUNCTION("""COMPUTED_VALUE"""),"NA ORIGEM")</f>
        <v>NA ORIGEM</v>
      </c>
      <c r="N940" s="15" t="str">
        <f>IFERROR(__xludf.DUMMYFUNCTION("""COMPUTED_VALUE"""),"Antes Prazo")</f>
        <v>Antes Prazo</v>
      </c>
      <c r="O940" s="15" t="str">
        <f>IFERROR(__xludf.DUMMYFUNCTION("""COMPUTED_VALUE"""),"(não informada)")</f>
        <v>(não informada)</v>
      </c>
      <c r="P940" s="16">
        <f>IFERROR(__xludf.DUMMYFUNCTION("""COMPUTED_VALUE"""),2028.08)</f>
        <v>2028.08</v>
      </c>
      <c r="Q940" s="15">
        <f>IFERROR(__xludf.DUMMYFUNCTION("""COMPUTED_VALUE"""),2.0)</f>
        <v>2</v>
      </c>
      <c r="R940" s="15" t="str">
        <f>IFERROR(__xludf.DUMMYFUNCTION("""COMPUTED_VALUE"""),"RODO")</f>
        <v>RODO</v>
      </c>
      <c r="S940" s="15" t="str">
        <f>IFERROR(__xludf.DUMMYFUNCTION("""COMPUTED_VALUE"""),"ITN")</f>
        <v>ITN</v>
      </c>
      <c r="T940" s="15" t="str">
        <f>IFERROR(__xludf.DUMMYFUNCTION("""COMPUTED_VALUE"""),"2")</f>
        <v>2</v>
      </c>
      <c r="U940" s="15" t="str">
        <f>IFERROR(__xludf.DUMMYFUNCTION("""COMPUTED_VALUE"""),"266857867 2667 8177632 avatim cheiros da terra sensore comercio distribuicao export imp mt3 2")</f>
        <v>266857867 2667 8177632 avatim cheiros da terra sensore comercio distribuicao export imp mt3 2</v>
      </c>
      <c r="V940" s="15" t="b">
        <f>IFERROR(__xludf.DUMMYFUNCTION("""COMPUTED_VALUE"""),FALSE)</f>
        <v>0</v>
      </c>
    </row>
    <row r="941">
      <c r="A941" s="19">
        <f>IFERROR(__xludf.DUMMYFUNCTION("""COMPUTED_VALUE"""),46304.0)</f>
        <v>46304</v>
      </c>
      <c r="B941" s="19">
        <f>IFERROR(__xludf.DUMMYFUNCTION("""COMPUTED_VALUE"""),46315.0)</f>
        <v>46315</v>
      </c>
      <c r="C941" s="15">
        <f>IFERROR(__xludf.DUMMYFUNCTION("""COMPUTED_VALUE"""),6.0)</f>
        <v>6</v>
      </c>
      <c r="D941" s="15" t="str">
        <f>IFERROR(__xludf.DUMMYFUNCTION("""COMPUTED_VALUE"""),"CGB")</f>
        <v>CGB</v>
      </c>
      <c r="E941" s="15" t="str">
        <f>IFERROR(__xludf.DUMMYFUNCTION("""COMPUTED_VALUE"""),"AVATIM CHEIROS DA TERRA")</f>
        <v>AVATIM CHEIROS DA TERRA</v>
      </c>
      <c r="F941" s="15" t="str">
        <f>IFERROR(__xludf.DUMMYFUNCTION("""COMPUTED_VALUE"""),"SENSORE COMERCIO DISTRIBUICAO EXPORT IMP")</f>
        <v>SENSORE COMERCIO DISTRIBUICAO EXPORT IMP</v>
      </c>
      <c r="G941" s="15" t="str">
        <f>IFERROR(__xludf.DUMMYFUNCTION("""COMPUTED_VALUE"""),"266857868")</f>
        <v>266857868</v>
      </c>
      <c r="H941" s="15" t="str">
        <f>IFERROR(__xludf.DUMMYFUNCTION("""COMPUTED_VALUE"""),"2571")</f>
        <v>2571</v>
      </c>
      <c r="I941" s="15" t="str">
        <f>IFERROR(__xludf.DUMMYFUNCTION("""COMPUTED_VALUE"""),"8177638")</f>
        <v>8177638</v>
      </c>
      <c r="J941" s="15" t="str">
        <f>IFERROR(__xludf.DUMMYFUNCTION("""COMPUTED_VALUE"""),"FOB")</f>
        <v>FOB</v>
      </c>
      <c r="K941" s="15" t="str">
        <f>IFERROR(__xludf.DUMMYFUNCTION("""COMPUTED_VALUE"""),"(sem célula)")</f>
        <v>(sem célula)</v>
      </c>
      <c r="L941" s="15" t="str">
        <f>IFERROR(__xludf.DUMMYFUNCTION("""COMPUTED_VALUE"""),"AUTORIZADO")</f>
        <v>AUTORIZADO</v>
      </c>
      <c r="M941" s="15" t="str">
        <f>IFERROR(__xludf.DUMMYFUNCTION("""COMPUTED_VALUE"""),"NA ORIGEM")</f>
        <v>NA ORIGEM</v>
      </c>
      <c r="N941" s="15" t="str">
        <f>IFERROR(__xludf.DUMMYFUNCTION("""COMPUTED_VALUE"""),"Antes Prazo")</f>
        <v>Antes Prazo</v>
      </c>
      <c r="O941" s="15" t="str">
        <f>IFERROR(__xludf.DUMMYFUNCTION("""COMPUTED_VALUE"""),"(não informada)")</f>
        <v>(não informada)</v>
      </c>
      <c r="P941" s="16">
        <f>IFERROR(__xludf.DUMMYFUNCTION("""COMPUTED_VALUE"""),1922.0)</f>
        <v>1922</v>
      </c>
      <c r="Q941" s="15">
        <f>IFERROR(__xludf.DUMMYFUNCTION("""COMPUTED_VALUE"""),2.0)</f>
        <v>2</v>
      </c>
      <c r="R941" s="15" t="str">
        <f>IFERROR(__xludf.DUMMYFUNCTION("""COMPUTED_VALUE"""),"RODO")</f>
        <v>RODO</v>
      </c>
      <c r="S941" s="15" t="str">
        <f>IFERROR(__xludf.DUMMYFUNCTION("""COMPUTED_VALUE"""),"ITN")</f>
        <v>ITN</v>
      </c>
      <c r="T941" s="15" t="str">
        <f>IFERROR(__xludf.DUMMYFUNCTION("""COMPUTED_VALUE"""),"3")</f>
        <v>3</v>
      </c>
      <c r="U941" s="15" t="str">
        <f>IFERROR(__xludf.DUMMYFUNCTION("""COMPUTED_VALUE"""),"266857868 2571 8177638 avatim cheiros da terra sensore comercio distribuicao export imp cgb 3")</f>
        <v>266857868 2571 8177638 avatim cheiros da terra sensore comercio distribuicao export imp cgb 3</v>
      </c>
      <c r="V941" s="15" t="b">
        <f>IFERROR(__xludf.DUMMYFUNCTION("""COMPUTED_VALUE"""),FALSE)</f>
        <v>0</v>
      </c>
    </row>
    <row r="942">
      <c r="A942" s="19">
        <f>IFERROR(__xludf.DUMMYFUNCTION("""COMPUTED_VALUE"""),46304.0)</f>
        <v>46304</v>
      </c>
      <c r="B942" s="19">
        <f>IFERROR(__xludf.DUMMYFUNCTION("""COMPUTED_VALUE"""),46322.0)</f>
        <v>46322</v>
      </c>
      <c r="C942" s="15">
        <f>IFERROR(__xludf.DUMMYFUNCTION("""COMPUTED_VALUE"""),11.0)</f>
        <v>11</v>
      </c>
      <c r="D942" s="15" t="str">
        <f>IFERROR(__xludf.DUMMYFUNCTION("""COMPUTED_VALUE"""),"MT1")</f>
        <v>MT1</v>
      </c>
      <c r="E942" s="15" t="str">
        <f>IFERROR(__xludf.DUMMYFUNCTION("""COMPUTED_VALUE"""),"AVATIM CHEIROS DA TERRA")</f>
        <v>AVATIM CHEIROS DA TERRA</v>
      </c>
      <c r="F942" s="15" t="str">
        <f>IFERROR(__xludf.DUMMYFUNCTION("""COMPUTED_VALUE"""),"SENSORE COMERCIO DISTRIBUICAO EXPORT IMP")</f>
        <v>SENSORE COMERCIO DISTRIBUICAO EXPORT IMP</v>
      </c>
      <c r="G942" s="15" t="str">
        <f>IFERROR(__xludf.DUMMYFUNCTION("""COMPUTED_VALUE"""),"266857869")</f>
        <v>266857869</v>
      </c>
      <c r="H942" s="15" t="str">
        <f>IFERROR(__xludf.DUMMYFUNCTION("""COMPUTED_VALUE"""),"2606")</f>
        <v>2606</v>
      </c>
      <c r="I942" s="15" t="str">
        <f>IFERROR(__xludf.DUMMYFUNCTION("""COMPUTED_VALUE"""),"8177636")</f>
        <v>8177636</v>
      </c>
      <c r="J942" s="15" t="str">
        <f>IFERROR(__xludf.DUMMYFUNCTION("""COMPUTED_VALUE"""),"FOB")</f>
        <v>FOB</v>
      </c>
      <c r="K942" s="15" t="str">
        <f>IFERROR(__xludf.DUMMYFUNCTION("""COMPUTED_VALUE"""),"(sem célula)")</f>
        <v>(sem célula)</v>
      </c>
      <c r="L942" s="15" t="str">
        <f>IFERROR(__xludf.DUMMYFUNCTION("""COMPUTED_VALUE"""),"AUTORIZADO")</f>
        <v>AUTORIZADO</v>
      </c>
      <c r="M942" s="15" t="str">
        <f>IFERROR(__xludf.DUMMYFUNCTION("""COMPUTED_VALUE"""),"NA ORIGEM")</f>
        <v>NA ORIGEM</v>
      </c>
      <c r="N942" s="15" t="str">
        <f>IFERROR(__xludf.DUMMYFUNCTION("""COMPUTED_VALUE"""),"Antes Prazo")</f>
        <v>Antes Prazo</v>
      </c>
      <c r="O942" s="15" t="str">
        <f>IFERROR(__xludf.DUMMYFUNCTION("""COMPUTED_VALUE"""),"(não informada)")</f>
        <v>(não informada)</v>
      </c>
      <c r="P942" s="16">
        <f>IFERROR(__xludf.DUMMYFUNCTION("""COMPUTED_VALUE"""),1984.85)</f>
        <v>1984.85</v>
      </c>
      <c r="Q942" s="15">
        <f>IFERROR(__xludf.DUMMYFUNCTION("""COMPUTED_VALUE"""),1.0)</f>
        <v>1</v>
      </c>
      <c r="R942" s="15" t="str">
        <f>IFERROR(__xludf.DUMMYFUNCTION("""COMPUTED_VALUE"""),"RODO")</f>
        <v>RODO</v>
      </c>
      <c r="S942" s="15" t="str">
        <f>IFERROR(__xludf.DUMMYFUNCTION("""COMPUTED_VALUE"""),"ITN")</f>
        <v>ITN</v>
      </c>
      <c r="T942" s="15" t="str">
        <f>IFERROR(__xludf.DUMMYFUNCTION("""COMPUTED_VALUE"""),"100")</f>
        <v>100</v>
      </c>
      <c r="U942" s="15" t="str">
        <f>IFERROR(__xludf.DUMMYFUNCTION("""COMPUTED_VALUE"""),"266857869 2606 8177636 avatim cheiros da terra sensore comercio distribuicao export imp mt1 100")</f>
        <v>266857869 2606 8177636 avatim cheiros da terra sensore comercio distribuicao export imp mt1 100</v>
      </c>
      <c r="V942" s="15" t="b">
        <f>IFERROR(__xludf.DUMMYFUNCTION("""COMPUTED_VALUE"""),FALSE)</f>
        <v>0</v>
      </c>
    </row>
    <row r="943">
      <c r="A943" s="19">
        <f>IFERROR(__xludf.DUMMYFUNCTION("""COMPUTED_VALUE"""),46304.0)</f>
        <v>46304</v>
      </c>
      <c r="B943" s="19">
        <f>IFERROR(__xludf.DUMMYFUNCTION("""COMPUTED_VALUE"""),46314.0)</f>
        <v>46314</v>
      </c>
      <c r="C943" s="15">
        <f>IFERROR(__xludf.DUMMYFUNCTION("""COMPUTED_VALUE"""),5.0)</f>
        <v>5</v>
      </c>
      <c r="D943" s="15" t="str">
        <f>IFERROR(__xludf.DUMMYFUNCTION("""COMPUTED_VALUE"""),"JPA")</f>
        <v>JPA</v>
      </c>
      <c r="E943" s="15" t="str">
        <f>IFERROR(__xludf.DUMMYFUNCTION("""COMPUTED_VALUE"""),"LAVITE COMERCIO DE COSMETICOS LTDA")</f>
        <v>LAVITE COMERCIO DE COSMETICOS LTDA</v>
      </c>
      <c r="F943" s="15" t="str">
        <f>IFERROR(__xludf.DUMMYFUNCTION("""COMPUTED_VALUE"""),"SENSORE COMERCIO DISTRIBUICAO EXPORT IMP")</f>
        <v>SENSORE COMERCIO DISTRIBUICAO EXPORT IMP</v>
      </c>
      <c r="G943" s="15" t="str">
        <f>IFERROR(__xludf.DUMMYFUNCTION("""COMPUTED_VALUE"""),"266857870")</f>
        <v>266857870</v>
      </c>
      <c r="H943" s="15" t="str">
        <f>IFERROR(__xludf.DUMMYFUNCTION("""COMPUTED_VALUE"""),"2672")</f>
        <v>2672</v>
      </c>
      <c r="I943" s="15" t="str">
        <f>IFERROR(__xludf.DUMMYFUNCTION("""COMPUTED_VALUE"""),"8177637")</f>
        <v>8177637</v>
      </c>
      <c r="J943" s="15" t="str">
        <f>IFERROR(__xludf.DUMMYFUNCTION("""COMPUTED_VALUE"""),"FOB")</f>
        <v>FOB</v>
      </c>
      <c r="K943" s="15" t="str">
        <f>IFERROR(__xludf.DUMMYFUNCTION("""COMPUTED_VALUE"""),"(sem célula)")</f>
        <v>(sem célula)</v>
      </c>
      <c r="L943" s="15" t="str">
        <f>IFERROR(__xludf.DUMMYFUNCTION("""COMPUTED_VALUE"""),"AUTORIZADO")</f>
        <v>AUTORIZADO</v>
      </c>
      <c r="M943" s="15" t="str">
        <f>IFERROR(__xludf.DUMMYFUNCTION("""COMPUTED_VALUE"""),"NA ORIGEM")</f>
        <v>NA ORIGEM</v>
      </c>
      <c r="N943" s="15" t="str">
        <f>IFERROR(__xludf.DUMMYFUNCTION("""COMPUTED_VALUE"""),"Antes Prazo")</f>
        <v>Antes Prazo</v>
      </c>
      <c r="O943" s="15" t="str">
        <f>IFERROR(__xludf.DUMMYFUNCTION("""COMPUTED_VALUE"""),"(não informada)")</f>
        <v>(não informada)</v>
      </c>
      <c r="P943" s="16">
        <f>IFERROR(__xludf.DUMMYFUNCTION("""COMPUTED_VALUE"""),782.15)</f>
        <v>782.15</v>
      </c>
      <c r="Q943" s="15">
        <f>IFERROR(__xludf.DUMMYFUNCTION("""COMPUTED_VALUE"""),1.0)</f>
        <v>1</v>
      </c>
      <c r="R943" s="15" t="str">
        <f>IFERROR(__xludf.DUMMYFUNCTION("""COMPUTED_VALUE"""),"RODO")</f>
        <v>RODO</v>
      </c>
      <c r="S943" s="15" t="str">
        <f>IFERROR(__xludf.DUMMYFUNCTION("""COMPUTED_VALUE"""),"ITN")</f>
        <v>ITN</v>
      </c>
      <c r="T943" s="15" t="str">
        <f>IFERROR(__xludf.DUMMYFUNCTION("""COMPUTED_VALUE"""),"6")</f>
        <v>6</v>
      </c>
      <c r="U943" s="15" t="str">
        <f>IFERROR(__xludf.DUMMYFUNCTION("""COMPUTED_VALUE"""),"266857870 2672 8177637 lavite comercio de cosmeticos ltda sensore comercio distribuicao export imp jpa 6")</f>
        <v>266857870 2672 8177637 lavite comercio de cosmeticos ltda sensore comercio distribuicao export imp jpa 6</v>
      </c>
      <c r="V943" s="15" t="b">
        <f>IFERROR(__xludf.DUMMYFUNCTION("""COMPUTED_VALUE"""),FALSE)</f>
        <v>0</v>
      </c>
    </row>
    <row r="944">
      <c r="A944" s="19">
        <f>IFERROR(__xludf.DUMMYFUNCTION("""COMPUTED_VALUE"""),46304.0)</f>
        <v>46304</v>
      </c>
      <c r="B944" s="19">
        <f>IFERROR(__xludf.DUMMYFUNCTION("""COMPUTED_VALUE"""),46314.0)</f>
        <v>46314</v>
      </c>
      <c r="C944" s="15">
        <f>IFERROR(__xludf.DUMMYFUNCTION("""COMPUTED_VALUE"""),5.0)</f>
        <v>5</v>
      </c>
      <c r="D944" s="15" t="str">
        <f>IFERROR(__xludf.DUMMYFUNCTION("""COMPUTED_VALUE"""),"BSB")</f>
        <v>BSB</v>
      </c>
      <c r="E944" s="15" t="str">
        <f>IFERROR(__xludf.DUMMYFUNCTION("""COMPUTED_VALUE"""),"AVATIM CHEIROS DA TERRA")</f>
        <v>AVATIM CHEIROS DA TERRA</v>
      </c>
      <c r="F944" s="15" t="str">
        <f>IFERROR(__xludf.DUMMYFUNCTION("""COMPUTED_VALUE"""),"SENSORE COMERCIO DISTRIBUICAO EXPORT IMP")</f>
        <v>SENSORE COMERCIO DISTRIBUICAO EXPORT IMP</v>
      </c>
      <c r="G944" s="15" t="str">
        <f>IFERROR(__xludf.DUMMYFUNCTION("""COMPUTED_VALUE"""),"266858695")</f>
        <v>266858695</v>
      </c>
      <c r="H944" s="15" t="str">
        <f>IFERROR(__xludf.DUMMYFUNCTION("""COMPUTED_VALUE"""),"2611")</f>
        <v>2611</v>
      </c>
      <c r="I944" s="15" t="str">
        <f>IFERROR(__xludf.DUMMYFUNCTION("""COMPUTED_VALUE"""),"8177633")</f>
        <v>8177633</v>
      </c>
      <c r="J944" s="15" t="str">
        <f>IFERROR(__xludf.DUMMYFUNCTION("""COMPUTED_VALUE"""),"FOB")</f>
        <v>FOB</v>
      </c>
      <c r="K944" s="15" t="str">
        <f>IFERROR(__xludf.DUMMYFUNCTION("""COMPUTED_VALUE"""),"(sem célula)")</f>
        <v>(sem célula)</v>
      </c>
      <c r="L944" s="15" t="str">
        <f>IFERROR(__xludf.DUMMYFUNCTION("""COMPUTED_VALUE"""),"AUTORIZADO")</f>
        <v>AUTORIZADO</v>
      </c>
      <c r="M944" s="15" t="str">
        <f>IFERROR(__xludf.DUMMYFUNCTION("""COMPUTED_VALUE"""),"NA ORIGEM")</f>
        <v>NA ORIGEM</v>
      </c>
      <c r="N944" s="15" t="str">
        <f>IFERROR(__xludf.DUMMYFUNCTION("""COMPUTED_VALUE"""),"Antes Prazo")</f>
        <v>Antes Prazo</v>
      </c>
      <c r="O944" s="15" t="str">
        <f>IFERROR(__xludf.DUMMYFUNCTION("""COMPUTED_VALUE"""),"(não informada)")</f>
        <v>(não informada)</v>
      </c>
      <c r="P944" s="16">
        <f>IFERROR(__xludf.DUMMYFUNCTION("""COMPUTED_VALUE"""),1440.4)</f>
        <v>1440.4</v>
      </c>
      <c r="Q944" s="15">
        <f>IFERROR(__xludf.DUMMYFUNCTION("""COMPUTED_VALUE"""),1.0)</f>
        <v>1</v>
      </c>
      <c r="R944" s="15" t="str">
        <f>IFERROR(__xludf.DUMMYFUNCTION("""COMPUTED_VALUE"""),"RODO")</f>
        <v>RODO</v>
      </c>
      <c r="S944" s="15" t="str">
        <f>IFERROR(__xludf.DUMMYFUNCTION("""COMPUTED_VALUE"""),"ITN")</f>
        <v>ITN</v>
      </c>
      <c r="T944" s="15" t="str">
        <f>IFERROR(__xludf.DUMMYFUNCTION("""COMPUTED_VALUE"""),"19")</f>
        <v>19</v>
      </c>
      <c r="U944" s="15" t="str">
        <f>IFERROR(__xludf.DUMMYFUNCTION("""COMPUTED_VALUE"""),"266858695 2611 8177633 avatim cheiros da terra sensore comercio distribuicao export imp bsb 19")</f>
        <v>266858695 2611 8177633 avatim cheiros da terra sensore comercio distribuicao export imp bsb 19</v>
      </c>
      <c r="V944" s="15" t="b">
        <f>IFERROR(__xludf.DUMMYFUNCTION("""COMPUTED_VALUE"""),FALSE)</f>
        <v>0</v>
      </c>
    </row>
    <row r="945">
      <c r="A945" s="19">
        <f>IFERROR(__xludf.DUMMYFUNCTION("""COMPUTED_VALUE"""),46304.0)</f>
        <v>46304</v>
      </c>
      <c r="B945" s="19">
        <f>IFERROR(__xludf.DUMMYFUNCTION("""COMPUTED_VALUE"""),46321.0)</f>
        <v>46321</v>
      </c>
      <c r="C945" s="15">
        <f>IFERROR(__xludf.DUMMYFUNCTION("""COMPUTED_VALUE"""),10.0)</f>
        <v>10</v>
      </c>
      <c r="D945" s="15" t="str">
        <f>IFERROR(__xludf.DUMMYFUNCTION("""COMPUTED_VALUE"""),"MT1")</f>
        <v>MT1</v>
      </c>
      <c r="E945" s="15" t="str">
        <f>IFERROR(__xludf.DUMMYFUNCTION("""COMPUTED_VALUE"""),"AVATIM CHEIROS DA TERRA")</f>
        <v>AVATIM CHEIROS DA TERRA</v>
      </c>
      <c r="F945" s="15" t="str">
        <f>IFERROR(__xludf.DUMMYFUNCTION("""COMPUTED_VALUE"""),"SENSORE COMERCIO DISTRIBUICAO EXPORT IMP")</f>
        <v>SENSORE COMERCIO DISTRIBUICAO EXPORT IMP</v>
      </c>
      <c r="G945" s="15" t="str">
        <f>IFERROR(__xludf.DUMMYFUNCTION("""COMPUTED_VALUE"""),"266858696")</f>
        <v>266858696</v>
      </c>
      <c r="H945" s="15" t="str">
        <f>IFERROR(__xludf.DUMMYFUNCTION("""COMPUTED_VALUE"""),"2607")</f>
        <v>2607</v>
      </c>
      <c r="I945" s="15" t="str">
        <f>IFERROR(__xludf.DUMMYFUNCTION("""COMPUTED_VALUE"""),"8177634")</f>
        <v>8177634</v>
      </c>
      <c r="J945" s="15" t="str">
        <f>IFERROR(__xludf.DUMMYFUNCTION("""COMPUTED_VALUE"""),"FOB")</f>
        <v>FOB</v>
      </c>
      <c r="K945" s="15" t="str">
        <f>IFERROR(__xludf.DUMMYFUNCTION("""COMPUTED_VALUE"""),"(sem célula)")</f>
        <v>(sem célula)</v>
      </c>
      <c r="L945" s="15" t="str">
        <f>IFERROR(__xludf.DUMMYFUNCTION("""COMPUTED_VALUE"""),"AUTORIZADO")</f>
        <v>AUTORIZADO</v>
      </c>
      <c r="M945" s="15" t="str">
        <f>IFERROR(__xludf.DUMMYFUNCTION("""COMPUTED_VALUE"""),"NA ORIGEM")</f>
        <v>NA ORIGEM</v>
      </c>
      <c r="N945" s="15" t="str">
        <f>IFERROR(__xludf.DUMMYFUNCTION("""COMPUTED_VALUE"""),"Antes Prazo")</f>
        <v>Antes Prazo</v>
      </c>
      <c r="O945" s="15" t="str">
        <f>IFERROR(__xludf.DUMMYFUNCTION("""COMPUTED_VALUE"""),"(não informada)")</f>
        <v>(não informada)</v>
      </c>
      <c r="P945" s="16">
        <f>IFERROR(__xludf.DUMMYFUNCTION("""COMPUTED_VALUE"""),1704.34)</f>
        <v>1704.34</v>
      </c>
      <c r="Q945" s="15">
        <f>IFERROR(__xludf.DUMMYFUNCTION("""COMPUTED_VALUE"""),1.0)</f>
        <v>1</v>
      </c>
      <c r="R945" s="15" t="str">
        <f>IFERROR(__xludf.DUMMYFUNCTION("""COMPUTED_VALUE"""),"RODO")</f>
        <v>RODO</v>
      </c>
      <c r="S945" s="15" t="str">
        <f>IFERROR(__xludf.DUMMYFUNCTION("""COMPUTED_VALUE"""),"ITN")</f>
        <v>ITN</v>
      </c>
      <c r="T945" s="15" t="str">
        <f>IFERROR(__xludf.DUMMYFUNCTION("""COMPUTED_VALUE"""),"100")</f>
        <v>100</v>
      </c>
      <c r="U945" s="15" t="str">
        <f>IFERROR(__xludf.DUMMYFUNCTION("""COMPUTED_VALUE"""),"266858696 2607 8177634 avatim cheiros da terra sensore comercio distribuicao export imp mt1 100")</f>
        <v>266858696 2607 8177634 avatim cheiros da terra sensore comercio distribuicao export imp mt1 100</v>
      </c>
      <c r="V945" s="15" t="b">
        <f>IFERROR(__xludf.DUMMYFUNCTION("""COMPUTED_VALUE"""),FALSE)</f>
        <v>0</v>
      </c>
    </row>
    <row r="946">
      <c r="A946" s="19">
        <f>IFERROR(__xludf.DUMMYFUNCTION("""COMPUTED_VALUE"""),46304.0)</f>
        <v>46304</v>
      </c>
      <c r="B946" s="19">
        <f>IFERROR(__xludf.DUMMYFUNCTION("""COMPUTED_VALUE"""),46314.0)</f>
        <v>46314</v>
      </c>
      <c r="C946" s="15">
        <f>IFERROR(__xludf.DUMMYFUNCTION("""COMPUTED_VALUE"""),5.0)</f>
        <v>5</v>
      </c>
      <c r="D946" s="15" t="str">
        <f>IFERROR(__xludf.DUMMYFUNCTION("""COMPUTED_VALUE"""),"BSB")</f>
        <v>BSB</v>
      </c>
      <c r="E946" s="15" t="str">
        <f>IFERROR(__xludf.DUMMYFUNCTION("""COMPUTED_VALUE"""),"DL AROMAS PERFUMARIA E COSMETICOS LTDA")</f>
        <v>DL AROMAS PERFUMARIA E COSMETICOS LTDA</v>
      </c>
      <c r="F946" s="15" t="str">
        <f>IFERROR(__xludf.DUMMYFUNCTION("""COMPUTED_VALUE"""),"SENSORE COMERCIO DISTRIBUICAO EXPORT IMP")</f>
        <v>SENSORE COMERCIO DISTRIBUICAO EXPORT IMP</v>
      </c>
      <c r="G946" s="15" t="str">
        <f>IFERROR(__xludf.DUMMYFUNCTION("""COMPUTED_VALUE"""),"266858697")</f>
        <v>266858697</v>
      </c>
      <c r="H946" s="15" t="str">
        <f>IFERROR(__xludf.DUMMYFUNCTION("""COMPUTED_VALUE"""),"2577")</f>
        <v>2577</v>
      </c>
      <c r="I946" s="15" t="str">
        <f>IFERROR(__xludf.DUMMYFUNCTION("""COMPUTED_VALUE"""),"8177635")</f>
        <v>8177635</v>
      </c>
      <c r="J946" s="15" t="str">
        <f>IFERROR(__xludf.DUMMYFUNCTION("""COMPUTED_VALUE"""),"FOB")</f>
        <v>FOB</v>
      </c>
      <c r="K946" s="15" t="str">
        <f>IFERROR(__xludf.DUMMYFUNCTION("""COMPUTED_VALUE"""),"(sem célula)")</f>
        <v>(sem célula)</v>
      </c>
      <c r="L946" s="15" t="str">
        <f>IFERROR(__xludf.DUMMYFUNCTION("""COMPUTED_VALUE"""),"AUTORIZADO")</f>
        <v>AUTORIZADO</v>
      </c>
      <c r="M946" s="15" t="str">
        <f>IFERROR(__xludf.DUMMYFUNCTION("""COMPUTED_VALUE"""),"NA ORIGEM")</f>
        <v>NA ORIGEM</v>
      </c>
      <c r="N946" s="15" t="str">
        <f>IFERROR(__xludf.DUMMYFUNCTION("""COMPUTED_VALUE"""),"Antes Prazo")</f>
        <v>Antes Prazo</v>
      </c>
      <c r="O946" s="15" t="str">
        <f>IFERROR(__xludf.DUMMYFUNCTION("""COMPUTED_VALUE"""),"(não informada)")</f>
        <v>(não informada)</v>
      </c>
      <c r="P946" s="16">
        <f>IFERROR(__xludf.DUMMYFUNCTION("""COMPUTED_VALUE"""),4989.75)</f>
        <v>4989.75</v>
      </c>
      <c r="Q946" s="15">
        <f>IFERROR(__xludf.DUMMYFUNCTION("""COMPUTED_VALUE"""),2.0)</f>
        <v>2</v>
      </c>
      <c r="R946" s="15" t="str">
        <f>IFERROR(__xludf.DUMMYFUNCTION("""COMPUTED_VALUE"""),"RODO")</f>
        <v>RODO</v>
      </c>
      <c r="S946" s="15" t="str">
        <f>IFERROR(__xludf.DUMMYFUNCTION("""COMPUTED_VALUE"""),"ITN")</f>
        <v>ITN</v>
      </c>
      <c r="T946" s="15" t="str">
        <f>IFERROR(__xludf.DUMMYFUNCTION("""COMPUTED_VALUE"""),"20")</f>
        <v>20</v>
      </c>
      <c r="U946" s="15" t="str">
        <f>IFERROR(__xludf.DUMMYFUNCTION("""COMPUTED_VALUE"""),"266858697 2577 8177635 dl aromas perfumaria e cosmeticos ltda sensore comercio distribuicao export imp bsb 20")</f>
        <v>266858697 2577 8177635 dl aromas perfumaria e cosmeticos ltda sensore comercio distribuicao export imp bsb 20</v>
      </c>
      <c r="V946" s="15" t="b">
        <f>IFERROR(__xludf.DUMMYFUNCTION("""COMPUTED_VALUE"""),FALSE)</f>
        <v>0</v>
      </c>
    </row>
    <row r="947">
      <c r="A947" s="19">
        <f>IFERROR(__xludf.DUMMYFUNCTION("""COMPUTED_VALUE"""),46304.0)</f>
        <v>46304</v>
      </c>
      <c r="B947" s="19">
        <f>IFERROR(__xludf.DUMMYFUNCTION("""COMPUTED_VALUE"""),46316.0)</f>
        <v>46316</v>
      </c>
      <c r="C947" s="15">
        <f>IFERROR(__xludf.DUMMYFUNCTION("""COMPUTED_VALUE"""),7.0)</f>
        <v>7</v>
      </c>
      <c r="D947" s="15" t="str">
        <f>IFERROR(__xludf.DUMMYFUNCTION("""COMPUTED_VALUE"""),"MT3")</f>
        <v>MT3</v>
      </c>
      <c r="E947" s="15" t="str">
        <f>IFERROR(__xludf.DUMMYFUNCTION("""COMPUTED_VALUE"""),"AVATIM CHEIROS DA TERRA")</f>
        <v>AVATIM CHEIROS DA TERRA</v>
      </c>
      <c r="F947" s="15" t="str">
        <f>IFERROR(__xludf.DUMMYFUNCTION("""COMPUTED_VALUE"""),"SENSORE COMERCIO DISTRIBUICAO EXPORT IMP")</f>
        <v>SENSORE COMERCIO DISTRIBUICAO EXPORT IMP</v>
      </c>
      <c r="G947" s="15" t="str">
        <f>IFERROR(__xludf.DUMMYFUNCTION("""COMPUTED_VALUE"""),"266859016")</f>
        <v>266859016</v>
      </c>
      <c r="H947" s="15" t="str">
        <f>IFERROR(__xludf.DUMMYFUNCTION("""COMPUTED_VALUE"""),"2573")</f>
        <v>2573</v>
      </c>
      <c r="I947" s="15" t="str">
        <f>IFERROR(__xludf.DUMMYFUNCTION("""COMPUTED_VALUE"""),"8177640")</f>
        <v>8177640</v>
      </c>
      <c r="J947" s="15" t="str">
        <f>IFERROR(__xludf.DUMMYFUNCTION("""COMPUTED_VALUE"""),"FOB")</f>
        <v>FOB</v>
      </c>
      <c r="K947" s="15" t="str">
        <f>IFERROR(__xludf.DUMMYFUNCTION("""COMPUTED_VALUE"""),"(sem célula)")</f>
        <v>(sem célula)</v>
      </c>
      <c r="L947" s="15" t="str">
        <f>IFERROR(__xludf.DUMMYFUNCTION("""COMPUTED_VALUE"""),"AUTORIZADO")</f>
        <v>AUTORIZADO</v>
      </c>
      <c r="M947" s="15" t="str">
        <f>IFERROR(__xludf.DUMMYFUNCTION("""COMPUTED_VALUE"""),"NA ORIGEM")</f>
        <v>NA ORIGEM</v>
      </c>
      <c r="N947" s="15" t="str">
        <f>IFERROR(__xludf.DUMMYFUNCTION("""COMPUTED_VALUE"""),"Antes Prazo")</f>
        <v>Antes Prazo</v>
      </c>
      <c r="O947" s="15" t="str">
        <f>IFERROR(__xludf.DUMMYFUNCTION("""COMPUTED_VALUE"""),"(não informada)")</f>
        <v>(não informada)</v>
      </c>
      <c r="P947" s="16">
        <f>IFERROR(__xludf.DUMMYFUNCTION("""COMPUTED_VALUE"""),1631.3)</f>
        <v>1631.3</v>
      </c>
      <c r="Q947" s="15">
        <f>IFERROR(__xludf.DUMMYFUNCTION("""COMPUTED_VALUE"""),1.0)</f>
        <v>1</v>
      </c>
      <c r="R947" s="15" t="str">
        <f>IFERROR(__xludf.DUMMYFUNCTION("""COMPUTED_VALUE"""),"RODO")</f>
        <v>RODO</v>
      </c>
      <c r="S947" s="15" t="str">
        <f>IFERROR(__xludf.DUMMYFUNCTION("""COMPUTED_VALUE"""),"ITN")</f>
        <v>ITN</v>
      </c>
      <c r="T947" s="15" t="str">
        <f>IFERROR(__xludf.DUMMYFUNCTION("""COMPUTED_VALUE"""),"1")</f>
        <v>1</v>
      </c>
      <c r="U947" s="15" t="str">
        <f>IFERROR(__xludf.DUMMYFUNCTION("""COMPUTED_VALUE"""),"266859016 2573 8177640 avatim cheiros da terra sensore comercio distribuicao export imp mt3 1")</f>
        <v>266859016 2573 8177640 avatim cheiros da terra sensore comercio distribuicao export imp mt3 1</v>
      </c>
      <c r="V947" s="15" t="b">
        <f>IFERROR(__xludf.DUMMYFUNCTION("""COMPUTED_VALUE"""),FALSE)</f>
        <v>0</v>
      </c>
    </row>
    <row r="948">
      <c r="A948" s="19">
        <f>IFERROR(__xludf.DUMMYFUNCTION("""COMPUTED_VALUE"""),46304.0)</f>
        <v>46304</v>
      </c>
      <c r="B948" s="19">
        <f>IFERROR(__xludf.DUMMYFUNCTION("""COMPUTED_VALUE"""),46314.0)</f>
        <v>46314</v>
      </c>
      <c r="C948" s="15">
        <f>IFERROR(__xludf.DUMMYFUNCTION("""COMPUTED_VALUE"""),5.0)</f>
        <v>5</v>
      </c>
      <c r="D948" s="15" t="str">
        <f>IFERROR(__xludf.DUMMYFUNCTION("""COMPUTED_VALUE"""),"BSB")</f>
        <v>BSB</v>
      </c>
      <c r="E948" s="15" t="str">
        <f>IFERROR(__xludf.DUMMYFUNCTION("""COMPUTED_VALUE"""),"AVATIM CHEIROS DA TERRA")</f>
        <v>AVATIM CHEIROS DA TERRA</v>
      </c>
      <c r="F948" s="15" t="str">
        <f>IFERROR(__xludf.DUMMYFUNCTION("""COMPUTED_VALUE"""),"SENSORE COMERCIO DISTRIBUICAO EXPORT IMP")</f>
        <v>SENSORE COMERCIO DISTRIBUICAO EXPORT IMP</v>
      </c>
      <c r="G948" s="15" t="str">
        <f>IFERROR(__xludf.DUMMYFUNCTION("""COMPUTED_VALUE"""),"266859017")</f>
        <v>266859017</v>
      </c>
      <c r="H948" s="15" t="str">
        <f>IFERROR(__xludf.DUMMYFUNCTION("""COMPUTED_VALUE"""),"2579")</f>
        <v>2579</v>
      </c>
      <c r="I948" s="15" t="str">
        <f>IFERROR(__xludf.DUMMYFUNCTION("""COMPUTED_VALUE"""),"8177641")</f>
        <v>8177641</v>
      </c>
      <c r="J948" s="15" t="str">
        <f>IFERROR(__xludf.DUMMYFUNCTION("""COMPUTED_VALUE"""),"FOB")</f>
        <v>FOB</v>
      </c>
      <c r="K948" s="15" t="str">
        <f>IFERROR(__xludf.DUMMYFUNCTION("""COMPUTED_VALUE"""),"(sem célula)")</f>
        <v>(sem célula)</v>
      </c>
      <c r="L948" s="15" t="str">
        <f>IFERROR(__xludf.DUMMYFUNCTION("""COMPUTED_VALUE"""),"AUTORIZADO")</f>
        <v>AUTORIZADO</v>
      </c>
      <c r="M948" s="15" t="str">
        <f>IFERROR(__xludf.DUMMYFUNCTION("""COMPUTED_VALUE"""),"NA ORIGEM")</f>
        <v>NA ORIGEM</v>
      </c>
      <c r="N948" s="15" t="str">
        <f>IFERROR(__xludf.DUMMYFUNCTION("""COMPUTED_VALUE"""),"Antes Prazo")</f>
        <v>Antes Prazo</v>
      </c>
      <c r="O948" s="15" t="str">
        <f>IFERROR(__xludf.DUMMYFUNCTION("""COMPUTED_VALUE"""),"(não informada)")</f>
        <v>(não informada)</v>
      </c>
      <c r="P948" s="16">
        <f>IFERROR(__xludf.DUMMYFUNCTION("""COMPUTED_VALUE"""),3680.69)</f>
        <v>3680.69</v>
      </c>
      <c r="Q948" s="15">
        <f>IFERROR(__xludf.DUMMYFUNCTION("""COMPUTED_VALUE"""),2.0)</f>
        <v>2</v>
      </c>
      <c r="R948" s="15" t="str">
        <f>IFERROR(__xludf.DUMMYFUNCTION("""COMPUTED_VALUE"""),"RODO")</f>
        <v>RODO</v>
      </c>
      <c r="S948" s="15" t="str">
        <f>IFERROR(__xludf.DUMMYFUNCTION("""COMPUTED_VALUE"""),"ITN")</f>
        <v>ITN</v>
      </c>
      <c r="T948" s="15" t="str">
        <f>IFERROR(__xludf.DUMMYFUNCTION("""COMPUTED_VALUE"""),"21")</f>
        <v>21</v>
      </c>
      <c r="U948" s="15" t="str">
        <f>IFERROR(__xludf.DUMMYFUNCTION("""COMPUTED_VALUE"""),"266859017 2579 8177641 avatim cheiros da terra sensore comercio distribuicao export imp bsb 21")</f>
        <v>266859017 2579 8177641 avatim cheiros da terra sensore comercio distribuicao export imp bsb 21</v>
      </c>
      <c r="V948" s="15" t="b">
        <f>IFERROR(__xludf.DUMMYFUNCTION("""COMPUTED_VALUE"""),FALSE)</f>
        <v>0</v>
      </c>
    </row>
    <row r="949">
      <c r="A949" s="19">
        <f>IFERROR(__xludf.DUMMYFUNCTION("""COMPUTED_VALUE"""),46304.0)</f>
        <v>46304</v>
      </c>
      <c r="B949" s="19">
        <f>IFERROR(__xludf.DUMMYFUNCTION("""COMPUTED_VALUE"""),46314.0)</f>
        <v>46314</v>
      </c>
      <c r="C949" s="15">
        <f>IFERROR(__xludf.DUMMYFUNCTION("""COMPUTED_VALUE"""),5.0)</f>
        <v>5</v>
      </c>
      <c r="D949" s="15" t="str">
        <f>IFERROR(__xludf.DUMMYFUNCTION("""COMPUTED_VALUE"""),"BSB")</f>
        <v>BSB</v>
      </c>
      <c r="E949" s="15" t="str">
        <f>IFERROR(__xludf.DUMMYFUNCTION("""COMPUTED_VALUE"""),"D2L GILBERTO PERFUMARIA E COSMETICOS LTD")</f>
        <v>D2L GILBERTO PERFUMARIA E COSMETICOS LTD</v>
      </c>
      <c r="F949" s="15" t="str">
        <f>IFERROR(__xludf.DUMMYFUNCTION("""COMPUTED_VALUE"""),"SENSORE COMERCIO DISTRIBUICAO EXPORT IMP")</f>
        <v>SENSORE COMERCIO DISTRIBUICAO EXPORT IMP</v>
      </c>
      <c r="G949" s="15" t="str">
        <f>IFERROR(__xludf.DUMMYFUNCTION("""COMPUTED_VALUE"""),"266859018")</f>
        <v>266859018</v>
      </c>
      <c r="H949" s="15" t="str">
        <f>IFERROR(__xludf.DUMMYFUNCTION("""COMPUTED_VALUE"""),"2581")</f>
        <v>2581</v>
      </c>
      <c r="I949" s="15" t="str">
        <f>IFERROR(__xludf.DUMMYFUNCTION("""COMPUTED_VALUE"""),"8177642")</f>
        <v>8177642</v>
      </c>
      <c r="J949" s="15" t="str">
        <f>IFERROR(__xludf.DUMMYFUNCTION("""COMPUTED_VALUE"""),"FOB")</f>
        <v>FOB</v>
      </c>
      <c r="K949" s="15" t="str">
        <f>IFERROR(__xludf.DUMMYFUNCTION("""COMPUTED_VALUE"""),"(sem célula)")</f>
        <v>(sem célula)</v>
      </c>
      <c r="L949" s="15" t="str">
        <f>IFERROR(__xludf.DUMMYFUNCTION("""COMPUTED_VALUE"""),"AUTORIZADO")</f>
        <v>AUTORIZADO</v>
      </c>
      <c r="M949" s="15" t="str">
        <f>IFERROR(__xludf.DUMMYFUNCTION("""COMPUTED_VALUE"""),"NA ORIGEM")</f>
        <v>NA ORIGEM</v>
      </c>
      <c r="N949" s="15" t="str">
        <f>IFERROR(__xludf.DUMMYFUNCTION("""COMPUTED_VALUE"""),"Antes Prazo")</f>
        <v>Antes Prazo</v>
      </c>
      <c r="O949" s="15" t="str">
        <f>IFERROR(__xludf.DUMMYFUNCTION("""COMPUTED_VALUE"""),"(não informada)")</f>
        <v>(não informada)</v>
      </c>
      <c r="P949" s="16">
        <f>IFERROR(__xludf.DUMMYFUNCTION("""COMPUTED_VALUE"""),2634.89)</f>
        <v>2634.89</v>
      </c>
      <c r="Q949" s="15">
        <f>IFERROR(__xludf.DUMMYFUNCTION("""COMPUTED_VALUE"""),2.0)</f>
        <v>2</v>
      </c>
      <c r="R949" s="15" t="str">
        <f>IFERROR(__xludf.DUMMYFUNCTION("""COMPUTED_VALUE"""),"RODO")</f>
        <v>RODO</v>
      </c>
      <c r="S949" s="15" t="str">
        <f>IFERROR(__xludf.DUMMYFUNCTION("""COMPUTED_VALUE"""),"ITN")</f>
        <v>ITN</v>
      </c>
      <c r="T949" s="15" t="str">
        <f>IFERROR(__xludf.DUMMYFUNCTION("""COMPUTED_VALUE"""),"7")</f>
        <v>7</v>
      </c>
      <c r="U949" s="15" t="str">
        <f>IFERROR(__xludf.DUMMYFUNCTION("""COMPUTED_VALUE"""),"266859018 2581 8177642 d2l gilberto perfumaria e cosmeticos ltd sensore comercio distribuicao export imp bsb 7")</f>
        <v>266859018 2581 8177642 d2l gilberto perfumaria e cosmeticos ltd sensore comercio distribuicao export imp bsb 7</v>
      </c>
      <c r="V949" s="15" t="b">
        <f>IFERROR(__xludf.DUMMYFUNCTION("""COMPUTED_VALUE"""),FALSE)</f>
        <v>0</v>
      </c>
    </row>
    <row r="950">
      <c r="A950" s="19">
        <f>IFERROR(__xludf.DUMMYFUNCTION("""COMPUTED_VALUE"""),46304.0)</f>
        <v>46304</v>
      </c>
      <c r="B950" s="19">
        <f>IFERROR(__xludf.DUMMYFUNCTION("""COMPUTED_VALUE"""),46315.0)</f>
        <v>46315</v>
      </c>
      <c r="C950" s="15">
        <f>IFERROR(__xludf.DUMMYFUNCTION("""COMPUTED_VALUE"""),6.0)</f>
        <v>6</v>
      </c>
      <c r="D950" s="15" t="str">
        <f>IFERROR(__xludf.DUMMYFUNCTION("""COMPUTED_VALUE"""),"CGB")</f>
        <v>CGB</v>
      </c>
      <c r="E950" s="15" t="str">
        <f>IFERROR(__xludf.DUMMYFUNCTION("""COMPUTED_VALUE"""),"SR5 AROMAS E COSMETICOS LTDA")</f>
        <v>SR5 AROMAS E COSMETICOS LTDA</v>
      </c>
      <c r="F950" s="15" t="str">
        <f>IFERROR(__xludf.DUMMYFUNCTION("""COMPUTED_VALUE"""),"SENSORE COMERCIO DISTRIBUICAO EXPORT IMP")</f>
        <v>SENSORE COMERCIO DISTRIBUICAO EXPORT IMP</v>
      </c>
      <c r="G950" s="15" t="str">
        <f>IFERROR(__xludf.DUMMYFUNCTION("""COMPUTED_VALUE"""),"266859142")</f>
        <v>266859142</v>
      </c>
      <c r="H950" s="15" t="str">
        <f>IFERROR(__xludf.DUMMYFUNCTION("""COMPUTED_VALUE"""),"2574")</f>
        <v>2574</v>
      </c>
      <c r="I950" s="15" t="str">
        <f>IFERROR(__xludf.DUMMYFUNCTION("""COMPUTED_VALUE"""),"8177643")</f>
        <v>8177643</v>
      </c>
      <c r="J950" s="15" t="str">
        <f>IFERROR(__xludf.DUMMYFUNCTION("""COMPUTED_VALUE"""),"CIF")</f>
        <v>CIF</v>
      </c>
      <c r="K950" s="15" t="str">
        <f>IFERROR(__xludf.DUMMYFUNCTION("""COMPUTED_VALUE"""),"(sem célula)")</f>
        <v>(sem célula)</v>
      </c>
      <c r="L950" s="15" t="str">
        <f>IFERROR(__xludf.DUMMYFUNCTION("""COMPUTED_VALUE"""),"AUTORIZADO")</f>
        <v>AUTORIZADO</v>
      </c>
      <c r="M950" s="15" t="str">
        <f>IFERROR(__xludf.DUMMYFUNCTION("""COMPUTED_VALUE"""),"NA ORIGEM")</f>
        <v>NA ORIGEM</v>
      </c>
      <c r="N950" s="15" t="str">
        <f>IFERROR(__xludf.DUMMYFUNCTION("""COMPUTED_VALUE"""),"Antes Prazo")</f>
        <v>Antes Prazo</v>
      </c>
      <c r="O950" s="15" t="str">
        <f>IFERROR(__xludf.DUMMYFUNCTION("""COMPUTED_VALUE"""),"(não informada)")</f>
        <v>(não informada)</v>
      </c>
      <c r="P950" s="16">
        <f>IFERROR(__xludf.DUMMYFUNCTION("""COMPUTED_VALUE"""),1371.08)</f>
        <v>1371.08</v>
      </c>
      <c r="Q950" s="15">
        <f>IFERROR(__xludf.DUMMYFUNCTION("""COMPUTED_VALUE"""),2.0)</f>
        <v>2</v>
      </c>
      <c r="R950" s="15" t="str">
        <f>IFERROR(__xludf.DUMMYFUNCTION("""COMPUTED_VALUE"""),"RODO")</f>
        <v>RODO</v>
      </c>
      <c r="S950" s="15" t="str">
        <f>IFERROR(__xludf.DUMMYFUNCTION("""COMPUTED_VALUE"""),"ITN")</f>
        <v>ITN</v>
      </c>
      <c r="T950" s="15" t="str">
        <f>IFERROR(__xludf.DUMMYFUNCTION("""COMPUTED_VALUE"""),"4")</f>
        <v>4</v>
      </c>
      <c r="U950" s="15" t="str">
        <f>IFERROR(__xludf.DUMMYFUNCTION("""COMPUTED_VALUE"""),"266859142 2574 8177643 sr5 aromas e cosmeticos ltda sensore comercio distribuicao export imp cgb 4")</f>
        <v>266859142 2574 8177643 sr5 aromas e cosmeticos ltda sensore comercio distribuicao export imp cgb 4</v>
      </c>
      <c r="V950" s="15" t="b">
        <f>IFERROR(__xludf.DUMMYFUNCTION("""COMPUTED_VALUE"""),FALSE)</f>
        <v>0</v>
      </c>
    </row>
    <row r="951">
      <c r="A951" s="19">
        <f>IFERROR(__xludf.DUMMYFUNCTION("""COMPUTED_VALUE"""),46304.0)</f>
        <v>46304</v>
      </c>
      <c r="B951" s="19">
        <f>IFERROR(__xludf.DUMMYFUNCTION("""COMPUTED_VALUE"""),46314.0)</f>
        <v>46314</v>
      </c>
      <c r="C951" s="15">
        <f>IFERROR(__xludf.DUMMYFUNCTION("""COMPUTED_VALUE"""),5.0)</f>
        <v>5</v>
      </c>
      <c r="D951" s="15" t="str">
        <f>IFERROR(__xludf.DUMMYFUNCTION("""COMPUTED_VALUE"""),"BSB")</f>
        <v>BSB</v>
      </c>
      <c r="E951" s="15" t="str">
        <f>IFERROR(__xludf.DUMMYFUNCTION("""COMPUTED_VALUE"""),"AVATIM CHEIROS DA TERRA")</f>
        <v>AVATIM CHEIROS DA TERRA</v>
      </c>
      <c r="F951" s="15" t="str">
        <f>IFERROR(__xludf.DUMMYFUNCTION("""COMPUTED_VALUE"""),"SENSORE COMERCIO DISTRIBUICAO EXPORT IMP")</f>
        <v>SENSORE COMERCIO DISTRIBUICAO EXPORT IMP</v>
      </c>
      <c r="G951" s="15" t="str">
        <f>IFERROR(__xludf.DUMMYFUNCTION("""COMPUTED_VALUE"""),"266859172")</f>
        <v>266859172</v>
      </c>
      <c r="H951" s="15" t="str">
        <f>IFERROR(__xludf.DUMMYFUNCTION("""COMPUTED_VALUE"""),"2569")</f>
        <v>2569</v>
      </c>
      <c r="I951" s="15" t="str">
        <f>IFERROR(__xludf.DUMMYFUNCTION("""COMPUTED_VALUE"""),"8177639")</f>
        <v>8177639</v>
      </c>
      <c r="J951" s="15" t="str">
        <f>IFERROR(__xludf.DUMMYFUNCTION("""COMPUTED_VALUE"""),"CIF")</f>
        <v>CIF</v>
      </c>
      <c r="K951" s="15" t="str">
        <f>IFERROR(__xludf.DUMMYFUNCTION("""COMPUTED_VALUE"""),"(sem célula)")</f>
        <v>(sem célula)</v>
      </c>
      <c r="L951" s="15" t="str">
        <f>IFERROR(__xludf.DUMMYFUNCTION("""COMPUTED_VALUE"""),"AUTORIZADO")</f>
        <v>AUTORIZADO</v>
      </c>
      <c r="M951" s="15" t="str">
        <f>IFERROR(__xludf.DUMMYFUNCTION("""COMPUTED_VALUE"""),"NA ORIGEM")</f>
        <v>NA ORIGEM</v>
      </c>
      <c r="N951" s="15" t="str">
        <f>IFERROR(__xludf.DUMMYFUNCTION("""COMPUTED_VALUE"""),"Antes Prazo")</f>
        <v>Antes Prazo</v>
      </c>
      <c r="O951" s="15" t="str">
        <f>IFERROR(__xludf.DUMMYFUNCTION("""COMPUTED_VALUE"""),"(não informada)")</f>
        <v>(não informada)</v>
      </c>
      <c r="P951" s="16">
        <f>IFERROR(__xludf.DUMMYFUNCTION("""COMPUTED_VALUE"""),2583.17)</f>
        <v>2583.17</v>
      </c>
      <c r="Q951" s="15">
        <f>IFERROR(__xludf.DUMMYFUNCTION("""COMPUTED_VALUE"""),3.0)</f>
        <v>3</v>
      </c>
      <c r="R951" s="15" t="str">
        <f>IFERROR(__xludf.DUMMYFUNCTION("""COMPUTED_VALUE"""),"RODO")</f>
        <v>RODO</v>
      </c>
      <c r="S951" s="15" t="str">
        <f>IFERROR(__xludf.DUMMYFUNCTION("""COMPUTED_VALUE"""),"ITN")</f>
        <v>ITN</v>
      </c>
      <c r="T951" s="15" t="str">
        <f>IFERROR(__xludf.DUMMYFUNCTION("""COMPUTED_VALUE"""),"19")</f>
        <v>19</v>
      </c>
      <c r="U951" s="15" t="str">
        <f>IFERROR(__xludf.DUMMYFUNCTION("""COMPUTED_VALUE"""),"266859172 2569 8177639 avatim cheiros da terra sensore comercio distribuicao export imp bsb 19")</f>
        <v>266859172 2569 8177639 avatim cheiros da terra sensore comercio distribuicao export imp bsb 19</v>
      </c>
      <c r="V951" s="15" t="b">
        <f>IFERROR(__xludf.DUMMYFUNCTION("""COMPUTED_VALUE"""),FALSE)</f>
        <v>0</v>
      </c>
    </row>
    <row r="952">
      <c r="A952" s="19">
        <f>IFERROR(__xludf.DUMMYFUNCTION("""COMPUTED_VALUE"""),46305.0)</f>
        <v>46305</v>
      </c>
      <c r="B952" s="19">
        <f>IFERROR(__xludf.DUMMYFUNCTION("""COMPUTED_VALUE"""),46330.0)</f>
        <v>46330</v>
      </c>
      <c r="C952" s="15">
        <f>IFERROR(__xludf.DUMMYFUNCTION("""COMPUTED_VALUE"""),16.0)</f>
        <v>16</v>
      </c>
      <c r="D952" s="15" t="str">
        <f>IFERROR(__xludf.DUMMYFUNCTION("""COMPUTED_VALUE"""),"NBL")</f>
        <v>NBL</v>
      </c>
      <c r="E952" s="15" t="str">
        <f>IFERROR(__xludf.DUMMYFUNCTION("""COMPUTED_VALUE"""),"55.534.430 ANDERSON DA SILVA BELEM")</f>
        <v>55.534.430 ANDERSON DA SILVA BELEM</v>
      </c>
      <c r="F952" s="15" t="str">
        <f>IFERROR(__xludf.DUMMYFUNCTION("""COMPUTED_VALUE"""),"DISTRIBUIDORA PARAIBANA")</f>
        <v>DISTRIBUIDORA PARAIBANA</v>
      </c>
      <c r="G952" s="15" t="str">
        <f>IFERROR(__xludf.DUMMYFUNCTION("""COMPUTED_VALUE"""),"266864503")</f>
        <v>266864503</v>
      </c>
      <c r="H952" s="15" t="str">
        <f>IFERROR(__xludf.DUMMYFUNCTION("""COMPUTED_VALUE"""),"12133")</f>
        <v>12133</v>
      </c>
      <c r="I952" s="15" t="str">
        <f>IFERROR(__xludf.DUMMYFUNCTION("""COMPUTED_VALUE"""),"0")</f>
        <v>0</v>
      </c>
      <c r="J952" s="15" t="str">
        <f>IFERROR(__xludf.DUMMYFUNCTION("""COMPUTED_VALUE"""),"CIF")</f>
        <v>CIF</v>
      </c>
      <c r="K952" s="15" t="str">
        <f>IFERROR(__xludf.DUMMYFUNCTION("""COMPUTED_VALUE"""),"(sem célula)")</f>
        <v>(sem célula)</v>
      </c>
      <c r="L952" s="15" t="str">
        <f>IFERROR(__xludf.DUMMYFUNCTION("""COMPUTED_VALUE"""),"SEM CT-E")</f>
        <v>SEM CT-E</v>
      </c>
      <c r="M952" s="15" t="str">
        <f>IFERROR(__xludf.DUMMYFUNCTION("""COMPUTED_VALUE"""),"NA ORIGEM")</f>
        <v>NA ORIGEM</v>
      </c>
      <c r="N952" s="15" t="str">
        <f>IFERROR(__xludf.DUMMYFUNCTION("""COMPUTED_VALUE"""),"Antes Prazo")</f>
        <v>Antes Prazo</v>
      </c>
      <c r="O952" s="15" t="str">
        <f>IFERROR(__xludf.DUMMYFUNCTION("""COMPUTED_VALUE"""),"(não informada)")</f>
        <v>(não informada)</v>
      </c>
      <c r="P952" s="16">
        <f>IFERROR(__xludf.DUMMYFUNCTION("""COMPUTED_VALUE"""),515.8)</f>
        <v>515.8</v>
      </c>
      <c r="Q952" s="15">
        <f>IFERROR(__xludf.DUMMYFUNCTION("""COMPUTED_VALUE"""),14.0)</f>
        <v>14</v>
      </c>
      <c r="R952" s="15" t="str">
        <f>IFERROR(__xludf.DUMMYFUNCTION("""COMPUTED_VALUE"""),"RODO")</f>
        <v>RODO</v>
      </c>
      <c r="S952" s="15" t="str">
        <f>IFERROR(__xludf.DUMMYFUNCTION("""COMPUTED_VALUE"""),"ITN")</f>
        <v>ITN</v>
      </c>
      <c r="T952" s="15" t="str">
        <f>IFERROR(__xludf.DUMMYFUNCTION("""COMPUTED_VALUE"""),"100")</f>
        <v>100</v>
      </c>
      <c r="U952" s="15" t="str">
        <f>IFERROR(__xludf.DUMMYFUNCTION("""COMPUTED_VALUE"""),"266864503 12133 0 55.534.430 anderson da silva belem distribuidora paraibana nbl 100")</f>
        <v>266864503 12133 0 55.534.430 anderson da silva belem distribuidora paraibana nbl 100</v>
      </c>
      <c r="V952" s="15" t="b">
        <f>IFERROR(__xludf.DUMMYFUNCTION("""COMPUTED_VALUE"""),FALSE)</f>
        <v>0</v>
      </c>
    </row>
    <row r="953">
      <c r="A953" s="19">
        <f>IFERROR(__xludf.DUMMYFUNCTION("""COMPUTED_VALUE"""),46305.0)</f>
        <v>46305</v>
      </c>
      <c r="B953" s="19">
        <f>IFERROR(__xludf.DUMMYFUNCTION("""COMPUTED_VALUE"""),46317.0)</f>
        <v>46317</v>
      </c>
      <c r="C953" s="15">
        <f>IFERROR(__xludf.DUMMYFUNCTION("""COMPUTED_VALUE"""),8.0)</f>
        <v>8</v>
      </c>
      <c r="D953" s="15" t="str">
        <f>IFERROR(__xludf.DUMMYFUNCTION("""COMPUTED_VALUE"""),"MCZ")</f>
        <v>MCZ</v>
      </c>
      <c r="E953" s="15" t="str">
        <f>IFERROR(__xludf.DUMMYFUNCTION("""COMPUTED_VALUE"""),"JACO BARBOSA FERREIRA")</f>
        <v>JACO BARBOSA FERREIRA</v>
      </c>
      <c r="F953" s="15" t="str">
        <f>IFERROR(__xludf.DUMMYFUNCTION("""COMPUTED_VALUE"""),"SANTOS ARAUJO INDUSTRIA COMERCIO E REPRE")</f>
        <v>SANTOS ARAUJO INDUSTRIA COMERCIO E REPRE</v>
      </c>
      <c r="G953" s="15" t="str">
        <f>IFERROR(__xludf.DUMMYFUNCTION("""COMPUTED_VALUE"""),"266864504")</f>
        <v>266864504</v>
      </c>
      <c r="H953" s="15" t="str">
        <f>IFERROR(__xludf.DUMMYFUNCTION("""COMPUTED_VALUE"""),"3113")</f>
        <v>3113</v>
      </c>
      <c r="I953" s="15" t="str">
        <f>IFERROR(__xludf.DUMMYFUNCTION("""COMPUTED_VALUE"""),"0")</f>
        <v>0</v>
      </c>
      <c r="J953" s="15" t="str">
        <f>IFERROR(__xludf.DUMMYFUNCTION("""COMPUTED_VALUE"""),"CIF")</f>
        <v>CIF</v>
      </c>
      <c r="K953" s="15" t="str">
        <f>IFERROR(__xludf.DUMMYFUNCTION("""COMPUTED_VALUE"""),"(sem célula)")</f>
        <v>(sem célula)</v>
      </c>
      <c r="L953" s="15" t="str">
        <f>IFERROR(__xludf.DUMMYFUNCTION("""COMPUTED_VALUE"""),"SEM CT-E")</f>
        <v>SEM CT-E</v>
      </c>
      <c r="M953" s="15" t="str">
        <f>IFERROR(__xludf.DUMMYFUNCTION("""COMPUTED_VALUE"""),"NA ORIGEM")</f>
        <v>NA ORIGEM</v>
      </c>
      <c r="N953" s="15" t="str">
        <f>IFERROR(__xludf.DUMMYFUNCTION("""COMPUTED_VALUE"""),"Antes Prazo")</f>
        <v>Antes Prazo</v>
      </c>
      <c r="O953" s="15" t="str">
        <f>IFERROR(__xludf.DUMMYFUNCTION("""COMPUTED_VALUE"""),"(não informada)")</f>
        <v>(não informada)</v>
      </c>
      <c r="P953" s="16">
        <f>IFERROR(__xludf.DUMMYFUNCTION("""COMPUTED_VALUE"""),356.94)</f>
        <v>356.94</v>
      </c>
      <c r="Q953" s="15">
        <f>IFERROR(__xludf.DUMMYFUNCTION("""COMPUTED_VALUE"""),10.0)</f>
        <v>10</v>
      </c>
      <c r="R953" s="15" t="str">
        <f>IFERROR(__xludf.DUMMYFUNCTION("""COMPUTED_VALUE"""),"RODO")</f>
        <v>RODO</v>
      </c>
      <c r="S953" s="15" t="str">
        <f>IFERROR(__xludf.DUMMYFUNCTION("""COMPUTED_VALUE"""),"ITN")</f>
        <v>ITN</v>
      </c>
      <c r="T953" s="15" t="str">
        <f>IFERROR(__xludf.DUMMYFUNCTION("""COMPUTED_VALUE"""),"105")</f>
        <v>105</v>
      </c>
      <c r="U953" s="15" t="str">
        <f>IFERROR(__xludf.DUMMYFUNCTION("""COMPUTED_VALUE"""),"266864504 3113 0 jaco barbosa ferreira santos araujo industria comercio e repre mcz 105")</f>
        <v>266864504 3113 0 jaco barbosa ferreira santos araujo industria comercio e repre mcz 105</v>
      </c>
      <c r="V953" s="15" t="b">
        <f>IFERROR(__xludf.DUMMYFUNCTION("""COMPUTED_VALUE"""),FALSE)</f>
        <v>0</v>
      </c>
    </row>
    <row r="954">
      <c r="A954" s="19">
        <f>IFERROR(__xludf.DUMMYFUNCTION("""COMPUTED_VALUE"""),46305.0)</f>
        <v>46305</v>
      </c>
      <c r="B954" s="19">
        <f>IFERROR(__xludf.DUMMYFUNCTION("""COMPUTED_VALUE"""),46314.0)</f>
        <v>46314</v>
      </c>
      <c r="C954" s="15">
        <f>IFERROR(__xludf.DUMMYFUNCTION("""COMPUTED_VALUE"""),5.0)</f>
        <v>5</v>
      </c>
      <c r="D954" s="15" t="str">
        <f>IFERROR(__xludf.DUMMYFUNCTION("""COMPUTED_VALUE"""),"JDO")</f>
        <v>JDO</v>
      </c>
      <c r="E954" s="15" t="str">
        <f>IFERROR(__xludf.DUMMYFUNCTION("""COMPUTED_VALUE"""),"SUN SET APART HOTEL LTDA")</f>
        <v>SUN SET APART HOTEL LTDA</v>
      </c>
      <c r="F954" s="15" t="str">
        <f>IFERROR(__xludf.DUMMYFUNCTION("""COMPUTED_VALUE"""),"SANTOS ARAUJO INDUSTRIA COMERCIO E REPRE")</f>
        <v>SANTOS ARAUJO INDUSTRIA COMERCIO E REPRE</v>
      </c>
      <c r="G954" s="15" t="str">
        <f>IFERROR(__xludf.DUMMYFUNCTION("""COMPUTED_VALUE"""),"266864505")</f>
        <v>266864505</v>
      </c>
      <c r="H954" s="15" t="str">
        <f>IFERROR(__xludf.DUMMYFUNCTION("""COMPUTED_VALUE"""),"3114")</f>
        <v>3114</v>
      </c>
      <c r="I954" s="15" t="str">
        <f>IFERROR(__xludf.DUMMYFUNCTION("""COMPUTED_VALUE"""),"0")</f>
        <v>0</v>
      </c>
      <c r="J954" s="15" t="str">
        <f>IFERROR(__xludf.DUMMYFUNCTION("""COMPUTED_VALUE"""),"CIF")</f>
        <v>CIF</v>
      </c>
      <c r="K954" s="15" t="str">
        <f>IFERROR(__xludf.DUMMYFUNCTION("""COMPUTED_VALUE"""),"(sem célula)")</f>
        <v>(sem célula)</v>
      </c>
      <c r="L954" s="15" t="str">
        <f>IFERROR(__xludf.DUMMYFUNCTION("""COMPUTED_VALUE"""),"SEM CT-E")</f>
        <v>SEM CT-E</v>
      </c>
      <c r="M954" s="15" t="str">
        <f>IFERROR(__xludf.DUMMYFUNCTION("""COMPUTED_VALUE"""),"NA ORIGEM")</f>
        <v>NA ORIGEM</v>
      </c>
      <c r="N954" s="15" t="str">
        <f>IFERROR(__xludf.DUMMYFUNCTION("""COMPUTED_VALUE"""),"Antes Prazo")</f>
        <v>Antes Prazo</v>
      </c>
      <c r="O954" s="15" t="str">
        <f>IFERROR(__xludf.DUMMYFUNCTION("""COMPUTED_VALUE"""),"(não informada)")</f>
        <v>(não informada)</v>
      </c>
      <c r="P954" s="16">
        <f>IFERROR(__xludf.DUMMYFUNCTION("""COMPUTED_VALUE"""),353.07)</f>
        <v>353.07</v>
      </c>
      <c r="Q954" s="15">
        <f>IFERROR(__xludf.DUMMYFUNCTION("""COMPUTED_VALUE"""),12.0)</f>
        <v>12</v>
      </c>
      <c r="R954" s="15" t="str">
        <f>IFERROR(__xludf.DUMMYFUNCTION("""COMPUTED_VALUE"""),"RODO")</f>
        <v>RODO</v>
      </c>
      <c r="S954" s="15" t="str">
        <f>IFERROR(__xludf.DUMMYFUNCTION("""COMPUTED_VALUE"""),"ITN")</f>
        <v>ITN</v>
      </c>
      <c r="T954" s="15" t="str">
        <f>IFERROR(__xludf.DUMMYFUNCTION("""COMPUTED_VALUE"""),"4")</f>
        <v>4</v>
      </c>
      <c r="U954" s="15" t="str">
        <f>IFERROR(__xludf.DUMMYFUNCTION("""COMPUTED_VALUE"""),"266864505 3114 0 sun set apart hotel ltda santos araujo industria comercio e repre jdo 4")</f>
        <v>266864505 3114 0 sun set apart hotel ltda santos araujo industria comercio e repre jdo 4</v>
      </c>
      <c r="V954" s="15" t="b">
        <f>IFERROR(__xludf.DUMMYFUNCTION("""COMPUTED_VALUE"""),FALSE)</f>
        <v>0</v>
      </c>
    </row>
    <row r="955">
      <c r="A955" s="19"/>
      <c r="B955" s="19"/>
      <c r="P955" s="16"/>
    </row>
    <row r="956">
      <c r="A956" s="19"/>
      <c r="B956" s="19"/>
      <c r="P956" s="16"/>
    </row>
    <row r="957">
      <c r="A957" s="19"/>
      <c r="B957" s="19"/>
      <c r="P957" s="16"/>
    </row>
    <row r="958">
      <c r="A958" s="19"/>
      <c r="B958" s="19"/>
      <c r="P958" s="16"/>
    </row>
    <row r="959">
      <c r="A959" s="19"/>
      <c r="B959" s="19"/>
      <c r="P959" s="16"/>
    </row>
    <row r="960">
      <c r="A960" s="19"/>
      <c r="B960" s="19"/>
      <c r="P960" s="16"/>
    </row>
    <row r="961">
      <c r="A961" s="19"/>
      <c r="B961" s="19"/>
      <c r="P961" s="16"/>
    </row>
    <row r="962">
      <c r="A962" s="19"/>
      <c r="B962" s="19"/>
      <c r="P962" s="16"/>
    </row>
    <row r="963">
      <c r="A963" s="19"/>
      <c r="B963" s="19"/>
      <c r="P963" s="16"/>
    </row>
    <row r="964">
      <c r="A964" s="19"/>
      <c r="B964" s="19"/>
      <c r="P964" s="16"/>
    </row>
    <row r="965">
      <c r="A965" s="19"/>
      <c r="B965" s="19"/>
      <c r="P965" s="16"/>
    </row>
    <row r="966">
      <c r="A966" s="19"/>
      <c r="B966" s="19"/>
      <c r="P966" s="16"/>
    </row>
    <row r="967">
      <c r="A967" s="19"/>
      <c r="B967" s="19"/>
      <c r="P967" s="16"/>
    </row>
    <row r="968">
      <c r="A968" s="19"/>
      <c r="B968" s="19"/>
      <c r="P968" s="16"/>
    </row>
    <row r="969">
      <c r="A969" s="19"/>
      <c r="B969" s="19"/>
      <c r="P969" s="16"/>
    </row>
    <row r="970">
      <c r="A970" s="19"/>
      <c r="B970" s="19"/>
      <c r="P970" s="16"/>
    </row>
    <row r="971">
      <c r="A971" s="19"/>
      <c r="B971" s="19"/>
      <c r="P971" s="16"/>
    </row>
    <row r="972">
      <c r="A972" s="19"/>
      <c r="B972" s="19"/>
      <c r="P972" s="16"/>
    </row>
    <row r="973">
      <c r="A973" s="19"/>
      <c r="B973" s="19"/>
      <c r="P973" s="16"/>
    </row>
    <row r="974">
      <c r="A974" s="19"/>
      <c r="B974" s="19"/>
      <c r="P974" s="16"/>
    </row>
    <row r="975">
      <c r="A975" s="19"/>
      <c r="B975" s="19"/>
      <c r="P975" s="16"/>
    </row>
    <row r="976">
      <c r="A976" s="19"/>
      <c r="B976" s="19"/>
      <c r="P976" s="16"/>
    </row>
    <row r="977">
      <c r="A977" s="19"/>
      <c r="B977" s="19"/>
      <c r="P977" s="16"/>
    </row>
    <row r="978">
      <c r="A978" s="19"/>
      <c r="B978" s="19"/>
      <c r="P978" s="16"/>
    </row>
    <row r="979">
      <c r="A979" s="19"/>
      <c r="B979" s="19"/>
      <c r="P979" s="16"/>
    </row>
    <row r="980">
      <c r="A980" s="19"/>
      <c r="B980" s="19"/>
      <c r="P980" s="16"/>
    </row>
    <row r="981">
      <c r="A981" s="19"/>
      <c r="B981" s="19"/>
      <c r="P981" s="16"/>
    </row>
    <row r="982">
      <c r="A982" s="19"/>
      <c r="B982" s="19"/>
      <c r="P982" s="16"/>
    </row>
    <row r="983">
      <c r="A983" s="19"/>
      <c r="B983" s="19"/>
      <c r="P983" s="16"/>
    </row>
    <row r="984">
      <c r="A984" s="19"/>
      <c r="B984" s="19"/>
      <c r="P984" s="16"/>
    </row>
    <row r="985">
      <c r="A985" s="19"/>
      <c r="B985" s="19"/>
      <c r="P985" s="16"/>
    </row>
    <row r="986">
      <c r="A986" s="19"/>
      <c r="B986" s="19"/>
      <c r="P986" s="16"/>
    </row>
    <row r="987">
      <c r="A987" s="19"/>
      <c r="B987" s="19"/>
      <c r="P987" s="16"/>
    </row>
    <row r="988">
      <c r="A988" s="19"/>
      <c r="B988" s="19"/>
      <c r="P988" s="16"/>
    </row>
    <row r="989">
      <c r="A989" s="19"/>
      <c r="B989" s="19"/>
      <c r="P989" s="16"/>
    </row>
    <row r="990">
      <c r="A990" s="19"/>
      <c r="B990" s="19"/>
      <c r="P990" s="16"/>
    </row>
    <row r="991">
      <c r="A991" s="19"/>
      <c r="B991" s="19"/>
      <c r="P991" s="16"/>
    </row>
    <row r="992">
      <c r="A992" s="19"/>
      <c r="B992" s="19"/>
      <c r="P992" s="16"/>
    </row>
    <row r="993">
      <c r="A993" s="19"/>
      <c r="B993" s="19"/>
      <c r="P993" s="16"/>
    </row>
    <row r="994">
      <c r="A994" s="19"/>
      <c r="B994" s="19"/>
      <c r="P994" s="16"/>
    </row>
    <row r="995">
      <c r="A995" s="19"/>
      <c r="B995" s="19"/>
      <c r="P995" s="16"/>
    </row>
    <row r="996">
      <c r="A996" s="19"/>
      <c r="B996" s="19"/>
      <c r="P996" s="16"/>
    </row>
    <row r="997">
      <c r="A997" s="19"/>
      <c r="B997" s="19"/>
      <c r="P997" s="16"/>
    </row>
    <row r="998">
      <c r="A998" s="19"/>
      <c r="B998" s="19"/>
      <c r="P998" s="16"/>
    </row>
    <row r="999">
      <c r="A999" s="19"/>
      <c r="B999" s="19"/>
      <c r="P999" s="16"/>
    </row>
    <row r="1000">
      <c r="A1000" s="19"/>
      <c r="B1000" s="19"/>
      <c r="P1000" s="16"/>
    </row>
    <row r="1001">
      <c r="A1001" s="19"/>
      <c r="B1001" s="19"/>
      <c r="P1001" s="16"/>
    </row>
    <row r="1002">
      <c r="A1002" s="19"/>
      <c r="B1002" s="19"/>
      <c r="P1002" s="16"/>
    </row>
    <row r="1003">
      <c r="A1003" s="19"/>
      <c r="B1003" s="19"/>
      <c r="P1003" s="16"/>
    </row>
    <row r="1004">
      <c r="A1004" s="19"/>
      <c r="B1004" s="19"/>
      <c r="P1004" s="16"/>
    </row>
    <row r="1005">
      <c r="A1005" s="19"/>
      <c r="B1005" s="19"/>
      <c r="P1005" s="16"/>
    </row>
    <row r="1006">
      <c r="A1006" s="19"/>
      <c r="B1006" s="19"/>
      <c r="P1006" s="16"/>
    </row>
    <row r="1007">
      <c r="A1007" s="19"/>
      <c r="B1007" s="19"/>
      <c r="P1007" s="16"/>
    </row>
    <row r="1008">
      <c r="A1008" s="19"/>
      <c r="B1008" s="19"/>
      <c r="P1008" s="16"/>
    </row>
    <row r="1009">
      <c r="A1009" s="19"/>
      <c r="B1009" s="19"/>
      <c r="P1009" s="16"/>
    </row>
    <row r="1010">
      <c r="A1010" s="19"/>
      <c r="B1010" s="19"/>
      <c r="P1010" s="16"/>
    </row>
    <row r="1011">
      <c r="A1011" s="19"/>
      <c r="B1011" s="19"/>
      <c r="P1011" s="16"/>
    </row>
    <row r="1012">
      <c r="A1012" s="19"/>
      <c r="B1012" s="19"/>
      <c r="P1012" s="16"/>
    </row>
    <row r="1013">
      <c r="A1013" s="19"/>
      <c r="B1013" s="19"/>
      <c r="P1013" s="16"/>
    </row>
    <row r="1014">
      <c r="A1014" s="19"/>
      <c r="B1014" s="19"/>
      <c r="P1014" s="16"/>
    </row>
    <row r="1015">
      <c r="A1015" s="19"/>
      <c r="B1015" s="19"/>
      <c r="P1015" s="16"/>
    </row>
    <row r="1016">
      <c r="A1016" s="19"/>
      <c r="B1016" s="19"/>
      <c r="P1016" s="16"/>
    </row>
    <row r="1017">
      <c r="A1017" s="19"/>
      <c r="B1017" s="19"/>
      <c r="P1017" s="16"/>
    </row>
    <row r="1018">
      <c r="A1018" s="19"/>
      <c r="B1018" s="19"/>
      <c r="P1018" s="16"/>
    </row>
    <row r="1019">
      <c r="A1019" s="19"/>
      <c r="B1019" s="19"/>
      <c r="P1019" s="16"/>
    </row>
    <row r="1020">
      <c r="A1020" s="19"/>
      <c r="B1020" s="19"/>
      <c r="P1020" s="16"/>
    </row>
    <row r="1021">
      <c r="A1021" s="19"/>
      <c r="B1021" s="19"/>
      <c r="P1021" s="16"/>
    </row>
    <row r="1022">
      <c r="A1022" s="19"/>
      <c r="B1022" s="19"/>
      <c r="P1022" s="16"/>
    </row>
    <row r="1023">
      <c r="A1023" s="19"/>
      <c r="B1023" s="19"/>
      <c r="P1023" s="16"/>
    </row>
    <row r="1024">
      <c r="A1024" s="19"/>
      <c r="B1024" s="19"/>
      <c r="P1024" s="16"/>
    </row>
    <row r="1025">
      <c r="A1025" s="19"/>
      <c r="B1025" s="19"/>
      <c r="P1025" s="16"/>
    </row>
    <row r="1026">
      <c r="A1026" s="19"/>
      <c r="B1026" s="19"/>
      <c r="P1026" s="16"/>
    </row>
    <row r="1027">
      <c r="A1027" s="19"/>
      <c r="B1027" s="19"/>
      <c r="P1027" s="16"/>
    </row>
    <row r="1028">
      <c r="A1028" s="19"/>
      <c r="B1028" s="19"/>
      <c r="P1028" s="16"/>
    </row>
    <row r="1029">
      <c r="A1029" s="19"/>
      <c r="B1029" s="19"/>
      <c r="P1029" s="16"/>
    </row>
    <row r="1030">
      <c r="A1030" s="19"/>
      <c r="B1030" s="19"/>
      <c r="P1030" s="16"/>
    </row>
    <row r="1031">
      <c r="A1031" s="19"/>
      <c r="B1031" s="19"/>
      <c r="P1031" s="16"/>
    </row>
    <row r="1032">
      <c r="A1032" s="19"/>
      <c r="B1032" s="19"/>
      <c r="P1032" s="16"/>
    </row>
    <row r="1033">
      <c r="A1033" s="19"/>
      <c r="B1033" s="19"/>
      <c r="P1033" s="16"/>
    </row>
    <row r="1034">
      <c r="A1034" s="19"/>
      <c r="B1034" s="19"/>
      <c r="P1034" s="16"/>
    </row>
    <row r="1035">
      <c r="A1035" s="19"/>
      <c r="B1035" s="19"/>
      <c r="P1035" s="16"/>
    </row>
    <row r="1036">
      <c r="A1036" s="19"/>
      <c r="B1036" s="19"/>
      <c r="P1036" s="16"/>
    </row>
    <row r="1037">
      <c r="A1037" s="19"/>
      <c r="B1037" s="19"/>
      <c r="P1037" s="16"/>
    </row>
    <row r="1038">
      <c r="A1038" s="19"/>
      <c r="B1038" s="19"/>
      <c r="P1038" s="16"/>
    </row>
    <row r="1039">
      <c r="A1039" s="19"/>
      <c r="B1039" s="19"/>
      <c r="P1039" s="16"/>
    </row>
    <row r="1040">
      <c r="A1040" s="19"/>
      <c r="B1040" s="19"/>
      <c r="P1040" s="16"/>
    </row>
    <row r="1041">
      <c r="A1041" s="19"/>
      <c r="B1041" s="19"/>
      <c r="P1041" s="16"/>
    </row>
    <row r="1042">
      <c r="A1042" s="19"/>
      <c r="B1042" s="19"/>
      <c r="P1042" s="16"/>
    </row>
    <row r="1043">
      <c r="A1043" s="19"/>
      <c r="B1043" s="19"/>
      <c r="P1043" s="16"/>
    </row>
    <row r="1044">
      <c r="A1044" s="19"/>
      <c r="B1044" s="19"/>
      <c r="P1044" s="16"/>
    </row>
    <row r="1045">
      <c r="A1045" s="19"/>
      <c r="B1045" s="19"/>
      <c r="P1045" s="16"/>
    </row>
    <row r="1046">
      <c r="A1046" s="19"/>
      <c r="B1046" s="19"/>
      <c r="P1046" s="16"/>
    </row>
    <row r="1047">
      <c r="A1047" s="19"/>
      <c r="B1047" s="19"/>
      <c r="P1047" s="16"/>
    </row>
    <row r="1048">
      <c r="A1048" s="19"/>
      <c r="B1048" s="19"/>
      <c r="P1048" s="16"/>
    </row>
    <row r="1049">
      <c r="A1049" s="19"/>
      <c r="B1049" s="19"/>
      <c r="P1049" s="16"/>
    </row>
    <row r="1050">
      <c r="A1050" s="19"/>
      <c r="B1050" s="19"/>
      <c r="P1050" s="16"/>
    </row>
    <row r="1051">
      <c r="A1051" s="19"/>
      <c r="B1051" s="19"/>
      <c r="P1051" s="16"/>
    </row>
    <row r="1052">
      <c r="A1052" s="19"/>
      <c r="B1052" s="19"/>
      <c r="P1052" s="16"/>
    </row>
    <row r="1053">
      <c r="A1053" s="19"/>
      <c r="B1053" s="19"/>
      <c r="P1053" s="16"/>
    </row>
    <row r="1054">
      <c r="A1054" s="19"/>
      <c r="B1054" s="19"/>
      <c r="P1054" s="16"/>
    </row>
    <row r="1055">
      <c r="A1055" s="19"/>
      <c r="B1055" s="19"/>
      <c r="P1055" s="16"/>
    </row>
    <row r="1056">
      <c r="A1056" s="19"/>
      <c r="B1056" s="19"/>
      <c r="P1056" s="16"/>
    </row>
    <row r="1057">
      <c r="A1057" s="19"/>
      <c r="B1057" s="19"/>
      <c r="P1057" s="16"/>
    </row>
    <row r="1058">
      <c r="A1058" s="19"/>
      <c r="B1058" s="19"/>
      <c r="P1058" s="16"/>
    </row>
    <row r="1059">
      <c r="A1059" s="19"/>
      <c r="B1059" s="19"/>
      <c r="P1059" s="16"/>
    </row>
    <row r="1060">
      <c r="A1060" s="19"/>
      <c r="B1060" s="19"/>
      <c r="P1060" s="16"/>
    </row>
    <row r="1061">
      <c r="A1061" s="19"/>
      <c r="B1061" s="19"/>
      <c r="P1061" s="16"/>
    </row>
    <row r="1062">
      <c r="A1062" s="19"/>
      <c r="B1062" s="19"/>
      <c r="P1062" s="16"/>
    </row>
    <row r="1063">
      <c r="A1063" s="19"/>
      <c r="B1063" s="19"/>
      <c r="P1063" s="16"/>
    </row>
    <row r="1064">
      <c r="A1064" s="19"/>
      <c r="B1064" s="19"/>
      <c r="P1064" s="16"/>
    </row>
    <row r="1065">
      <c r="A1065" s="19"/>
      <c r="B1065" s="19"/>
      <c r="P1065" s="16"/>
    </row>
    <row r="1066">
      <c r="A1066" s="19"/>
      <c r="B1066" s="19"/>
      <c r="P1066" s="16"/>
    </row>
    <row r="1067">
      <c r="A1067" s="19"/>
      <c r="B1067" s="19"/>
      <c r="P1067" s="16"/>
    </row>
    <row r="1068">
      <c r="A1068" s="19"/>
      <c r="B1068" s="19"/>
      <c r="P1068" s="16"/>
    </row>
    <row r="1069">
      <c r="A1069" s="19"/>
      <c r="B1069" s="19"/>
      <c r="P1069" s="16"/>
    </row>
    <row r="1070">
      <c r="A1070" s="19"/>
      <c r="B1070" s="19"/>
      <c r="P1070" s="16"/>
    </row>
    <row r="1071">
      <c r="A1071" s="19"/>
      <c r="B1071" s="19"/>
      <c r="P1071" s="16"/>
    </row>
    <row r="1072">
      <c r="A1072" s="19"/>
      <c r="B1072" s="19"/>
      <c r="P1072" s="16"/>
    </row>
    <row r="1073">
      <c r="A1073" s="19"/>
      <c r="B1073" s="19"/>
      <c r="P1073" s="16"/>
    </row>
    <row r="1074">
      <c r="A1074" s="19"/>
      <c r="B1074" s="19"/>
      <c r="P1074" s="16"/>
    </row>
    <row r="1075">
      <c r="A1075" s="19"/>
      <c r="B1075" s="19"/>
      <c r="P1075" s="16"/>
    </row>
    <row r="1076">
      <c r="A1076" s="19"/>
      <c r="B1076" s="19"/>
      <c r="P1076" s="16"/>
    </row>
    <row r="1077">
      <c r="A1077" s="19"/>
      <c r="B1077" s="19"/>
      <c r="P1077" s="16"/>
    </row>
    <row r="1078">
      <c r="A1078" s="19"/>
      <c r="B1078" s="19"/>
      <c r="P1078" s="16"/>
    </row>
    <row r="1079">
      <c r="A1079" s="19"/>
      <c r="B1079" s="19"/>
      <c r="P1079" s="16"/>
    </row>
    <row r="1080">
      <c r="A1080" s="19"/>
      <c r="B1080" s="19"/>
      <c r="P1080" s="16"/>
    </row>
    <row r="1081">
      <c r="A1081" s="19"/>
      <c r="B1081" s="19"/>
      <c r="P1081" s="16"/>
    </row>
    <row r="1082">
      <c r="A1082" s="19"/>
      <c r="B1082" s="19"/>
      <c r="P1082" s="16"/>
    </row>
    <row r="1083">
      <c r="A1083" s="19"/>
      <c r="B1083" s="19"/>
      <c r="P1083" s="16"/>
    </row>
    <row r="1084">
      <c r="A1084" s="19"/>
      <c r="B1084" s="19"/>
      <c r="P1084" s="16"/>
    </row>
    <row r="1085">
      <c r="A1085" s="19"/>
      <c r="B1085" s="19"/>
      <c r="P1085" s="16"/>
    </row>
    <row r="1086">
      <c r="A1086" s="19"/>
      <c r="B1086" s="19"/>
      <c r="P1086" s="16"/>
    </row>
    <row r="1087">
      <c r="A1087" s="19"/>
      <c r="B1087" s="19"/>
      <c r="P1087" s="16"/>
    </row>
    <row r="1088">
      <c r="A1088" s="19"/>
      <c r="B1088" s="19"/>
      <c r="P1088" s="16"/>
    </row>
    <row r="1089">
      <c r="A1089" s="19"/>
      <c r="B1089" s="19"/>
      <c r="P1089" s="16"/>
    </row>
    <row r="1090">
      <c r="A1090" s="19"/>
      <c r="B1090" s="19"/>
      <c r="P1090" s="16"/>
    </row>
    <row r="1091">
      <c r="A1091" s="19"/>
      <c r="B1091" s="19"/>
      <c r="P1091" s="16"/>
    </row>
    <row r="1092">
      <c r="A1092" s="19"/>
      <c r="B1092" s="19"/>
      <c r="P1092" s="16"/>
    </row>
    <row r="1093">
      <c r="A1093" s="19"/>
      <c r="B1093" s="19"/>
      <c r="P1093" s="16"/>
    </row>
    <row r="1094">
      <c r="A1094" s="19"/>
      <c r="B1094" s="19"/>
      <c r="P1094" s="16"/>
    </row>
    <row r="1095">
      <c r="A1095" s="19"/>
      <c r="B1095" s="19"/>
      <c r="P1095" s="16"/>
    </row>
    <row r="1096">
      <c r="A1096" s="19"/>
      <c r="B1096" s="19"/>
      <c r="P1096" s="16"/>
    </row>
    <row r="1097">
      <c r="A1097" s="19"/>
      <c r="B1097" s="19"/>
      <c r="P1097" s="16"/>
    </row>
    <row r="1098">
      <c r="A1098" s="19"/>
      <c r="B1098" s="19"/>
      <c r="P1098" s="16"/>
    </row>
    <row r="1099">
      <c r="A1099" s="19"/>
      <c r="B1099" s="19"/>
      <c r="P1099" s="16"/>
    </row>
    <row r="1100">
      <c r="A1100" s="19"/>
      <c r="B1100" s="19"/>
      <c r="P1100" s="16"/>
    </row>
    <row r="1101">
      <c r="A1101" s="19"/>
      <c r="B1101" s="19"/>
      <c r="P1101" s="16"/>
    </row>
    <row r="1102">
      <c r="A1102" s="19"/>
      <c r="B1102" s="19"/>
      <c r="P1102" s="16"/>
    </row>
    <row r="1103">
      <c r="A1103" s="19"/>
      <c r="B1103" s="19"/>
      <c r="P1103" s="16"/>
    </row>
    <row r="1104">
      <c r="A1104" s="19"/>
      <c r="B1104" s="19"/>
      <c r="P1104" s="16"/>
    </row>
    <row r="1105">
      <c r="A1105" s="19"/>
      <c r="B1105" s="19"/>
      <c r="P1105" s="16"/>
    </row>
    <row r="1106">
      <c r="A1106" s="19"/>
      <c r="B1106" s="19"/>
      <c r="P1106" s="16"/>
    </row>
    <row r="1107">
      <c r="A1107" s="19"/>
      <c r="B1107" s="19"/>
      <c r="P1107" s="16"/>
    </row>
    <row r="1108">
      <c r="A1108" s="19"/>
      <c r="B1108" s="19"/>
      <c r="P1108" s="16"/>
    </row>
    <row r="1109">
      <c r="A1109" s="19"/>
      <c r="B1109" s="19"/>
      <c r="P1109" s="16"/>
    </row>
    <row r="1110">
      <c r="A1110" s="19"/>
      <c r="B1110" s="19"/>
      <c r="P1110" s="16"/>
    </row>
    <row r="1111">
      <c r="A1111" s="19"/>
      <c r="B1111" s="19"/>
      <c r="P1111" s="16"/>
    </row>
    <row r="1112">
      <c r="A1112" s="19"/>
      <c r="B1112" s="19"/>
      <c r="P1112" s="16"/>
    </row>
    <row r="1113">
      <c r="A1113" s="19"/>
      <c r="B1113" s="19"/>
      <c r="P1113" s="16"/>
    </row>
    <row r="1114">
      <c r="A1114" s="19"/>
      <c r="B1114" s="19"/>
      <c r="P1114" s="16"/>
    </row>
    <row r="1115">
      <c r="A1115" s="19"/>
      <c r="B1115" s="19"/>
      <c r="P1115" s="16"/>
    </row>
    <row r="1116">
      <c r="A1116" s="19"/>
      <c r="B1116" s="19"/>
      <c r="P1116" s="16"/>
    </row>
    <row r="1117">
      <c r="A1117" s="19"/>
      <c r="B1117" s="19"/>
      <c r="P1117" s="16"/>
    </row>
    <row r="1118">
      <c r="A1118" s="19"/>
      <c r="B1118" s="19"/>
      <c r="P1118" s="16"/>
    </row>
    <row r="1119">
      <c r="A1119" s="19"/>
      <c r="B1119" s="19"/>
      <c r="P1119" s="16"/>
    </row>
    <row r="1120">
      <c r="A1120" s="19"/>
      <c r="B1120" s="19"/>
      <c r="P1120" s="16"/>
    </row>
    <row r="1121">
      <c r="A1121" s="19"/>
      <c r="B1121" s="19"/>
      <c r="P1121" s="16"/>
    </row>
    <row r="1122">
      <c r="A1122" s="19"/>
      <c r="B1122" s="19"/>
      <c r="P1122" s="16"/>
    </row>
    <row r="1123">
      <c r="A1123" s="19"/>
      <c r="B1123" s="19"/>
      <c r="P1123" s="16"/>
    </row>
    <row r="1124">
      <c r="A1124" s="19"/>
      <c r="B1124" s="19"/>
      <c r="P1124" s="16"/>
    </row>
    <row r="1125">
      <c r="A1125" s="19"/>
      <c r="B1125" s="19"/>
      <c r="P1125" s="16"/>
    </row>
    <row r="1126">
      <c r="A1126" s="19"/>
      <c r="B1126" s="19"/>
      <c r="P1126" s="16"/>
    </row>
    <row r="1127">
      <c r="A1127" s="19"/>
      <c r="B1127" s="19"/>
      <c r="P1127" s="16"/>
    </row>
    <row r="1128">
      <c r="A1128" s="19"/>
      <c r="B1128" s="19"/>
      <c r="P1128" s="16"/>
    </row>
    <row r="1129">
      <c r="A1129" s="19"/>
      <c r="B1129" s="19"/>
      <c r="P1129" s="16"/>
    </row>
    <row r="1130">
      <c r="A1130" s="19"/>
      <c r="B1130" s="19"/>
      <c r="P1130" s="16"/>
    </row>
    <row r="1131">
      <c r="A1131" s="19"/>
      <c r="B1131" s="19"/>
      <c r="P1131" s="16"/>
    </row>
    <row r="1132">
      <c r="A1132" s="19"/>
      <c r="B1132" s="19"/>
      <c r="P1132" s="16"/>
    </row>
    <row r="1133">
      <c r="A1133" s="19"/>
      <c r="B1133" s="19"/>
      <c r="P1133" s="16"/>
    </row>
    <row r="1134">
      <c r="A1134" s="19"/>
      <c r="B1134" s="19"/>
      <c r="P1134" s="16"/>
    </row>
    <row r="1135">
      <c r="A1135" s="19"/>
      <c r="B1135" s="19"/>
      <c r="P1135" s="16"/>
    </row>
    <row r="1136">
      <c r="A1136" s="19"/>
      <c r="B1136" s="19"/>
      <c r="P1136" s="16"/>
    </row>
    <row r="1137">
      <c r="A1137" s="19"/>
      <c r="B1137" s="19"/>
      <c r="P1137" s="16"/>
    </row>
    <row r="1138">
      <c r="A1138" s="19"/>
      <c r="B1138" s="19"/>
      <c r="P1138" s="16"/>
    </row>
    <row r="1139">
      <c r="A1139" s="19"/>
      <c r="B1139" s="19"/>
      <c r="P1139" s="16"/>
    </row>
    <row r="1140">
      <c r="A1140" s="19"/>
      <c r="B1140" s="19"/>
      <c r="P1140" s="16"/>
    </row>
    <row r="1141">
      <c r="A1141" s="19"/>
      <c r="B1141" s="19"/>
      <c r="P1141" s="16"/>
    </row>
    <row r="1142">
      <c r="A1142" s="19"/>
      <c r="B1142" s="19"/>
      <c r="P1142" s="16"/>
    </row>
    <row r="1143">
      <c r="A1143" s="19"/>
      <c r="B1143" s="19"/>
      <c r="P1143" s="16"/>
    </row>
    <row r="1144">
      <c r="A1144" s="19"/>
      <c r="B1144" s="19"/>
      <c r="P1144" s="16"/>
    </row>
    <row r="1145">
      <c r="A1145" s="19"/>
      <c r="B1145" s="19"/>
      <c r="P1145" s="16"/>
    </row>
    <row r="1146">
      <c r="A1146" s="19"/>
      <c r="B1146" s="19"/>
      <c r="P1146" s="16"/>
    </row>
    <row r="1147">
      <c r="A1147" s="19"/>
      <c r="B1147" s="19"/>
      <c r="P1147" s="16"/>
    </row>
    <row r="1148">
      <c r="A1148" s="19"/>
      <c r="B1148" s="19"/>
      <c r="P1148" s="16"/>
    </row>
    <row r="1149">
      <c r="A1149" s="19"/>
      <c r="B1149" s="19"/>
      <c r="P1149" s="16"/>
    </row>
    <row r="1150">
      <c r="A1150" s="19"/>
      <c r="B1150" s="19"/>
      <c r="P1150" s="16"/>
    </row>
    <row r="1151">
      <c r="A1151" s="19"/>
      <c r="B1151" s="19"/>
      <c r="P1151" s="16"/>
    </row>
    <row r="1152">
      <c r="A1152" s="19"/>
      <c r="B1152" s="19"/>
      <c r="P1152" s="16"/>
    </row>
    <row r="1153">
      <c r="A1153" s="19"/>
      <c r="B1153" s="19"/>
      <c r="P1153" s="16"/>
    </row>
    <row r="1154">
      <c r="A1154" s="19"/>
      <c r="B1154" s="19"/>
      <c r="P1154" s="16"/>
    </row>
    <row r="1155">
      <c r="A1155" s="19"/>
      <c r="B1155" s="19"/>
      <c r="P1155" s="16"/>
    </row>
    <row r="1156">
      <c r="A1156" s="19"/>
      <c r="B1156" s="19"/>
      <c r="P1156" s="16"/>
    </row>
    <row r="1157">
      <c r="A1157" s="19"/>
      <c r="B1157" s="19"/>
      <c r="P1157" s="16"/>
    </row>
    <row r="1158">
      <c r="A1158" s="19"/>
      <c r="B1158" s="19"/>
      <c r="P1158" s="16"/>
    </row>
    <row r="1159">
      <c r="A1159" s="19"/>
      <c r="B1159" s="19"/>
      <c r="P1159" s="16"/>
    </row>
    <row r="1160">
      <c r="A1160" s="19"/>
      <c r="B1160" s="19"/>
      <c r="P1160" s="16"/>
    </row>
    <row r="1161">
      <c r="A1161" s="19"/>
      <c r="B1161" s="19"/>
      <c r="P1161" s="16"/>
    </row>
    <row r="1162">
      <c r="A1162" s="19"/>
      <c r="B1162" s="19"/>
      <c r="P1162" s="16"/>
    </row>
    <row r="1163">
      <c r="A1163" s="19"/>
      <c r="B1163" s="19"/>
      <c r="P1163" s="16"/>
    </row>
    <row r="1164">
      <c r="A1164" s="19"/>
      <c r="B1164" s="19"/>
      <c r="P1164" s="16"/>
    </row>
    <row r="1165">
      <c r="A1165" s="19"/>
      <c r="B1165" s="19"/>
      <c r="P1165" s="16"/>
    </row>
    <row r="1166">
      <c r="A1166" s="19"/>
      <c r="B1166" s="19"/>
      <c r="P1166" s="16"/>
    </row>
    <row r="1167">
      <c r="A1167" s="19"/>
      <c r="B1167" s="19"/>
      <c r="P1167" s="16"/>
    </row>
    <row r="1168">
      <c r="A1168" s="19"/>
      <c r="B1168" s="19"/>
      <c r="P1168" s="16"/>
    </row>
    <row r="1169">
      <c r="A1169" s="19"/>
      <c r="B1169" s="19"/>
      <c r="P1169" s="16"/>
    </row>
    <row r="1170">
      <c r="A1170" s="19"/>
      <c r="B1170" s="19"/>
      <c r="P1170" s="16"/>
    </row>
    <row r="1171">
      <c r="A1171" s="19"/>
      <c r="B1171" s="19"/>
      <c r="P1171" s="16"/>
    </row>
    <row r="1172">
      <c r="A1172" s="19"/>
      <c r="B1172" s="19"/>
      <c r="P1172" s="16"/>
    </row>
    <row r="1173">
      <c r="A1173" s="19"/>
      <c r="B1173" s="19"/>
      <c r="P1173" s="16"/>
    </row>
    <row r="1174">
      <c r="A1174" s="19"/>
      <c r="B1174" s="19"/>
      <c r="P1174" s="16"/>
    </row>
    <row r="1175">
      <c r="A1175" s="19"/>
      <c r="B1175" s="19"/>
      <c r="P1175" s="16"/>
    </row>
    <row r="1176">
      <c r="A1176" s="19"/>
      <c r="B1176" s="19"/>
      <c r="P1176" s="16"/>
    </row>
    <row r="1177">
      <c r="A1177" s="19"/>
      <c r="B1177" s="19"/>
      <c r="P1177" s="16"/>
    </row>
    <row r="1178">
      <c r="A1178" s="19"/>
      <c r="B1178" s="19"/>
      <c r="P1178" s="16"/>
    </row>
    <row r="1179">
      <c r="A1179" s="19"/>
      <c r="B1179" s="19"/>
      <c r="P1179" s="16"/>
    </row>
    <row r="1180">
      <c r="A1180" s="19"/>
      <c r="B1180" s="19"/>
      <c r="P1180" s="16"/>
    </row>
    <row r="1181">
      <c r="A1181" s="19"/>
      <c r="B1181" s="19"/>
      <c r="P1181" s="16"/>
    </row>
    <row r="1182">
      <c r="A1182" s="19"/>
      <c r="B1182" s="19"/>
      <c r="P1182" s="16"/>
    </row>
    <row r="1183">
      <c r="A1183" s="19"/>
      <c r="B1183" s="19"/>
      <c r="P1183" s="16"/>
    </row>
    <row r="1184">
      <c r="A1184" s="19"/>
      <c r="B1184" s="19"/>
      <c r="P1184" s="16"/>
    </row>
    <row r="1185">
      <c r="A1185" s="19"/>
      <c r="B1185" s="19"/>
      <c r="P1185" s="16"/>
    </row>
    <row r="1186">
      <c r="A1186" s="19"/>
      <c r="B1186" s="19"/>
      <c r="P1186" s="16"/>
    </row>
    <row r="1187">
      <c r="A1187" s="19"/>
      <c r="B1187" s="19"/>
      <c r="P1187" s="16"/>
    </row>
    <row r="1188">
      <c r="A1188" s="19"/>
      <c r="B1188" s="19"/>
      <c r="P1188" s="16"/>
    </row>
    <row r="1189">
      <c r="A1189" s="19"/>
      <c r="B1189" s="19"/>
      <c r="P1189" s="16"/>
    </row>
    <row r="1190">
      <c r="A1190" s="19"/>
      <c r="B1190" s="19"/>
      <c r="P1190" s="16"/>
    </row>
    <row r="1191">
      <c r="A1191" s="19"/>
      <c r="B1191" s="19"/>
      <c r="P1191" s="16"/>
    </row>
    <row r="1192">
      <c r="A1192" s="19"/>
      <c r="B1192" s="19"/>
      <c r="P1192" s="16"/>
    </row>
    <row r="1193">
      <c r="A1193" s="19"/>
      <c r="B1193" s="19"/>
      <c r="P1193" s="16"/>
    </row>
    <row r="1194">
      <c r="A1194" s="19"/>
      <c r="B1194" s="19"/>
      <c r="P1194" s="16"/>
    </row>
    <row r="1195">
      <c r="A1195" s="19"/>
      <c r="B1195" s="19"/>
      <c r="P1195" s="16"/>
    </row>
    <row r="1196">
      <c r="A1196" s="19"/>
      <c r="B1196" s="19"/>
      <c r="P1196" s="16"/>
    </row>
    <row r="1197">
      <c r="A1197" s="19"/>
      <c r="B1197" s="19"/>
      <c r="P1197" s="16"/>
    </row>
    <row r="1198">
      <c r="A1198" s="19"/>
      <c r="B1198" s="19"/>
      <c r="P1198" s="16"/>
    </row>
    <row r="1199">
      <c r="A1199" s="19"/>
      <c r="B1199" s="19"/>
      <c r="P1199" s="16"/>
    </row>
    <row r="1200">
      <c r="A1200" s="19"/>
      <c r="B1200" s="19"/>
      <c r="P1200" s="16"/>
    </row>
    <row r="1201">
      <c r="A1201" s="19"/>
      <c r="B1201" s="19"/>
      <c r="P1201" s="16"/>
    </row>
    <row r="1202">
      <c r="A1202" s="19"/>
      <c r="B1202" s="19"/>
      <c r="P1202" s="16"/>
    </row>
    <row r="1203">
      <c r="A1203" s="19"/>
      <c r="B1203" s="19"/>
      <c r="P1203" s="16"/>
    </row>
    <row r="1204">
      <c r="A1204" s="19"/>
      <c r="B1204" s="19"/>
      <c r="P1204" s="16"/>
    </row>
    <row r="1205">
      <c r="A1205" s="19"/>
      <c r="B1205" s="19"/>
      <c r="P1205" s="16"/>
    </row>
    <row r="1206">
      <c r="A1206" s="19"/>
      <c r="B1206" s="19"/>
      <c r="P1206" s="16"/>
    </row>
    <row r="1207">
      <c r="A1207" s="19"/>
      <c r="B1207" s="19"/>
      <c r="P1207" s="16"/>
    </row>
    <row r="1208">
      <c r="A1208" s="19"/>
      <c r="B1208" s="19"/>
      <c r="P1208" s="16"/>
    </row>
    <row r="1209">
      <c r="A1209" s="19"/>
      <c r="B1209" s="19"/>
      <c r="P1209" s="16"/>
    </row>
    <row r="1210">
      <c r="A1210" s="19"/>
      <c r="B1210" s="19"/>
      <c r="P1210" s="16"/>
    </row>
    <row r="1211">
      <c r="A1211" s="19"/>
      <c r="B1211" s="19"/>
      <c r="P1211" s="16"/>
    </row>
    <row r="1212">
      <c r="A1212" s="19"/>
      <c r="B1212" s="19"/>
      <c r="P1212" s="16"/>
    </row>
    <row r="1213">
      <c r="A1213" s="19"/>
      <c r="B1213" s="19"/>
      <c r="P1213" s="16"/>
    </row>
    <row r="1214">
      <c r="A1214" s="19"/>
      <c r="B1214" s="19"/>
      <c r="P1214" s="16"/>
    </row>
    <row r="1215">
      <c r="A1215" s="19"/>
      <c r="B1215" s="19"/>
      <c r="P1215" s="16"/>
    </row>
    <row r="1216">
      <c r="A1216" s="19"/>
      <c r="B1216" s="19"/>
      <c r="P1216" s="16"/>
    </row>
    <row r="1217">
      <c r="A1217" s="19"/>
      <c r="B1217" s="19"/>
      <c r="P1217" s="16"/>
    </row>
    <row r="1218">
      <c r="A1218" s="19"/>
      <c r="B1218" s="19"/>
      <c r="P1218" s="16"/>
    </row>
    <row r="1219">
      <c r="A1219" s="19"/>
      <c r="B1219" s="19"/>
      <c r="P1219" s="16"/>
    </row>
    <row r="1220">
      <c r="A1220" s="19"/>
      <c r="B1220" s="19"/>
      <c r="P1220" s="16"/>
    </row>
    <row r="1221">
      <c r="A1221" s="19"/>
      <c r="B1221" s="19"/>
      <c r="P1221" s="16"/>
    </row>
    <row r="1222">
      <c r="A1222" s="19"/>
      <c r="B1222" s="19"/>
      <c r="P1222" s="16"/>
    </row>
    <row r="1223">
      <c r="A1223" s="19"/>
      <c r="B1223" s="19"/>
      <c r="P1223" s="16"/>
    </row>
    <row r="1224">
      <c r="A1224" s="19"/>
      <c r="B1224" s="19"/>
      <c r="P1224" s="16"/>
    </row>
    <row r="1225">
      <c r="A1225" s="19"/>
      <c r="B1225" s="19"/>
      <c r="P1225" s="16"/>
    </row>
    <row r="1226">
      <c r="A1226" s="19"/>
      <c r="B1226" s="19"/>
      <c r="P1226" s="16"/>
    </row>
    <row r="1227">
      <c r="A1227" s="19"/>
      <c r="B1227" s="19"/>
      <c r="P1227" s="16"/>
    </row>
    <row r="1228">
      <c r="A1228" s="19"/>
      <c r="B1228" s="19"/>
      <c r="P1228" s="16"/>
    </row>
    <row r="1229">
      <c r="A1229" s="19"/>
      <c r="B1229" s="19"/>
      <c r="P1229" s="16"/>
    </row>
    <row r="1230">
      <c r="A1230" s="19"/>
      <c r="B1230" s="19"/>
      <c r="P1230" s="16"/>
    </row>
    <row r="1231">
      <c r="A1231" s="19"/>
      <c r="B1231" s="19"/>
      <c r="P1231" s="16"/>
    </row>
    <row r="1232">
      <c r="A1232" s="19"/>
      <c r="B1232" s="19"/>
      <c r="P1232" s="16"/>
    </row>
    <row r="1233">
      <c r="A1233" s="19"/>
      <c r="B1233" s="19"/>
      <c r="P1233" s="16"/>
    </row>
    <row r="1234">
      <c r="A1234" s="19"/>
      <c r="B1234" s="19"/>
      <c r="P1234" s="16"/>
    </row>
    <row r="1235">
      <c r="A1235" s="19"/>
      <c r="B1235" s="19"/>
      <c r="P1235" s="16"/>
    </row>
    <row r="1236">
      <c r="A1236" s="19"/>
      <c r="B1236" s="19"/>
      <c r="P1236" s="16"/>
    </row>
    <row r="1237">
      <c r="A1237" s="19"/>
      <c r="B1237" s="19"/>
      <c r="P1237" s="16"/>
    </row>
    <row r="1238">
      <c r="A1238" s="19"/>
      <c r="B1238" s="19"/>
      <c r="P1238" s="16"/>
    </row>
    <row r="1239">
      <c r="A1239" s="19"/>
      <c r="B1239" s="19"/>
      <c r="P1239" s="16"/>
    </row>
    <row r="1240">
      <c r="A1240" s="19"/>
      <c r="B1240" s="19"/>
      <c r="P1240" s="16"/>
    </row>
    <row r="1241">
      <c r="A1241" s="19"/>
      <c r="B1241" s="19"/>
      <c r="P1241" s="16"/>
    </row>
    <row r="1242">
      <c r="A1242" s="19"/>
      <c r="B1242" s="19"/>
      <c r="P1242" s="16"/>
    </row>
    <row r="1243">
      <c r="A1243" s="19"/>
      <c r="B1243" s="19"/>
      <c r="P1243" s="16"/>
    </row>
    <row r="1244">
      <c r="A1244" s="19"/>
      <c r="B1244" s="19"/>
      <c r="P1244" s="16"/>
    </row>
    <row r="1245">
      <c r="A1245" s="19"/>
      <c r="B1245" s="19"/>
      <c r="P1245" s="16"/>
    </row>
    <row r="1246">
      <c r="A1246" s="19"/>
      <c r="B1246" s="19"/>
      <c r="P1246" s="16"/>
    </row>
    <row r="1247">
      <c r="A1247" s="19"/>
      <c r="B1247" s="19"/>
      <c r="P1247" s="16"/>
    </row>
    <row r="1248">
      <c r="A1248" s="19"/>
      <c r="B1248" s="19"/>
      <c r="P1248" s="16"/>
    </row>
    <row r="1249">
      <c r="A1249" s="19"/>
      <c r="B1249" s="19"/>
      <c r="P1249" s="16"/>
    </row>
    <row r="1250">
      <c r="A1250" s="19"/>
      <c r="B1250" s="19"/>
      <c r="P1250" s="16"/>
    </row>
    <row r="1251">
      <c r="A1251" s="19"/>
      <c r="B1251" s="19"/>
      <c r="P1251" s="16"/>
    </row>
    <row r="1252">
      <c r="A1252" s="19"/>
      <c r="B1252" s="19"/>
      <c r="P1252" s="16"/>
    </row>
    <row r="1253">
      <c r="A1253" s="19"/>
      <c r="B1253" s="19"/>
      <c r="P1253" s="16"/>
    </row>
    <row r="1254">
      <c r="A1254" s="19"/>
      <c r="B1254" s="19"/>
      <c r="P1254" s="16"/>
    </row>
    <row r="1255">
      <c r="A1255" s="19"/>
      <c r="B1255" s="19"/>
      <c r="P1255" s="16"/>
    </row>
    <row r="1256">
      <c r="A1256" s="19"/>
      <c r="B1256" s="19"/>
      <c r="P1256" s="16"/>
    </row>
    <row r="1257">
      <c r="A1257" s="19"/>
      <c r="B1257" s="19"/>
      <c r="P1257" s="16"/>
    </row>
    <row r="1258">
      <c r="A1258" s="19"/>
      <c r="B1258" s="19"/>
      <c r="P1258" s="16"/>
    </row>
    <row r="1259">
      <c r="A1259" s="19"/>
      <c r="B1259" s="19"/>
      <c r="P1259" s="16"/>
    </row>
    <row r="1260">
      <c r="A1260" s="19"/>
      <c r="B1260" s="19"/>
      <c r="P1260" s="16"/>
    </row>
    <row r="1261">
      <c r="A1261" s="19"/>
      <c r="B1261" s="19"/>
      <c r="P1261" s="16"/>
    </row>
    <row r="1262">
      <c r="A1262" s="19"/>
      <c r="B1262" s="19"/>
      <c r="P1262" s="16"/>
    </row>
    <row r="1263">
      <c r="A1263" s="19"/>
      <c r="B1263" s="19"/>
      <c r="P1263" s="16"/>
    </row>
    <row r="1264">
      <c r="A1264" s="19"/>
      <c r="B1264" s="19"/>
      <c r="P1264" s="16"/>
    </row>
    <row r="1265">
      <c r="A1265" s="19"/>
      <c r="B1265" s="19"/>
      <c r="P1265" s="16"/>
    </row>
    <row r="1266">
      <c r="A1266" s="19"/>
      <c r="B1266" s="19"/>
      <c r="P1266" s="16"/>
    </row>
    <row r="1267">
      <c r="A1267" s="19"/>
      <c r="B1267" s="19"/>
      <c r="P1267" s="16"/>
    </row>
    <row r="1268">
      <c r="A1268" s="19"/>
      <c r="B1268" s="19"/>
      <c r="P1268" s="16"/>
    </row>
    <row r="1269">
      <c r="A1269" s="19"/>
      <c r="B1269" s="19"/>
      <c r="P1269" s="16"/>
    </row>
    <row r="1270">
      <c r="A1270" s="19"/>
      <c r="B1270" s="19"/>
      <c r="P1270" s="16"/>
    </row>
    <row r="1271">
      <c r="A1271" s="19"/>
      <c r="B1271" s="19"/>
      <c r="P1271" s="16"/>
    </row>
    <row r="1272">
      <c r="A1272" s="19"/>
      <c r="B1272" s="19"/>
      <c r="P1272" s="16"/>
    </row>
    <row r="1273">
      <c r="A1273" s="19"/>
      <c r="B1273" s="19"/>
      <c r="P1273" s="16"/>
    </row>
    <row r="1274">
      <c r="A1274" s="19"/>
      <c r="B1274" s="19"/>
      <c r="P1274" s="16"/>
    </row>
    <row r="1275">
      <c r="A1275" s="19"/>
      <c r="B1275" s="19"/>
      <c r="P1275" s="16"/>
    </row>
    <row r="1276">
      <c r="A1276" s="19"/>
      <c r="B1276" s="19"/>
      <c r="P1276" s="16"/>
    </row>
    <row r="1277">
      <c r="A1277" s="19"/>
      <c r="B1277" s="19"/>
      <c r="P1277" s="16"/>
    </row>
    <row r="1278">
      <c r="A1278" s="19"/>
      <c r="B1278" s="19"/>
      <c r="P1278" s="16"/>
    </row>
    <row r="1279">
      <c r="A1279" s="19"/>
      <c r="B1279" s="19"/>
      <c r="P1279" s="16"/>
    </row>
    <row r="1280">
      <c r="A1280" s="19"/>
      <c r="B1280" s="19"/>
      <c r="P1280" s="16"/>
    </row>
    <row r="1281">
      <c r="A1281" s="19"/>
      <c r="B1281" s="19"/>
      <c r="P1281" s="16"/>
    </row>
    <row r="1282">
      <c r="A1282" s="19"/>
      <c r="B1282" s="19"/>
      <c r="P1282" s="16"/>
    </row>
    <row r="1283">
      <c r="A1283" s="19"/>
      <c r="B1283" s="19"/>
      <c r="P1283" s="16"/>
    </row>
    <row r="1284">
      <c r="A1284" s="19"/>
      <c r="B1284" s="19"/>
      <c r="P1284" s="16"/>
    </row>
    <row r="1285">
      <c r="A1285" s="19"/>
      <c r="B1285" s="19"/>
      <c r="P1285" s="16"/>
    </row>
    <row r="1286">
      <c r="A1286" s="19"/>
      <c r="B1286" s="19"/>
      <c r="P1286" s="16"/>
    </row>
    <row r="1287">
      <c r="A1287" s="19"/>
      <c r="B1287" s="19"/>
      <c r="P1287" s="16"/>
    </row>
    <row r="1288">
      <c r="A1288" s="19"/>
      <c r="B1288" s="19"/>
      <c r="P1288" s="16"/>
    </row>
    <row r="1289">
      <c r="A1289" s="19"/>
      <c r="B1289" s="19"/>
      <c r="P1289" s="16"/>
    </row>
    <row r="1290">
      <c r="A1290" s="19"/>
      <c r="B1290" s="19"/>
      <c r="P1290" s="16"/>
    </row>
    <row r="1291">
      <c r="A1291" s="19"/>
      <c r="B1291" s="19"/>
      <c r="P1291" s="16"/>
    </row>
    <row r="1292">
      <c r="A1292" s="19"/>
      <c r="B1292" s="19"/>
      <c r="P1292" s="16"/>
    </row>
    <row r="1293">
      <c r="A1293" s="19"/>
      <c r="B1293" s="19"/>
      <c r="P1293" s="16"/>
    </row>
    <row r="1294">
      <c r="A1294" s="19"/>
      <c r="B1294" s="19"/>
      <c r="P1294" s="16"/>
    </row>
    <row r="1295">
      <c r="A1295" s="19"/>
      <c r="B1295" s="19"/>
      <c r="P1295" s="16"/>
    </row>
    <row r="1296">
      <c r="A1296" s="19"/>
      <c r="B1296" s="19"/>
      <c r="P1296" s="16"/>
    </row>
    <row r="1297">
      <c r="A1297" s="19"/>
      <c r="B1297" s="19"/>
      <c r="P1297" s="16"/>
    </row>
    <row r="1298">
      <c r="A1298" s="19"/>
      <c r="B1298" s="19"/>
      <c r="P1298" s="16"/>
    </row>
    <row r="1299">
      <c r="A1299" s="19"/>
      <c r="B1299" s="19"/>
      <c r="P1299" s="16"/>
    </row>
    <row r="1300">
      <c r="A1300" s="19"/>
      <c r="B1300" s="19"/>
      <c r="P1300" s="16"/>
    </row>
    <row r="1301">
      <c r="A1301" s="19"/>
      <c r="B1301" s="19"/>
      <c r="P1301" s="16"/>
    </row>
    <row r="1302">
      <c r="A1302" s="19"/>
      <c r="B1302" s="19"/>
      <c r="P1302" s="16"/>
    </row>
    <row r="1303">
      <c r="A1303" s="19"/>
      <c r="B1303" s="19"/>
      <c r="P1303" s="16"/>
    </row>
    <row r="1304">
      <c r="A1304" s="19"/>
      <c r="B1304" s="19"/>
      <c r="P1304" s="16"/>
    </row>
    <row r="1305">
      <c r="A1305" s="19"/>
      <c r="B1305" s="19"/>
      <c r="P1305" s="16"/>
    </row>
    <row r="1306">
      <c r="A1306" s="19"/>
      <c r="B1306" s="19"/>
      <c r="P1306" s="16"/>
    </row>
    <row r="1307">
      <c r="A1307" s="19"/>
      <c r="B1307" s="19"/>
      <c r="P1307" s="16"/>
    </row>
    <row r="1308">
      <c r="A1308" s="19"/>
      <c r="B1308" s="19"/>
      <c r="P1308" s="16"/>
    </row>
    <row r="1309">
      <c r="A1309" s="19"/>
      <c r="B1309" s="19"/>
      <c r="P1309" s="16"/>
    </row>
    <row r="1310">
      <c r="A1310" s="19"/>
      <c r="B1310" s="19"/>
      <c r="P1310" s="16"/>
    </row>
    <row r="1311">
      <c r="A1311" s="19"/>
      <c r="B1311" s="19"/>
      <c r="P1311" s="16"/>
    </row>
    <row r="1312">
      <c r="A1312" s="19"/>
      <c r="B1312" s="19"/>
      <c r="P1312" s="16"/>
    </row>
    <row r="1313">
      <c r="A1313" s="19"/>
      <c r="B1313" s="19"/>
      <c r="P1313" s="16"/>
    </row>
    <row r="1314">
      <c r="A1314" s="19"/>
      <c r="B1314" s="19"/>
      <c r="P1314" s="16"/>
    </row>
    <row r="1315">
      <c r="A1315" s="19"/>
      <c r="B1315" s="19"/>
      <c r="P1315" s="16"/>
    </row>
    <row r="1316">
      <c r="A1316" s="19"/>
      <c r="B1316" s="19"/>
      <c r="P1316" s="16"/>
    </row>
    <row r="1317">
      <c r="A1317" s="19"/>
      <c r="B1317" s="19"/>
      <c r="P1317" s="16"/>
    </row>
    <row r="1318">
      <c r="A1318" s="19"/>
      <c r="B1318" s="19"/>
      <c r="P1318" s="16"/>
    </row>
    <row r="1319">
      <c r="A1319" s="19"/>
      <c r="B1319" s="19"/>
      <c r="P1319" s="16"/>
    </row>
    <row r="1320">
      <c r="A1320" s="19"/>
      <c r="B1320" s="19"/>
      <c r="P1320" s="16"/>
    </row>
    <row r="1321">
      <c r="A1321" s="19"/>
      <c r="B1321" s="19"/>
      <c r="P1321" s="16"/>
    </row>
    <row r="1322">
      <c r="A1322" s="19"/>
      <c r="B1322" s="19"/>
      <c r="P1322" s="16"/>
    </row>
    <row r="1323">
      <c r="A1323" s="19"/>
      <c r="B1323" s="19"/>
      <c r="P1323" s="16"/>
    </row>
    <row r="1324">
      <c r="A1324" s="19"/>
      <c r="B1324" s="19"/>
      <c r="P1324" s="16"/>
    </row>
    <row r="1325">
      <c r="A1325" s="19"/>
      <c r="B1325" s="19"/>
      <c r="P1325" s="16"/>
    </row>
    <row r="1326">
      <c r="A1326" s="19"/>
      <c r="B1326" s="19"/>
      <c r="P1326" s="16"/>
    </row>
    <row r="1327">
      <c r="A1327" s="19"/>
      <c r="B1327" s="19"/>
      <c r="P1327" s="16"/>
    </row>
    <row r="1328">
      <c r="A1328" s="19"/>
      <c r="B1328" s="19"/>
      <c r="P1328" s="16"/>
    </row>
    <row r="1329">
      <c r="A1329" s="19"/>
      <c r="B1329" s="19"/>
      <c r="P1329" s="16"/>
    </row>
    <row r="1330">
      <c r="A1330" s="19"/>
      <c r="B1330" s="19"/>
      <c r="P1330" s="16"/>
    </row>
    <row r="1331">
      <c r="A1331" s="19"/>
      <c r="B1331" s="19"/>
      <c r="P1331" s="16"/>
    </row>
    <row r="1332">
      <c r="A1332" s="19"/>
      <c r="B1332" s="19"/>
      <c r="P1332" s="16"/>
    </row>
    <row r="1333">
      <c r="A1333" s="19"/>
      <c r="B1333" s="19"/>
      <c r="P1333" s="16"/>
    </row>
    <row r="1334">
      <c r="A1334" s="19"/>
      <c r="B1334" s="19"/>
      <c r="P1334" s="16"/>
    </row>
    <row r="1335">
      <c r="A1335" s="19"/>
      <c r="B1335" s="19"/>
      <c r="P1335" s="16"/>
    </row>
    <row r="1336">
      <c r="A1336" s="19"/>
      <c r="B1336" s="19"/>
      <c r="P1336" s="16"/>
    </row>
    <row r="1337">
      <c r="A1337" s="19"/>
      <c r="B1337" s="19"/>
      <c r="P1337" s="16"/>
    </row>
    <row r="1338">
      <c r="A1338" s="19"/>
      <c r="B1338" s="19"/>
      <c r="P1338" s="16"/>
    </row>
    <row r="1339">
      <c r="A1339" s="19"/>
      <c r="B1339" s="19"/>
      <c r="P1339" s="16"/>
    </row>
    <row r="1340">
      <c r="A1340" s="19"/>
      <c r="B1340" s="19"/>
      <c r="P1340" s="16"/>
    </row>
    <row r="1341">
      <c r="A1341" s="19"/>
      <c r="B1341" s="19"/>
      <c r="P1341" s="16"/>
    </row>
    <row r="1342">
      <c r="A1342" s="19"/>
      <c r="B1342" s="19"/>
      <c r="P1342" s="16"/>
    </row>
    <row r="1343">
      <c r="A1343" s="19"/>
      <c r="B1343" s="19"/>
      <c r="P1343" s="16"/>
    </row>
    <row r="1344">
      <c r="A1344" s="19"/>
      <c r="B1344" s="19"/>
      <c r="P1344" s="16"/>
    </row>
    <row r="1345">
      <c r="A1345" s="19"/>
      <c r="B1345" s="19"/>
      <c r="P1345" s="16"/>
    </row>
    <row r="1346">
      <c r="A1346" s="19"/>
      <c r="B1346" s="19"/>
      <c r="P1346" s="16"/>
    </row>
    <row r="1347">
      <c r="A1347" s="19"/>
      <c r="B1347" s="19"/>
      <c r="P1347" s="16"/>
    </row>
    <row r="1348">
      <c r="A1348" s="19"/>
      <c r="B1348" s="19"/>
      <c r="P1348" s="16"/>
    </row>
    <row r="1349">
      <c r="A1349" s="19"/>
      <c r="B1349" s="19"/>
      <c r="P1349" s="16"/>
    </row>
    <row r="1350">
      <c r="A1350" s="19"/>
      <c r="B1350" s="19"/>
      <c r="P1350" s="16"/>
    </row>
    <row r="1351">
      <c r="A1351" s="19"/>
      <c r="B1351" s="19"/>
      <c r="P1351" s="16"/>
    </row>
    <row r="1352">
      <c r="A1352" s="19"/>
      <c r="B1352" s="19"/>
      <c r="P1352" s="16"/>
    </row>
    <row r="1353">
      <c r="A1353" s="19"/>
      <c r="B1353" s="19"/>
      <c r="P1353" s="16"/>
    </row>
    <row r="1354">
      <c r="A1354" s="19"/>
      <c r="B1354" s="19"/>
      <c r="P1354" s="16"/>
    </row>
    <row r="1355">
      <c r="A1355" s="19"/>
      <c r="B1355" s="19"/>
      <c r="P1355" s="16"/>
    </row>
    <row r="1356">
      <c r="A1356" s="19"/>
      <c r="B1356" s="19"/>
      <c r="P1356" s="16"/>
    </row>
    <row r="1357">
      <c r="A1357" s="19"/>
      <c r="B1357" s="19"/>
      <c r="P1357" s="16"/>
    </row>
    <row r="1358">
      <c r="A1358" s="19"/>
      <c r="B1358" s="19"/>
      <c r="P1358" s="16"/>
    </row>
    <row r="1359">
      <c r="A1359" s="19"/>
      <c r="B1359" s="19"/>
      <c r="P1359" s="16"/>
    </row>
    <row r="1360">
      <c r="A1360" s="19"/>
      <c r="B1360" s="19"/>
      <c r="P1360" s="16"/>
    </row>
    <row r="1361">
      <c r="A1361" s="19"/>
      <c r="B1361" s="19"/>
      <c r="P1361" s="16"/>
    </row>
    <row r="1362">
      <c r="A1362" s="19"/>
      <c r="B1362" s="19"/>
      <c r="P1362" s="16"/>
    </row>
    <row r="1363">
      <c r="A1363" s="19"/>
      <c r="B1363" s="19"/>
      <c r="P1363" s="16"/>
    </row>
    <row r="1364">
      <c r="A1364" s="19"/>
      <c r="B1364" s="19"/>
      <c r="P1364" s="16"/>
    </row>
    <row r="1365">
      <c r="A1365" s="19"/>
      <c r="B1365" s="19"/>
      <c r="P1365" s="16"/>
    </row>
    <row r="1366">
      <c r="A1366" s="19"/>
      <c r="B1366" s="19"/>
      <c r="P1366" s="16"/>
    </row>
    <row r="1367">
      <c r="A1367" s="19"/>
      <c r="B1367" s="19"/>
      <c r="P1367" s="16"/>
    </row>
    <row r="1368">
      <c r="A1368" s="19"/>
      <c r="B1368" s="19"/>
      <c r="P1368" s="16"/>
    </row>
    <row r="1369">
      <c r="A1369" s="19"/>
      <c r="B1369" s="19"/>
      <c r="P1369" s="16"/>
    </row>
    <row r="1370">
      <c r="A1370" s="19"/>
      <c r="B1370" s="19"/>
      <c r="P1370" s="16"/>
    </row>
    <row r="1371">
      <c r="A1371" s="19"/>
      <c r="B1371" s="19"/>
      <c r="P1371" s="16"/>
    </row>
    <row r="1372">
      <c r="A1372" s="19"/>
      <c r="B1372" s="19"/>
      <c r="P1372" s="16"/>
    </row>
    <row r="1373">
      <c r="A1373" s="19"/>
      <c r="B1373" s="19"/>
      <c r="P1373" s="16"/>
    </row>
    <row r="1374">
      <c r="A1374" s="19"/>
      <c r="B1374" s="19"/>
      <c r="P1374" s="16"/>
    </row>
    <row r="1375">
      <c r="A1375" s="19"/>
      <c r="B1375" s="19"/>
      <c r="P1375" s="16"/>
    </row>
    <row r="1376">
      <c r="A1376" s="19"/>
      <c r="B1376" s="19"/>
      <c r="P1376" s="16"/>
    </row>
    <row r="1377">
      <c r="A1377" s="19"/>
      <c r="B1377" s="19"/>
      <c r="P1377" s="16"/>
    </row>
    <row r="1378">
      <c r="A1378" s="19"/>
      <c r="B1378" s="19"/>
      <c r="P1378" s="16"/>
    </row>
    <row r="1379">
      <c r="A1379" s="19"/>
      <c r="B1379" s="19"/>
      <c r="P1379" s="16"/>
    </row>
    <row r="1380">
      <c r="A1380" s="19"/>
      <c r="B1380" s="19"/>
      <c r="P1380" s="16"/>
    </row>
    <row r="1381">
      <c r="A1381" s="19"/>
      <c r="B1381" s="19"/>
      <c r="P1381" s="16"/>
    </row>
    <row r="1382">
      <c r="A1382" s="19"/>
      <c r="B1382" s="19"/>
      <c r="P1382" s="16"/>
    </row>
    <row r="1383">
      <c r="A1383" s="19"/>
      <c r="B1383" s="19"/>
      <c r="P1383" s="16"/>
    </row>
    <row r="1384">
      <c r="A1384" s="19"/>
      <c r="B1384" s="19"/>
      <c r="P1384" s="16"/>
    </row>
    <row r="1385">
      <c r="A1385" s="19"/>
      <c r="B1385" s="19"/>
      <c r="P1385" s="16"/>
    </row>
    <row r="1386">
      <c r="A1386" s="19"/>
      <c r="B1386" s="19"/>
      <c r="P1386" s="16"/>
    </row>
    <row r="1387">
      <c r="A1387" s="19"/>
      <c r="B1387" s="19"/>
      <c r="P1387" s="16"/>
    </row>
    <row r="1388">
      <c r="A1388" s="19"/>
      <c r="B1388" s="19"/>
      <c r="P1388" s="16"/>
    </row>
    <row r="1389">
      <c r="A1389" s="19"/>
      <c r="B1389" s="19"/>
      <c r="P1389" s="16"/>
    </row>
    <row r="1390">
      <c r="A1390" s="19"/>
      <c r="B1390" s="19"/>
      <c r="P1390" s="16"/>
    </row>
    <row r="1391">
      <c r="A1391" s="19"/>
      <c r="B1391" s="19"/>
      <c r="P1391" s="16"/>
    </row>
    <row r="1392">
      <c r="A1392" s="19"/>
      <c r="B1392" s="19"/>
      <c r="P1392" s="16"/>
    </row>
    <row r="1393">
      <c r="A1393" s="19"/>
      <c r="B1393" s="19"/>
      <c r="P1393" s="16"/>
    </row>
    <row r="1394">
      <c r="A1394" s="19"/>
      <c r="B1394" s="19"/>
      <c r="P1394" s="16"/>
    </row>
    <row r="1395">
      <c r="A1395" s="19"/>
      <c r="B1395" s="19"/>
      <c r="P1395" s="16"/>
    </row>
    <row r="1396">
      <c r="A1396" s="19"/>
      <c r="B1396" s="19"/>
      <c r="P1396" s="16"/>
    </row>
    <row r="1397">
      <c r="A1397" s="19"/>
      <c r="B1397" s="19"/>
      <c r="P1397" s="16"/>
    </row>
    <row r="1398">
      <c r="A1398" s="19"/>
      <c r="B1398" s="19"/>
      <c r="P1398" s="16"/>
    </row>
    <row r="1399">
      <c r="A1399" s="19"/>
      <c r="B1399" s="19"/>
      <c r="P1399" s="16"/>
    </row>
    <row r="1400">
      <c r="A1400" s="19"/>
      <c r="B1400" s="19"/>
      <c r="P1400" s="16"/>
    </row>
    <row r="1401">
      <c r="A1401" s="19"/>
      <c r="B1401" s="19"/>
      <c r="P1401" s="16"/>
    </row>
    <row r="1402">
      <c r="A1402" s="19"/>
      <c r="B1402" s="19"/>
      <c r="P1402" s="16"/>
    </row>
    <row r="1403">
      <c r="A1403" s="19"/>
      <c r="B1403" s="19"/>
      <c r="P1403" s="16"/>
    </row>
    <row r="1404">
      <c r="A1404" s="19"/>
      <c r="B1404" s="19"/>
      <c r="P1404" s="16"/>
    </row>
    <row r="1405">
      <c r="A1405" s="19"/>
      <c r="B1405" s="19"/>
      <c r="P1405" s="16"/>
    </row>
    <row r="1406">
      <c r="A1406" s="19"/>
      <c r="B1406" s="19"/>
      <c r="P1406" s="16"/>
    </row>
    <row r="1407">
      <c r="A1407" s="19"/>
      <c r="B1407" s="19"/>
      <c r="P1407" s="16"/>
    </row>
    <row r="1408">
      <c r="A1408" s="19"/>
      <c r="B1408" s="19"/>
      <c r="P1408" s="16"/>
    </row>
    <row r="1409">
      <c r="A1409" s="19"/>
      <c r="B1409" s="19"/>
      <c r="P1409" s="16"/>
    </row>
    <row r="1410">
      <c r="A1410" s="19"/>
      <c r="B1410" s="19"/>
      <c r="P1410" s="16"/>
    </row>
    <row r="1411">
      <c r="A1411" s="19"/>
      <c r="B1411" s="19"/>
      <c r="P1411" s="16"/>
    </row>
    <row r="1412">
      <c r="A1412" s="19"/>
      <c r="B1412" s="19"/>
      <c r="P1412" s="16"/>
    </row>
    <row r="1413">
      <c r="A1413" s="19"/>
      <c r="B1413" s="19"/>
      <c r="P1413" s="16"/>
    </row>
    <row r="1414">
      <c r="A1414" s="19"/>
      <c r="B1414" s="19"/>
      <c r="P1414" s="16"/>
    </row>
    <row r="1415">
      <c r="A1415" s="19"/>
      <c r="B1415" s="19"/>
      <c r="P1415" s="16"/>
    </row>
    <row r="1416">
      <c r="A1416" s="19"/>
      <c r="B1416" s="19"/>
      <c r="P1416" s="16"/>
    </row>
    <row r="1417">
      <c r="A1417" s="19"/>
      <c r="B1417" s="19"/>
      <c r="P1417" s="16"/>
    </row>
    <row r="1418">
      <c r="A1418" s="19"/>
      <c r="B1418" s="19"/>
      <c r="P1418" s="16"/>
    </row>
    <row r="1419">
      <c r="A1419" s="19"/>
      <c r="B1419" s="19"/>
      <c r="P1419" s="16"/>
    </row>
    <row r="1420">
      <c r="A1420" s="19"/>
      <c r="B1420" s="19"/>
      <c r="P1420" s="16"/>
    </row>
    <row r="1421">
      <c r="A1421" s="19"/>
      <c r="B1421" s="19"/>
      <c r="P1421" s="16"/>
    </row>
    <row r="1422">
      <c r="A1422" s="19"/>
      <c r="B1422" s="19"/>
      <c r="P1422" s="16"/>
    </row>
    <row r="1423">
      <c r="A1423" s="19"/>
      <c r="B1423" s="19"/>
      <c r="P1423" s="16"/>
    </row>
    <row r="1424">
      <c r="A1424" s="19"/>
      <c r="B1424" s="19"/>
      <c r="P1424" s="16"/>
    </row>
    <row r="1425">
      <c r="A1425" s="19"/>
      <c r="B1425" s="19"/>
      <c r="P1425" s="16"/>
    </row>
    <row r="1426">
      <c r="A1426" s="19"/>
      <c r="B1426" s="19"/>
      <c r="P1426" s="16"/>
    </row>
    <row r="1427">
      <c r="A1427" s="19"/>
      <c r="B1427" s="19"/>
      <c r="P1427" s="16"/>
    </row>
    <row r="1428">
      <c r="A1428" s="19"/>
      <c r="B1428" s="19"/>
      <c r="P1428" s="16"/>
    </row>
    <row r="1429">
      <c r="A1429" s="19"/>
      <c r="B1429" s="19"/>
      <c r="P1429" s="16"/>
    </row>
    <row r="1430">
      <c r="A1430" s="19"/>
      <c r="B1430" s="19"/>
      <c r="P1430" s="16"/>
    </row>
    <row r="1431">
      <c r="A1431" s="19"/>
      <c r="B1431" s="19"/>
      <c r="P1431" s="16"/>
    </row>
    <row r="1432">
      <c r="A1432" s="19"/>
      <c r="B1432" s="19"/>
      <c r="P1432" s="16"/>
    </row>
    <row r="1433">
      <c r="A1433" s="19"/>
      <c r="B1433" s="19"/>
      <c r="P1433" s="16"/>
    </row>
    <row r="1434">
      <c r="A1434" s="19"/>
      <c r="B1434" s="19"/>
      <c r="P1434" s="16"/>
    </row>
    <row r="1435">
      <c r="A1435" s="19"/>
      <c r="B1435" s="19"/>
      <c r="P1435" s="16"/>
    </row>
    <row r="1436">
      <c r="A1436" s="19"/>
      <c r="B1436" s="19"/>
      <c r="P1436" s="16"/>
    </row>
    <row r="1437">
      <c r="A1437" s="19"/>
      <c r="B1437" s="19"/>
      <c r="P1437" s="16"/>
    </row>
    <row r="1438">
      <c r="A1438" s="19"/>
      <c r="B1438" s="19"/>
      <c r="P1438" s="16"/>
    </row>
    <row r="1439">
      <c r="A1439" s="19"/>
      <c r="B1439" s="19"/>
      <c r="P1439" s="16"/>
    </row>
    <row r="1440">
      <c r="A1440" s="19"/>
      <c r="B1440" s="19"/>
      <c r="P1440" s="16"/>
    </row>
    <row r="1441">
      <c r="A1441" s="19"/>
      <c r="B1441" s="19"/>
      <c r="P1441" s="16"/>
    </row>
    <row r="1442">
      <c r="A1442" s="19"/>
      <c r="B1442" s="19"/>
      <c r="P1442" s="16"/>
    </row>
    <row r="1443">
      <c r="A1443" s="19"/>
      <c r="B1443" s="19"/>
      <c r="P1443" s="16"/>
    </row>
    <row r="1444">
      <c r="A1444" s="19"/>
      <c r="B1444" s="19"/>
      <c r="P1444" s="16"/>
    </row>
    <row r="1445">
      <c r="A1445" s="19"/>
      <c r="B1445" s="19"/>
      <c r="P1445" s="16"/>
    </row>
    <row r="1446">
      <c r="A1446" s="19"/>
      <c r="B1446" s="19"/>
      <c r="P1446" s="16"/>
    </row>
    <row r="1447">
      <c r="A1447" s="19"/>
      <c r="B1447" s="19"/>
      <c r="P1447" s="16"/>
    </row>
    <row r="1448">
      <c r="A1448" s="19"/>
      <c r="B1448" s="19"/>
      <c r="P1448" s="16"/>
    </row>
    <row r="1449">
      <c r="A1449" s="19"/>
      <c r="B1449" s="19"/>
      <c r="P1449" s="16"/>
    </row>
    <row r="1450">
      <c r="A1450" s="19"/>
      <c r="B1450" s="19"/>
      <c r="P1450" s="16"/>
    </row>
    <row r="1451">
      <c r="A1451" s="19"/>
      <c r="B1451" s="19"/>
      <c r="P1451" s="16"/>
    </row>
    <row r="1452">
      <c r="A1452" s="19"/>
      <c r="B1452" s="19"/>
      <c r="P1452" s="16"/>
    </row>
    <row r="1453">
      <c r="A1453" s="19"/>
      <c r="B1453" s="19"/>
      <c r="P1453" s="16"/>
    </row>
    <row r="1454">
      <c r="A1454" s="19"/>
      <c r="B1454" s="19"/>
      <c r="P1454" s="16"/>
    </row>
    <row r="1455">
      <c r="A1455" s="19"/>
      <c r="B1455" s="19"/>
      <c r="P1455" s="16"/>
    </row>
    <row r="1456">
      <c r="A1456" s="19"/>
      <c r="B1456" s="19"/>
      <c r="P1456" s="16"/>
    </row>
    <row r="1457">
      <c r="A1457" s="19"/>
      <c r="B1457" s="19"/>
      <c r="P1457" s="16"/>
    </row>
    <row r="1458">
      <c r="A1458" s="19"/>
      <c r="B1458" s="19"/>
      <c r="P1458" s="16"/>
    </row>
    <row r="1459">
      <c r="A1459" s="19"/>
      <c r="B1459" s="19"/>
      <c r="P1459" s="16"/>
    </row>
    <row r="1460">
      <c r="A1460" s="19"/>
      <c r="B1460" s="19"/>
      <c r="P1460" s="16"/>
    </row>
    <row r="1461">
      <c r="A1461" s="19"/>
      <c r="B1461" s="19"/>
      <c r="P1461" s="16"/>
    </row>
    <row r="1462">
      <c r="A1462" s="19"/>
      <c r="B1462" s="19"/>
      <c r="P1462" s="16"/>
    </row>
    <row r="1463">
      <c r="A1463" s="19"/>
      <c r="B1463" s="19"/>
      <c r="P1463" s="16"/>
    </row>
    <row r="1464">
      <c r="A1464" s="19"/>
      <c r="B1464" s="19"/>
      <c r="P1464" s="16"/>
    </row>
    <row r="1465">
      <c r="A1465" s="19"/>
      <c r="B1465" s="19"/>
      <c r="P1465" s="16"/>
    </row>
    <row r="1466">
      <c r="A1466" s="19"/>
      <c r="B1466" s="19"/>
      <c r="P1466" s="16"/>
    </row>
    <row r="1467">
      <c r="A1467" s="19"/>
      <c r="B1467" s="19"/>
      <c r="P1467" s="16"/>
    </row>
    <row r="1468">
      <c r="A1468" s="19"/>
      <c r="B1468" s="19"/>
      <c r="P1468" s="16"/>
    </row>
    <row r="1469">
      <c r="A1469" s="19"/>
      <c r="B1469" s="19"/>
      <c r="P1469" s="16"/>
    </row>
    <row r="1470">
      <c r="A1470" s="19"/>
      <c r="B1470" s="19"/>
      <c r="P1470" s="16"/>
    </row>
    <row r="1471">
      <c r="A1471" s="19"/>
      <c r="B1471" s="19"/>
      <c r="P1471" s="16"/>
    </row>
    <row r="1472">
      <c r="A1472" s="19"/>
      <c r="B1472" s="19"/>
      <c r="P1472" s="16"/>
    </row>
    <row r="1473">
      <c r="A1473" s="19"/>
      <c r="B1473" s="19"/>
      <c r="P1473" s="16"/>
    </row>
    <row r="1474">
      <c r="A1474" s="19"/>
      <c r="B1474" s="19"/>
      <c r="P1474" s="16"/>
    </row>
    <row r="1475">
      <c r="A1475" s="19"/>
      <c r="B1475" s="19"/>
      <c r="P1475" s="16"/>
    </row>
    <row r="1476">
      <c r="A1476" s="19"/>
      <c r="B1476" s="19"/>
      <c r="P1476" s="16"/>
    </row>
    <row r="1477">
      <c r="A1477" s="19"/>
      <c r="B1477" s="19"/>
      <c r="P1477" s="16"/>
    </row>
    <row r="1478">
      <c r="A1478" s="19"/>
      <c r="B1478" s="19"/>
      <c r="P1478" s="16"/>
    </row>
    <row r="1479">
      <c r="A1479" s="19"/>
      <c r="B1479" s="19"/>
      <c r="P1479" s="16"/>
    </row>
    <row r="1480">
      <c r="A1480" s="19"/>
      <c r="B1480" s="19"/>
      <c r="P1480" s="16"/>
    </row>
    <row r="1481">
      <c r="A1481" s="19"/>
      <c r="B1481" s="19"/>
      <c r="P1481" s="16"/>
    </row>
    <row r="1482">
      <c r="A1482" s="19"/>
      <c r="B1482" s="19"/>
      <c r="P1482" s="16"/>
    </row>
    <row r="1483">
      <c r="A1483" s="19"/>
      <c r="B1483" s="19"/>
      <c r="P1483" s="16"/>
    </row>
    <row r="1484">
      <c r="A1484" s="19"/>
      <c r="B1484" s="19"/>
      <c r="P1484" s="16"/>
    </row>
    <row r="1485">
      <c r="A1485" s="19"/>
      <c r="B1485" s="19"/>
      <c r="P1485" s="16"/>
    </row>
    <row r="1486">
      <c r="A1486" s="19"/>
      <c r="B1486" s="19"/>
      <c r="P1486" s="16"/>
    </row>
    <row r="1487">
      <c r="A1487" s="19"/>
      <c r="B1487" s="19"/>
      <c r="P1487" s="16"/>
    </row>
    <row r="1488">
      <c r="A1488" s="19"/>
      <c r="B1488" s="19"/>
      <c r="P1488" s="16"/>
    </row>
    <row r="1489">
      <c r="A1489" s="19"/>
      <c r="B1489" s="19"/>
      <c r="P1489" s="16"/>
    </row>
    <row r="1490">
      <c r="A1490" s="19"/>
      <c r="B1490" s="19"/>
      <c r="P1490" s="16"/>
    </row>
    <row r="1491">
      <c r="A1491" s="19"/>
      <c r="B1491" s="19"/>
      <c r="P1491" s="16"/>
    </row>
    <row r="1492">
      <c r="A1492" s="19"/>
      <c r="B1492" s="19"/>
      <c r="P1492" s="16"/>
    </row>
    <row r="1493">
      <c r="A1493" s="19"/>
      <c r="B1493" s="19"/>
      <c r="P1493" s="16"/>
    </row>
    <row r="1494">
      <c r="A1494" s="19"/>
      <c r="B1494" s="19"/>
      <c r="P1494" s="16"/>
    </row>
    <row r="1495">
      <c r="A1495" s="19"/>
      <c r="B1495" s="19"/>
      <c r="P1495" s="16"/>
    </row>
    <row r="1496">
      <c r="A1496" s="19"/>
      <c r="B1496" s="19"/>
      <c r="P1496" s="16"/>
    </row>
    <row r="1497">
      <c r="A1497" s="19"/>
      <c r="B1497" s="19"/>
      <c r="P1497" s="16"/>
    </row>
    <row r="1498">
      <c r="A1498" s="19"/>
      <c r="B1498" s="19"/>
      <c r="P1498" s="16"/>
    </row>
    <row r="1499">
      <c r="A1499" s="19"/>
      <c r="B1499" s="19"/>
      <c r="P1499" s="16"/>
    </row>
    <row r="1500">
      <c r="A1500" s="19"/>
      <c r="B1500" s="19"/>
      <c r="P1500" s="16"/>
    </row>
    <row r="1501">
      <c r="A1501" s="19"/>
      <c r="B1501" s="19"/>
      <c r="P1501" s="16"/>
    </row>
    <row r="1502">
      <c r="A1502" s="19"/>
      <c r="B1502" s="19"/>
      <c r="P1502" s="16"/>
    </row>
    <row r="1503">
      <c r="A1503" s="19"/>
      <c r="B1503" s="19"/>
      <c r="P1503" s="16"/>
    </row>
    <row r="1504">
      <c r="A1504" s="19"/>
      <c r="B1504" s="19"/>
      <c r="P1504" s="16"/>
    </row>
    <row r="1505">
      <c r="A1505" s="19"/>
      <c r="B1505" s="19"/>
      <c r="P1505" s="16"/>
    </row>
    <row r="1506">
      <c r="A1506" s="19"/>
      <c r="B1506" s="19"/>
      <c r="P1506" s="16"/>
    </row>
    <row r="1507">
      <c r="A1507" s="19"/>
      <c r="B1507" s="19"/>
      <c r="P1507" s="16"/>
    </row>
    <row r="1508">
      <c r="A1508" s="19"/>
      <c r="B1508" s="19"/>
      <c r="P1508" s="16"/>
    </row>
    <row r="1509">
      <c r="A1509" s="19"/>
      <c r="B1509" s="19"/>
      <c r="P1509" s="16"/>
    </row>
    <row r="1510">
      <c r="A1510" s="19"/>
      <c r="B1510" s="19"/>
      <c r="P1510" s="16"/>
    </row>
    <row r="1511">
      <c r="A1511" s="19"/>
      <c r="B1511" s="19"/>
      <c r="P1511" s="16"/>
    </row>
    <row r="1512">
      <c r="A1512" s="19"/>
      <c r="B1512" s="19"/>
      <c r="P1512" s="16"/>
    </row>
    <row r="1513">
      <c r="A1513" s="19"/>
      <c r="B1513" s="19"/>
      <c r="P1513" s="16"/>
    </row>
    <row r="1514">
      <c r="A1514" s="19"/>
      <c r="B1514" s="19"/>
      <c r="P1514" s="16"/>
    </row>
    <row r="1515">
      <c r="A1515" s="19"/>
      <c r="B1515" s="19"/>
      <c r="P1515" s="16"/>
    </row>
    <row r="1516">
      <c r="A1516" s="19"/>
      <c r="B1516" s="19"/>
      <c r="P1516" s="16"/>
    </row>
    <row r="1517">
      <c r="A1517" s="19"/>
      <c r="B1517" s="19"/>
      <c r="P1517" s="16"/>
    </row>
    <row r="1518">
      <c r="A1518" s="19"/>
      <c r="B1518" s="19"/>
      <c r="P1518" s="16"/>
    </row>
    <row r="1519">
      <c r="A1519" s="19"/>
      <c r="B1519" s="19"/>
      <c r="P1519" s="16"/>
    </row>
    <row r="1520">
      <c r="A1520" s="19"/>
      <c r="B1520" s="19"/>
      <c r="P1520" s="16"/>
    </row>
    <row r="1521">
      <c r="A1521" s="19"/>
      <c r="B1521" s="19"/>
      <c r="P1521" s="16"/>
    </row>
    <row r="1522">
      <c r="A1522" s="19"/>
      <c r="B1522" s="19"/>
      <c r="P1522" s="16"/>
    </row>
    <row r="1523">
      <c r="A1523" s="19"/>
      <c r="B1523" s="19"/>
      <c r="P1523" s="16"/>
    </row>
    <row r="1524">
      <c r="A1524" s="19"/>
      <c r="B1524" s="19"/>
      <c r="P1524" s="16"/>
    </row>
    <row r="1525">
      <c r="A1525" s="19"/>
      <c r="B1525" s="19"/>
      <c r="P1525" s="16"/>
    </row>
    <row r="1526">
      <c r="A1526" s="19"/>
      <c r="B1526" s="19"/>
      <c r="P1526" s="16"/>
    </row>
    <row r="1527">
      <c r="A1527" s="19"/>
      <c r="B1527" s="19"/>
      <c r="P1527" s="16"/>
    </row>
    <row r="1528">
      <c r="A1528" s="19"/>
      <c r="B1528" s="19"/>
      <c r="P1528" s="16"/>
    </row>
    <row r="1529">
      <c r="A1529" s="19"/>
      <c r="B1529" s="19"/>
      <c r="P1529" s="16"/>
    </row>
    <row r="1530">
      <c r="A1530" s="19"/>
      <c r="B1530" s="19"/>
      <c r="P1530" s="16"/>
    </row>
    <row r="1531">
      <c r="A1531" s="19"/>
      <c r="B1531" s="19"/>
      <c r="P1531" s="16"/>
    </row>
    <row r="1532">
      <c r="A1532" s="19"/>
      <c r="B1532" s="19"/>
      <c r="P1532" s="16"/>
    </row>
    <row r="1533">
      <c r="A1533" s="19"/>
      <c r="B1533" s="19"/>
      <c r="P1533" s="16"/>
    </row>
    <row r="1534">
      <c r="A1534" s="19"/>
      <c r="B1534" s="19"/>
      <c r="P1534" s="16"/>
    </row>
    <row r="1535">
      <c r="A1535" s="19"/>
      <c r="B1535" s="19"/>
      <c r="P1535" s="16"/>
    </row>
    <row r="1536">
      <c r="A1536" s="19"/>
      <c r="B1536" s="19"/>
      <c r="P1536" s="16"/>
    </row>
    <row r="1537">
      <c r="A1537" s="19"/>
      <c r="B1537" s="19"/>
      <c r="P1537" s="16"/>
    </row>
    <row r="1538">
      <c r="A1538" s="19"/>
      <c r="B1538" s="19"/>
      <c r="P1538" s="16"/>
    </row>
    <row r="1539">
      <c r="A1539" s="19"/>
      <c r="B1539" s="19"/>
      <c r="P1539" s="16"/>
    </row>
    <row r="1540">
      <c r="A1540" s="19"/>
      <c r="B1540" s="19"/>
      <c r="P1540" s="16"/>
    </row>
    <row r="1541">
      <c r="A1541" s="19"/>
      <c r="B1541" s="19"/>
      <c r="P1541" s="16"/>
    </row>
    <row r="1542">
      <c r="A1542" s="19"/>
      <c r="B1542" s="19"/>
      <c r="P1542" s="16"/>
    </row>
    <row r="1543">
      <c r="A1543" s="19"/>
      <c r="B1543" s="19"/>
      <c r="P1543" s="16"/>
    </row>
    <row r="1544">
      <c r="A1544" s="19"/>
      <c r="B1544" s="19"/>
      <c r="P1544" s="16"/>
    </row>
    <row r="1545">
      <c r="A1545" s="19"/>
      <c r="B1545" s="19"/>
      <c r="P1545" s="16"/>
    </row>
    <row r="1546">
      <c r="A1546" s="19"/>
      <c r="B1546" s="19"/>
      <c r="P1546" s="16"/>
    </row>
    <row r="1547">
      <c r="A1547" s="19"/>
      <c r="B1547" s="19"/>
      <c r="P1547" s="16"/>
    </row>
    <row r="1548">
      <c r="A1548" s="19"/>
      <c r="B1548" s="19"/>
      <c r="P1548" s="16"/>
    </row>
    <row r="1549">
      <c r="A1549" s="19"/>
      <c r="B1549" s="19"/>
      <c r="P1549" s="16"/>
    </row>
    <row r="1550">
      <c r="A1550" s="19"/>
      <c r="B1550" s="19"/>
      <c r="P1550" s="16"/>
    </row>
    <row r="1551">
      <c r="A1551" s="19"/>
      <c r="B1551" s="19"/>
      <c r="P1551" s="16"/>
    </row>
    <row r="1552">
      <c r="A1552" s="19"/>
      <c r="B1552" s="19"/>
      <c r="P1552" s="16"/>
    </row>
    <row r="1553">
      <c r="A1553" s="19"/>
      <c r="B1553" s="19"/>
      <c r="P1553" s="16"/>
    </row>
    <row r="1554">
      <c r="A1554" s="19"/>
      <c r="B1554" s="19"/>
      <c r="P1554" s="16"/>
    </row>
    <row r="1555">
      <c r="A1555" s="19"/>
      <c r="B1555" s="19"/>
      <c r="P1555" s="16"/>
    </row>
    <row r="1556">
      <c r="A1556" s="19"/>
      <c r="B1556" s="19"/>
      <c r="P1556" s="16"/>
    </row>
    <row r="1557">
      <c r="A1557" s="19"/>
      <c r="B1557" s="19"/>
      <c r="P1557" s="16"/>
    </row>
    <row r="1558">
      <c r="A1558" s="19"/>
      <c r="B1558" s="19"/>
      <c r="P1558" s="16"/>
    </row>
    <row r="1559">
      <c r="A1559" s="19"/>
      <c r="B1559" s="19"/>
      <c r="P1559" s="16"/>
    </row>
    <row r="1560">
      <c r="A1560" s="19"/>
      <c r="B1560" s="19"/>
      <c r="P1560" s="16"/>
    </row>
    <row r="1561">
      <c r="A1561" s="19"/>
      <c r="B1561" s="19"/>
      <c r="P1561" s="16"/>
    </row>
    <row r="1562">
      <c r="A1562" s="19"/>
      <c r="B1562" s="19"/>
      <c r="P1562" s="16"/>
    </row>
    <row r="1563">
      <c r="A1563" s="19"/>
      <c r="B1563" s="19"/>
      <c r="P1563" s="16"/>
    </row>
    <row r="1564">
      <c r="A1564" s="19"/>
      <c r="B1564" s="19"/>
      <c r="P1564" s="16"/>
    </row>
    <row r="1565">
      <c r="A1565" s="19"/>
      <c r="B1565" s="19"/>
      <c r="P1565" s="16"/>
    </row>
    <row r="1566">
      <c r="A1566" s="19"/>
      <c r="B1566" s="19"/>
      <c r="P1566" s="16"/>
    </row>
    <row r="1567">
      <c r="A1567" s="19"/>
      <c r="B1567" s="19"/>
      <c r="P1567" s="16"/>
    </row>
    <row r="1568">
      <c r="A1568" s="19"/>
      <c r="B1568" s="19"/>
      <c r="P1568" s="16"/>
    </row>
    <row r="1569">
      <c r="A1569" s="19"/>
      <c r="B1569" s="19"/>
      <c r="P1569" s="16"/>
    </row>
    <row r="1570">
      <c r="A1570" s="19"/>
      <c r="B1570" s="19"/>
      <c r="P1570" s="16"/>
    </row>
    <row r="1571">
      <c r="A1571" s="19"/>
      <c r="B1571" s="19"/>
      <c r="P1571" s="16"/>
    </row>
    <row r="1572">
      <c r="A1572" s="19"/>
      <c r="B1572" s="19"/>
      <c r="P1572" s="16"/>
    </row>
    <row r="1573">
      <c r="A1573" s="19"/>
      <c r="B1573" s="19"/>
      <c r="P1573" s="16"/>
    </row>
    <row r="1574">
      <c r="A1574" s="19"/>
      <c r="B1574" s="19"/>
      <c r="P1574" s="16"/>
    </row>
    <row r="1575">
      <c r="A1575" s="19"/>
      <c r="B1575" s="19"/>
      <c r="P1575" s="16"/>
    </row>
    <row r="1576">
      <c r="A1576" s="19"/>
      <c r="B1576" s="19"/>
      <c r="P1576" s="16"/>
    </row>
    <row r="1577">
      <c r="A1577" s="19"/>
      <c r="B1577" s="19"/>
      <c r="P1577" s="16"/>
    </row>
    <row r="1578">
      <c r="A1578" s="19"/>
      <c r="B1578" s="19"/>
      <c r="P1578" s="16"/>
    </row>
    <row r="1579">
      <c r="A1579" s="19"/>
      <c r="B1579" s="19"/>
      <c r="P1579" s="16"/>
    </row>
    <row r="1580">
      <c r="A1580" s="19"/>
      <c r="B1580" s="19"/>
      <c r="P1580" s="16"/>
    </row>
    <row r="1581">
      <c r="A1581" s="19"/>
      <c r="B1581" s="19"/>
      <c r="P1581" s="16"/>
    </row>
    <row r="1582">
      <c r="A1582" s="19"/>
      <c r="B1582" s="19"/>
      <c r="P1582" s="16"/>
    </row>
    <row r="1583">
      <c r="A1583" s="19"/>
      <c r="B1583" s="19"/>
      <c r="P1583" s="16"/>
    </row>
    <row r="1584">
      <c r="A1584" s="19"/>
      <c r="B1584" s="19"/>
      <c r="P1584" s="16"/>
    </row>
    <row r="1585">
      <c r="A1585" s="19"/>
      <c r="B1585" s="19"/>
      <c r="P1585" s="16"/>
    </row>
    <row r="1586">
      <c r="A1586" s="19"/>
      <c r="B1586" s="19"/>
      <c r="P1586" s="16"/>
    </row>
    <row r="1587">
      <c r="A1587" s="19"/>
      <c r="B1587" s="19"/>
      <c r="P1587" s="16"/>
    </row>
    <row r="1588">
      <c r="A1588" s="19"/>
      <c r="B1588" s="19"/>
      <c r="P1588" s="16"/>
    </row>
    <row r="1589">
      <c r="A1589" s="19"/>
      <c r="B1589" s="19"/>
      <c r="P1589" s="16"/>
    </row>
    <row r="1590">
      <c r="A1590" s="19"/>
      <c r="B1590" s="19"/>
      <c r="P1590" s="16"/>
    </row>
    <row r="1591">
      <c r="A1591" s="19"/>
      <c r="B1591" s="19"/>
      <c r="P1591" s="16"/>
    </row>
    <row r="1592">
      <c r="A1592" s="19"/>
      <c r="B1592" s="19"/>
      <c r="P1592" s="16"/>
    </row>
    <row r="1593">
      <c r="A1593" s="19"/>
      <c r="B1593" s="19"/>
      <c r="P1593" s="16"/>
    </row>
    <row r="1594">
      <c r="A1594" s="19"/>
      <c r="B1594" s="19"/>
      <c r="P1594" s="16"/>
    </row>
    <row r="1595">
      <c r="A1595" s="19"/>
      <c r="B1595" s="19"/>
      <c r="P1595" s="16"/>
    </row>
    <row r="1596">
      <c r="A1596" s="19"/>
      <c r="B1596" s="19"/>
      <c r="P1596" s="16"/>
    </row>
    <row r="1597">
      <c r="A1597" s="19"/>
      <c r="B1597" s="19"/>
      <c r="P1597" s="16"/>
    </row>
    <row r="1598">
      <c r="A1598" s="19"/>
      <c r="B1598" s="19"/>
      <c r="P1598" s="16"/>
    </row>
    <row r="1599">
      <c r="A1599" s="19"/>
      <c r="B1599" s="19"/>
      <c r="P1599" s="16"/>
    </row>
    <row r="1600">
      <c r="A1600" s="19"/>
      <c r="B1600" s="19"/>
      <c r="P1600" s="16"/>
    </row>
    <row r="1601">
      <c r="A1601" s="19"/>
      <c r="B1601" s="19"/>
      <c r="P1601" s="16"/>
    </row>
    <row r="1602">
      <c r="A1602" s="19"/>
      <c r="B1602" s="19"/>
      <c r="P1602" s="16"/>
    </row>
    <row r="1603">
      <c r="A1603" s="19"/>
      <c r="B1603" s="19"/>
      <c r="P1603" s="16"/>
    </row>
    <row r="1604">
      <c r="A1604" s="19"/>
      <c r="B1604" s="19"/>
      <c r="P1604" s="16"/>
    </row>
    <row r="1605">
      <c r="A1605" s="19"/>
      <c r="B1605" s="19"/>
      <c r="P1605" s="16"/>
    </row>
    <row r="1606">
      <c r="A1606" s="19"/>
      <c r="B1606" s="19"/>
      <c r="P1606" s="16"/>
    </row>
    <row r="1607">
      <c r="A1607" s="19"/>
      <c r="B1607" s="19"/>
      <c r="P1607" s="16"/>
    </row>
    <row r="1608">
      <c r="A1608" s="19"/>
      <c r="B1608" s="19"/>
      <c r="P1608" s="16"/>
    </row>
    <row r="1609">
      <c r="A1609" s="19"/>
      <c r="B1609" s="19"/>
      <c r="P1609" s="16"/>
    </row>
    <row r="1610">
      <c r="A1610" s="19"/>
      <c r="B1610" s="19"/>
      <c r="P1610" s="16"/>
    </row>
    <row r="1611">
      <c r="A1611" s="19"/>
      <c r="B1611" s="19"/>
      <c r="P1611" s="16"/>
    </row>
    <row r="1612">
      <c r="A1612" s="19"/>
      <c r="B1612" s="19"/>
      <c r="P1612" s="16"/>
    </row>
    <row r="1613">
      <c r="A1613" s="19"/>
      <c r="B1613" s="19"/>
      <c r="P1613" s="16"/>
    </row>
    <row r="1614">
      <c r="A1614" s="19"/>
      <c r="B1614" s="19"/>
      <c r="P1614" s="16"/>
    </row>
    <row r="1615">
      <c r="A1615" s="19"/>
      <c r="B1615" s="19"/>
      <c r="P1615" s="16"/>
    </row>
    <row r="1616">
      <c r="A1616" s="19"/>
      <c r="B1616" s="19"/>
      <c r="P1616" s="16"/>
    </row>
    <row r="1617">
      <c r="A1617" s="19"/>
      <c r="B1617" s="19"/>
      <c r="P1617" s="16"/>
    </row>
    <row r="1618">
      <c r="A1618" s="19"/>
      <c r="B1618" s="19"/>
      <c r="P1618" s="16"/>
    </row>
    <row r="1619">
      <c r="A1619" s="19"/>
      <c r="B1619" s="19"/>
      <c r="P1619" s="16"/>
    </row>
    <row r="1620">
      <c r="A1620" s="19"/>
      <c r="B1620" s="19"/>
      <c r="P1620" s="16"/>
    </row>
    <row r="1621">
      <c r="A1621" s="19"/>
      <c r="B1621" s="19"/>
      <c r="P1621" s="16"/>
    </row>
    <row r="1622">
      <c r="A1622" s="19"/>
      <c r="B1622" s="19"/>
      <c r="P1622" s="16"/>
    </row>
    <row r="1623">
      <c r="A1623" s="19"/>
      <c r="B1623" s="19"/>
      <c r="P1623" s="16"/>
    </row>
    <row r="1624">
      <c r="A1624" s="19"/>
      <c r="B1624" s="19"/>
      <c r="P1624" s="16"/>
    </row>
    <row r="1625">
      <c r="A1625" s="19"/>
      <c r="B1625" s="19"/>
      <c r="P1625" s="16"/>
    </row>
    <row r="1626">
      <c r="A1626" s="19"/>
      <c r="B1626" s="19"/>
      <c r="P1626" s="16"/>
    </row>
    <row r="1627">
      <c r="A1627" s="19"/>
      <c r="B1627" s="19"/>
      <c r="P1627" s="16"/>
    </row>
    <row r="1628">
      <c r="A1628" s="19"/>
      <c r="B1628" s="19"/>
      <c r="P1628" s="16"/>
    </row>
    <row r="1629">
      <c r="A1629" s="19"/>
      <c r="B1629" s="19"/>
      <c r="P1629" s="16"/>
    </row>
    <row r="1630">
      <c r="A1630" s="19"/>
      <c r="B1630" s="19"/>
      <c r="P1630" s="16"/>
    </row>
    <row r="1631">
      <c r="A1631" s="19"/>
      <c r="B1631" s="19"/>
      <c r="P1631" s="16"/>
    </row>
    <row r="1632">
      <c r="A1632" s="19"/>
      <c r="B1632" s="19"/>
      <c r="P1632" s="16"/>
    </row>
    <row r="1633">
      <c r="A1633" s="19"/>
      <c r="B1633" s="19"/>
      <c r="P1633" s="16"/>
    </row>
    <row r="1634">
      <c r="A1634" s="19"/>
      <c r="B1634" s="19"/>
      <c r="P1634" s="16"/>
    </row>
    <row r="1635">
      <c r="A1635" s="19"/>
      <c r="B1635" s="19"/>
      <c r="P1635" s="16"/>
    </row>
    <row r="1636">
      <c r="A1636" s="19"/>
      <c r="B1636" s="19"/>
      <c r="P1636" s="16"/>
    </row>
    <row r="1637">
      <c r="A1637" s="19"/>
      <c r="B1637" s="19"/>
      <c r="P1637" s="16"/>
    </row>
    <row r="1638">
      <c r="A1638" s="19"/>
      <c r="B1638" s="19"/>
      <c r="P1638" s="16"/>
    </row>
    <row r="1639">
      <c r="A1639" s="19"/>
      <c r="B1639" s="19"/>
      <c r="P1639" s="16"/>
    </row>
    <row r="1640">
      <c r="A1640" s="19"/>
      <c r="B1640" s="19"/>
      <c r="P1640" s="16"/>
    </row>
    <row r="1641">
      <c r="A1641" s="19"/>
      <c r="B1641" s="19"/>
      <c r="P1641" s="16"/>
    </row>
    <row r="1642">
      <c r="A1642" s="19"/>
      <c r="B1642" s="19"/>
      <c r="P1642" s="16"/>
    </row>
    <row r="1643">
      <c r="A1643" s="19"/>
      <c r="B1643" s="19"/>
      <c r="P1643" s="16"/>
    </row>
    <row r="1644">
      <c r="A1644" s="19"/>
      <c r="B1644" s="19"/>
      <c r="P1644" s="16"/>
    </row>
    <row r="1645">
      <c r="A1645" s="19"/>
      <c r="B1645" s="19"/>
      <c r="P1645" s="16"/>
    </row>
    <row r="1646">
      <c r="A1646" s="19"/>
      <c r="B1646" s="19"/>
      <c r="P1646" s="16"/>
    </row>
    <row r="1647">
      <c r="A1647" s="19"/>
      <c r="B1647" s="19"/>
      <c r="P1647" s="16"/>
    </row>
    <row r="1648">
      <c r="A1648" s="19"/>
      <c r="B1648" s="19"/>
      <c r="P1648" s="16"/>
    </row>
    <row r="1649">
      <c r="A1649" s="19"/>
      <c r="B1649" s="19"/>
      <c r="P1649" s="16"/>
    </row>
    <row r="1650">
      <c r="A1650" s="19"/>
      <c r="B1650" s="19"/>
      <c r="P1650" s="16"/>
    </row>
    <row r="1651">
      <c r="A1651" s="19"/>
      <c r="B1651" s="19"/>
      <c r="P1651" s="16"/>
    </row>
    <row r="1652">
      <c r="A1652" s="19"/>
      <c r="B1652" s="19"/>
      <c r="P1652" s="16"/>
    </row>
    <row r="1653">
      <c r="A1653" s="19"/>
      <c r="B1653" s="19"/>
      <c r="P1653" s="16"/>
    </row>
    <row r="1654">
      <c r="A1654" s="19"/>
      <c r="B1654" s="19"/>
      <c r="P1654" s="16"/>
    </row>
    <row r="1655">
      <c r="A1655" s="19"/>
      <c r="B1655" s="19"/>
      <c r="P1655" s="16"/>
    </row>
    <row r="1656">
      <c r="A1656" s="19"/>
      <c r="B1656" s="19"/>
      <c r="P1656" s="16"/>
    </row>
    <row r="1657">
      <c r="A1657" s="19"/>
      <c r="B1657" s="19"/>
      <c r="P1657" s="16"/>
    </row>
    <row r="1658">
      <c r="A1658" s="19"/>
      <c r="B1658" s="19"/>
      <c r="P1658" s="16"/>
    </row>
    <row r="1659">
      <c r="A1659" s="19"/>
      <c r="B1659" s="19"/>
      <c r="P1659" s="16"/>
    </row>
    <row r="1660">
      <c r="A1660" s="19"/>
      <c r="B1660" s="19"/>
      <c r="P1660" s="16"/>
    </row>
    <row r="1661">
      <c r="A1661" s="19"/>
      <c r="B1661" s="19"/>
      <c r="P1661" s="16"/>
    </row>
    <row r="1662">
      <c r="A1662" s="19"/>
      <c r="B1662" s="19"/>
      <c r="P1662" s="16"/>
    </row>
    <row r="1663">
      <c r="A1663" s="19"/>
      <c r="B1663" s="19"/>
      <c r="P1663" s="16"/>
    </row>
    <row r="1664">
      <c r="A1664" s="19"/>
      <c r="B1664" s="19"/>
      <c r="P1664" s="16"/>
    </row>
    <row r="1665">
      <c r="A1665" s="19"/>
      <c r="B1665" s="19"/>
      <c r="P1665" s="16"/>
    </row>
    <row r="1666">
      <c r="A1666" s="19"/>
      <c r="B1666" s="19"/>
      <c r="P1666" s="16"/>
    </row>
    <row r="1667">
      <c r="A1667" s="19"/>
      <c r="B1667" s="19"/>
      <c r="P1667" s="16"/>
    </row>
    <row r="1668">
      <c r="A1668" s="19"/>
      <c r="B1668" s="19"/>
      <c r="P1668" s="16"/>
    </row>
    <row r="1669">
      <c r="A1669" s="19"/>
      <c r="B1669" s="19"/>
      <c r="P1669" s="16"/>
    </row>
    <row r="1670">
      <c r="A1670" s="19"/>
      <c r="B1670" s="19"/>
      <c r="P1670" s="16"/>
    </row>
    <row r="1671">
      <c r="A1671" s="19"/>
      <c r="B1671" s="19"/>
      <c r="P1671" s="16"/>
    </row>
    <row r="1672">
      <c r="A1672" s="19"/>
      <c r="B1672" s="19"/>
      <c r="P1672" s="16"/>
    </row>
    <row r="1673">
      <c r="A1673" s="19"/>
      <c r="B1673" s="19"/>
      <c r="P1673" s="16"/>
    </row>
    <row r="1674">
      <c r="A1674" s="19"/>
      <c r="B1674" s="19"/>
      <c r="P1674" s="16"/>
    </row>
    <row r="1675">
      <c r="A1675" s="19"/>
      <c r="B1675" s="19"/>
      <c r="P1675" s="16"/>
    </row>
    <row r="1676">
      <c r="A1676" s="19"/>
      <c r="B1676" s="19"/>
      <c r="P1676" s="16"/>
    </row>
    <row r="1677">
      <c r="A1677" s="19"/>
      <c r="B1677" s="19"/>
      <c r="P1677" s="16"/>
    </row>
    <row r="1678">
      <c r="A1678" s="19"/>
      <c r="B1678" s="19"/>
      <c r="P1678" s="16"/>
    </row>
    <row r="1679">
      <c r="A1679" s="19"/>
      <c r="B1679" s="19"/>
      <c r="P1679" s="16"/>
    </row>
    <row r="1680">
      <c r="A1680" s="19"/>
      <c r="B1680" s="19"/>
      <c r="P1680" s="16"/>
    </row>
    <row r="1681">
      <c r="A1681" s="19"/>
      <c r="B1681" s="19"/>
      <c r="P1681" s="16"/>
    </row>
    <row r="1682">
      <c r="A1682" s="19"/>
      <c r="B1682" s="19"/>
      <c r="P1682" s="16"/>
    </row>
    <row r="1683">
      <c r="A1683" s="19"/>
      <c r="B1683" s="19"/>
      <c r="P1683" s="16"/>
    </row>
    <row r="1684">
      <c r="A1684" s="19"/>
      <c r="B1684" s="19"/>
      <c r="P1684" s="16"/>
    </row>
    <row r="1685">
      <c r="A1685" s="19"/>
      <c r="B1685" s="19"/>
      <c r="P1685" s="16"/>
    </row>
    <row r="1686">
      <c r="A1686" s="19"/>
      <c r="B1686" s="19"/>
      <c r="P1686" s="16"/>
    </row>
    <row r="1687">
      <c r="A1687" s="19"/>
      <c r="B1687" s="19"/>
      <c r="P1687" s="16"/>
    </row>
    <row r="1688">
      <c r="A1688" s="19"/>
      <c r="B1688" s="19"/>
      <c r="P1688" s="16"/>
    </row>
    <row r="1689">
      <c r="A1689" s="19"/>
      <c r="B1689" s="19"/>
      <c r="P1689" s="16"/>
    </row>
    <row r="1690">
      <c r="A1690" s="19"/>
      <c r="B1690" s="19"/>
      <c r="P1690" s="16"/>
    </row>
    <row r="1691">
      <c r="A1691" s="19"/>
      <c r="B1691" s="19"/>
      <c r="P1691" s="16"/>
    </row>
    <row r="1692">
      <c r="A1692" s="19"/>
      <c r="B1692" s="19"/>
      <c r="P1692" s="16"/>
    </row>
    <row r="1693">
      <c r="A1693" s="19"/>
      <c r="B1693" s="19"/>
      <c r="P1693" s="16"/>
    </row>
    <row r="1694">
      <c r="A1694" s="19"/>
      <c r="B1694" s="19"/>
      <c r="P1694" s="16"/>
    </row>
    <row r="1695">
      <c r="A1695" s="19"/>
      <c r="B1695" s="19"/>
      <c r="P1695" s="16"/>
    </row>
    <row r="1696">
      <c r="A1696" s="19"/>
      <c r="B1696" s="19"/>
      <c r="P1696" s="16"/>
    </row>
    <row r="1697">
      <c r="A1697" s="19"/>
      <c r="B1697" s="19"/>
      <c r="P1697" s="16"/>
    </row>
    <row r="1698">
      <c r="A1698" s="19"/>
      <c r="B1698" s="19"/>
      <c r="P1698" s="16"/>
    </row>
    <row r="1699">
      <c r="A1699" s="19"/>
      <c r="B1699" s="19"/>
      <c r="P1699" s="16"/>
    </row>
    <row r="1700">
      <c r="A1700" s="19"/>
      <c r="B1700" s="19"/>
      <c r="P1700" s="16"/>
    </row>
    <row r="1701">
      <c r="A1701" s="19"/>
      <c r="B1701" s="19"/>
      <c r="P1701" s="16"/>
    </row>
    <row r="1702">
      <c r="A1702" s="19"/>
      <c r="B1702" s="19"/>
      <c r="P1702" s="16"/>
    </row>
    <row r="1703">
      <c r="A1703" s="19"/>
      <c r="B1703" s="19"/>
      <c r="P1703" s="16"/>
    </row>
    <row r="1704">
      <c r="A1704" s="19"/>
      <c r="B1704" s="19"/>
      <c r="P1704" s="16"/>
    </row>
    <row r="1705">
      <c r="A1705" s="19"/>
      <c r="B1705" s="19"/>
      <c r="P1705" s="16"/>
    </row>
    <row r="1706">
      <c r="A1706" s="19"/>
      <c r="B1706" s="19"/>
      <c r="P1706" s="16"/>
    </row>
    <row r="1707">
      <c r="A1707" s="19"/>
      <c r="B1707" s="19"/>
      <c r="P1707" s="16"/>
    </row>
    <row r="1708">
      <c r="A1708" s="19"/>
      <c r="B1708" s="19"/>
      <c r="P1708" s="16"/>
    </row>
    <row r="1709">
      <c r="A1709" s="19"/>
      <c r="B1709" s="19"/>
      <c r="P1709" s="16"/>
    </row>
    <row r="1710">
      <c r="A1710" s="19"/>
      <c r="B1710" s="19"/>
      <c r="P1710" s="16"/>
    </row>
    <row r="1711">
      <c r="A1711" s="19"/>
      <c r="B1711" s="19"/>
      <c r="P1711" s="16"/>
    </row>
    <row r="1712">
      <c r="A1712" s="19"/>
      <c r="B1712" s="19"/>
      <c r="P1712" s="16"/>
    </row>
    <row r="1713">
      <c r="A1713" s="19"/>
      <c r="B1713" s="19"/>
      <c r="P1713" s="16"/>
    </row>
    <row r="1714">
      <c r="A1714" s="19"/>
      <c r="B1714" s="19"/>
      <c r="P1714" s="16"/>
    </row>
    <row r="1715">
      <c r="A1715" s="19"/>
      <c r="B1715" s="19"/>
      <c r="P1715" s="16"/>
    </row>
    <row r="1716">
      <c r="A1716" s="19"/>
      <c r="B1716" s="19"/>
      <c r="P1716" s="16"/>
    </row>
    <row r="1717">
      <c r="A1717" s="19"/>
      <c r="B1717" s="19"/>
      <c r="P1717" s="16"/>
    </row>
    <row r="1718">
      <c r="A1718" s="19"/>
      <c r="B1718" s="19"/>
      <c r="P1718" s="16"/>
    </row>
    <row r="1719">
      <c r="A1719" s="19"/>
      <c r="B1719" s="19"/>
      <c r="P1719" s="16"/>
    </row>
    <row r="1720">
      <c r="A1720" s="19"/>
      <c r="B1720" s="19"/>
      <c r="P1720" s="16"/>
    </row>
    <row r="1721">
      <c r="A1721" s="19"/>
      <c r="B1721" s="19"/>
      <c r="P1721" s="16"/>
    </row>
    <row r="1722">
      <c r="A1722" s="19"/>
      <c r="B1722" s="19"/>
      <c r="P1722" s="16"/>
    </row>
    <row r="1723">
      <c r="A1723" s="19"/>
      <c r="B1723" s="19"/>
      <c r="P1723" s="16"/>
    </row>
    <row r="1724">
      <c r="A1724" s="19"/>
      <c r="B1724" s="19"/>
      <c r="P1724" s="16"/>
    </row>
    <row r="1725">
      <c r="A1725" s="19"/>
      <c r="B1725" s="19"/>
      <c r="P1725" s="16"/>
    </row>
    <row r="1726">
      <c r="A1726" s="19"/>
      <c r="B1726" s="19"/>
      <c r="P1726" s="16"/>
    </row>
    <row r="1727">
      <c r="A1727" s="19"/>
      <c r="B1727" s="19"/>
      <c r="P1727" s="16"/>
    </row>
    <row r="1728">
      <c r="A1728" s="19"/>
      <c r="B1728" s="19"/>
      <c r="P1728" s="16"/>
    </row>
    <row r="1729">
      <c r="A1729" s="19"/>
      <c r="B1729" s="19"/>
      <c r="P1729" s="16"/>
    </row>
    <row r="1730">
      <c r="A1730" s="19"/>
      <c r="B1730" s="19"/>
      <c r="P1730" s="16"/>
    </row>
    <row r="1731">
      <c r="A1731" s="19"/>
      <c r="B1731" s="19"/>
      <c r="P1731" s="16"/>
    </row>
    <row r="1732">
      <c r="A1732" s="19"/>
      <c r="B1732" s="19"/>
      <c r="P1732" s="16"/>
    </row>
    <row r="1733">
      <c r="A1733" s="19"/>
      <c r="B1733" s="19"/>
      <c r="P1733" s="16"/>
    </row>
    <row r="1734">
      <c r="A1734" s="19"/>
      <c r="B1734" s="19"/>
      <c r="P1734" s="16"/>
    </row>
    <row r="1735">
      <c r="A1735" s="19"/>
      <c r="B1735" s="19"/>
      <c r="P1735" s="16"/>
    </row>
    <row r="1736">
      <c r="A1736" s="19"/>
      <c r="B1736" s="19"/>
      <c r="P1736" s="16"/>
    </row>
    <row r="1737">
      <c r="A1737" s="19"/>
      <c r="B1737" s="19"/>
      <c r="P1737" s="16"/>
    </row>
    <row r="1738">
      <c r="A1738" s="19"/>
      <c r="B1738" s="19"/>
      <c r="P1738" s="16"/>
    </row>
    <row r="1739">
      <c r="A1739" s="19"/>
      <c r="B1739" s="19"/>
      <c r="P1739" s="16"/>
    </row>
    <row r="1740">
      <c r="A1740" s="19"/>
      <c r="B1740" s="19"/>
      <c r="P1740" s="16"/>
    </row>
    <row r="1741">
      <c r="A1741" s="19"/>
      <c r="B1741" s="19"/>
      <c r="P1741" s="16"/>
    </row>
    <row r="1742">
      <c r="A1742" s="19"/>
      <c r="B1742" s="19"/>
      <c r="P1742" s="16"/>
    </row>
    <row r="1743">
      <c r="A1743" s="19"/>
      <c r="B1743" s="19"/>
      <c r="P1743" s="16"/>
    </row>
    <row r="1744">
      <c r="A1744" s="19"/>
      <c r="B1744" s="19"/>
      <c r="P1744" s="16"/>
    </row>
    <row r="1745">
      <c r="A1745" s="19"/>
      <c r="B1745" s="19"/>
      <c r="P1745" s="16"/>
    </row>
    <row r="1746">
      <c r="A1746" s="19"/>
      <c r="B1746" s="19"/>
      <c r="P1746" s="16"/>
    </row>
    <row r="1747">
      <c r="A1747" s="19"/>
      <c r="B1747" s="19"/>
      <c r="P1747" s="16"/>
    </row>
    <row r="1748">
      <c r="A1748" s="19"/>
      <c r="B1748" s="19"/>
      <c r="P1748" s="16"/>
    </row>
    <row r="1749">
      <c r="A1749" s="19"/>
      <c r="B1749" s="19"/>
      <c r="P1749" s="16"/>
    </row>
    <row r="1750">
      <c r="A1750" s="19"/>
      <c r="B1750" s="19"/>
      <c r="P1750" s="16"/>
    </row>
    <row r="1751">
      <c r="A1751" s="19"/>
      <c r="B1751" s="19"/>
      <c r="P1751" s="16"/>
    </row>
    <row r="1752">
      <c r="A1752" s="19"/>
      <c r="B1752" s="19"/>
      <c r="P1752" s="16"/>
    </row>
    <row r="1753">
      <c r="A1753" s="19"/>
      <c r="B1753" s="19"/>
      <c r="P1753" s="16"/>
    </row>
    <row r="1754">
      <c r="A1754" s="19"/>
      <c r="B1754" s="19"/>
      <c r="P1754" s="16"/>
    </row>
    <row r="1755">
      <c r="A1755" s="19"/>
      <c r="B1755" s="19"/>
      <c r="P1755" s="16"/>
    </row>
    <row r="1756">
      <c r="A1756" s="19"/>
      <c r="B1756" s="19"/>
      <c r="P1756" s="16"/>
    </row>
    <row r="1757">
      <c r="A1757" s="19"/>
      <c r="B1757" s="19"/>
      <c r="P1757" s="16"/>
    </row>
    <row r="1758">
      <c r="A1758" s="19"/>
      <c r="B1758" s="19"/>
      <c r="P1758" s="16"/>
    </row>
    <row r="1759">
      <c r="A1759" s="19"/>
      <c r="B1759" s="19"/>
      <c r="P1759" s="16"/>
    </row>
    <row r="1760">
      <c r="A1760" s="19"/>
      <c r="B1760" s="19"/>
      <c r="P1760" s="16"/>
    </row>
    <row r="1761">
      <c r="A1761" s="19"/>
      <c r="B1761" s="19"/>
      <c r="P1761" s="16"/>
    </row>
    <row r="1762">
      <c r="A1762" s="19"/>
      <c r="B1762" s="19"/>
      <c r="P1762" s="16"/>
    </row>
    <row r="1763">
      <c r="A1763" s="19"/>
      <c r="B1763" s="19"/>
      <c r="P1763" s="16"/>
    </row>
    <row r="1764">
      <c r="A1764" s="19"/>
      <c r="B1764" s="19"/>
      <c r="P1764" s="16"/>
    </row>
    <row r="1765">
      <c r="A1765" s="19"/>
      <c r="B1765" s="19"/>
      <c r="P1765" s="16"/>
    </row>
    <row r="1766">
      <c r="A1766" s="19"/>
      <c r="B1766" s="19"/>
      <c r="P1766" s="16"/>
    </row>
    <row r="1767">
      <c r="A1767" s="19"/>
      <c r="B1767" s="19"/>
      <c r="P1767" s="16"/>
    </row>
    <row r="1768">
      <c r="A1768" s="19"/>
      <c r="B1768" s="19"/>
      <c r="P1768" s="16"/>
    </row>
    <row r="1769">
      <c r="A1769" s="19"/>
      <c r="B1769" s="19"/>
      <c r="P1769" s="16"/>
    </row>
    <row r="1770">
      <c r="A1770" s="19"/>
      <c r="B1770" s="19"/>
      <c r="P1770" s="16"/>
    </row>
    <row r="1771">
      <c r="A1771" s="19"/>
      <c r="B1771" s="19"/>
      <c r="P1771" s="16"/>
    </row>
    <row r="1772">
      <c r="A1772" s="19"/>
      <c r="B1772" s="19"/>
      <c r="P1772" s="16"/>
    </row>
    <row r="1773">
      <c r="A1773" s="19"/>
      <c r="B1773" s="19"/>
      <c r="P1773" s="16"/>
    </row>
    <row r="1774">
      <c r="A1774" s="19"/>
      <c r="B1774" s="19"/>
      <c r="P1774" s="16"/>
    </row>
    <row r="1775">
      <c r="A1775" s="19"/>
      <c r="B1775" s="19"/>
      <c r="P1775" s="16"/>
    </row>
    <row r="1776">
      <c r="A1776" s="19"/>
      <c r="B1776" s="19"/>
      <c r="P1776" s="16"/>
    </row>
    <row r="1777">
      <c r="A1777" s="19"/>
      <c r="B1777" s="19"/>
      <c r="P1777" s="16"/>
    </row>
    <row r="1778">
      <c r="A1778" s="19"/>
      <c r="B1778" s="19"/>
      <c r="P1778" s="16"/>
    </row>
    <row r="1779">
      <c r="A1779" s="19"/>
      <c r="B1779" s="19"/>
      <c r="P1779" s="16"/>
    </row>
    <row r="1780">
      <c r="A1780" s="19"/>
      <c r="B1780" s="19"/>
      <c r="P1780" s="16"/>
    </row>
    <row r="1781">
      <c r="A1781" s="19"/>
      <c r="B1781" s="19"/>
      <c r="P1781" s="16"/>
    </row>
    <row r="1782">
      <c r="A1782" s="19"/>
      <c r="B1782" s="19"/>
      <c r="P1782" s="16"/>
    </row>
    <row r="1783">
      <c r="A1783" s="19"/>
      <c r="B1783" s="19"/>
      <c r="P1783" s="16"/>
    </row>
    <row r="1784">
      <c r="A1784" s="19"/>
      <c r="B1784" s="19"/>
      <c r="P1784" s="16"/>
    </row>
    <row r="1785">
      <c r="A1785" s="19"/>
      <c r="B1785" s="19"/>
      <c r="P1785" s="16"/>
    </row>
    <row r="1786">
      <c r="A1786" s="19"/>
      <c r="B1786" s="19"/>
      <c r="P1786" s="16"/>
    </row>
    <row r="1787">
      <c r="A1787" s="19"/>
      <c r="B1787" s="19"/>
      <c r="P1787" s="16"/>
    </row>
    <row r="1788">
      <c r="A1788" s="19"/>
      <c r="B1788" s="19"/>
      <c r="P1788" s="16"/>
    </row>
    <row r="1789">
      <c r="A1789" s="19"/>
      <c r="B1789" s="19"/>
      <c r="P1789" s="16"/>
    </row>
    <row r="1790">
      <c r="A1790" s="19"/>
      <c r="B1790" s="19"/>
      <c r="P1790" s="16"/>
    </row>
    <row r="1791">
      <c r="A1791" s="19"/>
      <c r="B1791" s="19"/>
      <c r="P1791" s="16"/>
    </row>
    <row r="1792">
      <c r="A1792" s="19"/>
      <c r="B1792" s="19"/>
      <c r="P1792" s="16"/>
    </row>
    <row r="1793">
      <c r="A1793" s="19"/>
      <c r="B1793" s="19"/>
      <c r="P1793" s="16"/>
    </row>
    <row r="1794">
      <c r="A1794" s="19"/>
      <c r="B1794" s="19"/>
      <c r="P1794" s="16"/>
    </row>
    <row r="1795">
      <c r="A1795" s="19"/>
      <c r="B1795" s="19"/>
      <c r="P1795" s="16"/>
    </row>
    <row r="1796">
      <c r="A1796" s="19"/>
      <c r="B1796" s="19"/>
      <c r="P1796" s="16"/>
    </row>
    <row r="1797">
      <c r="A1797" s="19"/>
      <c r="B1797" s="19"/>
      <c r="P1797" s="16"/>
    </row>
    <row r="1798">
      <c r="A1798" s="19"/>
      <c r="B1798" s="19"/>
      <c r="P1798" s="16"/>
    </row>
    <row r="1799">
      <c r="A1799" s="19"/>
      <c r="B1799" s="19"/>
      <c r="P1799" s="16"/>
    </row>
    <row r="1800">
      <c r="A1800" s="19"/>
      <c r="B1800" s="19"/>
      <c r="P1800" s="16"/>
    </row>
    <row r="1801">
      <c r="A1801" s="19"/>
      <c r="B1801" s="19"/>
      <c r="P1801" s="16"/>
    </row>
    <row r="1802">
      <c r="A1802" s="19"/>
      <c r="B1802" s="19"/>
      <c r="P1802" s="16"/>
    </row>
    <row r="1803">
      <c r="A1803" s="19"/>
      <c r="B1803" s="19"/>
      <c r="P1803" s="16"/>
    </row>
    <row r="1804">
      <c r="A1804" s="19"/>
      <c r="B1804" s="19"/>
      <c r="P1804" s="16"/>
    </row>
    <row r="1805">
      <c r="A1805" s="19"/>
      <c r="B1805" s="19"/>
      <c r="P1805" s="16"/>
    </row>
    <row r="1806">
      <c r="A1806" s="19"/>
      <c r="B1806" s="19"/>
      <c r="P1806" s="16"/>
    </row>
    <row r="1807">
      <c r="A1807" s="19"/>
      <c r="B1807" s="19"/>
      <c r="P1807" s="16"/>
    </row>
    <row r="1808">
      <c r="A1808" s="19"/>
      <c r="B1808" s="19"/>
      <c r="P1808" s="16"/>
    </row>
    <row r="1809">
      <c r="A1809" s="19"/>
      <c r="B1809" s="19"/>
      <c r="P1809" s="16"/>
    </row>
    <row r="1810">
      <c r="A1810" s="19"/>
      <c r="B1810" s="19"/>
      <c r="P1810" s="16"/>
    </row>
    <row r="1811">
      <c r="A1811" s="19"/>
      <c r="B1811" s="19"/>
      <c r="P1811" s="16"/>
    </row>
    <row r="1812">
      <c r="A1812" s="19"/>
      <c r="B1812" s="19"/>
      <c r="P1812" s="16"/>
    </row>
    <row r="1813">
      <c r="A1813" s="19"/>
      <c r="B1813" s="19"/>
      <c r="P1813" s="16"/>
    </row>
    <row r="1814">
      <c r="A1814" s="19"/>
      <c r="B1814" s="19"/>
      <c r="P1814" s="16"/>
    </row>
    <row r="1815">
      <c r="A1815" s="19"/>
      <c r="B1815" s="19"/>
      <c r="P1815" s="16"/>
    </row>
    <row r="1816">
      <c r="A1816" s="19"/>
      <c r="B1816" s="19"/>
      <c r="P1816" s="16"/>
    </row>
    <row r="1817">
      <c r="A1817" s="19"/>
      <c r="B1817" s="19"/>
      <c r="P1817" s="16"/>
    </row>
    <row r="1818">
      <c r="A1818" s="19"/>
      <c r="B1818" s="19"/>
      <c r="P1818" s="16"/>
    </row>
    <row r="1819">
      <c r="A1819" s="19"/>
      <c r="B1819" s="19"/>
      <c r="P1819" s="16"/>
    </row>
    <row r="1820">
      <c r="A1820" s="19"/>
      <c r="B1820" s="19"/>
      <c r="P1820" s="16"/>
    </row>
    <row r="1821">
      <c r="A1821" s="19"/>
      <c r="B1821" s="19"/>
      <c r="P1821" s="16"/>
    </row>
    <row r="1822">
      <c r="A1822" s="19"/>
      <c r="B1822" s="19"/>
      <c r="P1822" s="16"/>
    </row>
    <row r="1823">
      <c r="A1823" s="19"/>
      <c r="B1823" s="19"/>
      <c r="P1823" s="16"/>
    </row>
    <row r="1824">
      <c r="A1824" s="19"/>
      <c r="B1824" s="19"/>
      <c r="P1824" s="16"/>
    </row>
    <row r="1825">
      <c r="A1825" s="19"/>
      <c r="B1825" s="19"/>
      <c r="P1825" s="16"/>
    </row>
    <row r="1826">
      <c r="A1826" s="19"/>
      <c r="B1826" s="19"/>
      <c r="P1826" s="16"/>
    </row>
    <row r="1827">
      <c r="A1827" s="19"/>
      <c r="B1827" s="19"/>
      <c r="P1827" s="16"/>
    </row>
    <row r="1828">
      <c r="A1828" s="19"/>
      <c r="B1828" s="19"/>
      <c r="P1828" s="16"/>
    </row>
    <row r="1829">
      <c r="A1829" s="19"/>
      <c r="B1829" s="19"/>
      <c r="P1829" s="16"/>
    </row>
    <row r="1830">
      <c r="A1830" s="19"/>
      <c r="B1830" s="19"/>
      <c r="P1830" s="16"/>
    </row>
    <row r="1831">
      <c r="A1831" s="19"/>
      <c r="B1831" s="19"/>
      <c r="P1831" s="16"/>
    </row>
    <row r="1832">
      <c r="A1832" s="19"/>
      <c r="B1832" s="19"/>
      <c r="P1832" s="16"/>
    </row>
    <row r="1833">
      <c r="A1833" s="19"/>
      <c r="B1833" s="19"/>
      <c r="P1833" s="16"/>
    </row>
    <row r="1834">
      <c r="A1834" s="19"/>
      <c r="B1834" s="19"/>
      <c r="P1834" s="16"/>
    </row>
    <row r="1835">
      <c r="A1835" s="19"/>
      <c r="B1835" s="19"/>
      <c r="P1835" s="16"/>
    </row>
    <row r="1836">
      <c r="A1836" s="19"/>
      <c r="B1836" s="19"/>
      <c r="P1836" s="16"/>
    </row>
    <row r="1837">
      <c r="A1837" s="19"/>
      <c r="B1837" s="19"/>
      <c r="P1837" s="16"/>
    </row>
    <row r="1838">
      <c r="A1838" s="19"/>
      <c r="B1838" s="19"/>
      <c r="P1838" s="16"/>
    </row>
    <row r="1839">
      <c r="A1839" s="19"/>
      <c r="B1839" s="19"/>
      <c r="P1839" s="16"/>
    </row>
    <row r="1840">
      <c r="A1840" s="19"/>
      <c r="B1840" s="19"/>
      <c r="P1840" s="16"/>
    </row>
    <row r="1841">
      <c r="A1841" s="19"/>
      <c r="B1841" s="19"/>
      <c r="P1841" s="16"/>
    </row>
    <row r="1842">
      <c r="A1842" s="19"/>
      <c r="B1842" s="19"/>
      <c r="P1842" s="16"/>
    </row>
    <row r="1843">
      <c r="A1843" s="19"/>
      <c r="B1843" s="19"/>
      <c r="P1843" s="16"/>
    </row>
    <row r="1844">
      <c r="A1844" s="19"/>
      <c r="B1844" s="19"/>
      <c r="P1844" s="16"/>
    </row>
    <row r="1845">
      <c r="A1845" s="19"/>
      <c r="B1845" s="19"/>
      <c r="P1845" s="16"/>
    </row>
    <row r="1846">
      <c r="A1846" s="19"/>
      <c r="B1846" s="19"/>
      <c r="P1846" s="16"/>
    </row>
    <row r="1847">
      <c r="A1847" s="19"/>
      <c r="B1847" s="19"/>
      <c r="P1847" s="16"/>
    </row>
    <row r="1848">
      <c r="A1848" s="19"/>
      <c r="B1848" s="19"/>
      <c r="P1848" s="16"/>
    </row>
    <row r="1849">
      <c r="A1849" s="19"/>
      <c r="B1849" s="19"/>
      <c r="P1849" s="16"/>
    </row>
    <row r="1850">
      <c r="A1850" s="19"/>
      <c r="B1850" s="19"/>
      <c r="P1850" s="16"/>
    </row>
    <row r="1851">
      <c r="A1851" s="19"/>
      <c r="B1851" s="19"/>
      <c r="P1851" s="16"/>
    </row>
    <row r="1852">
      <c r="A1852" s="19"/>
      <c r="B1852" s="19"/>
      <c r="P1852" s="16"/>
    </row>
    <row r="1853">
      <c r="A1853" s="19"/>
      <c r="B1853" s="19"/>
      <c r="P1853" s="16"/>
    </row>
    <row r="1854">
      <c r="A1854" s="19"/>
      <c r="B1854" s="19"/>
      <c r="P1854" s="16"/>
    </row>
    <row r="1855">
      <c r="A1855" s="19"/>
      <c r="B1855" s="19"/>
      <c r="P1855" s="16"/>
    </row>
    <row r="1856">
      <c r="A1856" s="19"/>
      <c r="B1856" s="19"/>
      <c r="P1856" s="16"/>
    </row>
    <row r="1857">
      <c r="A1857" s="19"/>
      <c r="B1857" s="19"/>
      <c r="P1857" s="16"/>
    </row>
    <row r="1858">
      <c r="A1858" s="19"/>
      <c r="B1858" s="19"/>
      <c r="P1858" s="16"/>
    </row>
    <row r="1859">
      <c r="A1859" s="19"/>
      <c r="B1859" s="19"/>
      <c r="P1859" s="16"/>
    </row>
    <row r="1860">
      <c r="A1860" s="19"/>
      <c r="B1860" s="19"/>
      <c r="P1860" s="16"/>
    </row>
    <row r="1861">
      <c r="A1861" s="19"/>
      <c r="B1861" s="19"/>
      <c r="P1861" s="16"/>
    </row>
    <row r="1862">
      <c r="A1862" s="19"/>
      <c r="B1862" s="19"/>
      <c r="P1862" s="16"/>
    </row>
    <row r="1863">
      <c r="A1863" s="19"/>
      <c r="B1863" s="19"/>
      <c r="P1863" s="16"/>
    </row>
    <row r="1864">
      <c r="A1864" s="19"/>
      <c r="B1864" s="19"/>
      <c r="P1864" s="16"/>
    </row>
    <row r="1865">
      <c r="A1865" s="19"/>
      <c r="B1865" s="19"/>
      <c r="P1865" s="16"/>
    </row>
    <row r="1866">
      <c r="A1866" s="19"/>
      <c r="B1866" s="19"/>
      <c r="P1866" s="16"/>
    </row>
    <row r="1867">
      <c r="A1867" s="19"/>
      <c r="B1867" s="19"/>
      <c r="P1867" s="16"/>
    </row>
    <row r="1868">
      <c r="A1868" s="19"/>
      <c r="B1868" s="19"/>
      <c r="P1868" s="16"/>
    </row>
    <row r="1869">
      <c r="A1869" s="19"/>
      <c r="B1869" s="19"/>
      <c r="P1869" s="16"/>
    </row>
    <row r="1870">
      <c r="A1870" s="19"/>
      <c r="B1870" s="19"/>
      <c r="P1870" s="16"/>
    </row>
    <row r="1871">
      <c r="A1871" s="19"/>
      <c r="B1871" s="19"/>
      <c r="P1871" s="16"/>
    </row>
    <row r="1872">
      <c r="A1872" s="19"/>
      <c r="B1872" s="19"/>
      <c r="P1872" s="16"/>
    </row>
    <row r="1873">
      <c r="A1873" s="19"/>
      <c r="B1873" s="19"/>
      <c r="P1873" s="16"/>
    </row>
    <row r="1874">
      <c r="A1874" s="19"/>
      <c r="B1874" s="19"/>
      <c r="P1874" s="16"/>
    </row>
    <row r="1875">
      <c r="A1875" s="19"/>
      <c r="B1875" s="19"/>
      <c r="P1875" s="16"/>
    </row>
    <row r="1876">
      <c r="A1876" s="19"/>
      <c r="B1876" s="19"/>
      <c r="P1876" s="16"/>
    </row>
    <row r="1877">
      <c r="A1877" s="19"/>
      <c r="B1877" s="19"/>
      <c r="P1877" s="16"/>
    </row>
    <row r="1878">
      <c r="A1878" s="19"/>
      <c r="B1878" s="19"/>
      <c r="P1878" s="16"/>
    </row>
    <row r="1879">
      <c r="A1879" s="19"/>
      <c r="B1879" s="19"/>
      <c r="P1879" s="16"/>
    </row>
    <row r="1880">
      <c r="A1880" s="19"/>
      <c r="B1880" s="19"/>
      <c r="P1880" s="16"/>
    </row>
    <row r="1881">
      <c r="A1881" s="19"/>
      <c r="B1881" s="19"/>
      <c r="P1881" s="16"/>
    </row>
    <row r="1882">
      <c r="A1882" s="19"/>
      <c r="B1882" s="19"/>
      <c r="P1882" s="16"/>
    </row>
    <row r="1883">
      <c r="A1883" s="19"/>
      <c r="B1883" s="19"/>
      <c r="P1883" s="16"/>
    </row>
    <row r="1884">
      <c r="A1884" s="19"/>
      <c r="B1884" s="19"/>
      <c r="P1884" s="16"/>
    </row>
    <row r="1885">
      <c r="A1885" s="19"/>
      <c r="B1885" s="19"/>
      <c r="P1885" s="16"/>
    </row>
    <row r="1886">
      <c r="A1886" s="19"/>
      <c r="B1886" s="19"/>
      <c r="P1886" s="16"/>
    </row>
    <row r="1887">
      <c r="A1887" s="19"/>
      <c r="B1887" s="19"/>
      <c r="P1887" s="16"/>
    </row>
    <row r="1888">
      <c r="A1888" s="19"/>
      <c r="B1888" s="19"/>
      <c r="P1888" s="16"/>
    </row>
    <row r="1889">
      <c r="A1889" s="19"/>
      <c r="B1889" s="19"/>
      <c r="P1889" s="16"/>
    </row>
    <row r="1890">
      <c r="A1890" s="19"/>
      <c r="B1890" s="19"/>
      <c r="P1890" s="16"/>
    </row>
    <row r="1891">
      <c r="A1891" s="19"/>
      <c r="B1891" s="19"/>
      <c r="P1891" s="16"/>
    </row>
    <row r="1892">
      <c r="A1892" s="19"/>
      <c r="B1892" s="19"/>
      <c r="P1892" s="16"/>
    </row>
    <row r="1893">
      <c r="A1893" s="19"/>
      <c r="B1893" s="19"/>
      <c r="P1893" s="16"/>
    </row>
    <row r="1894">
      <c r="A1894" s="19"/>
      <c r="B1894" s="19"/>
      <c r="P1894" s="16"/>
    </row>
    <row r="1895">
      <c r="A1895" s="19"/>
      <c r="B1895" s="19"/>
      <c r="P1895" s="16"/>
    </row>
    <row r="1896">
      <c r="A1896" s="19"/>
      <c r="B1896" s="19"/>
      <c r="P1896" s="16"/>
    </row>
    <row r="1897">
      <c r="A1897" s="19"/>
      <c r="B1897" s="19"/>
      <c r="P1897" s="16"/>
    </row>
    <row r="1898">
      <c r="A1898" s="19"/>
      <c r="B1898" s="19"/>
      <c r="P1898" s="16"/>
    </row>
    <row r="1899">
      <c r="A1899" s="19"/>
      <c r="B1899" s="19"/>
      <c r="P1899" s="16"/>
    </row>
    <row r="1900">
      <c r="A1900" s="19"/>
      <c r="B1900" s="19"/>
      <c r="P1900" s="16"/>
    </row>
    <row r="1901">
      <c r="A1901" s="19"/>
      <c r="B1901" s="19"/>
      <c r="P1901" s="16"/>
    </row>
    <row r="1902">
      <c r="A1902" s="19"/>
      <c r="B1902" s="19"/>
      <c r="P1902" s="16"/>
    </row>
    <row r="1903">
      <c r="A1903" s="19"/>
      <c r="B1903" s="19"/>
      <c r="P1903" s="16"/>
    </row>
    <row r="1904">
      <c r="A1904" s="19"/>
      <c r="B1904" s="19"/>
      <c r="P1904" s="16"/>
    </row>
    <row r="1905">
      <c r="A1905" s="19"/>
      <c r="B1905" s="19"/>
      <c r="P1905" s="16"/>
    </row>
    <row r="1906">
      <c r="A1906" s="19"/>
      <c r="B1906" s="19"/>
      <c r="P1906" s="16"/>
    </row>
    <row r="1907">
      <c r="A1907" s="19"/>
      <c r="B1907" s="19"/>
      <c r="P1907" s="16"/>
    </row>
    <row r="1908">
      <c r="A1908" s="19"/>
      <c r="B1908" s="19"/>
      <c r="P1908" s="16"/>
    </row>
    <row r="1909">
      <c r="A1909" s="19"/>
      <c r="B1909" s="19"/>
      <c r="P1909" s="16"/>
    </row>
    <row r="1910">
      <c r="A1910" s="19"/>
      <c r="B1910" s="19"/>
      <c r="P1910" s="16"/>
    </row>
    <row r="1911">
      <c r="A1911" s="19"/>
      <c r="B1911" s="19"/>
      <c r="P1911" s="16"/>
    </row>
    <row r="1912">
      <c r="A1912" s="19"/>
      <c r="B1912" s="19"/>
      <c r="P1912" s="16"/>
    </row>
    <row r="1913">
      <c r="A1913" s="19"/>
      <c r="B1913" s="19"/>
      <c r="P1913" s="16"/>
    </row>
    <row r="1914">
      <c r="A1914" s="19"/>
      <c r="B1914" s="19"/>
      <c r="P1914" s="16"/>
    </row>
    <row r="1915">
      <c r="A1915" s="19"/>
      <c r="B1915" s="19"/>
      <c r="P1915" s="16"/>
    </row>
    <row r="1916">
      <c r="A1916" s="19"/>
      <c r="B1916" s="19"/>
      <c r="P1916" s="16"/>
    </row>
    <row r="1917">
      <c r="A1917" s="19"/>
      <c r="B1917" s="19"/>
      <c r="P1917" s="16"/>
    </row>
    <row r="1918">
      <c r="A1918" s="19"/>
      <c r="B1918" s="19"/>
      <c r="P1918" s="16"/>
    </row>
    <row r="1919">
      <c r="A1919" s="19"/>
      <c r="B1919" s="19"/>
      <c r="P1919" s="16"/>
    </row>
    <row r="1920">
      <c r="A1920" s="19"/>
      <c r="B1920" s="19"/>
      <c r="P1920" s="16"/>
    </row>
    <row r="1921">
      <c r="A1921" s="19"/>
      <c r="B1921" s="19"/>
      <c r="P1921" s="16"/>
    </row>
    <row r="1922">
      <c r="A1922" s="19"/>
      <c r="B1922" s="19"/>
      <c r="P1922" s="16"/>
    </row>
    <row r="1923">
      <c r="A1923" s="19"/>
      <c r="B1923" s="19"/>
      <c r="P1923" s="16"/>
    </row>
    <row r="1924">
      <c r="A1924" s="19"/>
      <c r="B1924" s="19"/>
      <c r="P1924" s="16"/>
    </row>
    <row r="1925">
      <c r="A1925" s="19"/>
      <c r="B1925" s="19"/>
      <c r="P1925" s="16"/>
    </row>
    <row r="1926">
      <c r="A1926" s="19"/>
      <c r="B1926" s="19"/>
      <c r="P1926" s="16"/>
    </row>
    <row r="1927">
      <c r="A1927" s="19"/>
      <c r="B1927" s="19"/>
      <c r="P1927" s="16"/>
    </row>
    <row r="1928">
      <c r="A1928" s="19"/>
      <c r="B1928" s="19"/>
      <c r="P1928" s="16"/>
    </row>
    <row r="1929">
      <c r="A1929" s="19"/>
      <c r="B1929" s="19"/>
      <c r="P1929" s="16"/>
    </row>
    <row r="1930">
      <c r="A1930" s="19"/>
      <c r="B1930" s="19"/>
      <c r="P1930" s="16"/>
    </row>
    <row r="1931">
      <c r="A1931" s="19"/>
      <c r="B1931" s="19"/>
      <c r="P1931" s="16"/>
    </row>
    <row r="1932">
      <c r="A1932" s="19"/>
      <c r="B1932" s="19"/>
      <c r="P1932" s="16"/>
    </row>
    <row r="1933">
      <c r="A1933" s="19"/>
      <c r="B1933" s="19"/>
      <c r="P1933" s="16"/>
    </row>
    <row r="1934">
      <c r="A1934" s="19"/>
      <c r="B1934" s="19"/>
      <c r="P1934" s="16"/>
    </row>
    <row r="1935">
      <c r="A1935" s="19"/>
      <c r="B1935" s="19"/>
      <c r="P1935" s="16"/>
    </row>
    <row r="1936">
      <c r="A1936" s="19"/>
      <c r="B1936" s="19"/>
      <c r="P1936" s="16"/>
    </row>
    <row r="1937">
      <c r="A1937" s="19"/>
      <c r="B1937" s="19"/>
      <c r="P1937" s="16"/>
    </row>
    <row r="1938">
      <c r="A1938" s="19"/>
      <c r="B1938" s="19"/>
      <c r="P1938" s="16"/>
    </row>
    <row r="1939">
      <c r="A1939" s="19"/>
      <c r="B1939" s="19"/>
      <c r="P1939" s="16"/>
    </row>
    <row r="1940">
      <c r="A1940" s="19"/>
      <c r="B1940" s="19"/>
      <c r="P1940" s="16"/>
    </row>
    <row r="1941">
      <c r="A1941" s="19"/>
      <c r="B1941" s="19"/>
      <c r="P1941" s="16"/>
    </row>
    <row r="1942">
      <c r="A1942" s="19"/>
      <c r="B1942" s="19"/>
      <c r="P1942" s="16"/>
    </row>
    <row r="1943">
      <c r="A1943" s="19"/>
      <c r="B1943" s="19"/>
      <c r="P1943" s="16"/>
    </row>
    <row r="1944">
      <c r="A1944" s="19"/>
      <c r="B1944" s="19"/>
      <c r="P1944" s="16"/>
    </row>
    <row r="1945">
      <c r="A1945" s="19"/>
      <c r="B1945" s="19"/>
      <c r="P1945" s="16"/>
    </row>
    <row r="1946">
      <c r="A1946" s="19"/>
      <c r="B1946" s="19"/>
      <c r="P1946" s="16"/>
    </row>
    <row r="1947">
      <c r="A1947" s="19"/>
      <c r="B1947" s="19"/>
      <c r="P1947" s="16"/>
    </row>
    <row r="1948">
      <c r="A1948" s="19"/>
      <c r="B1948" s="19"/>
      <c r="P1948" s="16"/>
    </row>
    <row r="1949">
      <c r="A1949" s="19"/>
      <c r="B1949" s="19"/>
      <c r="P1949" s="16"/>
    </row>
    <row r="1950">
      <c r="A1950" s="19"/>
      <c r="B1950" s="19"/>
      <c r="P1950" s="16"/>
    </row>
    <row r="1951">
      <c r="A1951" s="19"/>
      <c r="B1951" s="19"/>
      <c r="P1951" s="16"/>
    </row>
    <row r="1952">
      <c r="A1952" s="19"/>
      <c r="B1952" s="19"/>
      <c r="P1952" s="16"/>
    </row>
    <row r="1953">
      <c r="A1953" s="19"/>
      <c r="B1953" s="19"/>
      <c r="P1953" s="16"/>
    </row>
    <row r="1954">
      <c r="A1954" s="19"/>
      <c r="B1954" s="19"/>
      <c r="P1954" s="16"/>
    </row>
    <row r="1955">
      <c r="A1955" s="19"/>
      <c r="B1955" s="19"/>
      <c r="P1955" s="16"/>
    </row>
    <row r="1956">
      <c r="A1956" s="19"/>
      <c r="B1956" s="19"/>
      <c r="P1956" s="16"/>
    </row>
    <row r="1957">
      <c r="A1957" s="19"/>
      <c r="B1957" s="19"/>
      <c r="P1957" s="16"/>
    </row>
    <row r="1958">
      <c r="A1958" s="19"/>
      <c r="B1958" s="19"/>
      <c r="P1958" s="16"/>
    </row>
    <row r="1959">
      <c r="A1959" s="19"/>
      <c r="B1959" s="19"/>
      <c r="P1959" s="16"/>
    </row>
    <row r="1960">
      <c r="A1960" s="19"/>
      <c r="B1960" s="19"/>
      <c r="P1960" s="16"/>
    </row>
    <row r="1961">
      <c r="A1961" s="19"/>
      <c r="B1961" s="19"/>
      <c r="P1961" s="16"/>
    </row>
    <row r="1962">
      <c r="A1962" s="19"/>
      <c r="B1962" s="19"/>
      <c r="P1962" s="16"/>
    </row>
    <row r="1963">
      <c r="A1963" s="19"/>
      <c r="B1963" s="19"/>
      <c r="P1963" s="16"/>
    </row>
    <row r="1964">
      <c r="A1964" s="19"/>
      <c r="B1964" s="19"/>
      <c r="P1964" s="16"/>
    </row>
    <row r="1965">
      <c r="A1965" s="19"/>
      <c r="B1965" s="19"/>
      <c r="P1965" s="16"/>
    </row>
    <row r="1966">
      <c r="A1966" s="19"/>
      <c r="B1966" s="19"/>
      <c r="P1966" s="16"/>
    </row>
    <row r="1967">
      <c r="A1967" s="19"/>
      <c r="B1967" s="19"/>
      <c r="P1967" s="16"/>
    </row>
    <row r="1968">
      <c r="A1968" s="19"/>
      <c r="B1968" s="19"/>
      <c r="P1968" s="16"/>
    </row>
    <row r="1969">
      <c r="A1969" s="19"/>
      <c r="B1969" s="19"/>
      <c r="P1969" s="16"/>
    </row>
    <row r="1970">
      <c r="A1970" s="19"/>
      <c r="B1970" s="19"/>
      <c r="P1970" s="16"/>
    </row>
    <row r="1971">
      <c r="A1971" s="19"/>
      <c r="B1971" s="19"/>
      <c r="P1971" s="16"/>
    </row>
    <row r="1972">
      <c r="A1972" s="19"/>
      <c r="B1972" s="19"/>
      <c r="P1972" s="16"/>
    </row>
    <row r="1973">
      <c r="A1973" s="19"/>
      <c r="B1973" s="19"/>
      <c r="P1973" s="16"/>
    </row>
    <row r="1974">
      <c r="A1974" s="19"/>
      <c r="B1974" s="19"/>
      <c r="P1974" s="16"/>
    </row>
    <row r="1975">
      <c r="A1975" s="19"/>
      <c r="B1975" s="19"/>
      <c r="P1975" s="16"/>
    </row>
    <row r="1976">
      <c r="A1976" s="19"/>
      <c r="B1976" s="19"/>
      <c r="P1976" s="16"/>
    </row>
    <row r="1977">
      <c r="A1977" s="19"/>
      <c r="B1977" s="19"/>
      <c r="P1977" s="16"/>
    </row>
    <row r="1978">
      <c r="A1978" s="19"/>
      <c r="B1978" s="19"/>
      <c r="P1978" s="16"/>
    </row>
    <row r="1979">
      <c r="A1979" s="19"/>
      <c r="B1979" s="19"/>
      <c r="P1979" s="16"/>
    </row>
    <row r="1980">
      <c r="A1980" s="19"/>
      <c r="B1980" s="19"/>
      <c r="P1980" s="16"/>
    </row>
    <row r="1981">
      <c r="A1981" s="19"/>
      <c r="B1981" s="19"/>
      <c r="P1981" s="16"/>
    </row>
    <row r="1982">
      <c r="A1982" s="19"/>
      <c r="B1982" s="19"/>
      <c r="P1982" s="16"/>
    </row>
    <row r="1983">
      <c r="A1983" s="19"/>
      <c r="B1983" s="19"/>
      <c r="P1983" s="16"/>
    </row>
    <row r="1984">
      <c r="A1984" s="19"/>
      <c r="B1984" s="19"/>
      <c r="P1984" s="16"/>
    </row>
    <row r="1985">
      <c r="A1985" s="19"/>
      <c r="B1985" s="19"/>
      <c r="P1985" s="16"/>
    </row>
    <row r="1986">
      <c r="A1986" s="19"/>
      <c r="B1986" s="19"/>
      <c r="P1986" s="16"/>
    </row>
    <row r="1987">
      <c r="A1987" s="19"/>
      <c r="B1987" s="19"/>
      <c r="P1987" s="16"/>
    </row>
    <row r="1988">
      <c r="A1988" s="19"/>
      <c r="B1988" s="19"/>
      <c r="P1988" s="16"/>
    </row>
    <row r="1989">
      <c r="A1989" s="19"/>
      <c r="B1989" s="19"/>
      <c r="P1989" s="16"/>
    </row>
    <row r="1990">
      <c r="A1990" s="19"/>
      <c r="B1990" s="19"/>
      <c r="P1990" s="16"/>
    </row>
    <row r="1991">
      <c r="A1991" s="19"/>
      <c r="B1991" s="19"/>
      <c r="P1991" s="16"/>
    </row>
    <row r="1992">
      <c r="A1992" s="19"/>
      <c r="B1992" s="19"/>
      <c r="P1992" s="16"/>
    </row>
    <row r="1993">
      <c r="A1993" s="19"/>
      <c r="B1993" s="19"/>
      <c r="P1993" s="16"/>
    </row>
    <row r="1994">
      <c r="A1994" s="19"/>
      <c r="B1994" s="19"/>
      <c r="P1994" s="16"/>
    </row>
    <row r="1995">
      <c r="A1995" s="19"/>
      <c r="B1995" s="19"/>
      <c r="P1995" s="16"/>
    </row>
    <row r="1996">
      <c r="A1996" s="19"/>
      <c r="B1996" s="19"/>
      <c r="P1996" s="16"/>
    </row>
    <row r="1997">
      <c r="A1997" s="19"/>
      <c r="B1997" s="19"/>
      <c r="P1997" s="16"/>
    </row>
    <row r="1998">
      <c r="A1998" s="19"/>
      <c r="B1998" s="19"/>
      <c r="P1998" s="16"/>
    </row>
    <row r="1999">
      <c r="A1999" s="19"/>
      <c r="B1999" s="19"/>
      <c r="P1999" s="16"/>
    </row>
    <row r="2000">
      <c r="A2000" s="19"/>
      <c r="B2000" s="19"/>
      <c r="P2000" s="16"/>
    </row>
    <row r="2001">
      <c r="A2001" s="19"/>
      <c r="B2001" s="19"/>
      <c r="P2001" s="16"/>
    </row>
    <row r="2002">
      <c r="A2002" s="19"/>
      <c r="B2002" s="19"/>
      <c r="P2002" s="16"/>
    </row>
    <row r="2003">
      <c r="A2003" s="19"/>
      <c r="B2003" s="19"/>
      <c r="P2003" s="16"/>
    </row>
    <row r="2004">
      <c r="A2004" s="19"/>
      <c r="B2004" s="19"/>
      <c r="P2004" s="16"/>
    </row>
    <row r="2005">
      <c r="A2005" s="19"/>
      <c r="B2005" s="19"/>
      <c r="P2005" s="16"/>
    </row>
    <row r="2006">
      <c r="A2006" s="19"/>
      <c r="B2006" s="19"/>
      <c r="P2006" s="16"/>
    </row>
    <row r="2007">
      <c r="A2007" s="19"/>
      <c r="B2007" s="19"/>
      <c r="P2007" s="16"/>
    </row>
    <row r="2008">
      <c r="A2008" s="19"/>
      <c r="B2008" s="19"/>
      <c r="P2008" s="16"/>
    </row>
    <row r="2009">
      <c r="A2009" s="19"/>
      <c r="B2009" s="19"/>
      <c r="P2009" s="16"/>
    </row>
    <row r="2010">
      <c r="A2010" s="19"/>
      <c r="B2010" s="19"/>
      <c r="P2010" s="16"/>
    </row>
    <row r="2011">
      <c r="A2011" s="19"/>
      <c r="B2011" s="19"/>
      <c r="P2011" s="16"/>
    </row>
    <row r="2012">
      <c r="A2012" s="19"/>
      <c r="B2012" s="19"/>
      <c r="P2012" s="16"/>
    </row>
    <row r="2013">
      <c r="A2013" s="19"/>
      <c r="B2013" s="19"/>
      <c r="P2013" s="16"/>
    </row>
    <row r="2014">
      <c r="A2014" s="19"/>
      <c r="B2014" s="19"/>
      <c r="P2014" s="16"/>
    </row>
    <row r="2015">
      <c r="A2015" s="19"/>
      <c r="B2015" s="19"/>
      <c r="P2015" s="16"/>
    </row>
    <row r="2016">
      <c r="A2016" s="19"/>
      <c r="B2016" s="19"/>
      <c r="P2016" s="16"/>
    </row>
    <row r="2017">
      <c r="A2017" s="19"/>
      <c r="B2017" s="19"/>
      <c r="P2017" s="16"/>
    </row>
    <row r="2018">
      <c r="A2018" s="19"/>
      <c r="B2018" s="19"/>
      <c r="P2018" s="16"/>
    </row>
    <row r="2019">
      <c r="A2019" s="19"/>
      <c r="B2019" s="19"/>
      <c r="P2019" s="16"/>
    </row>
    <row r="2020">
      <c r="A2020" s="19"/>
      <c r="B2020" s="19"/>
      <c r="P2020" s="16"/>
    </row>
    <row r="2021">
      <c r="A2021" s="19"/>
      <c r="B2021" s="19"/>
      <c r="P2021" s="16"/>
    </row>
    <row r="2022">
      <c r="A2022" s="19"/>
      <c r="B2022" s="19"/>
      <c r="P2022" s="16"/>
    </row>
    <row r="2023">
      <c r="A2023" s="19"/>
      <c r="B2023" s="19"/>
      <c r="P2023" s="16"/>
    </row>
    <row r="2024">
      <c r="A2024" s="19"/>
      <c r="B2024" s="19"/>
      <c r="P2024" s="16"/>
    </row>
    <row r="2025">
      <c r="A2025" s="19"/>
      <c r="B2025" s="19"/>
      <c r="P2025" s="16"/>
    </row>
    <row r="2026">
      <c r="A2026" s="19"/>
      <c r="B2026" s="19"/>
      <c r="P2026" s="16"/>
    </row>
    <row r="2027">
      <c r="A2027" s="19"/>
      <c r="B2027" s="19"/>
      <c r="P2027" s="16"/>
    </row>
    <row r="2028">
      <c r="A2028" s="19"/>
      <c r="B2028" s="19"/>
      <c r="P2028" s="16"/>
    </row>
    <row r="2029">
      <c r="A2029" s="19"/>
      <c r="B2029" s="19"/>
      <c r="P2029" s="16"/>
    </row>
    <row r="2030">
      <c r="A2030" s="19"/>
      <c r="B2030" s="19"/>
      <c r="P2030" s="16"/>
    </row>
    <row r="2031">
      <c r="A2031" s="19"/>
      <c r="B2031" s="19"/>
      <c r="P2031" s="16"/>
    </row>
    <row r="2032">
      <c r="A2032" s="19"/>
      <c r="B2032" s="19"/>
      <c r="P2032" s="16"/>
    </row>
    <row r="2033">
      <c r="A2033" s="19"/>
      <c r="B2033" s="19"/>
      <c r="P2033" s="16"/>
    </row>
    <row r="2034">
      <c r="A2034" s="19"/>
      <c r="B2034" s="19"/>
      <c r="P2034" s="16"/>
    </row>
    <row r="2035">
      <c r="A2035" s="19"/>
      <c r="B2035" s="19"/>
      <c r="P2035" s="16"/>
    </row>
    <row r="2036">
      <c r="A2036" s="19"/>
      <c r="B2036" s="19"/>
      <c r="P2036" s="16"/>
    </row>
    <row r="2037">
      <c r="A2037" s="19"/>
      <c r="B2037" s="19"/>
      <c r="P2037" s="16"/>
    </row>
    <row r="2038">
      <c r="A2038" s="19"/>
      <c r="B2038" s="19"/>
      <c r="P2038" s="16"/>
    </row>
    <row r="2039">
      <c r="A2039" s="19"/>
      <c r="B2039" s="19"/>
      <c r="P2039" s="16"/>
    </row>
    <row r="2040">
      <c r="A2040" s="19"/>
      <c r="B2040" s="19"/>
      <c r="P2040" s="16"/>
    </row>
    <row r="2041">
      <c r="A2041" s="19"/>
      <c r="B2041" s="19"/>
      <c r="P2041" s="16"/>
    </row>
    <row r="2042">
      <c r="A2042" s="19"/>
      <c r="B2042" s="19"/>
      <c r="P2042" s="16"/>
    </row>
    <row r="2043">
      <c r="A2043" s="19"/>
      <c r="B2043" s="19"/>
      <c r="P2043" s="16"/>
    </row>
    <row r="2044">
      <c r="A2044" s="19"/>
      <c r="B2044" s="19"/>
      <c r="P2044" s="16"/>
    </row>
    <row r="2045">
      <c r="A2045" s="19"/>
      <c r="B2045" s="19"/>
      <c r="P2045" s="16"/>
    </row>
    <row r="2046">
      <c r="A2046" s="19"/>
      <c r="B2046" s="19"/>
      <c r="P2046" s="16"/>
    </row>
    <row r="2047">
      <c r="A2047" s="19"/>
      <c r="B2047" s="19"/>
      <c r="P2047" s="16"/>
    </row>
    <row r="2048">
      <c r="A2048" s="19"/>
      <c r="B2048" s="19"/>
      <c r="P2048" s="16"/>
    </row>
    <row r="2049">
      <c r="A2049" s="19"/>
      <c r="B2049" s="19"/>
      <c r="P2049" s="16"/>
    </row>
    <row r="2050">
      <c r="A2050" s="19"/>
      <c r="B2050" s="19"/>
      <c r="P2050" s="16"/>
    </row>
    <row r="2051">
      <c r="A2051" s="19"/>
      <c r="B2051" s="19"/>
      <c r="P2051" s="16"/>
    </row>
    <row r="2052">
      <c r="A2052" s="19"/>
      <c r="B2052" s="19"/>
      <c r="P2052" s="16"/>
    </row>
    <row r="2053">
      <c r="A2053" s="19"/>
      <c r="B2053" s="19"/>
      <c r="P2053" s="16"/>
    </row>
    <row r="2054">
      <c r="A2054" s="19"/>
      <c r="B2054" s="19"/>
      <c r="P2054" s="16"/>
    </row>
    <row r="2055">
      <c r="A2055" s="19"/>
      <c r="B2055" s="19"/>
      <c r="P2055" s="16"/>
    </row>
    <row r="2056">
      <c r="A2056" s="19"/>
      <c r="B2056" s="19"/>
      <c r="P2056" s="16"/>
    </row>
    <row r="2057">
      <c r="A2057" s="19"/>
      <c r="B2057" s="19"/>
      <c r="P2057" s="16"/>
    </row>
    <row r="2058">
      <c r="A2058" s="19"/>
      <c r="B2058" s="19"/>
      <c r="P2058" s="16"/>
    </row>
    <row r="2059">
      <c r="A2059" s="19"/>
      <c r="B2059" s="19"/>
      <c r="P2059" s="16"/>
    </row>
    <row r="2060">
      <c r="A2060" s="19"/>
      <c r="B2060" s="19"/>
      <c r="P2060" s="16"/>
    </row>
    <row r="2061">
      <c r="A2061" s="19"/>
      <c r="B2061" s="19"/>
      <c r="P2061" s="16"/>
    </row>
    <row r="2062">
      <c r="A2062" s="19"/>
      <c r="B2062" s="19"/>
      <c r="P2062" s="16"/>
    </row>
    <row r="2063">
      <c r="A2063" s="19"/>
      <c r="B2063" s="19"/>
      <c r="P2063" s="16"/>
    </row>
    <row r="2064">
      <c r="A2064" s="19"/>
      <c r="B2064" s="19"/>
      <c r="P2064" s="16"/>
    </row>
    <row r="2065">
      <c r="A2065" s="19"/>
      <c r="B2065" s="19"/>
      <c r="P2065" s="16"/>
    </row>
    <row r="2066">
      <c r="A2066" s="19"/>
      <c r="B2066" s="19"/>
      <c r="P2066" s="16"/>
    </row>
    <row r="2067">
      <c r="A2067" s="19"/>
      <c r="B2067" s="19"/>
      <c r="P2067" s="16"/>
    </row>
    <row r="2068">
      <c r="A2068" s="19"/>
      <c r="B2068" s="19"/>
      <c r="P2068" s="16"/>
    </row>
    <row r="2069">
      <c r="A2069" s="19"/>
      <c r="B2069" s="19"/>
      <c r="P2069" s="16"/>
    </row>
    <row r="2070">
      <c r="A2070" s="19"/>
      <c r="B2070" s="19"/>
      <c r="P2070" s="16"/>
    </row>
    <row r="2071">
      <c r="A2071" s="19"/>
      <c r="B2071" s="19"/>
      <c r="P2071" s="16"/>
    </row>
    <row r="2072">
      <c r="A2072" s="19"/>
      <c r="B2072" s="19"/>
      <c r="P2072" s="16"/>
    </row>
    <row r="2073">
      <c r="A2073" s="19"/>
      <c r="B2073" s="19"/>
      <c r="P2073" s="16"/>
    </row>
    <row r="2074">
      <c r="A2074" s="19"/>
      <c r="B2074" s="19"/>
      <c r="P2074" s="16"/>
    </row>
    <row r="2075">
      <c r="A2075" s="19"/>
      <c r="B2075" s="19"/>
      <c r="P2075" s="16"/>
    </row>
    <row r="2076">
      <c r="A2076" s="19"/>
      <c r="B2076" s="19"/>
      <c r="P2076" s="16"/>
    </row>
    <row r="2077">
      <c r="A2077" s="19"/>
      <c r="B2077" s="19"/>
      <c r="P2077" s="16"/>
    </row>
    <row r="2078">
      <c r="A2078" s="19"/>
      <c r="B2078" s="19"/>
      <c r="P2078" s="16"/>
    </row>
    <row r="2079">
      <c r="A2079" s="19"/>
      <c r="B2079" s="19"/>
      <c r="P2079" s="16"/>
    </row>
    <row r="2080">
      <c r="A2080" s="19"/>
      <c r="B2080" s="19"/>
      <c r="P2080" s="16"/>
    </row>
    <row r="2081">
      <c r="A2081" s="19"/>
      <c r="B2081" s="19"/>
      <c r="P2081" s="16"/>
    </row>
    <row r="2082">
      <c r="A2082" s="19"/>
      <c r="B2082" s="19"/>
      <c r="P2082" s="16"/>
    </row>
    <row r="2083">
      <c r="A2083" s="19"/>
      <c r="B2083" s="19"/>
      <c r="P2083" s="16"/>
    </row>
    <row r="2084">
      <c r="A2084" s="19"/>
      <c r="B2084" s="19"/>
      <c r="P2084" s="16"/>
    </row>
    <row r="2085">
      <c r="A2085" s="19"/>
      <c r="B2085" s="19"/>
      <c r="P2085" s="16"/>
    </row>
    <row r="2086">
      <c r="A2086" s="19"/>
      <c r="B2086" s="19"/>
      <c r="P2086" s="16"/>
    </row>
    <row r="2087">
      <c r="A2087" s="19"/>
      <c r="B2087" s="19"/>
      <c r="P2087" s="16"/>
    </row>
    <row r="2088">
      <c r="A2088" s="19"/>
      <c r="B2088" s="19"/>
      <c r="P2088" s="16"/>
    </row>
    <row r="2089">
      <c r="A2089" s="19"/>
      <c r="B2089" s="19"/>
      <c r="P2089" s="16"/>
    </row>
    <row r="2090">
      <c r="A2090" s="19"/>
      <c r="B2090" s="19"/>
      <c r="P2090" s="16"/>
    </row>
    <row r="2091">
      <c r="A2091" s="19"/>
      <c r="B2091" s="19"/>
      <c r="P2091" s="16"/>
    </row>
    <row r="2092">
      <c r="A2092" s="19"/>
      <c r="B2092" s="19"/>
      <c r="P2092" s="16"/>
    </row>
    <row r="2093">
      <c r="A2093" s="19"/>
      <c r="B2093" s="19"/>
      <c r="P2093" s="16"/>
    </row>
    <row r="2094">
      <c r="A2094" s="19"/>
      <c r="B2094" s="19"/>
      <c r="P2094" s="16"/>
    </row>
    <row r="2095">
      <c r="A2095" s="19"/>
      <c r="B2095" s="19"/>
      <c r="P2095" s="16"/>
    </row>
    <row r="2096">
      <c r="A2096" s="19"/>
      <c r="B2096" s="19"/>
      <c r="P2096" s="16"/>
    </row>
    <row r="2097">
      <c r="A2097" s="19"/>
      <c r="B2097" s="19"/>
      <c r="P2097" s="16"/>
    </row>
    <row r="2098">
      <c r="A2098" s="19"/>
      <c r="B2098" s="19"/>
      <c r="P2098" s="16"/>
    </row>
    <row r="2099">
      <c r="A2099" s="19"/>
      <c r="B2099" s="19"/>
      <c r="P2099" s="16"/>
    </row>
    <row r="2100">
      <c r="A2100" s="19"/>
      <c r="B2100" s="19"/>
      <c r="P2100" s="16"/>
    </row>
    <row r="2101">
      <c r="A2101" s="19"/>
      <c r="B2101" s="19"/>
      <c r="P2101" s="16"/>
    </row>
    <row r="2102">
      <c r="A2102" s="19"/>
      <c r="B2102" s="19"/>
      <c r="P2102" s="16"/>
    </row>
    <row r="2103">
      <c r="A2103" s="19"/>
      <c r="B2103" s="19"/>
      <c r="P2103" s="16"/>
    </row>
    <row r="2104">
      <c r="A2104" s="19"/>
      <c r="B2104" s="19"/>
      <c r="P2104" s="16"/>
    </row>
    <row r="2105">
      <c r="A2105" s="19"/>
      <c r="B2105" s="19"/>
      <c r="P2105" s="16"/>
    </row>
    <row r="2106">
      <c r="A2106" s="19"/>
      <c r="B2106" s="19"/>
      <c r="P2106" s="16"/>
    </row>
    <row r="2107">
      <c r="A2107" s="19"/>
      <c r="B2107" s="19"/>
      <c r="P2107" s="16"/>
    </row>
    <row r="2108">
      <c r="A2108" s="19"/>
      <c r="B2108" s="19"/>
      <c r="P2108" s="16"/>
    </row>
    <row r="2109">
      <c r="A2109" s="19"/>
      <c r="B2109" s="19"/>
      <c r="P2109" s="16"/>
    </row>
    <row r="2110">
      <c r="A2110" s="19"/>
      <c r="B2110" s="19"/>
      <c r="P2110" s="16"/>
    </row>
    <row r="2111">
      <c r="A2111" s="19"/>
      <c r="B2111" s="19"/>
      <c r="P2111" s="16"/>
    </row>
    <row r="2112">
      <c r="A2112" s="19"/>
      <c r="B2112" s="19"/>
      <c r="P2112" s="16"/>
    </row>
    <row r="2113">
      <c r="A2113" s="19"/>
      <c r="B2113" s="19"/>
      <c r="P2113" s="16"/>
    </row>
    <row r="2114">
      <c r="A2114" s="19"/>
      <c r="B2114" s="19"/>
      <c r="P2114" s="16"/>
    </row>
    <row r="2115">
      <c r="A2115" s="19"/>
      <c r="B2115" s="19"/>
      <c r="P2115" s="16"/>
    </row>
    <row r="2116">
      <c r="A2116" s="19"/>
      <c r="B2116" s="19"/>
      <c r="P2116" s="16"/>
    </row>
    <row r="2117">
      <c r="A2117" s="19"/>
      <c r="B2117" s="19"/>
      <c r="P2117" s="16"/>
    </row>
    <row r="2118">
      <c r="A2118" s="19"/>
      <c r="B2118" s="19"/>
      <c r="P2118" s="16"/>
    </row>
    <row r="2119">
      <c r="A2119" s="19"/>
      <c r="B2119" s="19"/>
      <c r="P2119" s="16"/>
    </row>
    <row r="2120">
      <c r="A2120" s="19"/>
      <c r="B2120" s="19"/>
      <c r="P2120" s="16"/>
    </row>
    <row r="2121">
      <c r="A2121" s="19"/>
      <c r="B2121" s="19"/>
      <c r="P2121" s="16"/>
    </row>
    <row r="2122">
      <c r="A2122" s="19"/>
      <c r="B2122" s="19"/>
      <c r="P2122" s="16"/>
    </row>
    <row r="2123">
      <c r="A2123" s="19"/>
      <c r="B2123" s="19"/>
      <c r="P2123" s="16"/>
    </row>
    <row r="2124">
      <c r="A2124" s="19"/>
      <c r="B2124" s="19"/>
      <c r="P2124" s="16"/>
    </row>
    <row r="2125">
      <c r="A2125" s="19"/>
      <c r="B2125" s="19"/>
      <c r="P2125" s="16"/>
    </row>
    <row r="2126">
      <c r="A2126" s="19"/>
      <c r="B2126" s="19"/>
      <c r="P2126" s="16"/>
    </row>
    <row r="2127">
      <c r="A2127" s="19"/>
      <c r="B2127" s="19"/>
      <c r="P2127" s="16"/>
    </row>
    <row r="2128">
      <c r="A2128" s="19"/>
      <c r="B2128" s="19"/>
      <c r="P2128" s="16"/>
    </row>
    <row r="2129">
      <c r="A2129" s="19"/>
      <c r="B2129" s="19"/>
      <c r="P2129" s="16"/>
    </row>
    <row r="2130">
      <c r="A2130" s="19"/>
      <c r="B2130" s="19"/>
      <c r="P2130" s="16"/>
    </row>
    <row r="2131">
      <c r="A2131" s="19"/>
      <c r="B2131" s="19"/>
      <c r="P2131" s="16"/>
    </row>
    <row r="2132">
      <c r="A2132" s="19"/>
      <c r="B2132" s="19"/>
      <c r="P2132" s="16"/>
    </row>
    <row r="2133">
      <c r="A2133" s="19"/>
      <c r="B2133" s="19"/>
      <c r="P2133" s="16"/>
    </row>
    <row r="2134">
      <c r="A2134" s="19"/>
      <c r="B2134" s="19"/>
      <c r="P2134" s="16"/>
    </row>
    <row r="2135">
      <c r="A2135" s="19"/>
      <c r="B2135" s="19"/>
      <c r="P2135" s="16"/>
    </row>
    <row r="2136">
      <c r="A2136" s="19"/>
      <c r="B2136" s="19"/>
      <c r="P2136" s="16"/>
    </row>
    <row r="2137">
      <c r="A2137" s="19"/>
      <c r="B2137" s="19"/>
      <c r="P2137" s="16"/>
    </row>
    <row r="2138">
      <c r="A2138" s="19"/>
      <c r="B2138" s="19"/>
      <c r="P2138" s="16"/>
    </row>
    <row r="2139">
      <c r="A2139" s="19"/>
      <c r="B2139" s="19"/>
      <c r="P2139" s="16"/>
    </row>
    <row r="2140">
      <c r="A2140" s="19"/>
      <c r="B2140" s="19"/>
      <c r="P2140" s="16"/>
    </row>
    <row r="2141">
      <c r="A2141" s="19"/>
      <c r="B2141" s="19"/>
      <c r="P2141" s="16"/>
    </row>
    <row r="2142">
      <c r="A2142" s="19"/>
      <c r="B2142" s="19"/>
      <c r="P2142" s="16"/>
    </row>
    <row r="2143">
      <c r="A2143" s="19"/>
      <c r="B2143" s="19"/>
      <c r="P2143" s="16"/>
    </row>
    <row r="2144">
      <c r="A2144" s="19"/>
      <c r="B2144" s="19"/>
      <c r="P2144" s="16"/>
    </row>
    <row r="2145">
      <c r="A2145" s="19"/>
      <c r="B2145" s="19"/>
      <c r="P2145" s="16"/>
    </row>
    <row r="2146">
      <c r="A2146" s="19"/>
      <c r="B2146" s="19"/>
      <c r="P2146" s="16"/>
    </row>
    <row r="2147">
      <c r="A2147" s="19"/>
      <c r="B2147" s="19"/>
      <c r="P2147" s="16"/>
    </row>
    <row r="2148">
      <c r="A2148" s="19"/>
      <c r="B2148" s="19"/>
      <c r="P2148" s="16"/>
    </row>
    <row r="2149">
      <c r="A2149" s="19"/>
      <c r="B2149" s="19"/>
      <c r="P2149" s="16"/>
    </row>
    <row r="2150">
      <c r="A2150" s="19"/>
      <c r="B2150" s="19"/>
      <c r="P2150" s="16"/>
    </row>
    <row r="2151">
      <c r="A2151" s="19"/>
      <c r="B2151" s="19"/>
      <c r="P2151" s="16"/>
    </row>
    <row r="2152">
      <c r="A2152" s="19"/>
      <c r="B2152" s="19"/>
      <c r="P2152" s="16"/>
    </row>
    <row r="2153">
      <c r="A2153" s="19"/>
      <c r="B2153" s="19"/>
      <c r="P2153" s="16"/>
    </row>
    <row r="2154">
      <c r="A2154" s="19"/>
      <c r="B2154" s="19"/>
      <c r="P2154" s="16"/>
    </row>
    <row r="2155">
      <c r="A2155" s="19"/>
      <c r="B2155" s="19"/>
      <c r="P2155" s="16"/>
    </row>
    <row r="2156">
      <c r="A2156" s="19"/>
      <c r="B2156" s="19"/>
      <c r="P2156" s="16"/>
    </row>
    <row r="2157">
      <c r="A2157" s="19"/>
      <c r="B2157" s="19"/>
      <c r="P2157" s="16"/>
    </row>
    <row r="2158">
      <c r="A2158" s="19"/>
      <c r="B2158" s="19"/>
      <c r="P2158" s="16"/>
    </row>
    <row r="2159">
      <c r="A2159" s="19"/>
      <c r="B2159" s="19"/>
      <c r="P2159" s="16"/>
    </row>
    <row r="2160">
      <c r="A2160" s="19"/>
      <c r="B2160" s="19"/>
      <c r="P2160" s="16"/>
    </row>
    <row r="2161">
      <c r="A2161" s="19"/>
      <c r="B2161" s="19"/>
      <c r="P2161" s="16"/>
    </row>
    <row r="2162">
      <c r="A2162" s="19"/>
      <c r="B2162" s="19"/>
      <c r="P2162" s="16"/>
    </row>
    <row r="2163">
      <c r="A2163" s="19"/>
      <c r="B2163" s="19"/>
      <c r="P2163" s="16"/>
    </row>
    <row r="2164">
      <c r="A2164" s="19"/>
      <c r="B2164" s="19"/>
      <c r="P2164" s="16"/>
    </row>
    <row r="2165">
      <c r="A2165" s="19"/>
      <c r="B2165" s="19"/>
      <c r="P2165" s="16"/>
    </row>
    <row r="2166">
      <c r="A2166" s="19"/>
      <c r="B2166" s="19"/>
      <c r="P2166" s="16"/>
    </row>
    <row r="2167">
      <c r="A2167" s="19"/>
      <c r="B2167" s="19"/>
      <c r="P2167" s="16"/>
    </row>
    <row r="2168">
      <c r="A2168" s="19"/>
      <c r="B2168" s="19"/>
      <c r="P2168" s="16"/>
    </row>
    <row r="2169">
      <c r="A2169" s="19"/>
      <c r="B2169" s="19"/>
      <c r="P2169" s="16"/>
    </row>
    <row r="2170">
      <c r="A2170" s="19"/>
      <c r="B2170" s="19"/>
      <c r="P2170" s="16"/>
    </row>
    <row r="2171">
      <c r="A2171" s="19"/>
      <c r="B2171" s="19"/>
      <c r="P2171" s="16"/>
    </row>
    <row r="2172">
      <c r="A2172" s="19"/>
      <c r="B2172" s="19"/>
      <c r="P2172" s="16"/>
    </row>
    <row r="2173">
      <c r="A2173" s="19"/>
      <c r="B2173" s="19"/>
      <c r="P2173" s="16"/>
    </row>
    <row r="2174">
      <c r="A2174" s="19"/>
      <c r="B2174" s="19"/>
      <c r="P2174" s="16"/>
    </row>
    <row r="2175">
      <c r="A2175" s="19"/>
      <c r="B2175" s="19"/>
      <c r="P2175" s="16"/>
    </row>
    <row r="2176">
      <c r="A2176" s="19"/>
      <c r="B2176" s="19"/>
      <c r="P2176" s="16"/>
    </row>
    <row r="2177">
      <c r="A2177" s="19"/>
      <c r="B2177" s="19"/>
      <c r="P2177" s="16"/>
    </row>
    <row r="2178">
      <c r="A2178" s="19"/>
      <c r="B2178" s="19"/>
      <c r="P2178" s="16"/>
    </row>
    <row r="2179">
      <c r="A2179" s="19"/>
      <c r="B2179" s="19"/>
      <c r="P2179" s="16"/>
    </row>
    <row r="2180">
      <c r="A2180" s="19"/>
      <c r="B2180" s="19"/>
      <c r="P2180" s="16"/>
    </row>
    <row r="2181">
      <c r="A2181" s="19"/>
      <c r="B2181" s="19"/>
      <c r="P2181" s="16"/>
    </row>
    <row r="2182">
      <c r="A2182" s="19"/>
      <c r="B2182" s="19"/>
      <c r="P2182" s="16"/>
    </row>
    <row r="2183">
      <c r="A2183" s="19"/>
      <c r="B2183" s="19"/>
      <c r="P2183" s="16"/>
    </row>
    <row r="2184">
      <c r="A2184" s="19"/>
      <c r="B2184" s="19"/>
      <c r="P2184" s="16"/>
    </row>
    <row r="2185">
      <c r="A2185" s="19"/>
      <c r="B2185" s="19"/>
      <c r="P2185" s="16"/>
    </row>
    <row r="2186">
      <c r="A2186" s="19"/>
      <c r="B2186" s="19"/>
      <c r="P2186" s="16"/>
    </row>
    <row r="2187">
      <c r="A2187" s="19"/>
      <c r="B2187" s="19"/>
      <c r="P2187" s="16"/>
    </row>
    <row r="2188">
      <c r="A2188" s="19"/>
      <c r="B2188" s="19"/>
      <c r="P2188" s="16"/>
    </row>
    <row r="2189">
      <c r="A2189" s="19"/>
      <c r="B2189" s="19"/>
      <c r="P2189" s="16"/>
    </row>
    <row r="2190">
      <c r="A2190" s="19"/>
      <c r="B2190" s="19"/>
      <c r="P2190" s="16"/>
    </row>
    <row r="2191">
      <c r="A2191" s="19"/>
      <c r="B2191" s="19"/>
      <c r="P2191" s="16"/>
    </row>
    <row r="2192">
      <c r="A2192" s="19"/>
      <c r="B2192" s="19"/>
      <c r="P2192" s="16"/>
    </row>
    <row r="2193">
      <c r="A2193" s="19"/>
      <c r="B2193" s="19"/>
      <c r="P2193" s="16"/>
    </row>
    <row r="2194">
      <c r="A2194" s="19"/>
      <c r="B2194" s="19"/>
      <c r="P2194" s="16"/>
    </row>
    <row r="2195">
      <c r="A2195" s="19"/>
      <c r="B2195" s="19"/>
      <c r="P2195" s="16"/>
    </row>
    <row r="2196">
      <c r="A2196" s="19"/>
      <c r="B2196" s="19"/>
      <c r="P2196" s="16"/>
    </row>
    <row r="2197">
      <c r="A2197" s="19"/>
      <c r="B2197" s="19"/>
      <c r="P2197" s="16"/>
    </row>
    <row r="2198">
      <c r="A2198" s="19"/>
      <c r="B2198" s="19"/>
      <c r="P2198" s="16"/>
    </row>
    <row r="2199">
      <c r="A2199" s="19"/>
      <c r="B2199" s="19"/>
      <c r="P2199" s="16"/>
    </row>
    <row r="2200">
      <c r="A2200" s="19"/>
      <c r="B2200" s="19"/>
      <c r="P2200" s="16"/>
    </row>
    <row r="2201">
      <c r="A2201" s="19"/>
      <c r="B2201" s="19"/>
      <c r="P2201" s="16"/>
    </row>
    <row r="2202">
      <c r="A2202" s="19"/>
      <c r="B2202" s="19"/>
      <c r="P2202" s="16"/>
    </row>
    <row r="2203">
      <c r="A2203" s="19"/>
      <c r="B2203" s="19"/>
      <c r="P2203" s="16"/>
    </row>
    <row r="2204">
      <c r="A2204" s="19"/>
      <c r="B2204" s="19"/>
      <c r="P2204" s="16"/>
    </row>
    <row r="2205">
      <c r="A2205" s="19"/>
      <c r="B2205" s="19"/>
      <c r="P2205" s="16"/>
    </row>
    <row r="2206">
      <c r="A2206" s="19"/>
      <c r="B2206" s="19"/>
      <c r="P2206" s="16"/>
    </row>
    <row r="2207">
      <c r="A2207" s="19"/>
      <c r="B2207" s="19"/>
      <c r="P2207" s="16"/>
    </row>
    <row r="2208">
      <c r="A2208" s="19"/>
      <c r="B2208" s="19"/>
      <c r="P2208" s="16"/>
    </row>
    <row r="2209">
      <c r="A2209" s="19"/>
      <c r="B2209" s="19"/>
      <c r="P2209" s="16"/>
    </row>
    <row r="2210">
      <c r="A2210" s="19"/>
      <c r="B2210" s="19"/>
      <c r="P2210" s="16"/>
    </row>
    <row r="2211">
      <c r="A2211" s="19"/>
      <c r="B2211" s="19"/>
      <c r="P2211" s="16"/>
    </row>
    <row r="2212">
      <c r="A2212" s="19"/>
      <c r="B2212" s="19"/>
      <c r="P2212" s="16"/>
    </row>
    <row r="2213">
      <c r="A2213" s="19"/>
      <c r="B2213" s="19"/>
      <c r="P2213" s="16"/>
    </row>
    <row r="2214">
      <c r="A2214" s="19"/>
      <c r="B2214" s="19"/>
      <c r="P2214" s="16"/>
    </row>
    <row r="2215">
      <c r="A2215" s="19"/>
      <c r="B2215" s="19"/>
      <c r="P2215" s="16"/>
    </row>
    <row r="2216">
      <c r="A2216" s="19"/>
      <c r="B2216" s="19"/>
      <c r="P2216" s="16"/>
    </row>
    <row r="2217">
      <c r="A2217" s="19"/>
      <c r="B2217" s="19"/>
      <c r="P2217" s="16"/>
    </row>
    <row r="2218">
      <c r="A2218" s="19"/>
      <c r="B2218" s="19"/>
      <c r="P2218" s="16"/>
    </row>
    <row r="2219">
      <c r="A2219" s="19"/>
      <c r="B2219" s="19"/>
      <c r="P2219" s="16"/>
    </row>
    <row r="2220">
      <c r="A2220" s="19"/>
      <c r="B2220" s="19"/>
      <c r="P2220" s="16"/>
    </row>
    <row r="2221">
      <c r="A2221" s="19"/>
      <c r="B2221" s="19"/>
      <c r="P2221" s="16"/>
    </row>
    <row r="2222">
      <c r="A2222" s="19"/>
      <c r="B2222" s="19"/>
      <c r="P2222" s="16"/>
    </row>
    <row r="2223">
      <c r="A2223" s="19"/>
      <c r="B2223" s="19"/>
      <c r="P2223" s="16"/>
    </row>
    <row r="2224">
      <c r="A2224" s="19"/>
      <c r="B2224" s="19"/>
      <c r="P2224" s="16"/>
    </row>
    <row r="2225">
      <c r="A2225" s="19"/>
      <c r="B2225" s="19"/>
      <c r="P2225" s="16"/>
    </row>
    <row r="2226">
      <c r="A2226" s="19"/>
      <c r="B2226" s="19"/>
      <c r="P2226" s="16"/>
    </row>
    <row r="2227">
      <c r="A2227" s="19"/>
      <c r="B2227" s="19"/>
      <c r="P2227" s="16"/>
    </row>
    <row r="2228">
      <c r="A2228" s="19"/>
      <c r="B2228" s="19"/>
      <c r="P2228" s="16"/>
    </row>
    <row r="2229">
      <c r="A2229" s="19"/>
      <c r="B2229" s="19"/>
      <c r="P2229" s="16"/>
    </row>
    <row r="2230">
      <c r="A2230" s="19"/>
      <c r="B2230" s="19"/>
      <c r="P2230" s="16"/>
    </row>
    <row r="2231">
      <c r="A2231" s="19"/>
      <c r="B2231" s="19"/>
      <c r="P2231" s="16"/>
    </row>
    <row r="2232">
      <c r="A2232" s="19"/>
      <c r="B2232" s="19"/>
      <c r="P2232" s="16"/>
    </row>
    <row r="2233">
      <c r="A2233" s="19"/>
      <c r="B2233" s="19"/>
      <c r="P2233" s="16"/>
    </row>
    <row r="2234">
      <c r="A2234" s="19"/>
      <c r="B2234" s="19"/>
      <c r="P2234" s="16"/>
    </row>
    <row r="2235">
      <c r="A2235" s="19"/>
      <c r="B2235" s="19"/>
      <c r="P2235" s="16"/>
    </row>
    <row r="2236">
      <c r="A2236" s="19"/>
      <c r="B2236" s="19"/>
      <c r="P2236" s="16"/>
    </row>
    <row r="2237">
      <c r="A2237" s="19"/>
      <c r="B2237" s="19"/>
      <c r="P2237" s="16"/>
    </row>
    <row r="2238">
      <c r="A2238" s="19"/>
      <c r="B2238" s="19"/>
      <c r="P2238" s="16"/>
    </row>
    <row r="2239">
      <c r="A2239" s="19"/>
      <c r="B2239" s="19"/>
      <c r="P2239" s="16"/>
    </row>
    <row r="2240">
      <c r="A2240" s="19"/>
      <c r="B2240" s="19"/>
      <c r="P2240" s="16"/>
    </row>
    <row r="2241">
      <c r="A2241" s="19"/>
      <c r="B2241" s="19"/>
      <c r="P2241" s="16"/>
    </row>
    <row r="2242">
      <c r="A2242" s="19"/>
      <c r="B2242" s="19"/>
      <c r="P2242" s="16"/>
    </row>
    <row r="2243">
      <c r="A2243" s="19"/>
      <c r="B2243" s="19"/>
      <c r="P2243" s="16"/>
    </row>
    <row r="2244">
      <c r="A2244" s="19"/>
      <c r="B2244" s="19"/>
      <c r="P2244" s="16"/>
    </row>
    <row r="2245">
      <c r="A2245" s="19"/>
      <c r="B2245" s="19"/>
      <c r="P2245" s="16"/>
    </row>
    <row r="2246">
      <c r="A2246" s="19"/>
      <c r="B2246" s="19"/>
      <c r="P2246" s="16"/>
    </row>
    <row r="2247">
      <c r="A2247" s="19"/>
      <c r="B2247" s="19"/>
      <c r="P2247" s="16"/>
    </row>
    <row r="2248">
      <c r="A2248" s="19"/>
      <c r="B2248" s="19"/>
      <c r="P2248" s="16"/>
    </row>
    <row r="2249">
      <c r="A2249" s="19"/>
      <c r="B2249" s="19"/>
      <c r="P2249" s="16"/>
    </row>
    <row r="2250">
      <c r="A2250" s="19"/>
      <c r="B2250" s="19"/>
      <c r="P2250" s="16"/>
    </row>
    <row r="2251">
      <c r="A2251" s="19"/>
      <c r="B2251" s="19"/>
      <c r="P2251" s="16"/>
    </row>
    <row r="2252">
      <c r="A2252" s="19"/>
      <c r="B2252" s="19"/>
      <c r="P2252" s="16"/>
    </row>
    <row r="2253">
      <c r="A2253" s="19"/>
      <c r="B2253" s="19"/>
      <c r="P2253" s="16"/>
    </row>
    <row r="2254">
      <c r="A2254" s="19"/>
      <c r="B2254" s="19"/>
      <c r="P2254" s="16"/>
    </row>
    <row r="2255">
      <c r="A2255" s="19"/>
      <c r="B2255" s="19"/>
      <c r="P2255" s="16"/>
    </row>
    <row r="2256">
      <c r="A2256" s="19"/>
      <c r="B2256" s="19"/>
      <c r="P2256" s="16"/>
    </row>
    <row r="2257">
      <c r="A2257" s="19"/>
      <c r="B2257" s="19"/>
      <c r="P2257" s="16"/>
    </row>
    <row r="2258">
      <c r="A2258" s="19"/>
      <c r="B2258" s="19"/>
      <c r="P2258" s="16"/>
    </row>
    <row r="2259">
      <c r="A2259" s="19"/>
      <c r="B2259" s="19"/>
      <c r="P2259" s="16"/>
    </row>
    <row r="2260">
      <c r="A2260" s="19"/>
      <c r="B2260" s="19"/>
      <c r="P2260" s="16"/>
    </row>
    <row r="2261">
      <c r="A2261" s="19"/>
      <c r="B2261" s="19"/>
      <c r="P2261" s="16"/>
    </row>
    <row r="2262">
      <c r="A2262" s="19"/>
      <c r="B2262" s="19"/>
      <c r="P2262" s="16"/>
    </row>
    <row r="2263">
      <c r="A2263" s="19"/>
      <c r="B2263" s="19"/>
      <c r="P2263" s="16"/>
    </row>
    <row r="2264">
      <c r="A2264" s="19"/>
      <c r="B2264" s="19"/>
      <c r="P2264" s="16"/>
    </row>
    <row r="2265">
      <c r="A2265" s="19"/>
      <c r="B2265" s="19"/>
      <c r="P2265" s="16"/>
    </row>
    <row r="2266">
      <c r="A2266" s="19"/>
      <c r="B2266" s="19"/>
      <c r="P2266" s="16"/>
    </row>
    <row r="2267">
      <c r="A2267" s="19"/>
      <c r="B2267" s="19"/>
      <c r="P2267" s="16"/>
    </row>
    <row r="2268">
      <c r="A2268" s="19"/>
      <c r="B2268" s="19"/>
      <c r="P2268" s="16"/>
    </row>
    <row r="2269">
      <c r="A2269" s="19"/>
      <c r="B2269" s="19"/>
      <c r="P2269" s="16"/>
    </row>
    <row r="2270">
      <c r="A2270" s="19"/>
      <c r="B2270" s="19"/>
      <c r="P2270" s="16"/>
    </row>
    <row r="2271">
      <c r="A2271" s="19"/>
      <c r="B2271" s="19"/>
      <c r="P2271" s="16"/>
    </row>
    <row r="2272">
      <c r="A2272" s="19"/>
      <c r="B2272" s="19"/>
      <c r="P2272" s="16"/>
    </row>
    <row r="2273">
      <c r="A2273" s="19"/>
      <c r="B2273" s="19"/>
      <c r="P2273" s="16"/>
    </row>
    <row r="2274">
      <c r="A2274" s="19"/>
      <c r="B2274" s="19"/>
      <c r="P2274" s="16"/>
    </row>
    <row r="2275">
      <c r="A2275" s="19"/>
      <c r="B2275" s="19"/>
      <c r="P2275" s="16"/>
    </row>
    <row r="2276">
      <c r="A2276" s="19"/>
      <c r="B2276" s="19"/>
      <c r="P2276" s="16"/>
    </row>
    <row r="2277">
      <c r="A2277" s="19"/>
      <c r="B2277" s="19"/>
      <c r="P2277" s="16"/>
    </row>
    <row r="2278">
      <c r="A2278" s="19"/>
      <c r="B2278" s="19"/>
      <c r="P2278" s="16"/>
    </row>
    <row r="2279">
      <c r="A2279" s="19"/>
      <c r="B2279" s="19"/>
      <c r="P2279" s="16"/>
    </row>
    <row r="2280">
      <c r="A2280" s="19"/>
      <c r="B2280" s="19"/>
      <c r="P2280" s="16"/>
    </row>
    <row r="2281">
      <c r="A2281" s="19"/>
      <c r="B2281" s="19"/>
      <c r="P2281" s="16"/>
    </row>
    <row r="2282">
      <c r="A2282" s="19"/>
      <c r="B2282" s="19"/>
      <c r="P2282" s="16"/>
    </row>
    <row r="2283">
      <c r="A2283" s="19"/>
      <c r="B2283" s="19"/>
      <c r="P2283" s="16"/>
    </row>
    <row r="2284">
      <c r="A2284" s="19"/>
      <c r="B2284" s="19"/>
      <c r="P2284" s="16"/>
    </row>
    <row r="2285">
      <c r="A2285" s="19"/>
      <c r="B2285" s="19"/>
      <c r="P2285" s="16"/>
    </row>
    <row r="2286">
      <c r="A2286" s="19"/>
      <c r="B2286" s="19"/>
      <c r="P2286" s="16"/>
    </row>
    <row r="2287">
      <c r="A2287" s="19"/>
      <c r="B2287" s="19"/>
      <c r="P2287" s="16"/>
    </row>
    <row r="2288">
      <c r="A2288" s="19"/>
      <c r="B2288" s="19"/>
      <c r="P2288" s="16"/>
    </row>
    <row r="2289">
      <c r="A2289" s="19"/>
      <c r="B2289" s="19"/>
      <c r="P2289" s="16"/>
    </row>
    <row r="2290">
      <c r="A2290" s="19"/>
      <c r="B2290" s="19"/>
      <c r="P2290" s="16"/>
    </row>
    <row r="2291">
      <c r="A2291" s="19"/>
      <c r="B2291" s="19"/>
      <c r="P2291" s="16"/>
    </row>
    <row r="2292">
      <c r="A2292" s="19"/>
      <c r="B2292" s="19"/>
      <c r="P2292" s="16"/>
    </row>
    <row r="2293">
      <c r="A2293" s="19"/>
      <c r="B2293" s="19"/>
      <c r="P2293" s="16"/>
    </row>
    <row r="2294">
      <c r="A2294" s="19"/>
      <c r="B2294" s="19"/>
      <c r="P2294" s="16"/>
    </row>
    <row r="2295">
      <c r="A2295" s="19"/>
      <c r="B2295" s="19"/>
      <c r="P2295" s="16"/>
    </row>
    <row r="2296">
      <c r="A2296" s="19"/>
      <c r="B2296" s="19"/>
      <c r="P2296" s="16"/>
    </row>
    <row r="2297">
      <c r="A2297" s="19"/>
      <c r="B2297" s="19"/>
      <c r="P2297" s="16"/>
    </row>
    <row r="2298">
      <c r="A2298" s="19"/>
      <c r="B2298" s="19"/>
      <c r="P2298" s="16"/>
    </row>
    <row r="2299">
      <c r="A2299" s="19"/>
      <c r="B2299" s="19"/>
      <c r="P2299" s="16"/>
    </row>
    <row r="2300">
      <c r="A2300" s="19"/>
      <c r="B2300" s="19"/>
      <c r="P2300" s="16"/>
    </row>
    <row r="2301">
      <c r="A2301" s="19"/>
      <c r="B2301" s="19"/>
      <c r="P2301" s="16"/>
    </row>
    <row r="2302">
      <c r="A2302" s="19"/>
      <c r="B2302" s="19"/>
      <c r="P2302" s="16"/>
    </row>
    <row r="2303">
      <c r="A2303" s="19"/>
      <c r="B2303" s="19"/>
      <c r="P2303" s="16"/>
    </row>
    <row r="2304">
      <c r="A2304" s="19"/>
      <c r="B2304" s="19"/>
      <c r="P2304" s="16"/>
    </row>
    <row r="2305">
      <c r="A2305" s="19"/>
      <c r="B2305" s="19"/>
      <c r="P2305" s="16"/>
    </row>
    <row r="2306">
      <c r="A2306" s="19"/>
      <c r="B2306" s="19"/>
      <c r="P2306" s="16"/>
    </row>
    <row r="2307">
      <c r="A2307" s="19"/>
      <c r="B2307" s="19"/>
      <c r="P2307" s="16"/>
    </row>
    <row r="2308">
      <c r="A2308" s="19"/>
      <c r="B2308" s="19"/>
      <c r="P2308" s="16"/>
    </row>
    <row r="2309">
      <c r="A2309" s="19"/>
      <c r="B2309" s="19"/>
      <c r="P2309" s="16"/>
    </row>
    <row r="2310">
      <c r="A2310" s="19"/>
      <c r="B2310" s="19"/>
      <c r="P2310" s="16"/>
    </row>
    <row r="2311">
      <c r="A2311" s="19"/>
      <c r="B2311" s="19"/>
      <c r="P2311" s="16"/>
    </row>
    <row r="2312">
      <c r="A2312" s="19"/>
      <c r="B2312" s="19"/>
      <c r="P2312" s="16"/>
    </row>
    <row r="2313">
      <c r="A2313" s="19"/>
      <c r="B2313" s="19"/>
      <c r="P2313" s="16"/>
    </row>
    <row r="2314">
      <c r="A2314" s="19"/>
      <c r="B2314" s="19"/>
      <c r="P2314" s="16"/>
    </row>
    <row r="2315">
      <c r="A2315" s="19"/>
      <c r="B2315" s="19"/>
      <c r="P2315" s="16"/>
    </row>
    <row r="2316">
      <c r="A2316" s="19"/>
      <c r="B2316" s="19"/>
      <c r="P2316" s="16"/>
    </row>
    <row r="2317">
      <c r="A2317" s="19"/>
      <c r="B2317" s="19"/>
      <c r="P2317" s="16"/>
    </row>
    <row r="2318">
      <c r="A2318" s="19"/>
      <c r="B2318" s="19"/>
      <c r="P2318" s="16"/>
    </row>
    <row r="2319">
      <c r="A2319" s="19"/>
      <c r="B2319" s="19"/>
      <c r="P2319" s="16"/>
    </row>
    <row r="2320">
      <c r="A2320" s="19"/>
      <c r="B2320" s="19"/>
      <c r="P2320" s="16"/>
    </row>
    <row r="2321">
      <c r="A2321" s="19"/>
      <c r="B2321" s="19"/>
      <c r="P2321" s="16"/>
    </row>
    <row r="2322">
      <c r="A2322" s="19"/>
      <c r="B2322" s="19"/>
      <c r="P2322" s="16"/>
    </row>
    <row r="2323">
      <c r="A2323" s="19"/>
      <c r="B2323" s="19"/>
      <c r="P2323" s="16"/>
    </row>
    <row r="2324">
      <c r="A2324" s="19"/>
      <c r="B2324" s="19"/>
      <c r="P2324" s="16"/>
    </row>
    <row r="2325">
      <c r="A2325" s="19"/>
      <c r="B2325" s="19"/>
      <c r="P2325" s="16"/>
    </row>
    <row r="2326">
      <c r="A2326" s="19"/>
      <c r="B2326" s="19"/>
      <c r="P2326" s="16"/>
    </row>
    <row r="2327">
      <c r="A2327" s="19"/>
      <c r="B2327" s="19"/>
      <c r="P2327" s="16"/>
    </row>
    <row r="2328">
      <c r="A2328" s="19"/>
      <c r="B2328" s="19"/>
      <c r="P2328" s="16"/>
    </row>
    <row r="2329">
      <c r="A2329" s="19"/>
      <c r="B2329" s="19"/>
      <c r="P2329" s="16"/>
    </row>
    <row r="2330">
      <c r="A2330" s="19"/>
      <c r="B2330" s="19"/>
      <c r="P2330" s="16"/>
    </row>
    <row r="2331">
      <c r="A2331" s="19"/>
      <c r="B2331" s="19"/>
      <c r="P2331" s="16"/>
    </row>
    <row r="2332">
      <c r="A2332" s="19"/>
      <c r="B2332" s="19"/>
      <c r="P2332" s="16"/>
    </row>
    <row r="2333">
      <c r="A2333" s="19"/>
      <c r="B2333" s="19"/>
      <c r="P2333" s="16"/>
    </row>
    <row r="2334">
      <c r="A2334" s="19"/>
      <c r="B2334" s="19"/>
      <c r="P2334" s="16"/>
    </row>
    <row r="2335">
      <c r="A2335" s="19"/>
      <c r="B2335" s="19"/>
      <c r="P2335" s="16"/>
    </row>
    <row r="2336">
      <c r="A2336" s="19"/>
      <c r="B2336" s="19"/>
      <c r="P2336" s="16"/>
    </row>
    <row r="2337">
      <c r="A2337" s="19"/>
      <c r="B2337" s="19"/>
      <c r="P2337" s="16"/>
    </row>
    <row r="2338">
      <c r="A2338" s="19"/>
      <c r="B2338" s="19"/>
      <c r="P2338" s="16"/>
    </row>
    <row r="2339">
      <c r="A2339" s="19"/>
      <c r="B2339" s="19"/>
      <c r="P2339" s="16"/>
    </row>
    <row r="2340">
      <c r="A2340" s="19"/>
      <c r="B2340" s="19"/>
      <c r="P2340" s="16"/>
    </row>
    <row r="2341">
      <c r="A2341" s="19"/>
      <c r="B2341" s="19"/>
      <c r="P2341" s="16"/>
    </row>
    <row r="2342">
      <c r="A2342" s="19"/>
      <c r="B2342" s="19"/>
      <c r="P2342" s="16"/>
    </row>
    <row r="2343">
      <c r="A2343" s="19"/>
      <c r="B2343" s="19"/>
      <c r="P2343" s="16"/>
    </row>
    <row r="2344">
      <c r="A2344" s="19"/>
      <c r="B2344" s="19"/>
      <c r="P2344" s="16"/>
    </row>
    <row r="2345">
      <c r="A2345" s="19"/>
      <c r="B2345" s="19"/>
      <c r="P2345" s="16"/>
    </row>
    <row r="2346">
      <c r="A2346" s="19"/>
      <c r="B2346" s="19"/>
      <c r="P2346" s="16"/>
    </row>
    <row r="2347">
      <c r="A2347" s="19"/>
      <c r="B2347" s="19"/>
      <c r="P2347" s="16"/>
    </row>
    <row r="2348">
      <c r="A2348" s="19"/>
      <c r="B2348" s="19"/>
      <c r="P2348" s="16"/>
    </row>
    <row r="2349">
      <c r="A2349" s="19"/>
      <c r="B2349" s="19"/>
      <c r="P2349" s="16"/>
    </row>
    <row r="2350">
      <c r="A2350" s="19"/>
      <c r="B2350" s="19"/>
      <c r="P2350" s="16"/>
    </row>
    <row r="2351">
      <c r="A2351" s="19"/>
      <c r="B2351" s="19"/>
      <c r="P2351" s="16"/>
    </row>
    <row r="2352">
      <c r="A2352" s="19"/>
      <c r="B2352" s="19"/>
      <c r="P2352" s="16"/>
    </row>
    <row r="2353">
      <c r="A2353" s="19"/>
      <c r="B2353" s="19"/>
      <c r="P2353" s="16"/>
    </row>
    <row r="2354">
      <c r="A2354" s="19"/>
      <c r="B2354" s="19"/>
      <c r="P2354" s="16"/>
    </row>
    <row r="2355">
      <c r="A2355" s="19"/>
      <c r="B2355" s="19"/>
      <c r="P2355" s="16"/>
    </row>
    <row r="2356">
      <c r="A2356" s="19"/>
      <c r="B2356" s="19"/>
      <c r="P2356" s="16"/>
    </row>
    <row r="2357">
      <c r="A2357" s="19"/>
      <c r="B2357" s="19"/>
      <c r="P2357" s="16"/>
    </row>
    <row r="2358">
      <c r="A2358" s="19"/>
      <c r="B2358" s="19"/>
      <c r="P2358" s="16"/>
    </row>
    <row r="2359">
      <c r="A2359" s="19"/>
      <c r="B2359" s="19"/>
      <c r="P2359" s="16"/>
    </row>
    <row r="2360">
      <c r="A2360" s="19"/>
      <c r="B2360" s="19"/>
      <c r="P2360" s="16"/>
    </row>
    <row r="2361">
      <c r="A2361" s="19"/>
      <c r="B2361" s="19"/>
      <c r="P2361" s="16"/>
    </row>
    <row r="2362">
      <c r="A2362" s="19"/>
      <c r="B2362" s="19"/>
      <c r="P2362" s="16"/>
    </row>
    <row r="2363">
      <c r="A2363" s="19"/>
      <c r="B2363" s="19"/>
      <c r="P2363" s="16"/>
    </row>
    <row r="2364">
      <c r="A2364" s="19"/>
      <c r="B2364" s="19"/>
      <c r="P2364" s="16"/>
    </row>
    <row r="2365">
      <c r="A2365" s="19"/>
      <c r="B2365" s="19"/>
      <c r="P2365" s="16"/>
    </row>
    <row r="2366">
      <c r="A2366" s="19"/>
      <c r="B2366" s="19"/>
      <c r="P2366" s="16"/>
    </row>
    <row r="2367">
      <c r="A2367" s="19"/>
      <c r="B2367" s="19"/>
      <c r="P2367" s="16"/>
    </row>
    <row r="2368">
      <c r="A2368" s="19"/>
      <c r="B2368" s="19"/>
      <c r="P2368" s="16"/>
    </row>
    <row r="2369">
      <c r="A2369" s="19"/>
      <c r="B2369" s="19"/>
      <c r="P2369" s="16"/>
    </row>
    <row r="2370">
      <c r="A2370" s="19"/>
      <c r="B2370" s="19"/>
      <c r="P2370" s="16"/>
    </row>
    <row r="2371">
      <c r="A2371" s="19"/>
      <c r="B2371" s="19"/>
      <c r="P2371" s="16"/>
    </row>
    <row r="2372">
      <c r="A2372" s="19"/>
      <c r="B2372" s="19"/>
      <c r="P2372" s="16"/>
    </row>
    <row r="2373">
      <c r="A2373" s="19"/>
      <c r="B2373" s="19"/>
      <c r="P2373" s="16"/>
    </row>
    <row r="2374">
      <c r="A2374" s="19"/>
      <c r="B2374" s="19"/>
      <c r="P2374" s="16"/>
    </row>
    <row r="2375">
      <c r="A2375" s="19"/>
      <c r="B2375" s="19"/>
      <c r="P2375" s="16"/>
    </row>
    <row r="2376">
      <c r="A2376" s="19"/>
      <c r="B2376" s="19"/>
      <c r="P2376" s="16"/>
    </row>
    <row r="2377">
      <c r="A2377" s="19"/>
      <c r="B2377" s="19"/>
      <c r="P2377" s="16"/>
    </row>
    <row r="2378">
      <c r="A2378" s="19"/>
      <c r="B2378" s="19"/>
      <c r="P2378" s="16"/>
    </row>
    <row r="2379">
      <c r="A2379" s="19"/>
      <c r="B2379" s="19"/>
      <c r="P2379" s="16"/>
    </row>
    <row r="2380">
      <c r="A2380" s="19"/>
      <c r="B2380" s="19"/>
      <c r="P2380" s="16"/>
    </row>
    <row r="2381">
      <c r="A2381" s="19"/>
      <c r="B2381" s="19"/>
      <c r="P2381" s="16"/>
    </row>
    <row r="2382">
      <c r="A2382" s="19"/>
      <c r="B2382" s="19"/>
      <c r="P2382" s="16"/>
    </row>
    <row r="2383">
      <c r="A2383" s="19"/>
      <c r="B2383" s="19"/>
      <c r="P2383" s="16"/>
    </row>
    <row r="2384">
      <c r="A2384" s="19"/>
      <c r="B2384" s="19"/>
      <c r="P2384" s="16"/>
    </row>
    <row r="2385">
      <c r="A2385" s="19"/>
      <c r="B2385" s="19"/>
      <c r="P2385" s="16"/>
    </row>
    <row r="2386">
      <c r="A2386" s="19"/>
      <c r="B2386" s="19"/>
      <c r="P2386" s="16"/>
    </row>
    <row r="2387">
      <c r="A2387" s="19"/>
      <c r="B2387" s="19"/>
      <c r="P2387" s="16"/>
    </row>
    <row r="2388">
      <c r="A2388" s="19"/>
      <c r="B2388" s="19"/>
      <c r="P2388" s="16"/>
    </row>
    <row r="2389">
      <c r="A2389" s="19"/>
      <c r="B2389" s="19"/>
      <c r="P2389" s="16"/>
    </row>
    <row r="2390">
      <c r="A2390" s="19"/>
      <c r="B2390" s="19"/>
      <c r="P2390" s="16"/>
    </row>
    <row r="2391">
      <c r="A2391" s="19"/>
      <c r="B2391" s="19"/>
      <c r="P2391" s="16"/>
    </row>
    <row r="2392">
      <c r="A2392" s="19"/>
      <c r="B2392" s="19"/>
      <c r="P2392" s="16"/>
    </row>
    <row r="2393">
      <c r="A2393" s="19"/>
      <c r="B2393" s="19"/>
      <c r="P2393" s="16"/>
    </row>
    <row r="2394">
      <c r="A2394" s="19"/>
      <c r="B2394" s="19"/>
      <c r="P2394" s="16"/>
    </row>
    <row r="2395">
      <c r="A2395" s="19"/>
      <c r="B2395" s="19"/>
      <c r="P2395" s="16"/>
    </row>
    <row r="2396">
      <c r="A2396" s="19"/>
      <c r="B2396" s="19"/>
      <c r="P2396" s="16"/>
    </row>
    <row r="2397">
      <c r="A2397" s="19"/>
      <c r="B2397" s="19"/>
      <c r="P2397" s="16"/>
    </row>
    <row r="2398">
      <c r="A2398" s="19"/>
      <c r="B2398" s="19"/>
      <c r="P2398" s="16"/>
    </row>
    <row r="2399">
      <c r="A2399" s="19"/>
      <c r="B2399" s="19"/>
      <c r="P2399" s="16"/>
    </row>
    <row r="2400">
      <c r="A2400" s="19"/>
      <c r="B2400" s="19"/>
      <c r="P2400" s="16"/>
    </row>
    <row r="2401">
      <c r="A2401" s="19"/>
      <c r="B2401" s="19"/>
      <c r="P2401" s="16"/>
    </row>
    <row r="2402">
      <c r="A2402" s="19"/>
      <c r="B2402" s="19"/>
      <c r="P2402" s="16"/>
    </row>
    <row r="2403">
      <c r="A2403" s="19"/>
      <c r="B2403" s="19"/>
      <c r="P2403" s="16"/>
    </row>
    <row r="2404">
      <c r="A2404" s="19"/>
      <c r="B2404" s="19"/>
      <c r="P2404" s="16"/>
    </row>
    <row r="2405">
      <c r="A2405" s="19"/>
      <c r="B2405" s="19"/>
      <c r="P2405" s="16"/>
    </row>
    <row r="2406">
      <c r="A2406" s="19"/>
      <c r="B2406" s="19"/>
      <c r="P2406" s="16"/>
    </row>
    <row r="2407">
      <c r="A2407" s="19"/>
      <c r="B2407" s="19"/>
      <c r="P2407" s="16"/>
    </row>
    <row r="2408">
      <c r="A2408" s="19"/>
      <c r="B2408" s="19"/>
      <c r="P2408" s="16"/>
    </row>
    <row r="2409">
      <c r="A2409" s="19"/>
      <c r="B2409" s="19"/>
      <c r="P2409" s="16"/>
    </row>
    <row r="2410">
      <c r="A2410" s="19"/>
      <c r="B2410" s="19"/>
      <c r="P2410" s="16"/>
    </row>
    <row r="2411">
      <c r="A2411" s="19"/>
      <c r="B2411" s="19"/>
      <c r="P2411" s="16"/>
    </row>
    <row r="2412">
      <c r="A2412" s="19"/>
      <c r="B2412" s="19"/>
      <c r="P2412" s="16"/>
    </row>
    <row r="2413">
      <c r="A2413" s="19"/>
      <c r="B2413" s="19"/>
      <c r="P2413" s="16"/>
    </row>
    <row r="2414">
      <c r="A2414" s="19"/>
      <c r="B2414" s="19"/>
      <c r="P2414" s="16"/>
    </row>
    <row r="2415">
      <c r="A2415" s="19"/>
      <c r="B2415" s="19"/>
      <c r="P2415" s="16"/>
    </row>
    <row r="2416">
      <c r="A2416" s="19"/>
      <c r="B2416" s="19"/>
      <c r="P2416" s="16"/>
    </row>
    <row r="2417">
      <c r="A2417" s="19"/>
      <c r="B2417" s="19"/>
      <c r="P2417" s="16"/>
    </row>
    <row r="2418">
      <c r="A2418" s="19"/>
      <c r="B2418" s="19"/>
      <c r="P2418" s="16"/>
    </row>
    <row r="2419">
      <c r="A2419" s="19"/>
      <c r="B2419" s="19"/>
      <c r="P2419" s="16"/>
    </row>
    <row r="2420">
      <c r="A2420" s="19"/>
      <c r="B2420" s="19"/>
      <c r="P2420" s="16"/>
    </row>
    <row r="2421">
      <c r="A2421" s="19"/>
      <c r="B2421" s="19"/>
      <c r="P2421" s="16"/>
    </row>
    <row r="2422">
      <c r="A2422" s="19"/>
      <c r="B2422" s="19"/>
      <c r="P2422" s="16"/>
    </row>
    <row r="2423">
      <c r="A2423" s="19"/>
      <c r="B2423" s="19"/>
      <c r="P2423" s="16"/>
    </row>
    <row r="2424">
      <c r="A2424" s="19"/>
      <c r="B2424" s="19"/>
      <c r="P2424" s="16"/>
    </row>
    <row r="2425">
      <c r="A2425" s="19"/>
      <c r="B2425" s="19"/>
      <c r="P2425" s="16"/>
    </row>
    <row r="2426">
      <c r="A2426" s="19"/>
      <c r="B2426" s="19"/>
      <c r="P2426" s="16"/>
    </row>
    <row r="2427">
      <c r="A2427" s="19"/>
      <c r="B2427" s="19"/>
      <c r="P2427" s="16"/>
    </row>
    <row r="2428">
      <c r="A2428" s="19"/>
      <c r="B2428" s="19"/>
      <c r="P2428" s="16"/>
    </row>
    <row r="2429">
      <c r="A2429" s="19"/>
      <c r="B2429" s="19"/>
      <c r="P2429" s="16"/>
    </row>
    <row r="2430">
      <c r="A2430" s="19"/>
      <c r="B2430" s="19"/>
      <c r="P2430" s="16"/>
    </row>
    <row r="2431">
      <c r="A2431" s="19"/>
      <c r="B2431" s="19"/>
      <c r="P2431" s="16"/>
    </row>
    <row r="2432">
      <c r="A2432" s="19"/>
      <c r="B2432" s="19"/>
      <c r="P2432" s="16"/>
    </row>
    <row r="2433">
      <c r="A2433" s="19"/>
      <c r="B2433" s="19"/>
      <c r="P2433" s="16"/>
    </row>
    <row r="2434">
      <c r="A2434" s="19"/>
      <c r="B2434" s="19"/>
      <c r="P2434" s="16"/>
    </row>
    <row r="2435">
      <c r="A2435" s="19"/>
      <c r="B2435" s="19"/>
      <c r="P2435" s="16"/>
    </row>
    <row r="2436">
      <c r="A2436" s="19"/>
      <c r="B2436" s="19"/>
      <c r="P2436" s="16"/>
    </row>
    <row r="2437">
      <c r="A2437" s="19"/>
      <c r="B2437" s="19"/>
      <c r="P2437" s="16"/>
    </row>
    <row r="2438">
      <c r="A2438" s="19"/>
      <c r="B2438" s="19"/>
      <c r="P2438" s="16"/>
    </row>
    <row r="2439">
      <c r="A2439" s="19"/>
      <c r="B2439" s="19"/>
      <c r="P2439" s="16"/>
    </row>
    <row r="2440">
      <c r="A2440" s="19"/>
      <c r="B2440" s="19"/>
      <c r="P2440" s="16"/>
    </row>
    <row r="2441">
      <c r="A2441" s="19"/>
      <c r="B2441" s="19"/>
      <c r="P2441" s="16"/>
    </row>
    <row r="2442">
      <c r="A2442" s="19"/>
      <c r="B2442" s="19"/>
      <c r="P2442" s="16"/>
    </row>
    <row r="2443">
      <c r="A2443" s="19"/>
      <c r="B2443" s="19"/>
      <c r="P2443" s="16"/>
    </row>
    <row r="2444">
      <c r="A2444" s="19"/>
      <c r="B2444" s="19"/>
      <c r="P2444" s="16"/>
    </row>
    <row r="2445">
      <c r="A2445" s="19"/>
      <c r="B2445" s="19"/>
      <c r="P2445" s="16"/>
    </row>
    <row r="2446">
      <c r="A2446" s="19"/>
      <c r="B2446" s="19"/>
      <c r="P2446" s="16"/>
    </row>
    <row r="2447">
      <c r="A2447" s="19"/>
      <c r="B2447" s="19"/>
      <c r="P2447" s="16"/>
    </row>
    <row r="2448">
      <c r="A2448" s="19"/>
      <c r="B2448" s="19"/>
      <c r="P2448" s="16"/>
    </row>
    <row r="2449">
      <c r="A2449" s="19"/>
      <c r="B2449" s="19"/>
      <c r="P2449" s="16"/>
    </row>
    <row r="2450">
      <c r="A2450" s="19"/>
      <c r="B2450" s="19"/>
      <c r="P2450" s="16"/>
    </row>
    <row r="2451">
      <c r="A2451" s="19"/>
      <c r="B2451" s="19"/>
      <c r="P2451" s="16"/>
    </row>
    <row r="2452">
      <c r="A2452" s="19"/>
      <c r="B2452" s="19"/>
      <c r="P2452" s="16"/>
    </row>
    <row r="2453">
      <c r="A2453" s="19"/>
      <c r="B2453" s="19"/>
      <c r="P2453" s="16"/>
    </row>
    <row r="2454">
      <c r="A2454" s="19"/>
      <c r="B2454" s="19"/>
      <c r="P2454" s="16"/>
    </row>
    <row r="2455">
      <c r="A2455" s="19"/>
      <c r="B2455" s="19"/>
      <c r="P2455" s="16"/>
    </row>
    <row r="2456">
      <c r="A2456" s="19"/>
      <c r="B2456" s="19"/>
      <c r="P2456" s="16"/>
    </row>
    <row r="2457">
      <c r="A2457" s="19"/>
      <c r="B2457" s="19"/>
      <c r="P2457" s="16"/>
    </row>
    <row r="2458">
      <c r="A2458" s="19"/>
      <c r="B2458" s="19"/>
      <c r="P2458" s="16"/>
    </row>
    <row r="2459">
      <c r="A2459" s="19"/>
      <c r="B2459" s="19"/>
      <c r="P2459" s="16"/>
    </row>
    <row r="2460">
      <c r="A2460" s="19"/>
      <c r="B2460" s="19"/>
      <c r="P2460" s="16"/>
    </row>
    <row r="2461">
      <c r="A2461" s="19"/>
      <c r="B2461" s="19"/>
      <c r="P2461" s="16"/>
    </row>
    <row r="2462">
      <c r="A2462" s="19"/>
      <c r="B2462" s="19"/>
      <c r="P2462" s="16"/>
    </row>
    <row r="2463">
      <c r="A2463" s="19"/>
      <c r="B2463" s="19"/>
      <c r="P2463" s="16"/>
    </row>
    <row r="2464">
      <c r="A2464" s="19"/>
      <c r="B2464" s="19"/>
      <c r="P2464" s="16"/>
    </row>
    <row r="2465">
      <c r="A2465" s="19"/>
      <c r="B2465" s="19"/>
      <c r="P2465" s="16"/>
    </row>
    <row r="2466">
      <c r="A2466" s="19"/>
      <c r="B2466" s="19"/>
      <c r="P2466" s="16"/>
    </row>
    <row r="2467">
      <c r="A2467" s="19"/>
      <c r="B2467" s="19"/>
      <c r="P2467" s="16"/>
    </row>
    <row r="2468">
      <c r="A2468" s="19"/>
      <c r="B2468" s="19"/>
      <c r="P2468" s="16"/>
    </row>
    <row r="2469">
      <c r="A2469" s="19"/>
      <c r="B2469" s="19"/>
      <c r="P2469" s="16"/>
    </row>
    <row r="2470">
      <c r="A2470" s="19"/>
      <c r="B2470" s="19"/>
      <c r="P2470" s="16"/>
    </row>
    <row r="2471">
      <c r="A2471" s="19"/>
      <c r="B2471" s="19"/>
      <c r="P2471" s="16"/>
    </row>
    <row r="2472">
      <c r="A2472" s="19"/>
      <c r="B2472" s="19"/>
      <c r="P2472" s="16"/>
    </row>
    <row r="2473">
      <c r="A2473" s="19"/>
      <c r="B2473" s="19"/>
      <c r="P2473" s="16"/>
    </row>
    <row r="2474">
      <c r="A2474" s="19"/>
      <c r="B2474" s="19"/>
      <c r="P2474" s="16"/>
    </row>
    <row r="2475">
      <c r="A2475" s="19"/>
      <c r="B2475" s="19"/>
      <c r="P2475" s="16"/>
    </row>
    <row r="2476">
      <c r="A2476" s="19"/>
      <c r="B2476" s="19"/>
      <c r="P2476" s="16"/>
    </row>
    <row r="2477">
      <c r="A2477" s="19"/>
      <c r="B2477" s="19"/>
      <c r="P2477" s="16"/>
    </row>
    <row r="2478">
      <c r="A2478" s="19"/>
      <c r="B2478" s="19"/>
      <c r="P2478" s="16"/>
    </row>
    <row r="2479">
      <c r="A2479" s="19"/>
      <c r="B2479" s="19"/>
      <c r="P2479" s="16"/>
    </row>
    <row r="2480">
      <c r="A2480" s="19"/>
      <c r="B2480" s="19"/>
      <c r="P2480" s="16"/>
    </row>
    <row r="2481">
      <c r="A2481" s="19"/>
      <c r="B2481" s="19"/>
      <c r="P2481" s="16"/>
    </row>
    <row r="2482">
      <c r="A2482" s="19"/>
      <c r="B2482" s="19"/>
      <c r="P2482" s="16"/>
    </row>
    <row r="2483">
      <c r="A2483" s="19"/>
      <c r="B2483" s="19"/>
      <c r="P2483" s="16"/>
    </row>
    <row r="2484">
      <c r="A2484" s="19"/>
      <c r="B2484" s="19"/>
      <c r="P2484" s="16"/>
    </row>
    <row r="2485">
      <c r="A2485" s="19"/>
      <c r="B2485" s="19"/>
      <c r="P2485" s="16"/>
    </row>
    <row r="2486">
      <c r="A2486" s="19"/>
      <c r="B2486" s="19"/>
      <c r="P2486" s="16"/>
    </row>
    <row r="2487">
      <c r="A2487" s="19"/>
      <c r="B2487" s="19"/>
      <c r="P2487" s="16"/>
    </row>
    <row r="2488">
      <c r="A2488" s="19"/>
      <c r="B2488" s="19"/>
      <c r="P2488" s="16"/>
    </row>
    <row r="2489">
      <c r="A2489" s="19"/>
      <c r="B2489" s="19"/>
      <c r="P2489" s="16"/>
    </row>
    <row r="2490">
      <c r="A2490" s="19"/>
      <c r="B2490" s="19"/>
      <c r="P2490" s="16"/>
    </row>
    <row r="2491">
      <c r="A2491" s="19"/>
      <c r="B2491" s="19"/>
      <c r="P2491" s="16"/>
    </row>
    <row r="2492">
      <c r="A2492" s="19"/>
      <c r="B2492" s="19"/>
      <c r="P2492" s="16"/>
    </row>
    <row r="2493">
      <c r="A2493" s="19"/>
      <c r="B2493" s="19"/>
      <c r="P2493" s="16"/>
    </row>
    <row r="2494">
      <c r="A2494" s="19"/>
      <c r="B2494" s="19"/>
      <c r="P2494" s="16"/>
    </row>
    <row r="2495">
      <c r="A2495" s="19"/>
      <c r="B2495" s="19"/>
      <c r="P2495" s="16"/>
    </row>
    <row r="2496">
      <c r="A2496" s="19"/>
      <c r="B2496" s="19"/>
      <c r="P2496" s="16"/>
    </row>
    <row r="2497">
      <c r="A2497" s="19"/>
      <c r="B2497" s="19"/>
      <c r="P2497" s="16"/>
    </row>
    <row r="2498">
      <c r="A2498" s="19"/>
      <c r="B2498" s="19"/>
      <c r="P2498" s="16"/>
    </row>
    <row r="2499">
      <c r="A2499" s="19"/>
      <c r="B2499" s="19"/>
      <c r="P2499" s="16"/>
    </row>
    <row r="2500">
      <c r="A2500" s="19"/>
      <c r="B2500" s="19"/>
      <c r="P2500" s="16"/>
    </row>
    <row r="2501">
      <c r="A2501" s="19"/>
      <c r="B2501" s="19"/>
      <c r="P2501" s="16"/>
    </row>
    <row r="2502">
      <c r="A2502" s="19"/>
      <c r="B2502" s="19"/>
      <c r="P2502" s="16"/>
    </row>
    <row r="2503">
      <c r="A2503" s="19"/>
      <c r="B2503" s="19"/>
      <c r="P2503" s="16"/>
    </row>
    <row r="2504">
      <c r="A2504" s="19"/>
      <c r="B2504" s="19"/>
      <c r="P2504" s="16"/>
    </row>
    <row r="2505">
      <c r="A2505" s="19"/>
      <c r="B2505" s="19"/>
      <c r="P2505" s="16"/>
    </row>
    <row r="2506">
      <c r="A2506" s="19"/>
      <c r="B2506" s="19"/>
      <c r="P2506" s="16"/>
    </row>
    <row r="2507">
      <c r="A2507" s="19"/>
      <c r="B2507" s="19"/>
      <c r="P2507" s="16"/>
    </row>
    <row r="2508">
      <c r="A2508" s="19"/>
      <c r="B2508" s="19"/>
      <c r="P2508" s="16"/>
    </row>
    <row r="2509">
      <c r="A2509" s="19"/>
      <c r="B2509" s="19"/>
      <c r="P2509" s="16"/>
    </row>
    <row r="2510">
      <c r="A2510" s="19"/>
      <c r="B2510" s="19"/>
      <c r="P2510" s="16"/>
    </row>
    <row r="2511">
      <c r="A2511" s="19"/>
      <c r="B2511" s="19"/>
      <c r="P2511" s="16"/>
    </row>
    <row r="2512">
      <c r="A2512" s="19"/>
      <c r="B2512" s="19"/>
      <c r="P2512" s="16"/>
    </row>
    <row r="2513">
      <c r="A2513" s="19"/>
      <c r="B2513" s="19"/>
      <c r="P2513" s="16"/>
    </row>
    <row r="2514">
      <c r="A2514" s="19"/>
      <c r="B2514" s="19"/>
      <c r="P2514" s="16"/>
    </row>
    <row r="2515">
      <c r="A2515" s="19"/>
      <c r="B2515" s="19"/>
      <c r="P2515" s="16"/>
    </row>
    <row r="2516">
      <c r="A2516" s="19"/>
      <c r="B2516" s="19"/>
      <c r="P2516" s="16"/>
    </row>
    <row r="2517">
      <c r="A2517" s="19"/>
      <c r="B2517" s="19"/>
      <c r="P2517" s="16"/>
    </row>
    <row r="2518">
      <c r="A2518" s="19"/>
      <c r="B2518" s="19"/>
      <c r="P2518" s="16"/>
    </row>
    <row r="2519">
      <c r="A2519" s="19"/>
      <c r="B2519" s="19"/>
      <c r="P2519" s="16"/>
    </row>
    <row r="2520">
      <c r="A2520" s="19"/>
      <c r="B2520" s="19"/>
      <c r="P2520" s="16"/>
    </row>
    <row r="2521">
      <c r="A2521" s="19"/>
      <c r="B2521" s="19"/>
      <c r="P2521" s="16"/>
    </row>
    <row r="2522">
      <c r="A2522" s="19"/>
      <c r="B2522" s="19"/>
      <c r="P2522" s="16"/>
    </row>
    <row r="2523">
      <c r="A2523" s="19"/>
      <c r="B2523" s="19"/>
      <c r="P2523" s="16"/>
    </row>
    <row r="2524">
      <c r="A2524" s="19"/>
      <c r="B2524" s="19"/>
      <c r="P2524" s="16"/>
    </row>
    <row r="2525">
      <c r="A2525" s="19"/>
      <c r="B2525" s="19"/>
      <c r="P2525" s="16"/>
    </row>
    <row r="2526">
      <c r="A2526" s="19"/>
      <c r="B2526" s="19"/>
      <c r="P2526" s="16"/>
    </row>
    <row r="2527">
      <c r="A2527" s="19"/>
      <c r="B2527" s="19"/>
      <c r="P2527" s="16"/>
    </row>
    <row r="2528">
      <c r="A2528" s="19"/>
      <c r="B2528" s="19"/>
      <c r="P2528" s="16"/>
    </row>
    <row r="2529">
      <c r="A2529" s="19"/>
      <c r="B2529" s="19"/>
      <c r="P2529" s="16"/>
    </row>
    <row r="2530">
      <c r="A2530" s="19"/>
      <c r="B2530" s="19"/>
      <c r="P2530" s="16"/>
    </row>
    <row r="2531">
      <c r="A2531" s="19"/>
      <c r="B2531" s="19"/>
      <c r="P2531" s="16"/>
    </row>
    <row r="2532">
      <c r="A2532" s="19"/>
      <c r="B2532" s="19"/>
      <c r="P2532" s="16"/>
    </row>
    <row r="2533">
      <c r="A2533" s="19"/>
      <c r="B2533" s="19"/>
      <c r="P2533" s="16"/>
    </row>
    <row r="2534">
      <c r="A2534" s="19"/>
      <c r="B2534" s="19"/>
      <c r="P2534" s="16"/>
    </row>
    <row r="2535">
      <c r="A2535" s="19"/>
      <c r="B2535" s="19"/>
      <c r="P2535" s="16"/>
    </row>
    <row r="2536">
      <c r="A2536" s="19"/>
      <c r="B2536" s="19"/>
      <c r="P2536" s="16"/>
    </row>
    <row r="2537">
      <c r="A2537" s="19"/>
      <c r="B2537" s="19"/>
      <c r="P2537" s="16"/>
    </row>
    <row r="2538">
      <c r="A2538" s="19"/>
      <c r="B2538" s="19"/>
      <c r="P2538" s="16"/>
    </row>
    <row r="2539">
      <c r="A2539" s="19"/>
      <c r="B2539" s="19"/>
      <c r="P2539" s="16"/>
    </row>
    <row r="2540">
      <c r="A2540" s="19"/>
      <c r="B2540" s="19"/>
      <c r="P2540" s="16"/>
    </row>
    <row r="2541">
      <c r="A2541" s="19"/>
      <c r="B2541" s="19"/>
      <c r="P2541" s="16"/>
    </row>
    <row r="2542">
      <c r="A2542" s="19"/>
      <c r="B2542" s="19"/>
      <c r="P2542" s="16"/>
    </row>
    <row r="2543">
      <c r="A2543" s="19"/>
      <c r="B2543" s="19"/>
      <c r="P2543" s="16"/>
    </row>
    <row r="2544">
      <c r="A2544" s="19"/>
      <c r="B2544" s="19"/>
      <c r="P2544" s="16"/>
    </row>
    <row r="2545">
      <c r="A2545" s="19"/>
      <c r="B2545" s="19"/>
      <c r="P2545" s="16"/>
    </row>
    <row r="2546">
      <c r="A2546" s="19"/>
      <c r="B2546" s="19"/>
      <c r="P2546" s="16"/>
    </row>
    <row r="2547">
      <c r="A2547" s="19"/>
      <c r="B2547" s="19"/>
      <c r="P2547" s="16"/>
    </row>
    <row r="2548">
      <c r="A2548" s="19"/>
      <c r="B2548" s="19"/>
      <c r="P2548" s="16"/>
    </row>
    <row r="2549">
      <c r="A2549" s="19"/>
      <c r="B2549" s="19"/>
      <c r="P2549" s="16"/>
    </row>
    <row r="2550">
      <c r="A2550" s="19"/>
      <c r="B2550" s="19"/>
      <c r="P2550" s="16"/>
    </row>
    <row r="2551">
      <c r="A2551" s="19"/>
      <c r="B2551" s="19"/>
      <c r="P2551" s="16"/>
    </row>
    <row r="2552">
      <c r="A2552" s="19"/>
      <c r="B2552" s="19"/>
      <c r="P2552" s="16"/>
    </row>
    <row r="2553">
      <c r="A2553" s="19"/>
      <c r="B2553" s="19"/>
      <c r="P2553" s="16"/>
    </row>
    <row r="2554">
      <c r="A2554" s="19"/>
      <c r="B2554" s="19"/>
      <c r="P2554" s="16"/>
    </row>
    <row r="2555">
      <c r="A2555" s="19"/>
      <c r="B2555" s="19"/>
      <c r="P2555" s="16"/>
    </row>
    <row r="2556">
      <c r="A2556" s="19"/>
      <c r="B2556" s="19"/>
      <c r="P2556" s="16"/>
    </row>
    <row r="2557">
      <c r="A2557" s="19"/>
      <c r="B2557" s="19"/>
      <c r="P2557" s="16"/>
    </row>
    <row r="2558">
      <c r="A2558" s="19"/>
      <c r="B2558" s="19"/>
      <c r="P2558" s="16"/>
    </row>
    <row r="2559">
      <c r="A2559" s="19"/>
      <c r="B2559" s="19"/>
      <c r="P2559" s="16"/>
    </row>
    <row r="2560">
      <c r="A2560" s="19"/>
      <c r="B2560" s="19"/>
      <c r="P2560" s="16"/>
    </row>
    <row r="2561">
      <c r="A2561" s="19"/>
      <c r="B2561" s="19"/>
      <c r="P2561" s="16"/>
    </row>
    <row r="2562">
      <c r="A2562" s="19"/>
      <c r="B2562" s="19"/>
      <c r="P2562" s="16"/>
    </row>
    <row r="2563">
      <c r="A2563" s="19"/>
      <c r="B2563" s="19"/>
      <c r="P2563" s="16"/>
    </row>
    <row r="2564">
      <c r="A2564" s="19"/>
      <c r="B2564" s="19"/>
      <c r="P2564" s="16"/>
    </row>
    <row r="2565">
      <c r="A2565" s="19"/>
      <c r="B2565" s="19"/>
      <c r="P2565" s="16"/>
    </row>
    <row r="2566">
      <c r="A2566" s="19"/>
      <c r="B2566" s="19"/>
      <c r="P2566" s="16"/>
    </row>
    <row r="2567">
      <c r="A2567" s="19"/>
      <c r="B2567" s="19"/>
      <c r="P2567" s="16"/>
    </row>
    <row r="2568">
      <c r="A2568" s="19"/>
      <c r="B2568" s="19"/>
      <c r="P2568" s="16"/>
    </row>
    <row r="2569">
      <c r="A2569" s="19"/>
      <c r="B2569" s="19"/>
      <c r="P2569" s="16"/>
    </row>
    <row r="2570">
      <c r="A2570" s="19"/>
      <c r="B2570" s="19"/>
      <c r="P2570" s="16"/>
    </row>
    <row r="2571">
      <c r="A2571" s="19"/>
      <c r="B2571" s="19"/>
      <c r="P2571" s="16"/>
    </row>
    <row r="2572">
      <c r="A2572" s="19"/>
      <c r="B2572" s="19"/>
      <c r="P2572" s="16"/>
    </row>
    <row r="2573">
      <c r="A2573" s="19"/>
      <c r="B2573" s="19"/>
      <c r="P2573" s="16"/>
    </row>
    <row r="2574">
      <c r="A2574" s="19"/>
      <c r="B2574" s="19"/>
      <c r="P2574" s="16"/>
    </row>
    <row r="2575">
      <c r="A2575" s="19"/>
      <c r="B2575" s="19"/>
      <c r="P2575" s="16"/>
    </row>
    <row r="2576">
      <c r="A2576" s="19"/>
      <c r="B2576" s="19"/>
      <c r="P2576" s="16"/>
    </row>
    <row r="2577">
      <c r="A2577" s="19"/>
      <c r="B2577" s="19"/>
      <c r="P2577" s="16"/>
    </row>
    <row r="2578">
      <c r="A2578" s="19"/>
      <c r="B2578" s="19"/>
      <c r="P2578" s="16"/>
    </row>
    <row r="2579">
      <c r="A2579" s="19"/>
      <c r="B2579" s="19"/>
      <c r="P2579" s="16"/>
    </row>
    <row r="2580">
      <c r="A2580" s="19"/>
      <c r="B2580" s="19"/>
      <c r="P2580" s="16"/>
    </row>
    <row r="2581">
      <c r="A2581" s="19"/>
      <c r="B2581" s="19"/>
      <c r="P2581" s="16"/>
    </row>
    <row r="2582">
      <c r="A2582" s="19"/>
      <c r="B2582" s="19"/>
      <c r="P2582" s="16"/>
    </row>
    <row r="2583">
      <c r="A2583" s="19"/>
      <c r="B2583" s="19"/>
      <c r="P2583" s="16"/>
    </row>
    <row r="2584">
      <c r="A2584" s="19"/>
      <c r="B2584" s="19"/>
      <c r="P2584" s="16"/>
    </row>
    <row r="2585">
      <c r="A2585" s="19"/>
      <c r="B2585" s="19"/>
      <c r="P2585" s="16"/>
    </row>
    <row r="2586">
      <c r="A2586" s="19"/>
      <c r="B2586" s="19"/>
      <c r="P2586" s="16"/>
    </row>
    <row r="2587">
      <c r="A2587" s="19"/>
      <c r="B2587" s="19"/>
      <c r="P2587" s="16"/>
    </row>
    <row r="2588">
      <c r="A2588" s="19"/>
      <c r="B2588" s="19"/>
      <c r="P2588" s="16"/>
    </row>
    <row r="2589">
      <c r="A2589" s="19"/>
      <c r="B2589" s="19"/>
      <c r="P2589" s="16"/>
    </row>
    <row r="2590">
      <c r="A2590" s="19"/>
      <c r="B2590" s="19"/>
      <c r="P2590" s="16"/>
    </row>
    <row r="2591">
      <c r="A2591" s="19"/>
      <c r="B2591" s="19"/>
      <c r="P2591" s="16"/>
    </row>
    <row r="2592">
      <c r="A2592" s="19"/>
      <c r="B2592" s="19"/>
      <c r="P2592" s="16"/>
    </row>
    <row r="2593">
      <c r="A2593" s="19"/>
      <c r="B2593" s="19"/>
      <c r="P2593" s="16"/>
    </row>
    <row r="2594">
      <c r="A2594" s="19"/>
      <c r="B2594" s="19"/>
      <c r="P2594" s="16"/>
    </row>
    <row r="2595">
      <c r="A2595" s="19"/>
      <c r="B2595" s="19"/>
      <c r="P2595" s="16"/>
    </row>
    <row r="2596">
      <c r="A2596" s="19"/>
      <c r="B2596" s="19"/>
      <c r="P2596" s="16"/>
    </row>
    <row r="2597">
      <c r="A2597" s="19"/>
      <c r="B2597" s="19"/>
      <c r="P2597" s="16"/>
    </row>
    <row r="2598">
      <c r="A2598" s="19"/>
      <c r="B2598" s="19"/>
      <c r="P2598" s="16"/>
    </row>
    <row r="2599">
      <c r="A2599" s="19"/>
      <c r="B2599" s="19"/>
      <c r="P2599" s="16"/>
    </row>
    <row r="2600">
      <c r="A2600" s="19"/>
      <c r="B2600" s="19"/>
      <c r="P2600" s="16"/>
    </row>
    <row r="2601">
      <c r="A2601" s="19"/>
      <c r="B2601" s="19"/>
      <c r="P2601" s="16"/>
    </row>
    <row r="2602">
      <c r="A2602" s="19"/>
      <c r="B2602" s="19"/>
      <c r="P2602" s="16"/>
    </row>
    <row r="2603">
      <c r="A2603" s="19"/>
      <c r="B2603" s="19"/>
      <c r="P2603" s="16"/>
    </row>
    <row r="2604">
      <c r="A2604" s="19"/>
      <c r="B2604" s="19"/>
      <c r="P2604" s="16"/>
    </row>
    <row r="2605">
      <c r="A2605" s="19"/>
      <c r="B2605" s="19"/>
      <c r="P2605" s="16"/>
    </row>
    <row r="2606">
      <c r="A2606" s="19"/>
      <c r="B2606" s="19"/>
      <c r="P2606" s="16"/>
    </row>
    <row r="2607">
      <c r="A2607" s="19"/>
      <c r="B2607" s="19"/>
      <c r="P2607" s="16"/>
    </row>
    <row r="2608">
      <c r="A2608" s="19"/>
      <c r="B2608" s="19"/>
      <c r="P2608" s="16"/>
    </row>
    <row r="2609">
      <c r="A2609" s="19"/>
      <c r="B2609" s="19"/>
      <c r="P2609" s="16"/>
    </row>
    <row r="2610">
      <c r="A2610" s="19"/>
      <c r="B2610" s="19"/>
      <c r="P2610" s="16"/>
    </row>
    <row r="2611">
      <c r="A2611" s="19"/>
      <c r="B2611" s="19"/>
      <c r="P2611" s="16"/>
    </row>
    <row r="2612">
      <c r="A2612" s="19"/>
      <c r="B2612" s="19"/>
      <c r="P2612" s="16"/>
    </row>
    <row r="2613">
      <c r="A2613" s="19"/>
      <c r="B2613" s="19"/>
      <c r="P2613" s="16"/>
    </row>
    <row r="2614">
      <c r="A2614" s="19"/>
      <c r="B2614" s="19"/>
      <c r="P2614" s="16"/>
    </row>
    <row r="2615">
      <c r="A2615" s="19"/>
      <c r="B2615" s="19"/>
      <c r="P2615" s="16"/>
    </row>
    <row r="2616">
      <c r="A2616" s="19"/>
      <c r="B2616" s="19"/>
      <c r="P2616" s="16"/>
    </row>
    <row r="2617">
      <c r="A2617" s="19"/>
      <c r="B2617" s="19"/>
      <c r="P2617" s="16"/>
    </row>
    <row r="2618">
      <c r="A2618" s="19"/>
      <c r="B2618" s="19"/>
      <c r="P2618" s="16"/>
    </row>
    <row r="2619">
      <c r="A2619" s="19"/>
      <c r="B2619" s="19"/>
      <c r="P2619" s="16"/>
    </row>
    <row r="2620">
      <c r="A2620" s="19"/>
      <c r="B2620" s="19"/>
      <c r="P2620" s="16"/>
    </row>
    <row r="2621">
      <c r="A2621" s="19"/>
      <c r="B2621" s="19"/>
      <c r="P2621" s="16"/>
    </row>
    <row r="2622">
      <c r="A2622" s="19"/>
      <c r="B2622" s="19"/>
      <c r="P2622" s="16"/>
    </row>
    <row r="2623">
      <c r="A2623" s="19"/>
      <c r="B2623" s="19"/>
      <c r="P2623" s="16"/>
    </row>
    <row r="2624">
      <c r="A2624" s="19"/>
      <c r="B2624" s="19"/>
      <c r="P2624" s="16"/>
    </row>
    <row r="2625">
      <c r="A2625" s="19"/>
      <c r="B2625" s="19"/>
      <c r="P2625" s="16"/>
    </row>
    <row r="2626">
      <c r="A2626" s="19"/>
      <c r="B2626" s="19"/>
      <c r="P2626" s="16"/>
    </row>
    <row r="2627">
      <c r="A2627" s="19"/>
      <c r="B2627" s="19"/>
      <c r="P2627" s="16"/>
    </row>
    <row r="2628">
      <c r="A2628" s="19"/>
      <c r="B2628" s="19"/>
      <c r="P2628" s="16"/>
    </row>
    <row r="2629">
      <c r="A2629" s="19"/>
      <c r="B2629" s="19"/>
      <c r="P2629" s="16"/>
    </row>
    <row r="2630">
      <c r="A2630" s="19"/>
      <c r="B2630" s="19"/>
      <c r="P2630" s="16"/>
    </row>
    <row r="2631">
      <c r="A2631" s="19"/>
      <c r="B2631" s="19"/>
      <c r="P2631" s="16"/>
    </row>
    <row r="2632">
      <c r="A2632" s="19"/>
      <c r="B2632" s="19"/>
      <c r="P2632" s="16"/>
    </row>
    <row r="2633">
      <c r="A2633" s="19"/>
      <c r="B2633" s="19"/>
      <c r="P2633" s="16"/>
    </row>
    <row r="2634">
      <c r="A2634" s="19"/>
      <c r="B2634" s="19"/>
      <c r="P2634" s="16"/>
    </row>
    <row r="2635">
      <c r="A2635" s="19"/>
      <c r="B2635" s="19"/>
      <c r="P2635" s="16"/>
    </row>
    <row r="2636">
      <c r="A2636" s="19"/>
      <c r="B2636" s="19"/>
      <c r="P2636" s="16"/>
    </row>
    <row r="2637">
      <c r="A2637" s="19"/>
      <c r="B2637" s="19"/>
      <c r="P2637" s="16"/>
    </row>
    <row r="2638">
      <c r="A2638" s="19"/>
      <c r="B2638" s="19"/>
      <c r="P2638" s="16"/>
    </row>
    <row r="2639">
      <c r="A2639" s="19"/>
      <c r="B2639" s="19"/>
      <c r="P2639" s="16"/>
    </row>
    <row r="2640">
      <c r="A2640" s="19"/>
      <c r="B2640" s="19"/>
      <c r="P2640" s="16"/>
    </row>
    <row r="2641">
      <c r="A2641" s="19"/>
      <c r="B2641" s="19"/>
      <c r="P2641" s="16"/>
    </row>
    <row r="2642">
      <c r="A2642" s="19"/>
      <c r="B2642" s="19"/>
      <c r="P2642" s="16"/>
    </row>
    <row r="2643">
      <c r="A2643" s="19"/>
      <c r="B2643" s="19"/>
      <c r="P2643" s="16"/>
    </row>
    <row r="2644">
      <c r="A2644" s="19"/>
      <c r="B2644" s="19"/>
      <c r="P2644" s="16"/>
    </row>
    <row r="2645">
      <c r="A2645" s="19"/>
      <c r="B2645" s="19"/>
      <c r="P2645" s="16"/>
    </row>
    <row r="2646">
      <c r="A2646" s="19"/>
      <c r="B2646" s="19"/>
      <c r="P2646" s="16"/>
    </row>
    <row r="2647">
      <c r="A2647" s="19"/>
      <c r="B2647" s="19"/>
      <c r="P2647" s="16"/>
    </row>
    <row r="2648">
      <c r="A2648" s="19"/>
      <c r="B2648" s="19"/>
      <c r="P2648" s="16"/>
    </row>
    <row r="2649">
      <c r="A2649" s="19"/>
      <c r="B2649" s="19"/>
      <c r="P2649" s="16"/>
    </row>
    <row r="2650">
      <c r="A2650" s="19"/>
      <c r="B2650" s="19"/>
      <c r="P2650" s="16"/>
    </row>
    <row r="2651">
      <c r="A2651" s="19"/>
      <c r="B2651" s="19"/>
      <c r="P2651" s="16"/>
    </row>
    <row r="2652">
      <c r="A2652" s="19"/>
      <c r="B2652" s="19"/>
      <c r="P2652" s="16"/>
    </row>
    <row r="2653">
      <c r="A2653" s="19"/>
      <c r="B2653" s="19"/>
      <c r="P2653" s="16"/>
    </row>
    <row r="2654">
      <c r="A2654" s="19"/>
      <c r="B2654" s="19"/>
      <c r="P2654" s="16"/>
    </row>
    <row r="2655">
      <c r="A2655" s="19"/>
      <c r="B2655" s="19"/>
      <c r="P2655" s="16"/>
    </row>
    <row r="2656">
      <c r="A2656" s="19"/>
      <c r="B2656" s="19"/>
      <c r="P2656" s="16"/>
    </row>
    <row r="2657">
      <c r="A2657" s="19"/>
      <c r="B2657" s="19"/>
      <c r="P2657" s="16"/>
    </row>
    <row r="2658">
      <c r="A2658" s="19"/>
      <c r="B2658" s="19"/>
      <c r="P2658" s="16"/>
    </row>
    <row r="2659">
      <c r="A2659" s="19"/>
      <c r="B2659" s="19"/>
      <c r="P2659" s="16"/>
    </row>
    <row r="2660">
      <c r="A2660" s="19"/>
      <c r="B2660" s="19"/>
      <c r="P2660" s="16"/>
    </row>
    <row r="2661">
      <c r="A2661" s="19"/>
      <c r="B2661" s="19"/>
      <c r="P2661" s="16"/>
    </row>
    <row r="2662">
      <c r="A2662" s="19"/>
      <c r="B2662" s="19"/>
      <c r="P2662" s="16"/>
    </row>
    <row r="2663">
      <c r="A2663" s="19"/>
      <c r="B2663" s="19"/>
      <c r="P2663" s="16"/>
    </row>
    <row r="2664">
      <c r="A2664" s="19"/>
      <c r="B2664" s="19"/>
      <c r="P2664" s="16"/>
    </row>
    <row r="2665">
      <c r="A2665" s="19"/>
      <c r="B2665" s="19"/>
      <c r="P2665" s="16"/>
    </row>
    <row r="2666">
      <c r="A2666" s="19"/>
      <c r="B2666" s="19"/>
      <c r="P2666" s="16"/>
    </row>
    <row r="2667">
      <c r="A2667" s="19"/>
      <c r="B2667" s="19"/>
      <c r="P2667" s="16"/>
    </row>
    <row r="2668">
      <c r="A2668" s="19"/>
      <c r="B2668" s="19"/>
      <c r="P2668" s="16"/>
    </row>
    <row r="2669">
      <c r="A2669" s="19"/>
      <c r="B2669" s="19"/>
      <c r="P2669" s="16"/>
    </row>
    <row r="2670">
      <c r="A2670" s="19"/>
      <c r="B2670" s="19"/>
      <c r="P2670" s="16"/>
    </row>
    <row r="2671">
      <c r="A2671" s="19"/>
      <c r="B2671" s="19"/>
      <c r="P2671" s="16"/>
    </row>
    <row r="2672">
      <c r="A2672" s="19"/>
      <c r="B2672" s="19"/>
      <c r="P2672" s="16"/>
    </row>
    <row r="2673">
      <c r="A2673" s="19"/>
      <c r="B2673" s="19"/>
      <c r="P2673" s="16"/>
    </row>
    <row r="2674">
      <c r="A2674" s="19"/>
      <c r="B2674" s="19"/>
      <c r="P2674" s="16"/>
    </row>
    <row r="2675">
      <c r="A2675" s="19"/>
      <c r="B2675" s="19"/>
      <c r="P2675" s="16"/>
    </row>
    <row r="2676">
      <c r="A2676" s="19"/>
      <c r="B2676" s="19"/>
      <c r="P2676" s="16"/>
    </row>
    <row r="2677">
      <c r="A2677" s="19"/>
      <c r="B2677" s="19"/>
      <c r="P2677" s="16"/>
    </row>
    <row r="2678">
      <c r="A2678" s="19"/>
      <c r="B2678" s="19"/>
      <c r="P2678" s="16"/>
    </row>
    <row r="2679">
      <c r="A2679" s="19"/>
      <c r="B2679" s="19"/>
      <c r="P2679" s="16"/>
    </row>
    <row r="2680">
      <c r="A2680" s="19"/>
      <c r="B2680" s="19"/>
      <c r="P2680" s="16"/>
    </row>
    <row r="2681">
      <c r="A2681" s="19"/>
      <c r="B2681" s="19"/>
      <c r="P2681" s="16"/>
    </row>
    <row r="2682">
      <c r="A2682" s="19"/>
      <c r="B2682" s="19"/>
      <c r="P2682" s="16"/>
    </row>
    <row r="2683">
      <c r="A2683" s="19"/>
      <c r="B2683" s="19"/>
      <c r="P2683" s="16"/>
    </row>
    <row r="2684">
      <c r="A2684" s="19"/>
      <c r="B2684" s="19"/>
      <c r="P2684" s="16"/>
    </row>
    <row r="2685">
      <c r="A2685" s="19"/>
      <c r="B2685" s="19"/>
      <c r="P2685" s="16"/>
    </row>
    <row r="2686">
      <c r="A2686" s="19"/>
      <c r="B2686" s="19"/>
      <c r="P2686" s="16"/>
    </row>
    <row r="2687">
      <c r="A2687" s="19"/>
      <c r="B2687" s="19"/>
      <c r="P2687" s="16"/>
    </row>
    <row r="2688">
      <c r="A2688" s="19"/>
      <c r="B2688" s="19"/>
      <c r="P2688" s="16"/>
    </row>
    <row r="2689">
      <c r="A2689" s="19"/>
      <c r="B2689" s="19"/>
      <c r="P2689" s="16"/>
    </row>
    <row r="2690">
      <c r="A2690" s="19"/>
      <c r="B2690" s="19"/>
      <c r="P2690" s="16"/>
    </row>
    <row r="2691">
      <c r="A2691" s="19"/>
      <c r="B2691" s="19"/>
      <c r="P2691" s="16"/>
    </row>
    <row r="2692">
      <c r="A2692" s="19"/>
      <c r="B2692" s="19"/>
      <c r="P2692" s="16"/>
    </row>
    <row r="2693">
      <c r="A2693" s="19"/>
      <c r="B2693" s="19"/>
      <c r="P2693" s="16"/>
    </row>
    <row r="2694">
      <c r="A2694" s="19"/>
      <c r="B2694" s="19"/>
      <c r="P2694" s="16"/>
    </row>
    <row r="2695">
      <c r="A2695" s="19"/>
      <c r="B2695" s="19"/>
      <c r="P2695" s="16"/>
    </row>
    <row r="2696">
      <c r="A2696" s="19"/>
      <c r="B2696" s="19"/>
      <c r="P2696" s="16"/>
    </row>
    <row r="2697">
      <c r="A2697" s="19"/>
      <c r="B2697" s="19"/>
      <c r="P2697" s="16"/>
    </row>
    <row r="2698">
      <c r="A2698" s="19"/>
      <c r="B2698" s="19"/>
      <c r="P2698" s="16"/>
    </row>
    <row r="2699">
      <c r="A2699" s="19"/>
      <c r="B2699" s="19"/>
      <c r="P2699" s="16"/>
    </row>
    <row r="2700">
      <c r="A2700" s="19"/>
      <c r="B2700" s="19"/>
      <c r="P2700" s="16"/>
    </row>
    <row r="2701">
      <c r="A2701" s="19"/>
      <c r="B2701" s="19"/>
      <c r="P2701" s="16"/>
    </row>
    <row r="2702">
      <c r="A2702" s="19"/>
      <c r="B2702" s="19"/>
      <c r="P2702" s="16"/>
    </row>
    <row r="2703">
      <c r="A2703" s="19"/>
      <c r="B2703" s="19"/>
      <c r="P2703" s="16"/>
    </row>
    <row r="2704">
      <c r="A2704" s="19"/>
      <c r="B2704" s="19"/>
      <c r="P2704" s="16"/>
    </row>
    <row r="2705">
      <c r="A2705" s="19"/>
      <c r="B2705" s="19"/>
      <c r="P2705" s="16"/>
    </row>
    <row r="2706">
      <c r="A2706" s="19"/>
      <c r="B2706" s="19"/>
      <c r="P2706" s="16"/>
    </row>
    <row r="2707">
      <c r="A2707" s="19"/>
      <c r="B2707" s="19"/>
      <c r="P2707" s="16"/>
    </row>
    <row r="2708">
      <c r="A2708" s="19"/>
      <c r="B2708" s="19"/>
      <c r="P2708" s="16"/>
    </row>
    <row r="2709">
      <c r="A2709" s="19"/>
      <c r="B2709" s="19"/>
      <c r="P2709" s="16"/>
    </row>
    <row r="2710">
      <c r="A2710" s="19"/>
      <c r="B2710" s="19"/>
      <c r="P2710" s="16"/>
    </row>
    <row r="2711">
      <c r="A2711" s="19"/>
      <c r="B2711" s="19"/>
      <c r="P2711" s="16"/>
    </row>
    <row r="2712">
      <c r="A2712" s="19"/>
      <c r="B2712" s="19"/>
      <c r="P2712" s="16"/>
    </row>
    <row r="2713">
      <c r="A2713" s="19"/>
      <c r="B2713" s="19"/>
      <c r="P2713" s="16"/>
    </row>
    <row r="2714">
      <c r="A2714" s="19"/>
      <c r="B2714" s="19"/>
      <c r="P2714" s="16"/>
    </row>
    <row r="2715">
      <c r="A2715" s="19"/>
      <c r="B2715" s="19"/>
      <c r="P2715" s="16"/>
    </row>
    <row r="2716">
      <c r="A2716" s="19"/>
      <c r="B2716" s="19"/>
      <c r="P2716" s="16"/>
    </row>
    <row r="2717">
      <c r="A2717" s="19"/>
      <c r="B2717" s="19"/>
      <c r="P2717" s="16"/>
    </row>
    <row r="2718">
      <c r="A2718" s="19"/>
      <c r="B2718" s="19"/>
      <c r="P2718" s="16"/>
    </row>
    <row r="2719">
      <c r="A2719" s="19"/>
      <c r="B2719" s="19"/>
      <c r="P2719" s="16"/>
    </row>
    <row r="2720">
      <c r="A2720" s="19"/>
      <c r="B2720" s="19"/>
      <c r="P2720" s="16"/>
    </row>
    <row r="2721">
      <c r="A2721" s="19"/>
      <c r="B2721" s="19"/>
      <c r="P2721" s="16"/>
    </row>
    <row r="2722">
      <c r="A2722" s="19"/>
      <c r="B2722" s="19"/>
      <c r="P2722" s="16"/>
    </row>
    <row r="2723">
      <c r="A2723" s="19"/>
      <c r="B2723" s="19"/>
      <c r="P2723" s="16"/>
    </row>
    <row r="2724">
      <c r="A2724" s="19"/>
      <c r="B2724" s="19"/>
      <c r="P2724" s="16"/>
    </row>
    <row r="2725">
      <c r="A2725" s="19"/>
      <c r="B2725" s="19"/>
      <c r="P2725" s="16"/>
    </row>
    <row r="2726">
      <c r="A2726" s="19"/>
      <c r="B2726" s="19"/>
      <c r="P2726" s="16"/>
    </row>
    <row r="2727">
      <c r="A2727" s="19"/>
      <c r="B2727" s="19"/>
      <c r="P2727" s="16"/>
    </row>
    <row r="2728">
      <c r="A2728" s="19"/>
      <c r="B2728" s="19"/>
      <c r="P2728" s="16"/>
    </row>
    <row r="2729">
      <c r="A2729" s="19"/>
      <c r="B2729" s="19"/>
      <c r="P2729" s="16"/>
    </row>
    <row r="2730">
      <c r="A2730" s="19"/>
      <c r="B2730" s="19"/>
      <c r="P2730" s="16"/>
    </row>
    <row r="2731">
      <c r="A2731" s="19"/>
      <c r="B2731" s="19"/>
      <c r="P2731" s="16"/>
    </row>
    <row r="2732">
      <c r="A2732" s="19"/>
      <c r="B2732" s="19"/>
      <c r="P2732" s="16"/>
    </row>
    <row r="2733">
      <c r="A2733" s="19"/>
      <c r="B2733" s="19"/>
      <c r="P2733" s="16"/>
    </row>
    <row r="2734">
      <c r="A2734" s="19"/>
      <c r="B2734" s="19"/>
      <c r="P2734" s="16"/>
    </row>
    <row r="2735">
      <c r="A2735" s="19"/>
      <c r="B2735" s="19"/>
      <c r="P2735" s="16"/>
    </row>
    <row r="2736">
      <c r="A2736" s="19"/>
      <c r="B2736" s="19"/>
      <c r="P2736" s="16"/>
    </row>
    <row r="2737">
      <c r="A2737" s="19"/>
      <c r="B2737" s="19"/>
      <c r="P2737" s="16"/>
    </row>
    <row r="2738">
      <c r="A2738" s="19"/>
      <c r="B2738" s="19"/>
      <c r="P2738" s="16"/>
    </row>
    <row r="2739">
      <c r="A2739" s="19"/>
      <c r="B2739" s="19"/>
      <c r="P2739" s="16"/>
    </row>
    <row r="2740">
      <c r="A2740" s="19"/>
      <c r="B2740" s="19"/>
      <c r="P2740" s="16"/>
    </row>
    <row r="2741">
      <c r="A2741" s="19"/>
      <c r="B2741" s="19"/>
      <c r="P2741" s="16"/>
    </row>
    <row r="2742">
      <c r="A2742" s="19"/>
      <c r="B2742" s="19"/>
      <c r="P2742" s="16"/>
    </row>
    <row r="2743">
      <c r="A2743" s="19"/>
      <c r="B2743" s="19"/>
      <c r="P2743" s="16"/>
    </row>
    <row r="2744">
      <c r="A2744" s="19"/>
      <c r="B2744" s="19"/>
      <c r="P2744" s="16"/>
    </row>
    <row r="2745">
      <c r="A2745" s="19"/>
      <c r="B2745" s="19"/>
      <c r="P2745" s="16"/>
    </row>
    <row r="2746">
      <c r="A2746" s="19"/>
      <c r="B2746" s="19"/>
      <c r="P2746" s="16"/>
    </row>
    <row r="2747">
      <c r="A2747" s="19"/>
      <c r="B2747" s="19"/>
      <c r="P2747" s="16"/>
    </row>
    <row r="2748">
      <c r="A2748" s="19"/>
      <c r="B2748" s="19"/>
      <c r="P2748" s="16"/>
    </row>
    <row r="2749">
      <c r="A2749" s="19"/>
      <c r="B2749" s="19"/>
      <c r="P2749" s="16"/>
    </row>
    <row r="2750">
      <c r="A2750" s="19"/>
      <c r="B2750" s="19"/>
      <c r="P2750" s="16"/>
    </row>
    <row r="2751">
      <c r="A2751" s="19"/>
      <c r="B2751" s="19"/>
      <c r="P2751" s="16"/>
    </row>
    <row r="2752">
      <c r="A2752" s="19"/>
      <c r="B2752" s="19"/>
      <c r="P2752" s="16"/>
    </row>
    <row r="2753">
      <c r="A2753" s="19"/>
      <c r="B2753" s="19"/>
      <c r="P2753" s="16"/>
    </row>
    <row r="2754">
      <c r="A2754" s="19"/>
      <c r="B2754" s="19"/>
      <c r="P2754" s="16"/>
    </row>
    <row r="2755">
      <c r="A2755" s="19"/>
      <c r="B2755" s="19"/>
      <c r="P2755" s="16"/>
    </row>
    <row r="2756">
      <c r="A2756" s="19"/>
      <c r="B2756" s="19"/>
      <c r="P2756" s="16"/>
    </row>
    <row r="2757">
      <c r="A2757" s="19"/>
      <c r="B2757" s="19"/>
      <c r="P2757" s="16"/>
    </row>
    <row r="2758">
      <c r="A2758" s="19"/>
      <c r="B2758" s="19"/>
      <c r="P2758" s="16"/>
    </row>
    <row r="2759">
      <c r="A2759" s="19"/>
      <c r="B2759" s="19"/>
      <c r="P2759" s="16"/>
    </row>
    <row r="2760">
      <c r="A2760" s="19"/>
      <c r="B2760" s="19"/>
      <c r="P2760" s="16"/>
    </row>
    <row r="2761">
      <c r="A2761" s="19"/>
      <c r="B2761" s="19"/>
      <c r="P2761" s="16"/>
    </row>
    <row r="2762">
      <c r="A2762" s="19"/>
      <c r="B2762" s="19"/>
      <c r="P2762" s="16"/>
    </row>
    <row r="2763">
      <c r="A2763" s="19"/>
      <c r="B2763" s="19"/>
      <c r="P2763" s="16"/>
    </row>
    <row r="2764">
      <c r="A2764" s="19"/>
      <c r="B2764" s="19"/>
      <c r="P2764" s="16"/>
    </row>
    <row r="2765">
      <c r="A2765" s="19"/>
      <c r="B2765" s="19"/>
      <c r="P2765" s="16"/>
    </row>
    <row r="2766">
      <c r="A2766" s="19"/>
      <c r="B2766" s="19"/>
      <c r="P2766" s="16"/>
    </row>
    <row r="2767">
      <c r="A2767" s="19"/>
      <c r="B2767" s="19"/>
      <c r="P2767" s="16"/>
    </row>
    <row r="2768">
      <c r="A2768" s="19"/>
      <c r="B2768" s="19"/>
      <c r="P2768" s="16"/>
    </row>
    <row r="2769">
      <c r="A2769" s="19"/>
      <c r="B2769" s="19"/>
      <c r="P2769" s="16"/>
    </row>
    <row r="2770">
      <c r="A2770" s="19"/>
      <c r="B2770" s="19"/>
      <c r="P2770" s="16"/>
    </row>
    <row r="2771">
      <c r="A2771" s="19"/>
      <c r="B2771" s="19"/>
      <c r="P2771" s="16"/>
    </row>
    <row r="2772">
      <c r="A2772" s="19"/>
      <c r="B2772" s="19"/>
      <c r="P2772" s="16"/>
    </row>
    <row r="2773">
      <c r="A2773" s="19"/>
      <c r="B2773" s="19"/>
      <c r="P2773" s="16"/>
    </row>
    <row r="2774">
      <c r="A2774" s="19"/>
      <c r="B2774" s="19"/>
      <c r="P2774" s="16"/>
    </row>
    <row r="2775">
      <c r="A2775" s="19"/>
      <c r="B2775" s="19"/>
      <c r="P2775" s="16"/>
    </row>
    <row r="2776">
      <c r="A2776" s="19"/>
      <c r="B2776" s="19"/>
      <c r="P2776" s="16"/>
    </row>
    <row r="2777">
      <c r="A2777" s="19"/>
      <c r="B2777" s="19"/>
      <c r="P2777" s="16"/>
    </row>
    <row r="2778">
      <c r="A2778" s="19"/>
      <c r="B2778" s="19"/>
      <c r="P2778" s="16"/>
    </row>
    <row r="2779">
      <c r="A2779" s="19"/>
      <c r="B2779" s="19"/>
      <c r="P2779" s="16"/>
    </row>
    <row r="2780">
      <c r="A2780" s="19"/>
      <c r="B2780" s="19"/>
      <c r="P2780" s="16"/>
    </row>
    <row r="2781">
      <c r="A2781" s="19"/>
      <c r="B2781" s="19"/>
      <c r="P2781" s="16"/>
    </row>
    <row r="2782">
      <c r="A2782" s="19"/>
      <c r="B2782" s="19"/>
      <c r="P2782" s="16"/>
    </row>
    <row r="2783">
      <c r="A2783" s="19"/>
      <c r="B2783" s="19"/>
      <c r="P2783" s="16"/>
    </row>
    <row r="2784">
      <c r="A2784" s="19"/>
      <c r="B2784" s="19"/>
      <c r="P2784" s="16"/>
    </row>
    <row r="2785">
      <c r="A2785" s="19"/>
      <c r="B2785" s="19"/>
      <c r="P2785" s="16"/>
    </row>
    <row r="2786">
      <c r="A2786" s="19"/>
      <c r="B2786" s="19"/>
      <c r="P2786" s="16"/>
    </row>
    <row r="2787">
      <c r="A2787" s="19"/>
      <c r="B2787" s="19"/>
      <c r="P2787" s="16"/>
    </row>
    <row r="2788">
      <c r="A2788" s="19"/>
      <c r="B2788" s="19"/>
      <c r="P2788" s="16"/>
    </row>
    <row r="2789">
      <c r="A2789" s="19"/>
      <c r="B2789" s="19"/>
      <c r="P2789" s="16"/>
    </row>
    <row r="2790">
      <c r="A2790" s="19"/>
      <c r="B2790" s="19"/>
      <c r="P2790" s="16"/>
    </row>
    <row r="2791">
      <c r="A2791" s="19"/>
      <c r="B2791" s="19"/>
      <c r="P2791" s="16"/>
    </row>
    <row r="2792">
      <c r="A2792" s="19"/>
      <c r="B2792" s="19"/>
      <c r="P2792" s="16"/>
    </row>
    <row r="2793">
      <c r="A2793" s="19"/>
      <c r="B2793" s="19"/>
      <c r="P2793" s="16"/>
    </row>
    <row r="2794">
      <c r="A2794" s="19"/>
      <c r="B2794" s="19"/>
      <c r="P2794" s="16"/>
    </row>
    <row r="2795">
      <c r="A2795" s="19"/>
      <c r="B2795" s="19"/>
      <c r="P2795" s="16"/>
    </row>
    <row r="2796">
      <c r="A2796" s="19"/>
      <c r="B2796" s="19"/>
      <c r="P2796" s="16"/>
    </row>
    <row r="2797">
      <c r="A2797" s="19"/>
      <c r="B2797" s="19"/>
      <c r="P2797" s="16"/>
    </row>
    <row r="2798">
      <c r="A2798" s="19"/>
      <c r="B2798" s="19"/>
      <c r="P2798" s="16"/>
    </row>
    <row r="2799">
      <c r="A2799" s="19"/>
      <c r="B2799" s="19"/>
      <c r="P2799" s="16"/>
    </row>
    <row r="2800">
      <c r="A2800" s="19"/>
      <c r="B2800" s="19"/>
      <c r="P2800" s="16"/>
    </row>
    <row r="2801">
      <c r="A2801" s="19"/>
      <c r="B2801" s="19"/>
      <c r="P2801" s="16"/>
    </row>
    <row r="2802">
      <c r="A2802" s="19"/>
      <c r="B2802" s="19"/>
      <c r="P2802" s="16"/>
    </row>
    <row r="2803">
      <c r="A2803" s="19"/>
      <c r="B2803" s="19"/>
      <c r="P2803" s="16"/>
    </row>
    <row r="2804">
      <c r="A2804" s="19"/>
      <c r="B2804" s="19"/>
      <c r="P2804" s="16"/>
    </row>
    <row r="2805">
      <c r="A2805" s="19"/>
      <c r="B2805" s="19"/>
      <c r="P2805" s="16"/>
    </row>
    <row r="2806">
      <c r="A2806" s="19"/>
      <c r="B2806" s="19"/>
      <c r="P2806" s="16"/>
    </row>
    <row r="2807">
      <c r="A2807" s="19"/>
      <c r="B2807" s="19"/>
      <c r="P2807" s="16"/>
    </row>
    <row r="2808">
      <c r="A2808" s="19"/>
      <c r="B2808" s="19"/>
      <c r="P2808" s="16"/>
    </row>
    <row r="2809">
      <c r="A2809" s="19"/>
      <c r="B2809" s="19"/>
      <c r="P2809" s="16"/>
    </row>
    <row r="2810">
      <c r="A2810" s="19"/>
      <c r="B2810" s="19"/>
      <c r="P2810" s="16"/>
    </row>
    <row r="2811">
      <c r="A2811" s="19"/>
      <c r="B2811" s="19"/>
      <c r="P2811" s="16"/>
    </row>
    <row r="2812">
      <c r="A2812" s="19"/>
      <c r="B2812" s="19"/>
      <c r="P2812" s="16"/>
    </row>
    <row r="2813">
      <c r="A2813" s="19"/>
      <c r="B2813" s="19"/>
      <c r="P2813" s="16"/>
    </row>
    <row r="2814">
      <c r="A2814" s="19"/>
      <c r="B2814" s="19"/>
      <c r="P2814" s="16"/>
    </row>
    <row r="2815">
      <c r="A2815" s="19"/>
      <c r="B2815" s="19"/>
      <c r="P2815" s="16"/>
    </row>
    <row r="2816">
      <c r="A2816" s="19"/>
      <c r="B2816" s="19"/>
      <c r="P2816" s="16"/>
    </row>
    <row r="2817">
      <c r="A2817" s="19"/>
      <c r="B2817" s="19"/>
      <c r="P2817" s="16"/>
    </row>
    <row r="2818">
      <c r="A2818" s="19"/>
      <c r="B2818" s="19"/>
      <c r="P2818" s="16"/>
    </row>
    <row r="2819">
      <c r="A2819" s="19"/>
      <c r="B2819" s="19"/>
      <c r="P2819" s="16"/>
    </row>
    <row r="2820">
      <c r="A2820" s="19"/>
      <c r="B2820" s="19"/>
      <c r="P2820" s="16"/>
    </row>
    <row r="2821">
      <c r="A2821" s="19"/>
      <c r="B2821" s="19"/>
      <c r="P2821" s="16"/>
    </row>
    <row r="2822">
      <c r="A2822" s="19"/>
      <c r="B2822" s="19"/>
      <c r="P2822" s="16"/>
    </row>
    <row r="2823">
      <c r="A2823" s="19"/>
      <c r="B2823" s="19"/>
      <c r="P2823" s="16"/>
    </row>
    <row r="2824">
      <c r="A2824" s="19"/>
      <c r="B2824" s="19"/>
      <c r="P2824" s="16"/>
    </row>
    <row r="2825">
      <c r="A2825" s="19"/>
      <c r="B2825" s="19"/>
      <c r="P2825" s="16"/>
    </row>
    <row r="2826">
      <c r="A2826" s="19"/>
      <c r="B2826" s="19"/>
      <c r="P2826" s="16"/>
    </row>
    <row r="2827">
      <c r="A2827" s="19"/>
      <c r="B2827" s="19"/>
      <c r="P2827" s="16"/>
    </row>
    <row r="2828">
      <c r="A2828" s="19"/>
      <c r="B2828" s="19"/>
      <c r="P2828" s="16"/>
    </row>
    <row r="2829">
      <c r="A2829" s="19"/>
      <c r="B2829" s="19"/>
      <c r="P2829" s="16"/>
    </row>
    <row r="2830">
      <c r="A2830" s="19"/>
      <c r="B2830" s="19"/>
      <c r="P2830" s="16"/>
    </row>
    <row r="2831">
      <c r="A2831" s="19"/>
      <c r="B2831" s="19"/>
      <c r="P2831" s="16"/>
    </row>
    <row r="2832">
      <c r="A2832" s="19"/>
      <c r="B2832" s="19"/>
      <c r="P2832" s="16"/>
    </row>
    <row r="2833">
      <c r="A2833" s="19"/>
      <c r="B2833" s="19"/>
      <c r="P2833" s="16"/>
    </row>
    <row r="2834">
      <c r="A2834" s="19"/>
      <c r="B2834" s="19"/>
      <c r="P2834" s="16"/>
    </row>
    <row r="2835">
      <c r="A2835" s="19"/>
      <c r="B2835" s="19"/>
      <c r="P2835" s="16"/>
    </row>
    <row r="2836">
      <c r="A2836" s="19"/>
      <c r="B2836" s="19"/>
      <c r="P2836" s="16"/>
    </row>
    <row r="2837">
      <c r="A2837" s="19"/>
      <c r="B2837" s="19"/>
      <c r="P2837" s="16"/>
    </row>
    <row r="2838">
      <c r="A2838" s="19"/>
      <c r="B2838" s="19"/>
      <c r="P2838" s="16"/>
    </row>
    <row r="2839">
      <c r="A2839" s="19"/>
      <c r="B2839" s="19"/>
      <c r="P2839" s="16"/>
    </row>
    <row r="2840">
      <c r="A2840" s="19"/>
      <c r="B2840" s="19"/>
      <c r="P2840" s="16"/>
    </row>
    <row r="2841">
      <c r="A2841" s="19"/>
      <c r="B2841" s="19"/>
      <c r="P2841" s="16"/>
    </row>
    <row r="2842">
      <c r="A2842" s="19"/>
      <c r="B2842" s="19"/>
      <c r="P2842" s="16"/>
    </row>
    <row r="2843">
      <c r="A2843" s="19"/>
      <c r="B2843" s="19"/>
      <c r="P2843" s="16"/>
    </row>
    <row r="2844">
      <c r="A2844" s="19"/>
      <c r="B2844" s="19"/>
      <c r="P2844" s="16"/>
    </row>
    <row r="2845">
      <c r="A2845" s="19"/>
      <c r="B2845" s="19"/>
      <c r="P2845" s="16"/>
    </row>
    <row r="2846">
      <c r="A2846" s="19"/>
      <c r="B2846" s="19"/>
      <c r="P2846" s="16"/>
    </row>
    <row r="2847">
      <c r="A2847" s="19"/>
      <c r="B2847" s="19"/>
      <c r="P2847" s="16"/>
    </row>
    <row r="2848">
      <c r="A2848" s="19"/>
      <c r="B2848" s="19"/>
      <c r="P2848" s="16"/>
    </row>
    <row r="2849">
      <c r="A2849" s="19"/>
      <c r="B2849" s="19"/>
      <c r="P2849" s="16"/>
    </row>
    <row r="2850">
      <c r="A2850" s="19"/>
      <c r="B2850" s="19"/>
      <c r="P2850" s="16"/>
    </row>
    <row r="2851">
      <c r="A2851" s="19"/>
      <c r="B2851" s="19"/>
      <c r="P2851" s="16"/>
    </row>
    <row r="2852">
      <c r="A2852" s="19"/>
      <c r="B2852" s="19"/>
      <c r="P2852" s="16"/>
    </row>
    <row r="2853">
      <c r="A2853" s="19"/>
      <c r="B2853" s="19"/>
      <c r="P2853" s="16"/>
    </row>
    <row r="2854">
      <c r="A2854" s="19"/>
      <c r="B2854" s="19"/>
      <c r="P2854" s="16"/>
    </row>
    <row r="2855">
      <c r="A2855" s="19"/>
      <c r="B2855" s="19"/>
      <c r="P2855" s="16"/>
    </row>
    <row r="2856">
      <c r="A2856" s="19"/>
      <c r="B2856" s="19"/>
      <c r="P2856" s="16"/>
    </row>
    <row r="2857">
      <c r="A2857" s="19"/>
      <c r="B2857" s="19"/>
      <c r="P2857" s="16"/>
    </row>
    <row r="2858">
      <c r="A2858" s="19"/>
      <c r="B2858" s="19"/>
      <c r="P2858" s="16"/>
    </row>
    <row r="2859">
      <c r="A2859" s="19"/>
      <c r="B2859" s="19"/>
      <c r="P2859" s="16"/>
    </row>
    <row r="2860">
      <c r="A2860" s="19"/>
      <c r="B2860" s="19"/>
      <c r="P2860" s="16"/>
    </row>
    <row r="2861">
      <c r="A2861" s="19"/>
      <c r="B2861" s="19"/>
      <c r="P2861" s="16"/>
    </row>
    <row r="2862">
      <c r="A2862" s="19"/>
      <c r="B2862" s="19"/>
      <c r="P2862" s="16"/>
    </row>
    <row r="2863">
      <c r="A2863" s="19"/>
      <c r="B2863" s="19"/>
      <c r="P2863" s="16"/>
    </row>
    <row r="2864">
      <c r="A2864" s="19"/>
      <c r="B2864" s="19"/>
      <c r="P2864" s="16"/>
    </row>
    <row r="2865">
      <c r="A2865" s="19"/>
      <c r="B2865" s="19"/>
      <c r="P2865" s="16"/>
    </row>
    <row r="2866">
      <c r="A2866" s="19"/>
      <c r="B2866" s="19"/>
      <c r="P2866" s="16"/>
    </row>
    <row r="2867">
      <c r="A2867" s="19"/>
      <c r="B2867" s="19"/>
      <c r="P2867" s="16"/>
    </row>
    <row r="2868">
      <c r="A2868" s="19"/>
      <c r="B2868" s="19"/>
      <c r="P2868" s="16"/>
    </row>
    <row r="2869">
      <c r="A2869" s="19"/>
      <c r="B2869" s="19"/>
      <c r="P2869" s="16"/>
    </row>
    <row r="2870">
      <c r="A2870" s="19"/>
      <c r="B2870" s="19"/>
      <c r="P2870" s="16"/>
    </row>
    <row r="2871">
      <c r="A2871" s="19"/>
      <c r="B2871" s="19"/>
      <c r="P2871" s="16"/>
    </row>
    <row r="2872">
      <c r="A2872" s="19"/>
      <c r="B2872" s="19"/>
      <c r="P2872" s="16"/>
    </row>
    <row r="2873">
      <c r="A2873" s="19"/>
      <c r="B2873" s="19"/>
      <c r="P2873" s="16"/>
    </row>
    <row r="2874">
      <c r="A2874" s="19"/>
      <c r="B2874" s="19"/>
      <c r="P2874" s="16"/>
    </row>
    <row r="2875">
      <c r="A2875" s="19"/>
      <c r="B2875" s="19"/>
      <c r="P2875" s="16"/>
    </row>
    <row r="2876">
      <c r="A2876" s="19"/>
      <c r="B2876" s="19"/>
      <c r="P2876" s="16"/>
    </row>
    <row r="2877">
      <c r="A2877" s="19"/>
      <c r="B2877" s="19"/>
      <c r="P2877" s="16"/>
    </row>
    <row r="2878">
      <c r="A2878" s="19"/>
      <c r="B2878" s="19"/>
      <c r="P2878" s="16"/>
    </row>
    <row r="2879">
      <c r="A2879" s="19"/>
      <c r="B2879" s="19"/>
      <c r="P2879" s="16"/>
    </row>
    <row r="2880">
      <c r="A2880" s="19"/>
      <c r="B2880" s="19"/>
      <c r="P2880" s="16"/>
    </row>
    <row r="2881">
      <c r="A2881" s="19"/>
      <c r="B2881" s="19"/>
      <c r="P2881" s="16"/>
    </row>
    <row r="2882">
      <c r="A2882" s="19"/>
      <c r="B2882" s="19"/>
      <c r="P2882" s="16"/>
    </row>
    <row r="2883">
      <c r="A2883" s="19"/>
      <c r="B2883" s="19"/>
      <c r="P2883" s="16"/>
    </row>
    <row r="2884">
      <c r="A2884" s="19"/>
      <c r="B2884" s="19"/>
      <c r="P2884" s="16"/>
    </row>
    <row r="2885">
      <c r="A2885" s="19"/>
      <c r="B2885" s="19"/>
      <c r="P2885" s="16"/>
    </row>
    <row r="2886">
      <c r="A2886" s="19"/>
      <c r="B2886" s="19"/>
      <c r="P2886" s="16"/>
    </row>
    <row r="2887">
      <c r="A2887" s="19"/>
      <c r="B2887" s="19"/>
      <c r="P2887" s="16"/>
    </row>
    <row r="2888">
      <c r="A2888" s="19"/>
      <c r="B2888" s="19"/>
      <c r="P2888" s="16"/>
    </row>
    <row r="2889">
      <c r="A2889" s="19"/>
      <c r="B2889" s="19"/>
      <c r="P2889" s="16"/>
    </row>
    <row r="2890">
      <c r="A2890" s="19"/>
      <c r="B2890" s="19"/>
      <c r="P2890" s="16"/>
    </row>
    <row r="2891">
      <c r="A2891" s="19"/>
      <c r="B2891" s="19"/>
      <c r="P2891" s="16"/>
    </row>
    <row r="2892">
      <c r="A2892" s="19"/>
      <c r="B2892" s="19"/>
      <c r="P2892" s="16"/>
    </row>
    <row r="2893">
      <c r="A2893" s="19"/>
      <c r="B2893" s="19"/>
      <c r="P2893" s="16"/>
    </row>
    <row r="2894">
      <c r="A2894" s="19"/>
      <c r="B2894" s="19"/>
      <c r="P2894" s="16"/>
    </row>
    <row r="2895">
      <c r="A2895" s="19"/>
      <c r="B2895" s="19"/>
      <c r="P2895" s="16"/>
    </row>
    <row r="2896">
      <c r="A2896" s="19"/>
      <c r="B2896" s="19"/>
      <c r="P2896" s="16"/>
    </row>
    <row r="2897">
      <c r="A2897" s="19"/>
      <c r="B2897" s="19"/>
      <c r="P2897" s="16"/>
    </row>
    <row r="2898">
      <c r="A2898" s="19"/>
      <c r="B2898" s="19"/>
      <c r="P2898" s="16"/>
    </row>
    <row r="2899">
      <c r="A2899" s="19"/>
      <c r="B2899" s="19"/>
      <c r="P2899" s="16"/>
    </row>
    <row r="2900">
      <c r="A2900" s="19"/>
      <c r="B2900" s="19"/>
      <c r="P2900" s="16"/>
    </row>
    <row r="2901">
      <c r="A2901" s="19"/>
      <c r="B2901" s="19"/>
      <c r="P2901" s="16"/>
    </row>
    <row r="2902">
      <c r="A2902" s="19"/>
      <c r="B2902" s="19"/>
      <c r="P2902" s="16"/>
    </row>
    <row r="2903">
      <c r="A2903" s="19"/>
      <c r="B2903" s="19"/>
      <c r="P2903" s="16"/>
    </row>
    <row r="2904">
      <c r="A2904" s="19"/>
      <c r="B2904" s="19"/>
      <c r="P2904" s="16"/>
    </row>
    <row r="2905">
      <c r="A2905" s="19"/>
      <c r="B2905" s="19"/>
      <c r="P2905" s="16"/>
    </row>
    <row r="2906">
      <c r="A2906" s="19"/>
      <c r="B2906" s="19"/>
      <c r="P2906" s="16"/>
    </row>
    <row r="2907">
      <c r="A2907" s="19"/>
      <c r="B2907" s="19"/>
      <c r="P2907" s="16"/>
    </row>
    <row r="2908">
      <c r="A2908" s="19"/>
      <c r="B2908" s="19"/>
      <c r="P2908" s="16"/>
    </row>
    <row r="2909">
      <c r="A2909" s="19"/>
      <c r="B2909" s="19"/>
      <c r="P2909" s="16"/>
    </row>
    <row r="2910">
      <c r="A2910" s="19"/>
      <c r="B2910" s="19"/>
      <c r="P2910" s="16"/>
    </row>
    <row r="2911">
      <c r="A2911" s="19"/>
      <c r="B2911" s="19"/>
      <c r="P2911" s="16"/>
    </row>
    <row r="2912">
      <c r="A2912" s="19"/>
      <c r="B2912" s="19"/>
      <c r="P2912" s="16"/>
    </row>
    <row r="2913">
      <c r="A2913" s="19"/>
      <c r="B2913" s="19"/>
      <c r="P2913" s="16"/>
    </row>
    <row r="2914">
      <c r="A2914" s="19"/>
      <c r="B2914" s="19"/>
      <c r="P2914" s="16"/>
    </row>
    <row r="2915">
      <c r="A2915" s="19"/>
      <c r="B2915" s="19"/>
      <c r="P2915" s="16"/>
    </row>
    <row r="2916">
      <c r="A2916" s="19"/>
      <c r="B2916" s="19"/>
      <c r="P2916" s="16"/>
    </row>
    <row r="2917">
      <c r="A2917" s="19"/>
      <c r="B2917" s="19"/>
      <c r="P2917" s="16"/>
    </row>
    <row r="2918">
      <c r="A2918" s="19"/>
      <c r="B2918" s="19"/>
      <c r="P2918" s="16"/>
    </row>
    <row r="2919">
      <c r="A2919" s="19"/>
      <c r="B2919" s="19"/>
      <c r="P2919" s="16"/>
    </row>
    <row r="2920">
      <c r="A2920" s="19"/>
      <c r="B2920" s="19"/>
      <c r="P2920" s="16"/>
    </row>
    <row r="2921">
      <c r="A2921" s="19"/>
      <c r="B2921" s="19"/>
      <c r="P2921" s="16"/>
    </row>
    <row r="2922">
      <c r="A2922" s="19"/>
      <c r="B2922" s="19"/>
      <c r="P2922" s="16"/>
    </row>
    <row r="2923">
      <c r="A2923" s="19"/>
      <c r="B2923" s="19"/>
      <c r="P2923" s="16"/>
    </row>
    <row r="2924">
      <c r="A2924" s="19"/>
      <c r="B2924" s="19"/>
      <c r="P2924" s="16"/>
    </row>
    <row r="2925">
      <c r="A2925" s="19"/>
      <c r="B2925" s="19"/>
      <c r="P2925" s="16"/>
    </row>
    <row r="2926">
      <c r="A2926" s="19"/>
      <c r="B2926" s="19"/>
      <c r="P2926" s="16"/>
    </row>
    <row r="2927">
      <c r="A2927" s="19"/>
      <c r="B2927" s="19"/>
      <c r="P2927" s="16"/>
    </row>
    <row r="2928">
      <c r="A2928" s="19"/>
      <c r="B2928" s="19"/>
      <c r="P2928" s="16"/>
    </row>
    <row r="2929">
      <c r="A2929" s="19"/>
      <c r="B2929" s="19"/>
      <c r="P2929" s="16"/>
    </row>
    <row r="2930">
      <c r="A2930" s="19"/>
      <c r="B2930" s="19"/>
      <c r="P2930" s="16"/>
    </row>
    <row r="2931">
      <c r="A2931" s="19"/>
      <c r="B2931" s="19"/>
      <c r="P2931" s="16"/>
    </row>
    <row r="2932">
      <c r="A2932" s="19"/>
      <c r="B2932" s="19"/>
      <c r="P2932" s="16"/>
    </row>
    <row r="2933">
      <c r="A2933" s="19"/>
      <c r="B2933" s="19"/>
      <c r="P2933" s="16"/>
    </row>
    <row r="2934">
      <c r="A2934" s="19"/>
      <c r="B2934" s="19"/>
      <c r="P2934" s="16"/>
    </row>
    <row r="2935">
      <c r="A2935" s="19"/>
      <c r="B2935" s="19"/>
      <c r="P2935" s="16"/>
    </row>
    <row r="2936">
      <c r="A2936" s="19"/>
      <c r="B2936" s="19"/>
      <c r="P2936" s="16"/>
    </row>
    <row r="2937">
      <c r="A2937" s="19"/>
      <c r="B2937" s="19"/>
      <c r="P2937" s="16"/>
    </row>
    <row r="2938">
      <c r="A2938" s="19"/>
      <c r="B2938" s="19"/>
      <c r="P2938" s="16"/>
    </row>
    <row r="2939">
      <c r="A2939" s="19"/>
      <c r="B2939" s="19"/>
      <c r="P2939" s="16"/>
    </row>
    <row r="2940">
      <c r="A2940" s="19"/>
      <c r="B2940" s="19"/>
      <c r="P2940" s="16"/>
    </row>
    <row r="2941">
      <c r="A2941" s="19"/>
      <c r="B2941" s="19"/>
      <c r="P2941" s="16"/>
    </row>
    <row r="2942">
      <c r="A2942" s="19"/>
      <c r="B2942" s="19"/>
      <c r="P2942" s="16"/>
    </row>
    <row r="2943">
      <c r="A2943" s="19"/>
      <c r="B2943" s="19"/>
      <c r="P2943" s="16"/>
    </row>
    <row r="2944">
      <c r="A2944" s="19"/>
      <c r="B2944" s="19"/>
      <c r="P2944" s="16"/>
    </row>
    <row r="2945">
      <c r="A2945" s="19"/>
      <c r="B2945" s="19"/>
      <c r="P2945" s="16"/>
    </row>
    <row r="2946">
      <c r="A2946" s="19"/>
      <c r="B2946" s="19"/>
      <c r="P2946" s="16"/>
    </row>
    <row r="2947">
      <c r="A2947" s="19"/>
      <c r="B2947" s="19"/>
      <c r="P2947" s="16"/>
    </row>
    <row r="2948">
      <c r="A2948" s="19"/>
      <c r="B2948" s="19"/>
      <c r="P2948" s="16"/>
    </row>
    <row r="2949">
      <c r="A2949" s="19"/>
      <c r="B2949" s="19"/>
      <c r="P2949" s="16"/>
    </row>
    <row r="2950">
      <c r="A2950" s="19"/>
      <c r="B2950" s="19"/>
      <c r="P2950" s="16"/>
    </row>
    <row r="2951">
      <c r="A2951" s="19"/>
      <c r="B2951" s="19"/>
      <c r="P2951" s="16"/>
    </row>
    <row r="2952">
      <c r="A2952" s="19"/>
      <c r="B2952" s="19"/>
      <c r="P2952" s="16"/>
    </row>
    <row r="2953">
      <c r="A2953" s="19"/>
      <c r="B2953" s="19"/>
      <c r="P2953" s="16"/>
    </row>
    <row r="2954">
      <c r="A2954" s="19"/>
      <c r="B2954" s="19"/>
      <c r="P2954" s="16"/>
    </row>
    <row r="2955">
      <c r="A2955" s="19"/>
      <c r="B2955" s="19"/>
      <c r="P2955" s="16"/>
    </row>
    <row r="2956">
      <c r="A2956" s="19"/>
      <c r="B2956" s="19"/>
      <c r="P2956" s="16"/>
    </row>
    <row r="2957">
      <c r="A2957" s="19"/>
      <c r="B2957" s="19"/>
      <c r="P2957" s="16"/>
    </row>
    <row r="2958">
      <c r="A2958" s="19"/>
      <c r="B2958" s="19"/>
      <c r="P2958" s="16"/>
    </row>
    <row r="2959">
      <c r="A2959" s="19"/>
      <c r="B2959" s="19"/>
      <c r="P2959" s="16"/>
    </row>
    <row r="2960">
      <c r="A2960" s="19"/>
      <c r="B2960" s="19"/>
      <c r="P2960" s="16"/>
    </row>
    <row r="2961">
      <c r="A2961" s="19"/>
      <c r="B2961" s="19"/>
      <c r="P2961" s="16"/>
    </row>
    <row r="2962">
      <c r="A2962" s="19"/>
      <c r="B2962" s="19"/>
      <c r="P2962" s="16"/>
    </row>
    <row r="2963">
      <c r="A2963" s="19"/>
      <c r="B2963" s="19"/>
      <c r="P2963" s="16"/>
    </row>
    <row r="2964">
      <c r="A2964" s="19"/>
      <c r="B2964" s="19"/>
      <c r="P2964" s="16"/>
    </row>
    <row r="2965">
      <c r="A2965" s="19"/>
      <c r="B2965" s="19"/>
      <c r="P2965" s="16"/>
    </row>
    <row r="2966">
      <c r="A2966" s="19"/>
      <c r="B2966" s="19"/>
      <c r="P2966" s="16"/>
    </row>
    <row r="2967">
      <c r="A2967" s="19"/>
      <c r="B2967" s="19"/>
      <c r="P2967" s="16"/>
    </row>
    <row r="2968">
      <c r="A2968" s="19"/>
      <c r="B2968" s="19"/>
      <c r="P2968" s="16"/>
    </row>
    <row r="2969">
      <c r="A2969" s="19"/>
      <c r="B2969" s="19"/>
      <c r="P2969" s="16"/>
    </row>
    <row r="2970">
      <c r="A2970" s="19"/>
      <c r="B2970" s="19"/>
      <c r="P2970" s="16"/>
    </row>
    <row r="2971">
      <c r="A2971" s="19"/>
      <c r="B2971" s="19"/>
      <c r="P2971" s="16"/>
    </row>
    <row r="2972">
      <c r="A2972" s="19"/>
      <c r="B2972" s="19"/>
      <c r="P2972" s="16"/>
    </row>
    <row r="2973">
      <c r="A2973" s="19"/>
      <c r="B2973" s="19"/>
      <c r="P2973" s="16"/>
    </row>
    <row r="2974">
      <c r="A2974" s="19"/>
      <c r="B2974" s="19"/>
      <c r="P2974" s="16"/>
    </row>
    <row r="2975">
      <c r="A2975" s="19"/>
      <c r="B2975" s="19"/>
      <c r="P2975" s="16"/>
    </row>
    <row r="2976">
      <c r="A2976" s="19"/>
      <c r="B2976" s="19"/>
      <c r="P2976" s="16"/>
    </row>
    <row r="2977">
      <c r="A2977" s="19"/>
      <c r="B2977" s="19"/>
      <c r="P2977" s="16"/>
    </row>
    <row r="2978">
      <c r="A2978" s="19"/>
      <c r="B2978" s="19"/>
      <c r="P2978" s="16"/>
    </row>
    <row r="2979">
      <c r="A2979" s="19"/>
      <c r="B2979" s="19"/>
      <c r="P2979" s="16"/>
    </row>
    <row r="2980">
      <c r="A2980" s="19"/>
      <c r="B2980" s="19"/>
      <c r="P2980" s="16"/>
    </row>
    <row r="2981">
      <c r="A2981" s="19"/>
      <c r="B2981" s="19"/>
      <c r="P2981" s="16"/>
    </row>
    <row r="2982">
      <c r="A2982" s="19"/>
      <c r="B2982" s="19"/>
      <c r="P2982" s="16"/>
    </row>
    <row r="2983">
      <c r="A2983" s="19"/>
      <c r="B2983" s="19"/>
      <c r="P2983" s="16"/>
    </row>
    <row r="2984">
      <c r="A2984" s="19"/>
      <c r="B2984" s="19"/>
      <c r="P2984" s="16"/>
    </row>
    <row r="2985">
      <c r="A2985" s="19"/>
      <c r="B2985" s="19"/>
      <c r="P2985" s="16"/>
    </row>
    <row r="2986">
      <c r="A2986" s="19"/>
      <c r="B2986" s="19"/>
      <c r="P2986" s="16"/>
    </row>
    <row r="2987">
      <c r="A2987" s="19"/>
      <c r="B2987" s="19"/>
      <c r="P2987" s="16"/>
    </row>
    <row r="2988">
      <c r="A2988" s="19"/>
      <c r="B2988" s="19"/>
      <c r="P2988" s="16"/>
    </row>
    <row r="2989">
      <c r="A2989" s="19"/>
      <c r="B2989" s="19"/>
      <c r="P2989" s="16"/>
    </row>
    <row r="2990">
      <c r="A2990" s="19"/>
      <c r="B2990" s="19"/>
      <c r="P2990" s="16"/>
    </row>
    <row r="2991">
      <c r="A2991" s="19"/>
      <c r="B2991" s="19"/>
      <c r="P2991" s="16"/>
    </row>
    <row r="2992">
      <c r="A2992" s="19"/>
      <c r="B2992" s="19"/>
      <c r="P2992" s="16"/>
    </row>
    <row r="2993">
      <c r="A2993" s="19"/>
      <c r="B2993" s="19"/>
      <c r="P2993" s="16"/>
    </row>
    <row r="2994">
      <c r="A2994" s="19"/>
      <c r="B2994" s="19"/>
      <c r="P2994" s="16"/>
    </row>
    <row r="2995">
      <c r="A2995" s="19"/>
      <c r="B2995" s="19"/>
      <c r="P2995" s="16"/>
    </row>
    <row r="2996">
      <c r="A2996" s="19"/>
      <c r="B2996" s="19"/>
      <c r="P2996" s="16"/>
    </row>
    <row r="2997">
      <c r="A2997" s="19"/>
      <c r="B2997" s="19"/>
      <c r="P2997" s="16"/>
    </row>
    <row r="2998">
      <c r="A2998" s="19"/>
      <c r="B2998" s="19"/>
      <c r="P2998" s="16"/>
    </row>
    <row r="2999">
      <c r="A2999" s="19"/>
      <c r="B2999" s="19"/>
      <c r="P2999" s="16"/>
    </row>
    <row r="3000">
      <c r="A3000" s="19"/>
      <c r="B3000" s="19"/>
      <c r="P3000" s="16"/>
    </row>
    <row r="3001">
      <c r="A3001" s="19"/>
      <c r="B3001" s="19"/>
      <c r="P3001" s="16"/>
    </row>
    <row r="3002">
      <c r="A3002" s="19"/>
      <c r="B3002" s="19"/>
      <c r="P3002" s="16"/>
    </row>
    <row r="3003">
      <c r="A3003" s="19"/>
      <c r="B3003" s="19"/>
      <c r="P3003" s="16"/>
    </row>
    <row r="3004">
      <c r="A3004" s="19"/>
      <c r="B3004" s="19"/>
      <c r="P3004" s="16"/>
    </row>
    <row r="3005">
      <c r="A3005" s="19"/>
      <c r="B3005" s="19"/>
      <c r="P3005" s="16"/>
    </row>
    <row r="3006">
      <c r="A3006" s="19"/>
      <c r="B3006" s="19"/>
      <c r="P3006" s="16"/>
    </row>
    <row r="3007">
      <c r="A3007" s="19"/>
      <c r="B3007" s="19"/>
      <c r="P3007" s="16"/>
    </row>
    <row r="3008">
      <c r="A3008" s="19"/>
      <c r="B3008" s="19"/>
      <c r="P3008" s="16"/>
    </row>
    <row r="3009">
      <c r="A3009" s="19"/>
      <c r="B3009" s="19"/>
      <c r="P3009" s="16"/>
    </row>
    <row r="3010">
      <c r="A3010" s="19"/>
      <c r="B3010" s="19"/>
      <c r="P3010" s="16"/>
    </row>
    <row r="3011">
      <c r="A3011" s="19"/>
      <c r="B3011" s="19"/>
      <c r="P3011" s="16"/>
    </row>
    <row r="3012">
      <c r="A3012" s="19"/>
      <c r="B3012" s="19"/>
      <c r="P3012" s="16"/>
    </row>
    <row r="3013">
      <c r="A3013" s="19"/>
      <c r="B3013" s="19"/>
      <c r="P3013" s="16"/>
    </row>
    <row r="3014">
      <c r="A3014" s="19"/>
      <c r="B3014" s="19"/>
      <c r="P3014" s="16"/>
    </row>
    <row r="3015">
      <c r="A3015" s="19"/>
      <c r="B3015" s="19"/>
      <c r="P3015" s="16"/>
    </row>
    <row r="3016">
      <c r="A3016" s="19"/>
      <c r="B3016" s="19"/>
      <c r="P3016" s="16"/>
    </row>
    <row r="3017">
      <c r="A3017" s="19"/>
      <c r="B3017" s="19"/>
      <c r="P3017" s="16"/>
    </row>
    <row r="3018">
      <c r="A3018" s="19"/>
      <c r="B3018" s="19"/>
      <c r="P3018" s="16"/>
    </row>
    <row r="3019">
      <c r="A3019" s="19"/>
      <c r="B3019" s="19"/>
      <c r="P3019" s="16"/>
    </row>
    <row r="3020">
      <c r="A3020" s="19"/>
      <c r="B3020" s="19"/>
      <c r="P3020" s="16"/>
    </row>
    <row r="3021">
      <c r="A3021" s="19"/>
      <c r="B3021" s="19"/>
      <c r="P3021" s="16"/>
    </row>
    <row r="3022">
      <c r="A3022" s="19"/>
      <c r="B3022" s="19"/>
      <c r="P3022" s="16"/>
    </row>
    <row r="3023">
      <c r="A3023" s="19"/>
      <c r="B3023" s="19"/>
      <c r="P3023" s="16"/>
    </row>
    <row r="3024">
      <c r="A3024" s="19"/>
      <c r="B3024" s="19"/>
      <c r="P3024" s="16"/>
    </row>
    <row r="3025">
      <c r="A3025" s="19"/>
      <c r="B3025" s="19"/>
      <c r="P3025" s="16"/>
    </row>
    <row r="3026">
      <c r="A3026" s="19"/>
      <c r="B3026" s="19"/>
      <c r="P3026" s="16"/>
    </row>
    <row r="3027">
      <c r="A3027" s="19"/>
      <c r="B3027" s="19"/>
      <c r="P3027" s="16"/>
    </row>
    <row r="3028">
      <c r="A3028" s="19"/>
      <c r="B3028" s="19"/>
      <c r="P3028" s="16"/>
    </row>
    <row r="3029">
      <c r="A3029" s="19"/>
      <c r="B3029" s="19"/>
      <c r="P3029" s="16"/>
    </row>
    <row r="3030">
      <c r="A3030" s="19"/>
      <c r="B3030" s="19"/>
      <c r="P3030" s="16"/>
    </row>
    <row r="3031">
      <c r="A3031" s="19"/>
      <c r="B3031" s="19"/>
      <c r="P3031" s="16"/>
    </row>
    <row r="3032">
      <c r="A3032" s="19"/>
      <c r="B3032" s="19"/>
      <c r="P3032" s="16"/>
    </row>
    <row r="3033">
      <c r="A3033" s="19"/>
      <c r="B3033" s="19"/>
      <c r="P3033" s="16"/>
    </row>
    <row r="3034">
      <c r="A3034" s="19"/>
      <c r="B3034" s="19"/>
      <c r="P3034" s="16"/>
    </row>
    <row r="3035">
      <c r="A3035" s="19"/>
      <c r="B3035" s="19"/>
      <c r="P3035" s="16"/>
    </row>
    <row r="3036">
      <c r="A3036" s="19"/>
      <c r="B3036" s="19"/>
      <c r="P3036" s="16"/>
    </row>
    <row r="3037">
      <c r="A3037" s="19"/>
      <c r="B3037" s="19"/>
      <c r="P3037" s="16"/>
    </row>
    <row r="3038">
      <c r="A3038" s="19"/>
      <c r="B3038" s="19"/>
      <c r="P3038" s="16"/>
    </row>
    <row r="3039">
      <c r="A3039" s="19"/>
      <c r="B3039" s="19"/>
      <c r="P3039" s="16"/>
    </row>
    <row r="3040">
      <c r="A3040" s="19"/>
      <c r="B3040" s="19"/>
      <c r="P3040" s="16"/>
    </row>
    <row r="3041">
      <c r="A3041" s="19"/>
      <c r="B3041" s="19"/>
      <c r="P3041" s="16"/>
    </row>
    <row r="3042">
      <c r="A3042" s="19"/>
      <c r="B3042" s="19"/>
      <c r="P3042" s="16"/>
    </row>
    <row r="3043">
      <c r="A3043" s="19"/>
      <c r="B3043" s="19"/>
      <c r="P3043" s="16"/>
    </row>
    <row r="3044">
      <c r="A3044" s="19"/>
      <c r="B3044" s="19"/>
      <c r="P3044" s="16"/>
    </row>
    <row r="3045">
      <c r="A3045" s="19"/>
      <c r="B3045" s="19"/>
      <c r="P3045" s="16"/>
    </row>
    <row r="3046">
      <c r="A3046" s="19"/>
      <c r="B3046" s="19"/>
      <c r="P3046" s="16"/>
    </row>
    <row r="3047">
      <c r="A3047" s="19"/>
      <c r="B3047" s="19"/>
      <c r="P3047" s="16"/>
    </row>
    <row r="3048">
      <c r="A3048" s="19"/>
      <c r="B3048" s="19"/>
      <c r="P3048" s="16"/>
    </row>
    <row r="3049">
      <c r="A3049" s="19"/>
      <c r="B3049" s="19"/>
      <c r="P3049" s="16"/>
    </row>
    <row r="3050">
      <c r="A3050" s="19"/>
      <c r="B3050" s="19"/>
      <c r="P3050" s="16"/>
    </row>
    <row r="3051">
      <c r="A3051" s="19"/>
      <c r="B3051" s="19"/>
      <c r="P3051" s="16"/>
    </row>
    <row r="3052">
      <c r="A3052" s="19"/>
      <c r="B3052" s="19"/>
      <c r="P3052" s="16"/>
    </row>
    <row r="3053">
      <c r="A3053" s="19"/>
      <c r="B3053" s="19"/>
      <c r="P3053" s="16"/>
    </row>
    <row r="3054">
      <c r="A3054" s="19"/>
      <c r="B3054" s="19"/>
      <c r="P3054" s="16"/>
    </row>
    <row r="3055">
      <c r="A3055" s="19"/>
      <c r="B3055" s="19"/>
      <c r="P3055" s="16"/>
    </row>
    <row r="3056">
      <c r="A3056" s="19"/>
      <c r="B3056" s="19"/>
      <c r="P3056" s="16"/>
    </row>
    <row r="3057">
      <c r="A3057" s="19"/>
      <c r="B3057" s="19"/>
      <c r="P3057" s="16"/>
    </row>
    <row r="3058">
      <c r="A3058" s="19"/>
      <c r="B3058" s="19"/>
      <c r="P3058" s="16"/>
    </row>
    <row r="3059">
      <c r="A3059" s="19"/>
      <c r="B3059" s="19"/>
      <c r="P3059" s="16"/>
    </row>
    <row r="3060">
      <c r="A3060" s="19"/>
      <c r="B3060" s="19"/>
      <c r="P3060" s="16"/>
    </row>
    <row r="3061">
      <c r="A3061" s="19"/>
      <c r="B3061" s="19"/>
      <c r="P3061" s="16"/>
    </row>
    <row r="3062">
      <c r="A3062" s="19"/>
      <c r="B3062" s="19"/>
      <c r="P3062" s="16"/>
    </row>
    <row r="3063">
      <c r="A3063" s="19"/>
      <c r="B3063" s="19"/>
      <c r="P3063" s="16"/>
    </row>
    <row r="3064">
      <c r="A3064" s="19"/>
      <c r="B3064" s="19"/>
      <c r="P3064" s="16"/>
    </row>
    <row r="3065">
      <c r="A3065" s="19"/>
      <c r="B3065" s="19"/>
      <c r="P3065" s="16"/>
    </row>
    <row r="3066">
      <c r="A3066" s="19"/>
      <c r="B3066" s="19"/>
      <c r="P3066" s="16"/>
    </row>
    <row r="3067">
      <c r="A3067" s="19"/>
      <c r="B3067" s="19"/>
      <c r="P3067" s="16"/>
    </row>
    <row r="3068">
      <c r="A3068" s="19"/>
      <c r="B3068" s="19"/>
      <c r="P3068" s="16"/>
    </row>
    <row r="3069">
      <c r="A3069" s="19"/>
      <c r="B3069" s="19"/>
      <c r="P3069" s="16"/>
    </row>
    <row r="3070">
      <c r="A3070" s="19"/>
      <c r="B3070" s="19"/>
      <c r="P3070" s="16"/>
    </row>
    <row r="3071">
      <c r="A3071" s="19"/>
      <c r="B3071" s="19"/>
      <c r="P3071" s="16"/>
    </row>
    <row r="3072">
      <c r="A3072" s="19"/>
      <c r="B3072" s="19"/>
      <c r="P3072" s="16"/>
    </row>
    <row r="3073">
      <c r="A3073" s="19"/>
      <c r="B3073" s="19"/>
      <c r="P3073" s="16"/>
    </row>
    <row r="3074">
      <c r="A3074" s="19"/>
      <c r="B3074" s="19"/>
      <c r="P3074" s="16"/>
    </row>
    <row r="3075">
      <c r="A3075" s="19"/>
      <c r="B3075" s="19"/>
      <c r="P3075" s="16"/>
    </row>
    <row r="3076">
      <c r="A3076" s="19"/>
      <c r="B3076" s="19"/>
      <c r="P3076" s="16"/>
    </row>
    <row r="3077">
      <c r="A3077" s="19"/>
      <c r="B3077" s="19"/>
      <c r="P3077" s="16"/>
    </row>
    <row r="3078">
      <c r="A3078" s="19"/>
      <c r="B3078" s="19"/>
      <c r="P3078" s="16"/>
    </row>
    <row r="3079">
      <c r="A3079" s="19"/>
      <c r="B3079" s="19"/>
      <c r="P3079" s="16"/>
    </row>
    <row r="3080">
      <c r="A3080" s="19"/>
      <c r="B3080" s="19"/>
      <c r="P3080" s="16"/>
    </row>
    <row r="3081">
      <c r="A3081" s="19"/>
      <c r="B3081" s="19"/>
      <c r="P3081" s="16"/>
    </row>
    <row r="3082">
      <c r="A3082" s="19"/>
      <c r="B3082" s="19"/>
      <c r="P3082" s="16"/>
    </row>
    <row r="3083">
      <c r="A3083" s="19"/>
      <c r="B3083" s="19"/>
      <c r="P3083" s="16"/>
    </row>
    <row r="3084">
      <c r="A3084" s="19"/>
      <c r="B3084" s="19"/>
      <c r="P3084" s="16"/>
    </row>
    <row r="3085">
      <c r="A3085" s="19"/>
      <c r="B3085" s="19"/>
      <c r="P3085" s="16"/>
    </row>
    <row r="3086">
      <c r="A3086" s="19"/>
      <c r="B3086" s="19"/>
      <c r="P3086" s="16"/>
    </row>
    <row r="3087">
      <c r="A3087" s="19"/>
      <c r="B3087" s="19"/>
      <c r="P3087" s="16"/>
    </row>
    <row r="3088">
      <c r="A3088" s="19"/>
      <c r="B3088" s="19"/>
      <c r="P3088" s="16"/>
    </row>
    <row r="3089">
      <c r="A3089" s="19"/>
      <c r="B3089" s="19"/>
      <c r="P3089" s="16"/>
    </row>
    <row r="3090">
      <c r="A3090" s="19"/>
      <c r="B3090" s="19"/>
      <c r="P3090" s="16"/>
    </row>
    <row r="3091">
      <c r="A3091" s="19"/>
      <c r="B3091" s="19"/>
      <c r="P3091" s="16"/>
    </row>
    <row r="3092">
      <c r="A3092" s="19"/>
      <c r="B3092" s="19"/>
      <c r="P3092" s="16"/>
    </row>
    <row r="3093">
      <c r="A3093" s="19"/>
      <c r="B3093" s="19"/>
      <c r="P3093" s="16"/>
    </row>
    <row r="3094">
      <c r="A3094" s="19"/>
      <c r="B3094" s="19"/>
      <c r="P3094" s="16"/>
    </row>
    <row r="3095">
      <c r="A3095" s="19"/>
      <c r="B3095" s="19"/>
      <c r="P3095" s="16"/>
    </row>
    <row r="3096">
      <c r="A3096" s="19"/>
      <c r="B3096" s="19"/>
      <c r="P3096" s="16"/>
    </row>
    <row r="3097">
      <c r="A3097" s="19"/>
      <c r="B3097" s="19"/>
      <c r="P3097" s="16"/>
    </row>
    <row r="3098">
      <c r="A3098" s="19"/>
      <c r="B3098" s="19"/>
      <c r="P3098" s="16"/>
    </row>
    <row r="3099">
      <c r="A3099" s="19"/>
      <c r="B3099" s="19"/>
      <c r="P3099" s="16"/>
    </row>
    <row r="3100">
      <c r="A3100" s="19"/>
      <c r="B3100" s="19"/>
      <c r="P3100" s="16"/>
    </row>
    <row r="3101">
      <c r="A3101" s="19"/>
      <c r="B3101" s="19"/>
      <c r="P3101" s="16"/>
    </row>
    <row r="3102">
      <c r="A3102" s="19"/>
      <c r="B3102" s="19"/>
      <c r="P3102" s="16"/>
    </row>
    <row r="3103">
      <c r="A3103" s="19"/>
      <c r="B3103" s="19"/>
      <c r="P3103" s="16"/>
    </row>
    <row r="3104">
      <c r="A3104" s="19"/>
      <c r="B3104" s="19"/>
      <c r="P3104" s="16"/>
    </row>
    <row r="3105">
      <c r="A3105" s="19"/>
      <c r="B3105" s="19"/>
      <c r="P3105" s="16"/>
    </row>
    <row r="3106">
      <c r="A3106" s="19"/>
      <c r="B3106" s="19"/>
      <c r="P3106" s="16"/>
    </row>
    <row r="3107">
      <c r="A3107" s="19"/>
      <c r="B3107" s="19"/>
      <c r="P3107" s="16"/>
    </row>
    <row r="3108">
      <c r="A3108" s="19"/>
      <c r="B3108" s="19"/>
      <c r="P3108" s="16"/>
    </row>
    <row r="3109">
      <c r="A3109" s="19"/>
      <c r="B3109" s="19"/>
      <c r="P3109" s="16"/>
    </row>
    <row r="3110">
      <c r="A3110" s="19"/>
      <c r="B3110" s="19"/>
      <c r="P3110" s="16"/>
    </row>
    <row r="3111">
      <c r="A3111" s="19"/>
      <c r="B3111" s="19"/>
      <c r="P3111" s="16"/>
    </row>
    <row r="3112">
      <c r="A3112" s="19"/>
      <c r="B3112" s="19"/>
      <c r="P3112" s="16"/>
    </row>
    <row r="3113">
      <c r="A3113" s="19"/>
      <c r="B3113" s="19"/>
      <c r="P3113" s="16"/>
    </row>
    <row r="3114">
      <c r="A3114" s="19"/>
      <c r="B3114" s="19"/>
      <c r="P3114" s="16"/>
    </row>
    <row r="3115">
      <c r="A3115" s="19"/>
      <c r="B3115" s="19"/>
      <c r="P3115" s="16"/>
    </row>
    <row r="3116">
      <c r="A3116" s="19"/>
      <c r="B3116" s="19"/>
      <c r="P3116" s="16"/>
    </row>
    <row r="3117">
      <c r="A3117" s="19"/>
      <c r="B3117" s="19"/>
      <c r="P3117" s="16"/>
    </row>
    <row r="3118">
      <c r="A3118" s="19"/>
      <c r="B3118" s="19"/>
      <c r="P3118" s="16"/>
    </row>
    <row r="3119">
      <c r="A3119" s="19"/>
      <c r="B3119" s="19"/>
      <c r="P3119" s="16"/>
    </row>
    <row r="3120">
      <c r="A3120" s="19"/>
      <c r="B3120" s="19"/>
      <c r="P3120" s="16"/>
    </row>
    <row r="3121">
      <c r="A3121" s="19"/>
      <c r="B3121" s="19"/>
      <c r="P3121" s="16"/>
    </row>
    <row r="3122">
      <c r="A3122" s="19"/>
      <c r="B3122" s="19"/>
      <c r="P3122" s="16"/>
    </row>
    <row r="3123">
      <c r="A3123" s="19"/>
      <c r="B3123" s="19"/>
      <c r="P3123" s="16"/>
    </row>
    <row r="3124">
      <c r="A3124" s="19"/>
      <c r="B3124" s="19"/>
      <c r="P3124" s="16"/>
    </row>
    <row r="3125">
      <c r="A3125" s="19"/>
      <c r="B3125" s="19"/>
      <c r="P3125" s="16"/>
    </row>
    <row r="3126">
      <c r="A3126" s="19"/>
      <c r="B3126" s="19"/>
      <c r="P3126" s="16"/>
    </row>
    <row r="3127">
      <c r="A3127" s="19"/>
      <c r="B3127" s="19"/>
      <c r="P3127" s="16"/>
    </row>
    <row r="3128">
      <c r="A3128" s="19"/>
      <c r="B3128" s="19"/>
      <c r="P3128" s="16"/>
    </row>
    <row r="3129">
      <c r="A3129" s="19"/>
      <c r="B3129" s="19"/>
      <c r="P3129" s="16"/>
    </row>
    <row r="3130">
      <c r="A3130" s="19"/>
      <c r="B3130" s="19"/>
      <c r="P3130" s="16"/>
    </row>
    <row r="3131">
      <c r="A3131" s="19"/>
      <c r="B3131" s="19"/>
      <c r="P3131" s="16"/>
    </row>
    <row r="3132">
      <c r="A3132" s="19"/>
      <c r="B3132" s="19"/>
      <c r="P3132" s="16"/>
    </row>
    <row r="3133">
      <c r="A3133" s="19"/>
      <c r="B3133" s="19"/>
      <c r="P3133" s="16"/>
    </row>
    <row r="3134">
      <c r="A3134" s="19"/>
      <c r="B3134" s="19"/>
      <c r="P3134" s="16"/>
    </row>
    <row r="3135">
      <c r="A3135" s="19"/>
      <c r="B3135" s="19"/>
      <c r="P3135" s="16"/>
    </row>
    <row r="3136">
      <c r="A3136" s="19"/>
      <c r="B3136" s="19"/>
      <c r="P3136" s="16"/>
    </row>
    <row r="3137">
      <c r="A3137" s="19"/>
      <c r="B3137" s="19"/>
      <c r="P3137" s="16"/>
    </row>
    <row r="3138">
      <c r="A3138" s="19"/>
      <c r="B3138" s="19"/>
      <c r="P3138" s="16"/>
    </row>
    <row r="3139">
      <c r="A3139" s="19"/>
      <c r="B3139" s="19"/>
      <c r="P3139" s="16"/>
    </row>
    <row r="3140">
      <c r="A3140" s="19"/>
      <c r="B3140" s="19"/>
      <c r="P3140" s="16"/>
    </row>
    <row r="3141">
      <c r="A3141" s="19"/>
      <c r="B3141" s="19"/>
      <c r="P3141" s="16"/>
    </row>
    <row r="3142">
      <c r="A3142" s="19"/>
      <c r="B3142" s="19"/>
      <c r="P3142" s="16"/>
    </row>
    <row r="3143">
      <c r="A3143" s="19"/>
      <c r="B3143" s="19"/>
      <c r="P3143" s="16"/>
    </row>
    <row r="3144">
      <c r="A3144" s="19"/>
      <c r="B3144" s="19"/>
      <c r="P3144" s="16"/>
    </row>
    <row r="3145">
      <c r="A3145" s="19"/>
      <c r="B3145" s="19"/>
      <c r="P3145" s="16"/>
    </row>
    <row r="3146">
      <c r="A3146" s="19"/>
      <c r="B3146" s="19"/>
      <c r="P3146" s="16"/>
    </row>
    <row r="3147">
      <c r="A3147" s="19"/>
      <c r="B3147" s="19"/>
      <c r="P3147" s="16"/>
    </row>
    <row r="3148">
      <c r="A3148" s="19"/>
      <c r="B3148" s="19"/>
      <c r="P3148" s="16"/>
    </row>
    <row r="3149">
      <c r="A3149" s="19"/>
      <c r="B3149" s="19"/>
      <c r="P3149" s="16"/>
    </row>
    <row r="3150">
      <c r="A3150" s="19"/>
      <c r="B3150" s="19"/>
      <c r="P3150" s="16"/>
    </row>
    <row r="3151">
      <c r="A3151" s="19"/>
      <c r="B3151" s="19"/>
      <c r="P3151" s="16"/>
    </row>
    <row r="3152">
      <c r="A3152" s="19"/>
      <c r="B3152" s="19"/>
      <c r="P3152" s="16"/>
    </row>
    <row r="3153">
      <c r="A3153" s="19"/>
      <c r="B3153" s="19"/>
      <c r="P3153" s="16"/>
    </row>
    <row r="3154">
      <c r="A3154" s="19"/>
      <c r="B3154" s="19"/>
      <c r="P3154" s="16"/>
    </row>
    <row r="3155">
      <c r="A3155" s="19"/>
      <c r="B3155" s="19"/>
      <c r="P3155" s="16"/>
    </row>
    <row r="3156">
      <c r="A3156" s="19"/>
      <c r="B3156" s="19"/>
      <c r="P3156" s="16"/>
    </row>
    <row r="3157">
      <c r="A3157" s="19"/>
      <c r="B3157" s="19"/>
      <c r="P3157" s="16"/>
    </row>
    <row r="3158">
      <c r="A3158" s="19"/>
      <c r="B3158" s="19"/>
      <c r="P3158" s="16"/>
    </row>
    <row r="3159">
      <c r="A3159" s="19"/>
      <c r="B3159" s="19"/>
      <c r="P3159" s="16"/>
    </row>
    <row r="3160">
      <c r="A3160" s="19"/>
      <c r="B3160" s="19"/>
      <c r="P3160" s="16"/>
    </row>
    <row r="3161">
      <c r="A3161" s="19"/>
      <c r="B3161" s="19"/>
      <c r="P3161" s="16"/>
    </row>
    <row r="3162">
      <c r="A3162" s="19"/>
      <c r="B3162" s="19"/>
      <c r="P3162" s="16"/>
    </row>
    <row r="3163">
      <c r="A3163" s="19"/>
      <c r="B3163" s="19"/>
      <c r="P3163" s="16"/>
    </row>
    <row r="3164">
      <c r="A3164" s="19"/>
      <c r="B3164" s="19"/>
      <c r="P3164" s="16"/>
    </row>
    <row r="3165">
      <c r="A3165" s="19"/>
      <c r="B3165" s="19"/>
      <c r="P3165" s="16"/>
    </row>
    <row r="3166">
      <c r="A3166" s="19"/>
      <c r="B3166" s="19"/>
      <c r="P3166" s="16"/>
    </row>
    <row r="3167">
      <c r="A3167" s="19"/>
      <c r="B3167" s="19"/>
      <c r="P3167" s="16"/>
    </row>
    <row r="3168">
      <c r="A3168" s="19"/>
      <c r="B3168" s="19"/>
      <c r="P3168" s="16"/>
    </row>
    <row r="3169">
      <c r="A3169" s="19"/>
      <c r="B3169" s="19"/>
      <c r="P3169" s="16"/>
    </row>
    <row r="3170">
      <c r="A3170" s="19"/>
      <c r="B3170" s="19"/>
      <c r="P3170" s="16"/>
    </row>
    <row r="3171">
      <c r="A3171" s="19"/>
      <c r="B3171" s="19"/>
      <c r="P3171" s="16"/>
    </row>
    <row r="3172">
      <c r="A3172" s="19"/>
      <c r="B3172" s="19"/>
      <c r="P3172" s="16"/>
    </row>
    <row r="3173">
      <c r="A3173" s="19"/>
      <c r="B3173" s="19"/>
      <c r="P3173" s="16"/>
    </row>
    <row r="3174">
      <c r="A3174" s="19"/>
      <c r="B3174" s="19"/>
      <c r="P3174" s="16"/>
    </row>
    <row r="3175">
      <c r="A3175" s="19"/>
      <c r="B3175" s="19"/>
      <c r="P3175" s="16"/>
    </row>
    <row r="3176">
      <c r="A3176" s="19"/>
      <c r="B3176" s="19"/>
      <c r="P3176" s="16"/>
    </row>
    <row r="3177">
      <c r="A3177" s="19"/>
      <c r="B3177" s="19"/>
      <c r="P3177" s="16"/>
    </row>
    <row r="3178">
      <c r="A3178" s="19"/>
      <c r="B3178" s="19"/>
      <c r="P3178" s="16"/>
    </row>
    <row r="3179">
      <c r="A3179" s="19"/>
      <c r="B3179" s="19"/>
      <c r="P3179" s="16"/>
    </row>
    <row r="3180">
      <c r="A3180" s="19"/>
      <c r="B3180" s="19"/>
      <c r="P3180" s="16"/>
    </row>
    <row r="3181">
      <c r="A3181" s="19"/>
      <c r="B3181" s="19"/>
      <c r="P3181" s="16"/>
    </row>
    <row r="3182">
      <c r="A3182" s="19"/>
      <c r="B3182" s="19"/>
      <c r="P3182" s="16"/>
    </row>
    <row r="3183">
      <c r="A3183" s="19"/>
      <c r="B3183" s="19"/>
      <c r="P3183" s="16"/>
    </row>
    <row r="3184">
      <c r="A3184" s="19"/>
      <c r="B3184" s="19"/>
      <c r="P3184" s="16"/>
    </row>
    <row r="3185">
      <c r="A3185" s="19"/>
      <c r="B3185" s="19"/>
      <c r="P3185" s="16"/>
    </row>
    <row r="3186">
      <c r="A3186" s="19"/>
      <c r="B3186" s="19"/>
      <c r="P3186" s="16"/>
    </row>
    <row r="3187">
      <c r="A3187" s="19"/>
      <c r="B3187" s="19"/>
      <c r="P3187" s="16"/>
    </row>
    <row r="3188">
      <c r="A3188" s="19"/>
      <c r="B3188" s="19"/>
      <c r="P3188" s="16"/>
    </row>
    <row r="3189">
      <c r="A3189" s="19"/>
      <c r="B3189" s="19"/>
      <c r="P3189" s="16"/>
    </row>
    <row r="3190">
      <c r="A3190" s="19"/>
      <c r="B3190" s="19"/>
      <c r="P3190" s="16"/>
    </row>
    <row r="3191">
      <c r="A3191" s="19"/>
      <c r="B3191" s="19"/>
      <c r="P3191" s="16"/>
    </row>
    <row r="3192">
      <c r="A3192" s="19"/>
      <c r="B3192" s="19"/>
      <c r="P3192" s="16"/>
    </row>
    <row r="3193">
      <c r="A3193" s="19"/>
      <c r="B3193" s="19"/>
      <c r="P3193" s="16"/>
    </row>
    <row r="3194">
      <c r="A3194" s="19"/>
      <c r="B3194" s="19"/>
      <c r="P3194" s="16"/>
    </row>
    <row r="3195">
      <c r="A3195" s="19"/>
      <c r="B3195" s="19"/>
      <c r="P3195" s="16"/>
    </row>
    <row r="3196">
      <c r="A3196" s="19"/>
      <c r="B3196" s="19"/>
      <c r="P3196" s="16"/>
    </row>
    <row r="3197">
      <c r="A3197" s="19"/>
      <c r="B3197" s="19"/>
      <c r="P3197" s="16"/>
    </row>
    <row r="3198">
      <c r="A3198" s="19"/>
      <c r="B3198" s="19"/>
      <c r="P3198" s="16"/>
    </row>
    <row r="3199">
      <c r="A3199" s="19"/>
      <c r="B3199" s="19"/>
      <c r="P3199" s="16"/>
    </row>
    <row r="3200">
      <c r="A3200" s="19"/>
      <c r="B3200" s="19"/>
      <c r="P3200" s="16"/>
    </row>
    <row r="3201">
      <c r="A3201" s="19"/>
      <c r="B3201" s="19"/>
      <c r="P3201" s="16"/>
    </row>
    <row r="3202">
      <c r="A3202" s="19"/>
      <c r="B3202" s="19"/>
      <c r="P3202" s="16"/>
    </row>
    <row r="3203">
      <c r="A3203" s="19"/>
      <c r="B3203" s="19"/>
      <c r="P3203" s="16"/>
    </row>
    <row r="3204">
      <c r="A3204" s="19"/>
      <c r="B3204" s="19"/>
      <c r="P3204" s="16"/>
    </row>
    <row r="3205">
      <c r="A3205" s="19"/>
      <c r="B3205" s="19"/>
      <c r="P3205" s="16"/>
    </row>
    <row r="3206">
      <c r="A3206" s="19"/>
      <c r="B3206" s="19"/>
      <c r="P3206" s="16"/>
    </row>
    <row r="3207">
      <c r="A3207" s="19"/>
      <c r="B3207" s="19"/>
      <c r="P3207" s="16"/>
    </row>
    <row r="3208">
      <c r="A3208" s="19"/>
      <c r="B3208" s="19"/>
      <c r="P3208" s="16"/>
    </row>
    <row r="3209">
      <c r="A3209" s="19"/>
      <c r="B3209" s="19"/>
      <c r="P3209" s="16"/>
    </row>
    <row r="3210">
      <c r="A3210" s="19"/>
      <c r="B3210" s="19"/>
      <c r="P3210" s="16"/>
    </row>
    <row r="3211">
      <c r="A3211" s="19"/>
      <c r="B3211" s="19"/>
      <c r="P3211" s="16"/>
    </row>
    <row r="3212">
      <c r="A3212" s="19"/>
      <c r="B3212" s="19"/>
      <c r="P3212" s="16"/>
    </row>
    <row r="3213">
      <c r="A3213" s="19"/>
      <c r="B3213" s="19"/>
      <c r="P3213" s="16"/>
    </row>
    <row r="3214">
      <c r="A3214" s="19"/>
      <c r="B3214" s="19"/>
      <c r="P3214" s="16"/>
    </row>
    <row r="3215">
      <c r="A3215" s="19"/>
      <c r="B3215" s="19"/>
      <c r="P3215" s="16"/>
    </row>
    <row r="3216">
      <c r="A3216" s="19"/>
      <c r="B3216" s="19"/>
      <c r="P3216" s="16"/>
    </row>
    <row r="3217">
      <c r="A3217" s="19"/>
      <c r="B3217" s="19"/>
      <c r="P3217" s="16"/>
    </row>
    <row r="3218">
      <c r="A3218" s="19"/>
      <c r="B3218" s="19"/>
      <c r="P3218" s="16"/>
    </row>
    <row r="3219">
      <c r="A3219" s="19"/>
      <c r="B3219" s="19"/>
      <c r="P3219" s="16"/>
    </row>
    <row r="3220">
      <c r="A3220" s="19"/>
      <c r="B3220" s="19"/>
      <c r="P3220" s="16"/>
    </row>
    <row r="3221">
      <c r="A3221" s="19"/>
      <c r="B3221" s="19"/>
      <c r="P3221" s="16"/>
    </row>
    <row r="3222">
      <c r="A3222" s="19"/>
      <c r="B3222" s="19"/>
      <c r="P3222" s="16"/>
    </row>
    <row r="3223">
      <c r="A3223" s="19"/>
      <c r="B3223" s="19"/>
      <c r="P3223" s="16"/>
    </row>
    <row r="3224">
      <c r="A3224" s="19"/>
      <c r="B3224" s="19"/>
      <c r="P3224" s="16"/>
    </row>
    <row r="3225">
      <c r="A3225" s="19"/>
      <c r="B3225" s="19"/>
      <c r="P3225" s="16"/>
    </row>
    <row r="3226">
      <c r="A3226" s="19"/>
      <c r="B3226" s="19"/>
      <c r="P3226" s="16"/>
    </row>
    <row r="3227">
      <c r="A3227" s="19"/>
      <c r="B3227" s="19"/>
      <c r="P3227" s="16"/>
    </row>
    <row r="3228">
      <c r="A3228" s="19"/>
      <c r="B3228" s="19"/>
      <c r="P3228" s="16"/>
    </row>
    <row r="3229">
      <c r="A3229" s="19"/>
      <c r="B3229" s="19"/>
      <c r="P3229" s="16"/>
    </row>
    <row r="3230">
      <c r="A3230" s="19"/>
      <c r="B3230" s="19"/>
      <c r="P3230" s="16"/>
    </row>
    <row r="3231">
      <c r="A3231" s="19"/>
      <c r="B3231" s="19"/>
      <c r="P3231" s="16"/>
    </row>
    <row r="3232">
      <c r="A3232" s="19"/>
      <c r="B3232" s="19"/>
      <c r="P3232" s="16"/>
    </row>
    <row r="3233">
      <c r="A3233" s="19"/>
      <c r="B3233" s="19"/>
      <c r="P3233" s="16"/>
    </row>
    <row r="3234">
      <c r="A3234" s="19"/>
      <c r="B3234" s="19"/>
      <c r="P3234" s="16"/>
    </row>
    <row r="3235">
      <c r="A3235" s="19"/>
      <c r="B3235" s="19"/>
      <c r="P3235" s="16"/>
    </row>
    <row r="3236">
      <c r="A3236" s="19"/>
      <c r="B3236" s="19"/>
      <c r="P3236" s="16"/>
    </row>
    <row r="3237">
      <c r="A3237" s="19"/>
      <c r="B3237" s="19"/>
      <c r="P3237" s="16"/>
    </row>
    <row r="3238">
      <c r="A3238" s="19"/>
      <c r="B3238" s="19"/>
      <c r="P3238" s="16"/>
    </row>
    <row r="3239">
      <c r="A3239" s="19"/>
      <c r="B3239" s="19"/>
      <c r="P3239" s="16"/>
    </row>
    <row r="3240">
      <c r="A3240" s="19"/>
      <c r="B3240" s="19"/>
      <c r="P3240" s="16"/>
    </row>
    <row r="3241">
      <c r="A3241" s="19"/>
      <c r="B3241" s="19"/>
      <c r="P3241" s="16"/>
    </row>
    <row r="3242">
      <c r="A3242" s="19"/>
      <c r="B3242" s="19"/>
      <c r="P3242" s="16"/>
    </row>
    <row r="3243">
      <c r="A3243" s="19"/>
      <c r="B3243" s="19"/>
      <c r="P3243" s="16"/>
    </row>
    <row r="3244">
      <c r="A3244" s="19"/>
      <c r="B3244" s="19"/>
      <c r="P3244" s="16"/>
    </row>
    <row r="3245">
      <c r="A3245" s="19"/>
      <c r="B3245" s="19"/>
      <c r="P3245" s="16"/>
    </row>
    <row r="3246">
      <c r="A3246" s="19"/>
      <c r="B3246" s="19"/>
      <c r="P3246" s="16"/>
    </row>
    <row r="3247">
      <c r="A3247" s="19"/>
      <c r="B3247" s="19"/>
      <c r="P3247" s="16"/>
    </row>
    <row r="3248">
      <c r="A3248" s="19"/>
      <c r="B3248" s="19"/>
      <c r="P3248" s="16"/>
    </row>
    <row r="3249">
      <c r="A3249" s="19"/>
      <c r="B3249" s="19"/>
      <c r="P3249" s="16"/>
    </row>
    <row r="3250">
      <c r="A3250" s="19"/>
      <c r="B3250" s="19"/>
      <c r="P3250" s="16"/>
    </row>
    <row r="3251">
      <c r="A3251" s="19"/>
      <c r="B3251" s="19"/>
      <c r="P3251" s="16"/>
    </row>
    <row r="3252">
      <c r="A3252" s="19"/>
      <c r="B3252" s="19"/>
      <c r="P3252" s="16"/>
    </row>
    <row r="3253">
      <c r="A3253" s="19"/>
      <c r="B3253" s="19"/>
      <c r="P3253" s="16"/>
    </row>
    <row r="3254">
      <c r="A3254" s="19"/>
      <c r="B3254" s="19"/>
      <c r="P3254" s="16"/>
    </row>
    <row r="3255">
      <c r="A3255" s="19"/>
      <c r="B3255" s="19"/>
      <c r="P3255" s="16"/>
    </row>
    <row r="3256">
      <c r="A3256" s="19"/>
      <c r="B3256" s="19"/>
      <c r="P3256" s="16"/>
    </row>
    <row r="3257">
      <c r="A3257" s="19"/>
      <c r="B3257" s="19"/>
      <c r="P3257" s="16"/>
    </row>
    <row r="3258">
      <c r="A3258" s="19"/>
      <c r="B3258" s="19"/>
      <c r="P3258" s="16"/>
    </row>
    <row r="3259">
      <c r="A3259" s="19"/>
      <c r="B3259" s="19"/>
      <c r="P3259" s="16"/>
    </row>
    <row r="3260">
      <c r="A3260" s="19"/>
      <c r="B3260" s="19"/>
      <c r="P3260" s="16"/>
    </row>
    <row r="3261">
      <c r="A3261" s="19"/>
      <c r="B3261" s="19"/>
      <c r="P3261" s="16"/>
    </row>
    <row r="3262">
      <c r="A3262" s="19"/>
      <c r="B3262" s="19"/>
      <c r="P3262" s="16"/>
    </row>
    <row r="3263">
      <c r="A3263" s="19"/>
      <c r="B3263" s="19"/>
      <c r="P3263" s="16"/>
    </row>
    <row r="3264">
      <c r="A3264" s="19"/>
      <c r="B3264" s="19"/>
      <c r="P3264" s="16"/>
    </row>
    <row r="3265">
      <c r="A3265" s="19"/>
      <c r="B3265" s="19"/>
      <c r="P3265" s="16"/>
    </row>
    <row r="3266">
      <c r="A3266" s="19"/>
      <c r="B3266" s="19"/>
      <c r="P3266" s="16"/>
    </row>
    <row r="3267">
      <c r="A3267" s="19"/>
      <c r="B3267" s="19"/>
      <c r="P3267" s="16"/>
    </row>
    <row r="3268">
      <c r="A3268" s="19"/>
      <c r="B3268" s="19"/>
      <c r="P3268" s="16"/>
    </row>
    <row r="3269">
      <c r="A3269" s="19"/>
      <c r="B3269" s="19"/>
      <c r="P3269" s="16"/>
    </row>
    <row r="3270">
      <c r="A3270" s="19"/>
      <c r="B3270" s="19"/>
      <c r="P3270" s="16"/>
    </row>
    <row r="3271">
      <c r="A3271" s="19"/>
      <c r="B3271" s="19"/>
      <c r="P3271" s="16"/>
    </row>
    <row r="3272">
      <c r="A3272" s="19"/>
      <c r="B3272" s="19"/>
      <c r="P3272" s="16"/>
    </row>
    <row r="3273">
      <c r="A3273" s="19"/>
      <c r="B3273" s="19"/>
      <c r="P3273" s="16"/>
    </row>
    <row r="3274">
      <c r="A3274" s="19"/>
      <c r="B3274" s="19"/>
      <c r="P3274" s="16"/>
    </row>
    <row r="3275">
      <c r="A3275" s="19"/>
      <c r="B3275" s="19"/>
      <c r="P3275" s="16"/>
    </row>
    <row r="3276">
      <c r="A3276" s="19"/>
      <c r="B3276" s="19"/>
      <c r="P3276" s="16"/>
    </row>
    <row r="3277">
      <c r="A3277" s="19"/>
      <c r="B3277" s="19"/>
      <c r="P3277" s="16"/>
    </row>
    <row r="3278">
      <c r="A3278" s="19"/>
      <c r="B3278" s="19"/>
      <c r="P3278" s="16"/>
    </row>
    <row r="3279">
      <c r="A3279" s="19"/>
      <c r="B3279" s="19"/>
      <c r="P3279" s="16"/>
    </row>
    <row r="3280">
      <c r="A3280" s="19"/>
      <c r="B3280" s="19"/>
      <c r="P3280" s="16"/>
    </row>
    <row r="3281">
      <c r="A3281" s="19"/>
      <c r="B3281" s="19"/>
      <c r="P3281" s="16"/>
    </row>
    <row r="3282">
      <c r="A3282" s="19"/>
      <c r="B3282" s="19"/>
      <c r="P3282" s="16"/>
    </row>
    <row r="3283">
      <c r="A3283" s="19"/>
      <c r="B3283" s="19"/>
      <c r="P3283" s="16"/>
    </row>
    <row r="3284">
      <c r="A3284" s="19"/>
      <c r="B3284" s="19"/>
      <c r="P3284" s="16"/>
    </row>
    <row r="3285">
      <c r="A3285" s="19"/>
      <c r="B3285" s="19"/>
      <c r="P3285" s="16"/>
    </row>
    <row r="3286">
      <c r="A3286" s="19"/>
      <c r="B3286" s="19"/>
      <c r="P3286" s="16"/>
    </row>
    <row r="3287">
      <c r="A3287" s="19"/>
      <c r="B3287" s="19"/>
      <c r="P3287" s="16"/>
    </row>
    <row r="3288">
      <c r="A3288" s="19"/>
      <c r="B3288" s="19"/>
      <c r="P3288" s="16"/>
    </row>
    <row r="3289">
      <c r="A3289" s="19"/>
      <c r="B3289" s="19"/>
      <c r="P3289" s="16"/>
    </row>
    <row r="3290">
      <c r="A3290" s="19"/>
      <c r="B3290" s="19"/>
      <c r="P3290" s="16"/>
    </row>
    <row r="3291">
      <c r="A3291" s="19"/>
      <c r="B3291" s="19"/>
      <c r="P3291" s="16"/>
    </row>
    <row r="3292">
      <c r="A3292" s="19"/>
      <c r="B3292" s="19"/>
      <c r="P3292" s="16"/>
    </row>
    <row r="3293">
      <c r="A3293" s="19"/>
      <c r="B3293" s="19"/>
      <c r="P3293" s="16"/>
    </row>
    <row r="3294">
      <c r="A3294" s="19"/>
      <c r="B3294" s="19"/>
      <c r="P3294" s="16"/>
    </row>
    <row r="3295">
      <c r="A3295" s="19"/>
      <c r="B3295" s="19"/>
      <c r="P3295" s="16"/>
    </row>
    <row r="3296">
      <c r="A3296" s="19"/>
      <c r="B3296" s="19"/>
      <c r="P3296" s="16"/>
    </row>
    <row r="3297">
      <c r="A3297" s="19"/>
      <c r="B3297" s="19"/>
      <c r="P3297" s="16"/>
    </row>
    <row r="3298">
      <c r="A3298" s="19"/>
      <c r="B3298" s="19"/>
      <c r="P3298" s="16"/>
    </row>
    <row r="3299">
      <c r="A3299" s="19"/>
      <c r="B3299" s="19"/>
      <c r="P3299" s="16"/>
    </row>
    <row r="3300">
      <c r="A3300" s="19"/>
      <c r="B3300" s="19"/>
      <c r="P3300" s="16"/>
    </row>
    <row r="3301">
      <c r="A3301" s="19"/>
      <c r="B3301" s="19"/>
      <c r="P3301" s="16"/>
    </row>
    <row r="3302">
      <c r="A3302" s="19"/>
      <c r="B3302" s="19"/>
      <c r="P3302" s="16"/>
    </row>
    <row r="3303">
      <c r="A3303" s="19"/>
      <c r="B3303" s="19"/>
      <c r="P3303" s="16"/>
    </row>
    <row r="3304">
      <c r="A3304" s="19"/>
      <c r="B3304" s="19"/>
      <c r="P3304" s="16"/>
    </row>
    <row r="3305">
      <c r="A3305" s="19"/>
      <c r="B3305" s="19"/>
      <c r="P3305" s="16"/>
    </row>
    <row r="3306">
      <c r="A3306" s="19"/>
      <c r="B3306" s="19"/>
      <c r="P3306" s="16"/>
    </row>
    <row r="3307">
      <c r="A3307" s="19"/>
      <c r="B3307" s="19"/>
      <c r="P3307" s="16"/>
    </row>
    <row r="3308">
      <c r="A3308" s="19"/>
      <c r="B3308" s="19"/>
      <c r="P3308" s="16"/>
    </row>
    <row r="3309">
      <c r="A3309" s="19"/>
      <c r="B3309" s="19"/>
      <c r="P3309" s="16"/>
    </row>
    <row r="3310">
      <c r="A3310" s="19"/>
      <c r="B3310" s="19"/>
      <c r="P3310" s="16"/>
    </row>
    <row r="3311">
      <c r="A3311" s="19"/>
      <c r="B3311" s="19"/>
      <c r="P3311" s="16"/>
    </row>
    <row r="3312">
      <c r="A3312" s="19"/>
      <c r="B3312" s="19"/>
      <c r="P3312" s="16"/>
    </row>
    <row r="3313">
      <c r="A3313" s="19"/>
      <c r="B3313" s="19"/>
      <c r="P3313" s="16"/>
    </row>
    <row r="3314">
      <c r="A3314" s="19"/>
      <c r="B3314" s="19"/>
      <c r="P3314" s="16"/>
    </row>
    <row r="3315">
      <c r="A3315" s="19"/>
      <c r="B3315" s="19"/>
      <c r="P3315" s="16"/>
    </row>
    <row r="3316">
      <c r="A3316" s="19"/>
      <c r="B3316" s="19"/>
      <c r="P3316" s="16"/>
    </row>
    <row r="3317">
      <c r="A3317" s="19"/>
      <c r="B3317" s="19"/>
      <c r="P3317" s="16"/>
    </row>
    <row r="3318">
      <c r="A3318" s="19"/>
      <c r="B3318" s="19"/>
      <c r="P3318" s="16"/>
    </row>
    <row r="3319">
      <c r="A3319" s="19"/>
      <c r="B3319" s="19"/>
      <c r="P3319" s="16"/>
    </row>
    <row r="3320">
      <c r="A3320" s="19"/>
      <c r="B3320" s="19"/>
      <c r="P3320" s="16"/>
    </row>
    <row r="3321">
      <c r="A3321" s="19"/>
      <c r="B3321" s="19"/>
      <c r="P3321" s="16"/>
    </row>
    <row r="3322">
      <c r="A3322" s="19"/>
      <c r="B3322" s="19"/>
      <c r="P3322" s="16"/>
    </row>
    <row r="3323">
      <c r="A3323" s="19"/>
      <c r="B3323" s="19"/>
      <c r="P3323" s="16"/>
    </row>
    <row r="3324">
      <c r="A3324" s="19"/>
      <c r="B3324" s="19"/>
      <c r="P3324" s="16"/>
    </row>
    <row r="3325">
      <c r="A3325" s="19"/>
      <c r="B3325" s="19"/>
      <c r="P3325" s="16"/>
    </row>
    <row r="3326">
      <c r="A3326" s="19"/>
      <c r="B3326" s="19"/>
      <c r="P3326" s="16"/>
    </row>
    <row r="3327">
      <c r="A3327" s="19"/>
      <c r="B3327" s="19"/>
      <c r="P3327" s="16"/>
    </row>
    <row r="3328">
      <c r="A3328" s="19"/>
      <c r="B3328" s="19"/>
      <c r="P3328" s="16"/>
    </row>
    <row r="3329">
      <c r="A3329" s="19"/>
      <c r="B3329" s="19"/>
      <c r="P3329" s="16"/>
    </row>
    <row r="3330">
      <c r="A3330" s="19"/>
      <c r="B3330" s="19"/>
      <c r="P3330" s="16"/>
    </row>
    <row r="3331">
      <c r="A3331" s="19"/>
      <c r="B3331" s="19"/>
      <c r="P3331" s="16"/>
    </row>
    <row r="3332">
      <c r="A3332" s="19"/>
      <c r="B3332" s="19"/>
      <c r="P3332" s="16"/>
    </row>
    <row r="3333">
      <c r="A3333" s="19"/>
      <c r="B3333" s="19"/>
      <c r="P3333" s="16"/>
    </row>
    <row r="3334">
      <c r="A3334" s="19"/>
      <c r="B3334" s="19"/>
      <c r="P3334" s="16"/>
    </row>
    <row r="3335">
      <c r="A3335" s="19"/>
      <c r="B3335" s="19"/>
      <c r="P3335" s="16"/>
    </row>
    <row r="3336">
      <c r="A3336" s="19"/>
      <c r="B3336" s="19"/>
      <c r="P3336" s="16"/>
    </row>
    <row r="3337">
      <c r="A3337" s="19"/>
      <c r="B3337" s="19"/>
      <c r="P3337" s="16"/>
    </row>
    <row r="3338">
      <c r="A3338" s="19"/>
      <c r="B3338" s="19"/>
      <c r="P3338" s="16"/>
    </row>
    <row r="3339">
      <c r="A3339" s="19"/>
      <c r="B3339" s="19"/>
      <c r="P3339" s="16"/>
    </row>
    <row r="3340">
      <c r="A3340" s="19"/>
      <c r="B3340" s="19"/>
      <c r="P3340" s="16"/>
    </row>
    <row r="3341">
      <c r="A3341" s="19"/>
      <c r="B3341" s="19"/>
      <c r="P3341" s="16"/>
    </row>
    <row r="3342">
      <c r="A3342" s="19"/>
      <c r="B3342" s="19"/>
      <c r="P3342" s="16"/>
    </row>
    <row r="3343">
      <c r="A3343" s="19"/>
      <c r="B3343" s="19"/>
      <c r="P3343" s="16"/>
    </row>
    <row r="3344">
      <c r="A3344" s="19"/>
      <c r="B3344" s="19"/>
      <c r="P3344" s="16"/>
    </row>
    <row r="3345">
      <c r="A3345" s="19"/>
      <c r="B3345" s="19"/>
      <c r="P3345" s="16"/>
    </row>
    <row r="3346">
      <c r="A3346" s="19"/>
      <c r="B3346" s="19"/>
      <c r="P3346" s="16"/>
    </row>
    <row r="3347">
      <c r="A3347" s="19"/>
      <c r="B3347" s="19"/>
      <c r="P3347" s="16"/>
    </row>
    <row r="3348">
      <c r="A3348" s="19"/>
      <c r="B3348" s="19"/>
      <c r="P3348" s="16"/>
    </row>
    <row r="3349">
      <c r="A3349" s="19"/>
      <c r="B3349" s="19"/>
      <c r="P3349" s="16"/>
    </row>
    <row r="3350">
      <c r="A3350" s="19"/>
      <c r="B3350" s="19"/>
      <c r="P3350" s="16"/>
    </row>
    <row r="3351">
      <c r="A3351" s="19"/>
      <c r="B3351" s="19"/>
      <c r="P3351" s="16"/>
    </row>
    <row r="3352">
      <c r="A3352" s="19"/>
      <c r="B3352" s="19"/>
      <c r="P3352" s="16"/>
    </row>
    <row r="3353">
      <c r="A3353" s="19"/>
      <c r="B3353" s="19"/>
      <c r="P3353" s="16"/>
    </row>
    <row r="3354">
      <c r="A3354" s="19"/>
      <c r="B3354" s="19"/>
      <c r="P3354" s="16"/>
    </row>
    <row r="3355">
      <c r="A3355" s="19"/>
      <c r="B3355" s="19"/>
      <c r="P3355" s="16"/>
    </row>
    <row r="3356">
      <c r="A3356" s="19"/>
      <c r="B3356" s="19"/>
      <c r="P3356" s="16"/>
    </row>
    <row r="3357">
      <c r="A3357" s="19"/>
      <c r="B3357" s="19"/>
      <c r="P3357" s="16"/>
    </row>
    <row r="3358">
      <c r="A3358" s="19"/>
      <c r="B3358" s="19"/>
      <c r="P3358" s="16"/>
    </row>
    <row r="3359">
      <c r="A3359" s="19"/>
      <c r="B3359" s="19"/>
      <c r="P3359" s="16"/>
    </row>
    <row r="3360">
      <c r="A3360" s="19"/>
      <c r="B3360" s="19"/>
      <c r="P3360" s="16"/>
    </row>
    <row r="3361">
      <c r="A3361" s="19"/>
      <c r="B3361" s="19"/>
      <c r="P3361" s="16"/>
    </row>
    <row r="3362">
      <c r="A3362" s="19"/>
      <c r="B3362" s="19"/>
      <c r="P3362" s="16"/>
    </row>
    <row r="3363">
      <c r="A3363" s="19"/>
      <c r="B3363" s="19"/>
      <c r="P3363" s="16"/>
    </row>
    <row r="3364">
      <c r="A3364" s="19"/>
      <c r="B3364" s="19"/>
      <c r="P3364" s="16"/>
    </row>
    <row r="3365">
      <c r="A3365" s="19"/>
      <c r="B3365" s="19"/>
      <c r="P3365" s="16"/>
    </row>
    <row r="3366">
      <c r="A3366" s="19"/>
      <c r="B3366" s="19"/>
      <c r="P3366" s="16"/>
    </row>
    <row r="3367">
      <c r="A3367" s="19"/>
      <c r="B3367" s="19"/>
      <c r="P3367" s="16"/>
    </row>
    <row r="3368">
      <c r="A3368" s="19"/>
      <c r="B3368" s="19"/>
      <c r="P3368" s="16"/>
    </row>
    <row r="3369">
      <c r="A3369" s="19"/>
      <c r="B3369" s="19"/>
      <c r="P3369" s="16"/>
    </row>
    <row r="3370">
      <c r="A3370" s="19"/>
      <c r="B3370" s="19"/>
      <c r="P3370" s="16"/>
    </row>
    <row r="3371">
      <c r="A3371" s="19"/>
      <c r="B3371" s="19"/>
      <c r="P3371" s="16"/>
    </row>
    <row r="3372">
      <c r="A3372" s="19"/>
      <c r="B3372" s="19"/>
      <c r="P3372" s="16"/>
    </row>
    <row r="3373">
      <c r="A3373" s="19"/>
      <c r="B3373" s="19"/>
      <c r="P3373" s="16"/>
    </row>
    <row r="3374">
      <c r="A3374" s="19"/>
      <c r="B3374" s="19"/>
      <c r="P3374" s="16"/>
    </row>
    <row r="3375">
      <c r="A3375" s="19"/>
      <c r="B3375" s="19"/>
      <c r="P3375" s="16"/>
    </row>
    <row r="3376">
      <c r="A3376" s="19"/>
      <c r="B3376" s="19"/>
      <c r="P3376" s="16"/>
    </row>
    <row r="3377">
      <c r="A3377" s="19"/>
      <c r="B3377" s="19"/>
      <c r="P3377" s="16"/>
    </row>
    <row r="3378">
      <c r="A3378" s="19"/>
      <c r="B3378" s="19"/>
      <c r="P3378" s="16"/>
    </row>
    <row r="3379">
      <c r="A3379" s="19"/>
      <c r="B3379" s="19"/>
      <c r="P3379" s="16"/>
    </row>
    <row r="3380">
      <c r="A3380" s="19"/>
      <c r="B3380" s="19"/>
      <c r="P3380" s="16"/>
    </row>
    <row r="3381">
      <c r="A3381" s="19"/>
      <c r="B3381" s="19"/>
      <c r="P3381" s="16"/>
    </row>
    <row r="3382">
      <c r="A3382" s="19"/>
      <c r="B3382" s="19"/>
      <c r="P3382" s="16"/>
    </row>
    <row r="3383">
      <c r="A3383" s="19"/>
      <c r="B3383" s="19"/>
      <c r="P3383" s="16"/>
    </row>
    <row r="3384">
      <c r="A3384" s="19"/>
      <c r="B3384" s="19"/>
      <c r="P3384" s="16"/>
    </row>
    <row r="3385">
      <c r="A3385" s="19"/>
      <c r="B3385" s="19"/>
      <c r="P3385" s="16"/>
    </row>
    <row r="3386">
      <c r="A3386" s="19"/>
      <c r="B3386" s="19"/>
      <c r="P3386" s="16"/>
    </row>
    <row r="3387">
      <c r="A3387" s="19"/>
      <c r="B3387" s="19"/>
      <c r="P3387" s="16"/>
    </row>
    <row r="3388">
      <c r="A3388" s="19"/>
      <c r="B3388" s="19"/>
      <c r="P3388" s="16"/>
    </row>
    <row r="3389">
      <c r="A3389" s="19"/>
      <c r="B3389" s="19"/>
      <c r="P3389" s="16"/>
    </row>
    <row r="3390">
      <c r="A3390" s="19"/>
      <c r="B3390" s="19"/>
      <c r="P3390" s="16"/>
    </row>
    <row r="3391">
      <c r="A3391" s="19"/>
      <c r="B3391" s="19"/>
      <c r="P3391" s="16"/>
    </row>
    <row r="3392">
      <c r="A3392" s="19"/>
      <c r="B3392" s="19"/>
      <c r="P3392" s="16"/>
    </row>
    <row r="3393">
      <c r="A3393" s="19"/>
      <c r="B3393" s="19"/>
      <c r="P3393" s="16"/>
    </row>
    <row r="3394">
      <c r="A3394" s="19"/>
      <c r="B3394" s="19"/>
      <c r="P3394" s="16"/>
    </row>
    <row r="3395">
      <c r="A3395" s="19"/>
      <c r="B3395" s="19"/>
      <c r="P3395" s="16"/>
    </row>
    <row r="3396">
      <c r="A3396" s="19"/>
      <c r="B3396" s="19"/>
      <c r="P3396" s="16"/>
    </row>
    <row r="3397">
      <c r="A3397" s="19"/>
      <c r="B3397" s="19"/>
      <c r="P3397" s="16"/>
    </row>
    <row r="3398">
      <c r="A3398" s="19"/>
      <c r="B3398" s="19"/>
      <c r="P3398" s="16"/>
    </row>
    <row r="3399">
      <c r="A3399" s="19"/>
      <c r="B3399" s="19"/>
      <c r="P3399" s="16"/>
    </row>
    <row r="3400">
      <c r="A3400" s="19"/>
      <c r="B3400" s="19"/>
      <c r="P3400" s="16"/>
    </row>
    <row r="3401">
      <c r="A3401" s="19"/>
      <c r="B3401" s="19"/>
      <c r="P3401" s="16"/>
    </row>
    <row r="3402">
      <c r="A3402" s="19"/>
      <c r="B3402" s="19"/>
      <c r="P3402" s="16"/>
    </row>
    <row r="3403">
      <c r="A3403" s="19"/>
      <c r="B3403" s="19"/>
      <c r="P3403" s="16"/>
    </row>
    <row r="3404">
      <c r="A3404" s="19"/>
      <c r="B3404" s="19"/>
      <c r="P3404" s="16"/>
    </row>
    <row r="3405">
      <c r="A3405" s="19"/>
      <c r="B3405" s="19"/>
      <c r="P3405" s="16"/>
    </row>
    <row r="3406">
      <c r="A3406" s="19"/>
      <c r="B3406" s="19"/>
      <c r="P3406" s="16"/>
    </row>
    <row r="3407">
      <c r="A3407" s="19"/>
      <c r="B3407" s="19"/>
      <c r="P3407" s="16"/>
    </row>
    <row r="3408">
      <c r="A3408" s="19"/>
      <c r="B3408" s="19"/>
      <c r="P3408" s="16"/>
    </row>
    <row r="3409">
      <c r="A3409" s="19"/>
      <c r="B3409" s="19"/>
      <c r="P3409" s="16"/>
    </row>
    <row r="3410">
      <c r="A3410" s="19"/>
      <c r="B3410" s="19"/>
      <c r="P3410" s="16"/>
    </row>
    <row r="3411">
      <c r="A3411" s="19"/>
      <c r="B3411" s="19"/>
      <c r="P3411" s="16"/>
    </row>
    <row r="3412">
      <c r="A3412" s="19"/>
      <c r="B3412" s="19"/>
      <c r="P3412" s="16"/>
    </row>
    <row r="3413">
      <c r="A3413" s="19"/>
      <c r="B3413" s="19"/>
      <c r="P3413" s="16"/>
    </row>
    <row r="3414">
      <c r="A3414" s="19"/>
      <c r="B3414" s="19"/>
      <c r="P3414" s="16"/>
    </row>
    <row r="3415">
      <c r="A3415" s="19"/>
      <c r="B3415" s="19"/>
      <c r="P3415" s="16"/>
    </row>
    <row r="3416">
      <c r="A3416" s="19"/>
      <c r="B3416" s="19"/>
      <c r="P3416" s="16"/>
    </row>
    <row r="3417">
      <c r="A3417" s="19"/>
      <c r="B3417" s="19"/>
      <c r="P3417" s="16"/>
    </row>
    <row r="3418">
      <c r="A3418" s="19"/>
      <c r="B3418" s="19"/>
      <c r="P3418" s="16"/>
    </row>
    <row r="3419">
      <c r="A3419" s="19"/>
      <c r="B3419" s="19"/>
      <c r="P3419" s="16"/>
    </row>
    <row r="3420">
      <c r="A3420" s="19"/>
      <c r="B3420" s="19"/>
      <c r="P3420" s="16"/>
    </row>
    <row r="3421">
      <c r="A3421" s="19"/>
      <c r="B3421" s="19"/>
      <c r="P3421" s="16"/>
    </row>
    <row r="3422">
      <c r="A3422" s="19"/>
      <c r="B3422" s="19"/>
      <c r="P3422" s="16"/>
    </row>
    <row r="3423">
      <c r="A3423" s="19"/>
      <c r="B3423" s="19"/>
      <c r="P3423" s="16"/>
    </row>
    <row r="3424">
      <c r="A3424" s="19"/>
      <c r="B3424" s="19"/>
      <c r="P3424" s="16"/>
    </row>
    <row r="3425">
      <c r="A3425" s="19"/>
      <c r="B3425" s="19"/>
      <c r="P3425" s="16"/>
    </row>
    <row r="3426">
      <c r="A3426" s="19"/>
      <c r="B3426" s="19"/>
      <c r="P3426" s="16"/>
    </row>
    <row r="3427">
      <c r="A3427" s="19"/>
      <c r="B3427" s="19"/>
      <c r="P3427" s="16"/>
    </row>
    <row r="3428">
      <c r="A3428" s="19"/>
      <c r="B3428" s="19"/>
      <c r="P3428" s="16"/>
    </row>
    <row r="3429">
      <c r="A3429" s="19"/>
      <c r="B3429" s="19"/>
      <c r="P3429" s="16"/>
    </row>
    <row r="3430">
      <c r="A3430" s="19"/>
      <c r="B3430" s="19"/>
      <c r="P3430" s="16"/>
    </row>
    <row r="3431">
      <c r="A3431" s="19"/>
      <c r="B3431" s="19"/>
      <c r="P3431" s="16"/>
    </row>
    <row r="3432">
      <c r="A3432" s="19"/>
      <c r="B3432" s="19"/>
      <c r="P3432" s="16"/>
    </row>
    <row r="3433">
      <c r="A3433" s="19"/>
      <c r="B3433" s="19"/>
      <c r="P3433" s="16"/>
    </row>
    <row r="3434">
      <c r="A3434" s="19"/>
      <c r="B3434" s="19"/>
      <c r="P3434" s="16"/>
    </row>
    <row r="3435">
      <c r="A3435" s="19"/>
      <c r="B3435" s="19"/>
      <c r="P3435" s="16"/>
    </row>
    <row r="3436">
      <c r="A3436" s="19"/>
      <c r="B3436" s="19"/>
      <c r="P3436" s="16"/>
    </row>
    <row r="3437">
      <c r="A3437" s="19"/>
      <c r="B3437" s="19"/>
      <c r="P3437" s="16"/>
    </row>
    <row r="3438">
      <c r="A3438" s="19"/>
      <c r="B3438" s="19"/>
      <c r="P3438" s="16"/>
    </row>
    <row r="3439">
      <c r="A3439" s="19"/>
      <c r="B3439" s="19"/>
      <c r="P3439" s="16"/>
    </row>
    <row r="3440">
      <c r="A3440" s="19"/>
      <c r="B3440" s="19"/>
      <c r="P3440" s="16"/>
    </row>
    <row r="3441">
      <c r="A3441" s="19"/>
      <c r="B3441" s="19"/>
      <c r="P3441" s="16"/>
    </row>
    <row r="3442">
      <c r="A3442" s="19"/>
      <c r="B3442" s="19"/>
      <c r="P3442" s="16"/>
    </row>
    <row r="3443">
      <c r="A3443" s="19"/>
      <c r="B3443" s="19"/>
      <c r="P3443" s="16"/>
    </row>
    <row r="3444">
      <c r="A3444" s="19"/>
      <c r="B3444" s="19"/>
      <c r="P3444" s="16"/>
    </row>
    <row r="3445">
      <c r="A3445" s="19"/>
      <c r="B3445" s="19"/>
      <c r="P3445" s="16"/>
    </row>
    <row r="3446">
      <c r="A3446" s="19"/>
      <c r="B3446" s="19"/>
      <c r="P3446" s="16"/>
    </row>
    <row r="3447">
      <c r="A3447" s="19"/>
      <c r="B3447" s="19"/>
      <c r="P3447" s="16"/>
    </row>
    <row r="3448">
      <c r="A3448" s="19"/>
      <c r="B3448" s="19"/>
      <c r="P3448" s="16"/>
    </row>
    <row r="3449">
      <c r="A3449" s="19"/>
      <c r="B3449" s="19"/>
      <c r="P3449" s="16"/>
    </row>
    <row r="3450">
      <c r="A3450" s="19"/>
      <c r="B3450" s="19"/>
      <c r="P3450" s="16"/>
    </row>
    <row r="3451">
      <c r="A3451" s="19"/>
      <c r="B3451" s="19"/>
      <c r="P3451" s="16"/>
    </row>
    <row r="3452">
      <c r="A3452" s="19"/>
      <c r="B3452" s="19"/>
      <c r="P3452" s="16"/>
    </row>
    <row r="3453">
      <c r="A3453" s="19"/>
      <c r="B3453" s="19"/>
      <c r="P3453" s="16"/>
    </row>
    <row r="3454">
      <c r="A3454" s="19"/>
      <c r="B3454" s="19"/>
      <c r="P3454" s="16"/>
    </row>
    <row r="3455">
      <c r="A3455" s="19"/>
      <c r="B3455" s="19"/>
      <c r="P3455" s="16"/>
    </row>
    <row r="3456">
      <c r="A3456" s="19"/>
      <c r="B3456" s="19"/>
      <c r="P3456" s="16"/>
    </row>
    <row r="3457">
      <c r="A3457" s="19"/>
      <c r="B3457" s="19"/>
      <c r="P3457" s="16"/>
    </row>
    <row r="3458">
      <c r="A3458" s="19"/>
      <c r="B3458" s="19"/>
      <c r="P3458" s="16"/>
    </row>
    <row r="3459">
      <c r="A3459" s="19"/>
      <c r="B3459" s="19"/>
      <c r="P3459" s="16"/>
    </row>
    <row r="3460">
      <c r="A3460" s="19"/>
      <c r="B3460" s="19"/>
      <c r="P3460" s="16"/>
    </row>
    <row r="3461">
      <c r="A3461" s="19"/>
      <c r="B3461" s="19"/>
      <c r="P3461" s="16"/>
    </row>
    <row r="3462">
      <c r="A3462" s="19"/>
      <c r="B3462" s="19"/>
      <c r="P3462" s="16"/>
    </row>
    <row r="3463">
      <c r="A3463" s="19"/>
      <c r="B3463" s="19"/>
      <c r="P3463" s="16"/>
    </row>
    <row r="3464">
      <c r="A3464" s="19"/>
      <c r="B3464" s="19"/>
      <c r="P3464" s="16"/>
    </row>
    <row r="3465">
      <c r="A3465" s="19"/>
      <c r="B3465" s="19"/>
      <c r="P3465" s="16"/>
    </row>
    <row r="3466">
      <c r="A3466" s="19"/>
      <c r="B3466" s="19"/>
      <c r="P3466" s="16"/>
    </row>
    <row r="3467">
      <c r="A3467" s="19"/>
      <c r="B3467" s="19"/>
      <c r="P3467" s="16"/>
    </row>
    <row r="3468">
      <c r="A3468" s="19"/>
      <c r="B3468" s="19"/>
      <c r="P3468" s="16"/>
    </row>
    <row r="3469">
      <c r="A3469" s="19"/>
      <c r="B3469" s="19"/>
      <c r="P3469" s="16"/>
    </row>
    <row r="3470">
      <c r="A3470" s="19"/>
      <c r="B3470" s="19"/>
      <c r="P3470" s="16"/>
    </row>
    <row r="3471">
      <c r="A3471" s="19"/>
      <c r="B3471" s="19"/>
      <c r="P3471" s="16"/>
    </row>
    <row r="3472">
      <c r="A3472" s="19"/>
      <c r="B3472" s="19"/>
      <c r="P3472" s="16"/>
    </row>
    <row r="3473">
      <c r="A3473" s="19"/>
      <c r="B3473" s="19"/>
      <c r="P3473" s="16"/>
    </row>
    <row r="3474">
      <c r="A3474" s="19"/>
      <c r="B3474" s="19"/>
      <c r="P3474" s="16"/>
    </row>
    <row r="3475">
      <c r="A3475" s="19"/>
      <c r="B3475" s="19"/>
      <c r="P3475" s="16"/>
    </row>
    <row r="3476">
      <c r="A3476" s="19"/>
      <c r="B3476" s="19"/>
      <c r="P3476" s="16"/>
    </row>
    <row r="3477">
      <c r="A3477" s="19"/>
      <c r="B3477" s="19"/>
      <c r="P3477" s="16"/>
    </row>
    <row r="3478">
      <c r="A3478" s="19"/>
      <c r="B3478" s="19"/>
      <c r="P3478" s="16"/>
    </row>
    <row r="3479">
      <c r="A3479" s="19"/>
      <c r="B3479" s="19"/>
      <c r="P3479" s="16"/>
    </row>
    <row r="3480">
      <c r="A3480" s="19"/>
      <c r="B3480" s="19"/>
      <c r="P3480" s="16"/>
    </row>
    <row r="3481">
      <c r="A3481" s="19"/>
      <c r="B3481" s="19"/>
      <c r="P3481" s="16"/>
    </row>
    <row r="3482">
      <c r="A3482" s="19"/>
      <c r="B3482" s="19"/>
      <c r="P3482" s="16"/>
    </row>
    <row r="3483">
      <c r="A3483" s="19"/>
      <c r="B3483" s="19"/>
      <c r="P3483" s="16"/>
    </row>
    <row r="3484">
      <c r="A3484" s="19"/>
      <c r="B3484" s="19"/>
      <c r="P3484" s="16"/>
    </row>
    <row r="3485">
      <c r="A3485" s="19"/>
      <c r="B3485" s="19"/>
      <c r="P3485" s="16"/>
    </row>
    <row r="3486">
      <c r="A3486" s="19"/>
      <c r="B3486" s="19"/>
      <c r="P3486" s="16"/>
    </row>
    <row r="3487">
      <c r="A3487" s="19"/>
      <c r="B3487" s="19"/>
      <c r="P3487" s="16"/>
    </row>
    <row r="3488">
      <c r="A3488" s="19"/>
      <c r="B3488" s="19"/>
      <c r="P3488" s="16"/>
    </row>
    <row r="3489">
      <c r="A3489" s="19"/>
      <c r="B3489" s="19"/>
      <c r="P3489" s="16"/>
    </row>
    <row r="3490">
      <c r="A3490" s="19"/>
      <c r="B3490" s="19"/>
      <c r="P3490" s="16"/>
    </row>
    <row r="3491">
      <c r="A3491" s="19"/>
      <c r="B3491" s="19"/>
      <c r="P3491" s="16"/>
    </row>
    <row r="3492">
      <c r="A3492" s="19"/>
      <c r="B3492" s="19"/>
      <c r="P3492" s="16"/>
    </row>
    <row r="3493">
      <c r="A3493" s="19"/>
      <c r="B3493" s="19"/>
      <c r="P3493" s="16"/>
    </row>
    <row r="3494">
      <c r="A3494" s="19"/>
      <c r="B3494" s="19"/>
      <c r="P3494" s="16"/>
    </row>
    <row r="3495">
      <c r="A3495" s="19"/>
      <c r="B3495" s="19"/>
      <c r="P3495" s="16"/>
    </row>
    <row r="3496">
      <c r="A3496" s="19"/>
      <c r="B3496" s="19"/>
      <c r="P3496" s="16"/>
    </row>
    <row r="3497">
      <c r="A3497" s="19"/>
      <c r="B3497" s="19"/>
      <c r="P3497" s="16"/>
    </row>
    <row r="3498">
      <c r="A3498" s="19"/>
      <c r="B3498" s="19"/>
      <c r="P3498" s="16"/>
    </row>
    <row r="3499">
      <c r="A3499" s="19"/>
      <c r="B3499" s="19"/>
      <c r="P3499" s="16"/>
    </row>
    <row r="3500">
      <c r="A3500" s="19"/>
      <c r="B3500" s="19"/>
      <c r="P3500" s="16"/>
    </row>
    <row r="3501">
      <c r="A3501" s="19"/>
      <c r="B3501" s="19"/>
      <c r="P3501" s="16"/>
    </row>
    <row r="3502">
      <c r="A3502" s="19"/>
      <c r="B3502" s="19"/>
      <c r="P3502" s="16"/>
    </row>
    <row r="3503">
      <c r="A3503" s="19"/>
      <c r="B3503" s="19"/>
      <c r="P3503" s="16"/>
    </row>
    <row r="3504">
      <c r="A3504" s="19"/>
      <c r="B3504" s="19"/>
      <c r="P3504" s="16"/>
    </row>
    <row r="3505">
      <c r="A3505" s="19"/>
      <c r="B3505" s="19"/>
      <c r="P3505" s="16"/>
    </row>
    <row r="3506">
      <c r="A3506" s="19"/>
      <c r="B3506" s="19"/>
      <c r="P3506" s="16"/>
    </row>
    <row r="3507">
      <c r="A3507" s="19"/>
      <c r="B3507" s="19"/>
      <c r="P3507" s="16"/>
    </row>
    <row r="3508">
      <c r="A3508" s="19"/>
      <c r="B3508" s="19"/>
      <c r="P3508" s="16"/>
    </row>
    <row r="3509">
      <c r="A3509" s="19"/>
      <c r="B3509" s="19"/>
      <c r="P3509" s="16"/>
    </row>
    <row r="3510">
      <c r="A3510" s="19"/>
      <c r="B3510" s="19"/>
      <c r="P3510" s="16"/>
    </row>
    <row r="3511">
      <c r="A3511" s="19"/>
      <c r="B3511" s="19"/>
      <c r="P3511" s="16"/>
    </row>
    <row r="3512">
      <c r="A3512" s="19"/>
      <c r="B3512" s="19"/>
      <c r="P3512" s="16"/>
    </row>
    <row r="3513">
      <c r="A3513" s="19"/>
      <c r="B3513" s="19"/>
      <c r="P3513" s="16"/>
    </row>
    <row r="3514">
      <c r="A3514" s="19"/>
      <c r="B3514" s="19"/>
      <c r="P3514" s="16"/>
    </row>
    <row r="3515">
      <c r="A3515" s="19"/>
      <c r="B3515" s="19"/>
      <c r="P3515" s="16"/>
    </row>
    <row r="3516">
      <c r="A3516" s="19"/>
      <c r="B3516" s="19"/>
      <c r="P3516" s="16"/>
    </row>
    <row r="3517">
      <c r="A3517" s="19"/>
      <c r="B3517" s="19"/>
      <c r="P3517" s="16"/>
    </row>
    <row r="3518">
      <c r="A3518" s="19"/>
      <c r="B3518" s="19"/>
      <c r="P3518" s="16"/>
    </row>
    <row r="3519">
      <c r="A3519" s="19"/>
      <c r="B3519" s="19"/>
      <c r="P3519" s="16"/>
    </row>
    <row r="3520">
      <c r="A3520" s="19"/>
      <c r="B3520" s="19"/>
      <c r="P3520" s="16"/>
    </row>
    <row r="3521">
      <c r="A3521" s="19"/>
      <c r="B3521" s="19"/>
      <c r="P3521" s="16"/>
    </row>
    <row r="3522">
      <c r="A3522" s="19"/>
      <c r="B3522" s="19"/>
      <c r="P3522" s="16"/>
    </row>
    <row r="3523">
      <c r="A3523" s="19"/>
      <c r="B3523" s="19"/>
      <c r="P3523" s="16"/>
    </row>
    <row r="3524">
      <c r="A3524" s="19"/>
      <c r="B3524" s="19"/>
      <c r="P3524" s="16"/>
    </row>
    <row r="3525">
      <c r="A3525" s="19"/>
      <c r="B3525" s="19"/>
      <c r="P3525" s="16"/>
    </row>
    <row r="3526">
      <c r="A3526" s="19"/>
      <c r="B3526" s="19"/>
      <c r="P3526" s="16"/>
    </row>
    <row r="3527">
      <c r="A3527" s="19"/>
      <c r="B3527" s="19"/>
      <c r="P3527" s="16"/>
    </row>
    <row r="3528">
      <c r="A3528" s="19"/>
      <c r="B3528" s="19"/>
      <c r="P3528" s="16"/>
    </row>
    <row r="3529">
      <c r="A3529" s="19"/>
      <c r="B3529" s="19"/>
      <c r="P3529" s="16"/>
    </row>
    <row r="3530">
      <c r="A3530" s="19"/>
      <c r="B3530" s="19"/>
      <c r="P3530" s="16"/>
    </row>
    <row r="3531">
      <c r="A3531" s="19"/>
      <c r="B3531" s="19"/>
      <c r="P3531" s="16"/>
    </row>
    <row r="3532">
      <c r="A3532" s="19"/>
      <c r="B3532" s="19"/>
      <c r="P3532" s="16"/>
    </row>
    <row r="3533">
      <c r="A3533" s="19"/>
      <c r="B3533" s="19"/>
      <c r="P3533" s="16"/>
    </row>
    <row r="3534">
      <c r="A3534" s="19"/>
      <c r="B3534" s="19"/>
      <c r="P3534" s="16"/>
    </row>
    <row r="3535">
      <c r="A3535" s="19"/>
      <c r="B3535" s="19"/>
      <c r="P3535" s="16"/>
    </row>
    <row r="3536">
      <c r="A3536" s="19"/>
      <c r="B3536" s="19"/>
      <c r="P3536" s="16"/>
    </row>
    <row r="3537">
      <c r="A3537" s="19"/>
      <c r="B3537" s="19"/>
      <c r="P3537" s="16"/>
    </row>
    <row r="3538">
      <c r="A3538" s="19"/>
      <c r="B3538" s="19"/>
      <c r="P3538" s="16"/>
    </row>
    <row r="3539">
      <c r="A3539" s="19"/>
      <c r="B3539" s="19"/>
      <c r="P3539" s="16"/>
    </row>
    <row r="3540">
      <c r="A3540" s="19"/>
      <c r="B3540" s="19"/>
      <c r="P3540" s="16"/>
    </row>
    <row r="3541">
      <c r="A3541" s="19"/>
      <c r="B3541" s="19"/>
      <c r="P3541" s="16"/>
    </row>
    <row r="3542">
      <c r="A3542" s="19"/>
      <c r="B3542" s="19"/>
      <c r="P3542" s="16"/>
    </row>
    <row r="3543">
      <c r="A3543" s="19"/>
      <c r="B3543" s="19"/>
      <c r="P3543" s="16"/>
    </row>
    <row r="3544">
      <c r="A3544" s="19"/>
      <c r="B3544" s="19"/>
      <c r="P3544" s="16"/>
    </row>
    <row r="3545">
      <c r="A3545" s="19"/>
      <c r="B3545" s="19"/>
      <c r="P3545" s="16"/>
    </row>
    <row r="3546">
      <c r="A3546" s="19"/>
      <c r="B3546" s="19"/>
      <c r="P3546" s="16"/>
    </row>
    <row r="3547">
      <c r="A3547" s="19"/>
      <c r="B3547" s="19"/>
      <c r="P3547" s="16"/>
    </row>
    <row r="3548">
      <c r="A3548" s="19"/>
      <c r="B3548" s="19"/>
      <c r="P3548" s="16"/>
    </row>
    <row r="3549">
      <c r="A3549" s="19"/>
      <c r="B3549" s="19"/>
      <c r="P3549" s="16"/>
    </row>
    <row r="3550">
      <c r="A3550" s="19"/>
      <c r="B3550" s="19"/>
      <c r="P3550" s="16"/>
    </row>
    <row r="3551">
      <c r="A3551" s="19"/>
      <c r="B3551" s="19"/>
      <c r="P3551" s="16"/>
    </row>
    <row r="3552">
      <c r="A3552" s="19"/>
      <c r="B3552" s="19"/>
      <c r="P3552" s="16"/>
    </row>
    <row r="3553">
      <c r="A3553" s="19"/>
      <c r="B3553" s="19"/>
      <c r="P3553" s="16"/>
    </row>
    <row r="3554">
      <c r="A3554" s="19"/>
      <c r="B3554" s="19"/>
      <c r="P3554" s="16"/>
    </row>
    <row r="3555">
      <c r="A3555" s="19"/>
      <c r="B3555" s="19"/>
      <c r="P3555" s="16"/>
    </row>
    <row r="3556">
      <c r="A3556" s="19"/>
      <c r="B3556" s="19"/>
      <c r="P3556" s="16"/>
    </row>
    <row r="3557">
      <c r="A3557" s="19"/>
      <c r="B3557" s="19"/>
      <c r="P3557" s="16"/>
    </row>
    <row r="3558">
      <c r="A3558" s="19"/>
      <c r="B3558" s="19"/>
      <c r="P3558" s="16"/>
    </row>
    <row r="3559">
      <c r="A3559" s="19"/>
      <c r="B3559" s="19"/>
      <c r="P3559" s="16"/>
    </row>
    <row r="3560">
      <c r="A3560" s="19"/>
      <c r="B3560" s="19"/>
      <c r="P3560" s="16"/>
    </row>
    <row r="3561">
      <c r="A3561" s="19"/>
      <c r="B3561" s="19"/>
      <c r="P3561" s="16"/>
    </row>
    <row r="3562">
      <c r="A3562" s="19"/>
      <c r="B3562" s="19"/>
      <c r="P3562" s="16"/>
    </row>
    <row r="3563">
      <c r="A3563" s="19"/>
      <c r="B3563" s="19"/>
      <c r="P3563" s="16"/>
    </row>
    <row r="3564">
      <c r="A3564" s="19"/>
      <c r="B3564" s="19"/>
      <c r="P3564" s="16"/>
    </row>
    <row r="3565">
      <c r="A3565" s="19"/>
      <c r="B3565" s="19"/>
      <c r="P3565" s="16"/>
    </row>
    <row r="3566">
      <c r="A3566" s="19"/>
      <c r="B3566" s="19"/>
      <c r="P3566" s="16"/>
    </row>
    <row r="3567">
      <c r="A3567" s="19"/>
      <c r="B3567" s="19"/>
      <c r="P3567" s="16"/>
    </row>
    <row r="3568">
      <c r="A3568" s="19"/>
      <c r="B3568" s="19"/>
      <c r="P3568" s="16"/>
    </row>
    <row r="3569">
      <c r="A3569" s="19"/>
      <c r="B3569" s="19"/>
      <c r="P3569" s="16"/>
    </row>
    <row r="3570">
      <c r="A3570" s="19"/>
      <c r="B3570" s="19"/>
      <c r="P3570" s="16"/>
    </row>
    <row r="3571">
      <c r="A3571" s="19"/>
      <c r="B3571" s="19"/>
      <c r="P3571" s="16"/>
    </row>
    <row r="3572">
      <c r="A3572" s="19"/>
      <c r="B3572" s="19"/>
      <c r="P3572" s="16"/>
    </row>
    <row r="3573">
      <c r="A3573" s="19"/>
      <c r="B3573" s="19"/>
      <c r="P3573" s="16"/>
    </row>
    <row r="3574">
      <c r="A3574" s="19"/>
      <c r="B3574" s="19"/>
      <c r="P3574" s="16"/>
    </row>
    <row r="3575">
      <c r="A3575" s="19"/>
      <c r="B3575" s="19"/>
      <c r="P3575" s="16"/>
    </row>
    <row r="3576">
      <c r="A3576" s="19"/>
      <c r="B3576" s="19"/>
      <c r="P3576" s="16"/>
    </row>
    <row r="3577">
      <c r="A3577" s="19"/>
      <c r="B3577" s="19"/>
      <c r="P3577" s="16"/>
    </row>
    <row r="3578">
      <c r="A3578" s="19"/>
      <c r="B3578" s="19"/>
      <c r="P3578" s="16"/>
    </row>
    <row r="3579">
      <c r="A3579" s="19"/>
      <c r="B3579" s="19"/>
      <c r="P3579" s="16"/>
    </row>
    <row r="3580">
      <c r="A3580" s="19"/>
      <c r="B3580" s="19"/>
      <c r="P3580" s="16"/>
    </row>
    <row r="3581">
      <c r="A3581" s="19"/>
      <c r="B3581" s="19"/>
      <c r="P3581" s="16"/>
    </row>
    <row r="3582">
      <c r="A3582" s="19"/>
      <c r="B3582" s="19"/>
      <c r="P3582" s="16"/>
    </row>
    <row r="3583">
      <c r="A3583" s="19"/>
      <c r="B3583" s="19"/>
      <c r="P3583" s="16"/>
    </row>
    <row r="3584">
      <c r="A3584" s="19"/>
      <c r="B3584" s="19"/>
      <c r="P3584" s="16"/>
    </row>
    <row r="3585">
      <c r="A3585" s="19"/>
      <c r="B3585" s="19"/>
      <c r="P3585" s="16"/>
    </row>
    <row r="3586">
      <c r="A3586" s="19"/>
      <c r="B3586" s="19"/>
      <c r="P3586" s="16"/>
    </row>
    <row r="3587">
      <c r="A3587" s="19"/>
      <c r="B3587" s="19"/>
      <c r="P3587" s="16"/>
    </row>
    <row r="3588">
      <c r="A3588" s="19"/>
      <c r="B3588" s="19"/>
      <c r="P3588" s="16"/>
    </row>
    <row r="3589">
      <c r="A3589" s="19"/>
      <c r="B3589" s="19"/>
      <c r="P3589" s="16"/>
    </row>
    <row r="3590">
      <c r="A3590" s="19"/>
      <c r="B3590" s="19"/>
      <c r="P3590" s="16"/>
    </row>
    <row r="3591">
      <c r="A3591" s="19"/>
      <c r="B3591" s="19"/>
      <c r="P3591" s="16"/>
    </row>
    <row r="3592">
      <c r="A3592" s="19"/>
      <c r="B3592" s="19"/>
      <c r="P3592" s="16"/>
    </row>
    <row r="3593">
      <c r="A3593" s="19"/>
      <c r="B3593" s="19"/>
      <c r="P3593" s="16"/>
    </row>
    <row r="3594">
      <c r="A3594" s="19"/>
      <c r="B3594" s="19"/>
      <c r="P3594" s="16"/>
    </row>
    <row r="3595">
      <c r="A3595" s="19"/>
      <c r="B3595" s="19"/>
      <c r="P3595" s="16"/>
    </row>
    <row r="3596">
      <c r="A3596" s="19"/>
      <c r="B3596" s="19"/>
      <c r="P3596" s="16"/>
    </row>
    <row r="3597">
      <c r="A3597" s="19"/>
      <c r="B3597" s="19"/>
      <c r="P3597" s="16"/>
    </row>
    <row r="3598">
      <c r="A3598" s="19"/>
      <c r="B3598" s="19"/>
      <c r="P3598" s="16"/>
    </row>
    <row r="3599">
      <c r="A3599" s="19"/>
      <c r="B3599" s="19"/>
      <c r="P3599" s="16"/>
    </row>
    <row r="3600">
      <c r="A3600" s="19"/>
      <c r="B3600" s="19"/>
      <c r="P3600" s="16"/>
    </row>
    <row r="3601">
      <c r="A3601" s="19"/>
      <c r="B3601" s="19"/>
      <c r="P3601" s="16"/>
    </row>
    <row r="3602">
      <c r="A3602" s="19"/>
      <c r="B3602" s="19"/>
      <c r="P3602" s="16"/>
    </row>
    <row r="3603">
      <c r="A3603" s="19"/>
      <c r="B3603" s="19"/>
      <c r="P3603" s="16"/>
    </row>
    <row r="3604">
      <c r="A3604" s="19"/>
      <c r="B3604" s="19"/>
      <c r="P3604" s="16"/>
    </row>
    <row r="3605">
      <c r="A3605" s="19"/>
      <c r="B3605" s="19"/>
      <c r="P3605" s="16"/>
    </row>
    <row r="3606">
      <c r="A3606" s="19"/>
      <c r="B3606" s="19"/>
      <c r="P3606" s="16"/>
    </row>
    <row r="3607">
      <c r="A3607" s="19"/>
      <c r="B3607" s="19"/>
      <c r="P3607" s="16"/>
    </row>
    <row r="3608">
      <c r="A3608" s="19"/>
      <c r="B3608" s="19"/>
      <c r="P3608" s="16"/>
    </row>
    <row r="3609">
      <c r="A3609" s="19"/>
      <c r="B3609" s="19"/>
      <c r="P3609" s="16"/>
    </row>
    <row r="3610">
      <c r="A3610" s="19"/>
      <c r="B3610" s="19"/>
      <c r="P3610" s="16"/>
    </row>
    <row r="3611">
      <c r="A3611" s="19"/>
      <c r="B3611" s="19"/>
      <c r="P3611" s="16"/>
    </row>
    <row r="3612">
      <c r="A3612" s="19"/>
      <c r="B3612" s="19"/>
      <c r="P3612" s="16"/>
    </row>
    <row r="3613">
      <c r="A3613" s="19"/>
      <c r="B3613" s="19"/>
      <c r="P3613" s="16"/>
    </row>
    <row r="3614">
      <c r="A3614" s="19"/>
      <c r="B3614" s="19"/>
      <c r="P3614" s="16"/>
    </row>
    <row r="3615">
      <c r="A3615" s="19"/>
      <c r="B3615" s="19"/>
      <c r="P3615" s="16"/>
    </row>
    <row r="3616">
      <c r="A3616" s="19"/>
      <c r="B3616" s="19"/>
      <c r="P3616" s="16"/>
    </row>
    <row r="3617">
      <c r="A3617" s="19"/>
      <c r="B3617" s="19"/>
      <c r="P3617" s="16"/>
    </row>
    <row r="3618">
      <c r="A3618" s="19"/>
      <c r="B3618" s="19"/>
      <c r="P3618" s="16"/>
    </row>
    <row r="3619">
      <c r="A3619" s="19"/>
      <c r="B3619" s="19"/>
      <c r="P3619" s="16"/>
    </row>
    <row r="3620">
      <c r="A3620" s="19"/>
      <c r="B3620" s="19"/>
      <c r="P3620" s="16"/>
    </row>
    <row r="3621">
      <c r="A3621" s="19"/>
      <c r="B3621" s="19"/>
      <c r="P3621" s="16"/>
    </row>
    <row r="3622">
      <c r="A3622" s="19"/>
      <c r="B3622" s="19"/>
      <c r="P3622" s="16"/>
    </row>
    <row r="3623">
      <c r="A3623" s="19"/>
      <c r="B3623" s="19"/>
      <c r="P3623" s="16"/>
    </row>
    <row r="3624">
      <c r="A3624" s="19"/>
      <c r="B3624" s="19"/>
      <c r="P3624" s="16"/>
    </row>
    <row r="3625">
      <c r="A3625" s="19"/>
      <c r="B3625" s="19"/>
      <c r="P3625" s="16"/>
    </row>
    <row r="3626">
      <c r="A3626" s="19"/>
      <c r="B3626" s="19"/>
      <c r="P3626" s="16"/>
    </row>
    <row r="3627">
      <c r="A3627" s="19"/>
      <c r="B3627" s="19"/>
      <c r="P3627" s="16"/>
    </row>
    <row r="3628">
      <c r="A3628" s="19"/>
      <c r="B3628" s="19"/>
      <c r="P3628" s="16"/>
    </row>
    <row r="3629">
      <c r="A3629" s="19"/>
      <c r="B3629" s="19"/>
      <c r="P3629" s="16"/>
    </row>
    <row r="3630">
      <c r="A3630" s="19"/>
      <c r="B3630" s="19"/>
      <c r="P3630" s="16"/>
    </row>
    <row r="3631">
      <c r="A3631" s="19"/>
      <c r="B3631" s="19"/>
      <c r="P3631" s="16"/>
    </row>
    <row r="3632">
      <c r="A3632" s="19"/>
      <c r="B3632" s="19"/>
      <c r="P3632" s="16"/>
    </row>
    <row r="3633">
      <c r="A3633" s="19"/>
      <c r="B3633" s="19"/>
      <c r="P3633" s="16"/>
    </row>
    <row r="3634">
      <c r="A3634" s="19"/>
      <c r="B3634" s="19"/>
      <c r="P3634" s="16"/>
    </row>
    <row r="3635">
      <c r="A3635" s="19"/>
      <c r="B3635" s="19"/>
      <c r="P3635" s="16"/>
    </row>
    <row r="3636">
      <c r="A3636" s="19"/>
      <c r="B3636" s="19"/>
      <c r="P3636" s="16"/>
    </row>
    <row r="3637">
      <c r="A3637" s="19"/>
      <c r="B3637" s="19"/>
      <c r="P3637" s="16"/>
    </row>
    <row r="3638">
      <c r="A3638" s="19"/>
      <c r="B3638" s="19"/>
      <c r="P3638" s="16"/>
    </row>
    <row r="3639">
      <c r="A3639" s="19"/>
      <c r="B3639" s="19"/>
      <c r="P3639" s="16"/>
    </row>
    <row r="3640">
      <c r="A3640" s="19"/>
      <c r="B3640" s="19"/>
      <c r="P3640" s="16"/>
    </row>
    <row r="3641">
      <c r="A3641" s="19"/>
      <c r="B3641" s="19"/>
      <c r="P3641" s="16"/>
    </row>
    <row r="3642">
      <c r="A3642" s="19"/>
      <c r="B3642" s="19"/>
      <c r="P3642" s="16"/>
    </row>
    <row r="3643">
      <c r="A3643" s="19"/>
      <c r="B3643" s="19"/>
      <c r="P3643" s="16"/>
    </row>
    <row r="3644">
      <c r="A3644" s="19"/>
      <c r="B3644" s="19"/>
      <c r="P3644" s="16"/>
    </row>
    <row r="3645">
      <c r="A3645" s="19"/>
      <c r="B3645" s="19"/>
      <c r="P3645" s="16"/>
    </row>
    <row r="3646">
      <c r="A3646" s="19"/>
      <c r="B3646" s="19"/>
      <c r="P3646" s="16"/>
    </row>
    <row r="3647">
      <c r="A3647" s="19"/>
      <c r="B3647" s="19"/>
      <c r="P3647" s="16"/>
    </row>
    <row r="3648">
      <c r="A3648" s="19"/>
      <c r="B3648" s="19"/>
      <c r="P3648" s="16"/>
    </row>
    <row r="3649">
      <c r="A3649" s="19"/>
      <c r="B3649" s="19"/>
      <c r="P3649" s="16"/>
    </row>
    <row r="3650">
      <c r="A3650" s="19"/>
      <c r="B3650" s="19"/>
      <c r="P3650" s="16"/>
    </row>
    <row r="3651">
      <c r="A3651" s="19"/>
      <c r="B3651" s="19"/>
      <c r="P3651" s="16"/>
    </row>
    <row r="3652">
      <c r="A3652" s="19"/>
      <c r="B3652" s="19"/>
      <c r="P3652" s="16"/>
    </row>
    <row r="3653">
      <c r="A3653" s="19"/>
      <c r="B3653" s="19"/>
      <c r="P3653" s="16"/>
    </row>
    <row r="3654">
      <c r="A3654" s="19"/>
      <c r="B3654" s="19"/>
      <c r="P3654" s="16"/>
    </row>
    <row r="3655">
      <c r="A3655" s="19"/>
      <c r="B3655" s="19"/>
      <c r="P3655" s="16"/>
    </row>
    <row r="3656">
      <c r="A3656" s="19"/>
      <c r="B3656" s="19"/>
      <c r="P3656" s="16"/>
    </row>
    <row r="3657">
      <c r="A3657" s="19"/>
      <c r="B3657" s="19"/>
      <c r="P3657" s="16"/>
    </row>
    <row r="3658">
      <c r="A3658" s="19"/>
      <c r="B3658" s="19"/>
      <c r="P3658" s="16"/>
    </row>
    <row r="3659">
      <c r="A3659" s="19"/>
      <c r="B3659" s="19"/>
      <c r="P3659" s="16"/>
    </row>
    <row r="3660">
      <c r="A3660" s="19"/>
      <c r="B3660" s="19"/>
      <c r="P3660" s="16"/>
    </row>
    <row r="3661">
      <c r="A3661" s="19"/>
      <c r="B3661" s="19"/>
      <c r="P3661" s="16"/>
    </row>
    <row r="3662">
      <c r="A3662" s="19"/>
      <c r="B3662" s="19"/>
      <c r="P3662" s="16"/>
    </row>
    <row r="3663">
      <c r="A3663" s="19"/>
      <c r="B3663" s="19"/>
      <c r="P3663" s="16"/>
    </row>
    <row r="3664">
      <c r="A3664" s="19"/>
      <c r="B3664" s="19"/>
      <c r="P3664" s="16"/>
    </row>
    <row r="3665">
      <c r="A3665" s="19"/>
      <c r="B3665" s="19"/>
      <c r="P3665" s="16"/>
    </row>
    <row r="3666">
      <c r="A3666" s="19"/>
      <c r="B3666" s="19"/>
      <c r="P3666" s="16"/>
    </row>
    <row r="3667">
      <c r="A3667" s="19"/>
      <c r="B3667" s="19"/>
      <c r="P3667" s="16"/>
    </row>
    <row r="3668">
      <c r="A3668" s="19"/>
      <c r="B3668" s="19"/>
      <c r="P3668" s="16"/>
    </row>
    <row r="3669">
      <c r="A3669" s="19"/>
      <c r="B3669" s="19"/>
      <c r="P3669" s="16"/>
    </row>
    <row r="3670">
      <c r="A3670" s="19"/>
      <c r="B3670" s="19"/>
      <c r="P3670" s="16"/>
    </row>
    <row r="3671">
      <c r="A3671" s="19"/>
      <c r="B3671" s="19"/>
      <c r="P3671" s="16"/>
    </row>
    <row r="3672">
      <c r="A3672" s="19"/>
      <c r="B3672" s="19"/>
      <c r="P3672" s="16"/>
    </row>
    <row r="3673">
      <c r="A3673" s="19"/>
      <c r="B3673" s="19"/>
      <c r="P3673" s="16"/>
    </row>
    <row r="3674">
      <c r="A3674" s="19"/>
      <c r="B3674" s="19"/>
      <c r="P3674" s="16"/>
    </row>
    <row r="3675">
      <c r="A3675" s="19"/>
      <c r="B3675" s="19"/>
      <c r="P3675" s="16"/>
    </row>
    <row r="3676">
      <c r="A3676" s="19"/>
      <c r="B3676" s="19"/>
      <c r="P3676" s="16"/>
    </row>
    <row r="3677">
      <c r="A3677" s="19"/>
      <c r="B3677" s="19"/>
      <c r="P3677" s="16"/>
    </row>
    <row r="3678">
      <c r="A3678" s="19"/>
      <c r="B3678" s="19"/>
      <c r="P3678" s="16"/>
    </row>
    <row r="3679">
      <c r="A3679" s="19"/>
      <c r="B3679" s="19"/>
      <c r="P3679" s="16"/>
    </row>
    <row r="3680">
      <c r="A3680" s="19"/>
      <c r="B3680" s="19"/>
      <c r="P3680" s="16"/>
    </row>
    <row r="3681">
      <c r="A3681" s="19"/>
      <c r="B3681" s="19"/>
      <c r="P3681" s="16"/>
    </row>
    <row r="3682">
      <c r="A3682" s="19"/>
      <c r="B3682" s="19"/>
      <c r="P3682" s="16"/>
    </row>
    <row r="3683">
      <c r="A3683" s="19"/>
      <c r="B3683" s="19"/>
      <c r="P3683" s="16"/>
    </row>
    <row r="3684">
      <c r="A3684" s="19"/>
      <c r="B3684" s="19"/>
      <c r="P3684" s="16"/>
    </row>
    <row r="3685">
      <c r="A3685" s="19"/>
      <c r="B3685" s="19"/>
      <c r="P3685" s="16"/>
    </row>
    <row r="3686">
      <c r="A3686" s="19"/>
      <c r="B3686" s="19"/>
      <c r="P3686" s="16"/>
    </row>
    <row r="3687">
      <c r="A3687" s="19"/>
      <c r="B3687" s="19"/>
      <c r="P3687" s="16"/>
    </row>
    <row r="3688">
      <c r="A3688" s="19"/>
      <c r="B3688" s="19"/>
      <c r="P3688" s="16"/>
    </row>
    <row r="3689">
      <c r="A3689" s="19"/>
      <c r="B3689" s="19"/>
      <c r="P3689" s="16"/>
    </row>
    <row r="3690">
      <c r="A3690" s="19"/>
      <c r="B3690" s="19"/>
      <c r="P3690" s="16"/>
    </row>
    <row r="3691">
      <c r="A3691" s="19"/>
      <c r="B3691" s="19"/>
      <c r="P3691" s="16"/>
    </row>
    <row r="3692">
      <c r="A3692" s="19"/>
      <c r="B3692" s="19"/>
      <c r="P3692" s="16"/>
    </row>
    <row r="3693">
      <c r="A3693" s="19"/>
      <c r="B3693" s="19"/>
      <c r="P3693" s="16"/>
    </row>
    <row r="3694">
      <c r="A3694" s="19"/>
      <c r="B3694" s="19"/>
      <c r="P3694" s="16"/>
    </row>
    <row r="3695">
      <c r="A3695" s="19"/>
      <c r="B3695" s="19"/>
      <c r="P3695" s="16"/>
    </row>
    <row r="3696">
      <c r="A3696" s="19"/>
      <c r="B3696" s="19"/>
      <c r="P3696" s="16"/>
    </row>
    <row r="3697">
      <c r="A3697" s="19"/>
      <c r="B3697" s="19"/>
      <c r="P3697" s="16"/>
    </row>
    <row r="3698">
      <c r="A3698" s="19"/>
      <c r="B3698" s="19"/>
      <c r="P3698" s="16"/>
    </row>
    <row r="3699">
      <c r="A3699" s="19"/>
      <c r="B3699" s="19"/>
      <c r="P3699" s="16"/>
    </row>
    <row r="3700">
      <c r="A3700" s="19"/>
      <c r="B3700" s="19"/>
      <c r="P3700" s="16"/>
    </row>
    <row r="3701">
      <c r="A3701" s="19"/>
      <c r="B3701" s="19"/>
      <c r="P3701" s="16"/>
    </row>
    <row r="3702">
      <c r="A3702" s="19"/>
      <c r="B3702" s="19"/>
      <c r="P3702" s="16"/>
    </row>
    <row r="3703">
      <c r="A3703" s="19"/>
      <c r="B3703" s="19"/>
      <c r="P3703" s="16"/>
    </row>
    <row r="3704">
      <c r="A3704" s="19"/>
      <c r="B3704" s="19"/>
      <c r="P3704" s="16"/>
    </row>
    <row r="3705">
      <c r="A3705" s="19"/>
      <c r="B3705" s="19"/>
      <c r="P3705" s="16"/>
    </row>
    <row r="3706">
      <c r="A3706" s="19"/>
      <c r="B3706" s="19"/>
      <c r="P3706" s="16"/>
    </row>
    <row r="3707">
      <c r="A3707" s="19"/>
      <c r="B3707" s="19"/>
      <c r="P3707" s="16"/>
    </row>
    <row r="3708">
      <c r="A3708" s="19"/>
      <c r="B3708" s="19"/>
      <c r="P3708" s="16"/>
    </row>
    <row r="3709">
      <c r="A3709" s="19"/>
      <c r="B3709" s="19"/>
      <c r="P3709" s="16"/>
    </row>
    <row r="3710">
      <c r="A3710" s="19"/>
      <c r="B3710" s="19"/>
      <c r="P3710" s="16"/>
    </row>
    <row r="3711">
      <c r="A3711" s="19"/>
      <c r="B3711" s="19"/>
      <c r="P3711" s="16"/>
    </row>
    <row r="3712">
      <c r="A3712" s="19"/>
      <c r="B3712" s="19"/>
      <c r="P3712" s="16"/>
    </row>
    <row r="3713">
      <c r="A3713" s="19"/>
      <c r="B3713" s="19"/>
      <c r="P3713" s="16"/>
    </row>
    <row r="3714">
      <c r="A3714" s="19"/>
      <c r="B3714" s="19"/>
      <c r="P3714" s="16"/>
    </row>
    <row r="3715">
      <c r="A3715" s="19"/>
      <c r="B3715" s="19"/>
      <c r="P3715" s="16"/>
    </row>
    <row r="3716">
      <c r="A3716" s="19"/>
      <c r="B3716" s="19"/>
      <c r="P3716" s="16"/>
    </row>
    <row r="3717">
      <c r="A3717" s="19"/>
      <c r="B3717" s="19"/>
      <c r="P3717" s="16"/>
    </row>
    <row r="3718">
      <c r="A3718" s="19"/>
      <c r="B3718" s="19"/>
      <c r="P3718" s="16"/>
    </row>
    <row r="3719">
      <c r="A3719" s="19"/>
      <c r="B3719" s="19"/>
      <c r="P3719" s="16"/>
    </row>
    <row r="3720">
      <c r="A3720" s="19"/>
      <c r="B3720" s="19"/>
      <c r="P3720" s="16"/>
    </row>
    <row r="3721">
      <c r="A3721" s="19"/>
      <c r="B3721" s="19"/>
      <c r="P3721" s="16"/>
    </row>
    <row r="3722">
      <c r="A3722" s="19"/>
      <c r="B3722" s="19"/>
      <c r="P3722" s="16"/>
    </row>
    <row r="3723">
      <c r="A3723" s="19"/>
      <c r="B3723" s="19"/>
      <c r="P3723" s="16"/>
    </row>
    <row r="3724">
      <c r="A3724" s="19"/>
      <c r="B3724" s="19"/>
      <c r="P3724" s="16"/>
    </row>
    <row r="3725">
      <c r="A3725" s="19"/>
      <c r="B3725" s="19"/>
      <c r="P3725" s="16"/>
    </row>
    <row r="3726">
      <c r="A3726" s="19"/>
      <c r="B3726" s="19"/>
      <c r="P3726" s="16"/>
    </row>
    <row r="3727">
      <c r="A3727" s="19"/>
      <c r="B3727" s="19"/>
      <c r="P3727" s="16"/>
    </row>
    <row r="3728">
      <c r="A3728" s="19"/>
      <c r="B3728" s="19"/>
      <c r="P3728" s="16"/>
    </row>
    <row r="3729">
      <c r="A3729" s="19"/>
      <c r="B3729" s="19"/>
      <c r="P3729" s="16"/>
    </row>
    <row r="3730">
      <c r="A3730" s="19"/>
      <c r="B3730" s="19"/>
      <c r="P3730" s="16"/>
    </row>
    <row r="3731">
      <c r="A3731" s="19"/>
      <c r="B3731" s="19"/>
      <c r="P3731" s="16"/>
    </row>
    <row r="3732">
      <c r="A3732" s="19"/>
      <c r="B3732" s="19"/>
      <c r="P3732" s="16"/>
    </row>
    <row r="3733">
      <c r="A3733" s="19"/>
      <c r="B3733" s="19"/>
      <c r="P3733" s="16"/>
    </row>
    <row r="3734">
      <c r="A3734" s="19"/>
      <c r="B3734" s="19"/>
      <c r="P3734" s="16"/>
    </row>
    <row r="3735">
      <c r="A3735" s="19"/>
      <c r="B3735" s="19"/>
      <c r="P3735" s="16"/>
    </row>
    <row r="3736">
      <c r="A3736" s="19"/>
      <c r="B3736" s="19"/>
      <c r="P3736" s="16"/>
    </row>
    <row r="3737">
      <c r="A3737" s="19"/>
      <c r="B3737" s="19"/>
      <c r="P3737" s="16"/>
    </row>
    <row r="3738">
      <c r="A3738" s="19"/>
      <c r="B3738" s="19"/>
      <c r="P3738" s="16"/>
    </row>
    <row r="3739">
      <c r="A3739" s="19"/>
      <c r="B3739" s="19"/>
      <c r="P3739" s="16"/>
    </row>
    <row r="3740">
      <c r="A3740" s="19"/>
      <c r="B3740" s="19"/>
      <c r="P3740" s="16"/>
    </row>
    <row r="3741">
      <c r="A3741" s="19"/>
      <c r="B3741" s="19"/>
      <c r="P3741" s="16"/>
    </row>
    <row r="3742">
      <c r="A3742" s="19"/>
      <c r="B3742" s="19"/>
      <c r="P3742" s="16"/>
    </row>
    <row r="3743">
      <c r="A3743" s="19"/>
      <c r="B3743" s="19"/>
      <c r="P3743" s="16"/>
    </row>
    <row r="3744">
      <c r="A3744" s="19"/>
      <c r="B3744" s="19"/>
      <c r="P3744" s="16"/>
    </row>
    <row r="3745">
      <c r="A3745" s="19"/>
      <c r="B3745" s="19"/>
      <c r="P3745" s="16"/>
    </row>
    <row r="3746">
      <c r="A3746" s="19"/>
      <c r="B3746" s="19"/>
      <c r="P3746" s="16"/>
    </row>
    <row r="3747">
      <c r="A3747" s="19"/>
      <c r="B3747" s="19"/>
      <c r="P3747" s="16"/>
    </row>
    <row r="3748">
      <c r="A3748" s="19"/>
      <c r="B3748" s="19"/>
      <c r="P3748" s="16"/>
    </row>
    <row r="3749">
      <c r="A3749" s="19"/>
      <c r="B3749" s="19"/>
      <c r="P3749" s="16"/>
    </row>
    <row r="3750">
      <c r="A3750" s="19"/>
      <c r="B3750" s="19"/>
      <c r="P3750" s="16"/>
    </row>
    <row r="3751">
      <c r="A3751" s="19"/>
      <c r="B3751" s="19"/>
      <c r="P3751" s="16"/>
    </row>
    <row r="3752">
      <c r="A3752" s="19"/>
      <c r="B3752" s="19"/>
      <c r="P3752" s="16"/>
    </row>
    <row r="3753">
      <c r="A3753" s="19"/>
      <c r="B3753" s="19"/>
      <c r="P3753" s="16"/>
    </row>
    <row r="3754">
      <c r="A3754" s="19"/>
      <c r="B3754" s="19"/>
      <c r="P3754" s="16"/>
    </row>
    <row r="3755">
      <c r="A3755" s="19"/>
      <c r="B3755" s="19"/>
      <c r="P3755" s="16"/>
    </row>
    <row r="3756">
      <c r="A3756" s="19"/>
      <c r="B3756" s="19"/>
      <c r="P3756" s="16"/>
    </row>
    <row r="3757">
      <c r="A3757" s="19"/>
      <c r="B3757" s="19"/>
      <c r="P3757" s="16"/>
    </row>
    <row r="3758">
      <c r="A3758" s="19"/>
      <c r="B3758" s="19"/>
      <c r="P3758" s="16"/>
    </row>
    <row r="3759">
      <c r="A3759" s="19"/>
      <c r="B3759" s="19"/>
      <c r="P3759" s="16"/>
    </row>
    <row r="3760">
      <c r="A3760" s="19"/>
      <c r="B3760" s="19"/>
      <c r="P3760" s="16"/>
    </row>
    <row r="3761">
      <c r="A3761" s="19"/>
      <c r="B3761" s="19"/>
      <c r="P3761" s="16"/>
    </row>
    <row r="3762">
      <c r="A3762" s="19"/>
      <c r="B3762" s="19"/>
      <c r="P3762" s="16"/>
    </row>
    <row r="3763">
      <c r="A3763" s="19"/>
      <c r="B3763" s="19"/>
      <c r="P3763" s="16"/>
    </row>
    <row r="3764">
      <c r="A3764" s="19"/>
      <c r="B3764" s="19"/>
      <c r="P3764" s="16"/>
    </row>
    <row r="3765">
      <c r="A3765" s="19"/>
      <c r="B3765" s="19"/>
      <c r="P3765" s="16"/>
    </row>
    <row r="3766">
      <c r="A3766" s="19"/>
      <c r="B3766" s="19"/>
      <c r="P3766" s="16"/>
    </row>
    <row r="3767">
      <c r="A3767" s="19"/>
      <c r="B3767" s="19"/>
      <c r="P3767" s="16"/>
    </row>
    <row r="3768">
      <c r="A3768" s="19"/>
      <c r="B3768" s="19"/>
      <c r="P3768" s="16"/>
    </row>
    <row r="3769">
      <c r="A3769" s="19"/>
      <c r="B3769" s="19"/>
      <c r="P3769" s="16"/>
    </row>
    <row r="3770">
      <c r="A3770" s="19"/>
      <c r="B3770" s="19"/>
      <c r="P3770" s="16"/>
    </row>
    <row r="3771">
      <c r="A3771" s="19"/>
      <c r="B3771" s="19"/>
      <c r="P3771" s="16"/>
    </row>
    <row r="3772">
      <c r="A3772" s="19"/>
      <c r="B3772" s="19"/>
      <c r="P3772" s="16"/>
    </row>
    <row r="3773">
      <c r="A3773" s="19"/>
      <c r="B3773" s="19"/>
      <c r="P3773" s="16"/>
    </row>
    <row r="3774">
      <c r="A3774" s="19"/>
      <c r="B3774" s="19"/>
      <c r="P3774" s="16"/>
    </row>
    <row r="3775">
      <c r="A3775" s="19"/>
      <c r="B3775" s="19"/>
      <c r="P3775" s="16"/>
    </row>
    <row r="3776">
      <c r="A3776" s="19"/>
      <c r="B3776" s="19"/>
      <c r="P3776" s="16"/>
    </row>
    <row r="3777">
      <c r="A3777" s="19"/>
      <c r="B3777" s="19"/>
      <c r="P3777" s="16"/>
    </row>
    <row r="3778">
      <c r="A3778" s="19"/>
      <c r="B3778" s="19"/>
      <c r="P3778" s="16"/>
    </row>
    <row r="3779">
      <c r="A3779" s="19"/>
      <c r="B3779" s="19"/>
      <c r="P3779" s="16"/>
    </row>
    <row r="3780">
      <c r="A3780" s="19"/>
      <c r="B3780" s="19"/>
      <c r="P3780" s="16"/>
    </row>
    <row r="3781">
      <c r="A3781" s="19"/>
      <c r="B3781" s="19"/>
      <c r="P3781" s="16"/>
    </row>
    <row r="3782">
      <c r="A3782" s="19"/>
      <c r="B3782" s="19"/>
      <c r="P3782" s="16"/>
    </row>
    <row r="3783">
      <c r="A3783" s="19"/>
      <c r="B3783" s="19"/>
      <c r="P3783" s="16"/>
    </row>
    <row r="3784">
      <c r="A3784" s="19"/>
      <c r="B3784" s="19"/>
      <c r="P3784" s="16"/>
    </row>
    <row r="3785">
      <c r="A3785" s="19"/>
      <c r="B3785" s="19"/>
      <c r="P3785" s="16"/>
    </row>
    <row r="3786">
      <c r="A3786" s="19"/>
      <c r="B3786" s="19"/>
      <c r="P3786" s="16"/>
    </row>
    <row r="3787">
      <c r="A3787" s="19"/>
      <c r="B3787" s="19"/>
      <c r="P3787" s="16"/>
    </row>
    <row r="3788">
      <c r="A3788" s="19"/>
      <c r="B3788" s="19"/>
      <c r="P3788" s="16"/>
    </row>
    <row r="3789">
      <c r="A3789" s="19"/>
      <c r="B3789" s="19"/>
      <c r="P3789" s="16"/>
    </row>
    <row r="3790">
      <c r="A3790" s="19"/>
      <c r="B3790" s="19"/>
      <c r="P3790" s="16"/>
    </row>
    <row r="3791">
      <c r="A3791" s="19"/>
      <c r="B3791" s="19"/>
      <c r="P3791" s="16"/>
    </row>
    <row r="3792">
      <c r="A3792" s="19"/>
      <c r="B3792" s="19"/>
      <c r="P3792" s="16"/>
    </row>
    <row r="3793">
      <c r="A3793" s="19"/>
      <c r="B3793" s="19"/>
      <c r="P3793" s="16"/>
    </row>
    <row r="3794">
      <c r="A3794" s="19"/>
      <c r="B3794" s="19"/>
      <c r="P3794" s="16"/>
    </row>
    <row r="3795">
      <c r="A3795" s="19"/>
      <c r="B3795" s="19"/>
      <c r="P3795" s="16"/>
    </row>
    <row r="3796">
      <c r="A3796" s="19"/>
      <c r="B3796" s="19"/>
      <c r="P3796" s="16"/>
    </row>
    <row r="3797">
      <c r="A3797" s="19"/>
      <c r="B3797" s="19"/>
      <c r="P3797" s="16"/>
    </row>
    <row r="3798">
      <c r="A3798" s="19"/>
      <c r="B3798" s="19"/>
      <c r="P3798" s="16"/>
    </row>
    <row r="3799">
      <c r="A3799" s="19"/>
      <c r="B3799" s="19"/>
      <c r="P3799" s="16"/>
    </row>
    <row r="3800">
      <c r="A3800" s="19"/>
      <c r="B3800" s="19"/>
      <c r="P3800" s="16"/>
    </row>
    <row r="3801">
      <c r="A3801" s="19"/>
      <c r="B3801" s="19"/>
      <c r="P3801" s="16"/>
    </row>
    <row r="3802">
      <c r="A3802" s="19"/>
      <c r="B3802" s="19"/>
      <c r="P3802" s="16"/>
    </row>
    <row r="3803">
      <c r="A3803" s="19"/>
      <c r="B3803" s="19"/>
      <c r="P3803" s="16"/>
    </row>
    <row r="3804">
      <c r="A3804" s="19"/>
      <c r="B3804" s="19"/>
      <c r="P3804" s="16"/>
    </row>
    <row r="3805">
      <c r="A3805" s="19"/>
      <c r="B3805" s="19"/>
      <c r="P3805" s="16"/>
    </row>
    <row r="3806">
      <c r="A3806" s="19"/>
      <c r="B3806" s="19"/>
      <c r="P3806" s="16"/>
    </row>
    <row r="3807">
      <c r="A3807" s="19"/>
      <c r="B3807" s="19"/>
      <c r="P3807" s="16"/>
    </row>
    <row r="3808">
      <c r="A3808" s="19"/>
      <c r="B3808" s="19"/>
      <c r="P3808" s="16"/>
    </row>
    <row r="3809">
      <c r="A3809" s="19"/>
      <c r="B3809" s="19"/>
      <c r="P3809" s="16"/>
    </row>
    <row r="3810">
      <c r="A3810" s="19"/>
      <c r="B3810" s="19"/>
      <c r="P3810" s="16"/>
    </row>
    <row r="3811">
      <c r="A3811" s="19"/>
      <c r="B3811" s="19"/>
      <c r="P3811" s="16"/>
    </row>
    <row r="3812">
      <c r="A3812" s="19"/>
      <c r="B3812" s="19"/>
      <c r="P3812" s="16"/>
    </row>
    <row r="3813">
      <c r="A3813" s="19"/>
      <c r="B3813" s="19"/>
      <c r="P3813" s="16"/>
    </row>
    <row r="3814">
      <c r="A3814" s="19"/>
      <c r="B3814" s="19"/>
      <c r="P3814" s="16"/>
    </row>
    <row r="3815">
      <c r="A3815" s="19"/>
      <c r="B3815" s="19"/>
      <c r="P3815" s="16"/>
    </row>
    <row r="3816">
      <c r="A3816" s="19"/>
      <c r="B3816" s="19"/>
      <c r="P3816" s="16"/>
    </row>
    <row r="3817">
      <c r="A3817" s="19"/>
      <c r="B3817" s="19"/>
      <c r="P3817" s="16"/>
    </row>
    <row r="3818">
      <c r="A3818" s="19"/>
      <c r="B3818" s="19"/>
      <c r="P3818" s="16"/>
    </row>
    <row r="3819">
      <c r="A3819" s="19"/>
      <c r="B3819" s="19"/>
      <c r="P3819" s="16"/>
    </row>
    <row r="3820">
      <c r="A3820" s="19"/>
      <c r="B3820" s="19"/>
      <c r="P3820" s="16"/>
    </row>
    <row r="3821">
      <c r="A3821" s="19"/>
      <c r="B3821" s="19"/>
      <c r="P3821" s="16"/>
    </row>
    <row r="3822">
      <c r="A3822" s="19"/>
      <c r="B3822" s="19"/>
      <c r="P3822" s="16"/>
    </row>
    <row r="3823">
      <c r="A3823" s="19"/>
      <c r="B3823" s="19"/>
      <c r="P3823" s="16"/>
    </row>
    <row r="3824">
      <c r="A3824" s="19"/>
      <c r="B3824" s="19"/>
      <c r="P3824" s="16"/>
    </row>
    <row r="3825">
      <c r="A3825" s="19"/>
      <c r="B3825" s="19"/>
      <c r="P3825" s="16"/>
    </row>
    <row r="3826">
      <c r="A3826" s="19"/>
      <c r="B3826" s="19"/>
      <c r="P3826" s="16"/>
    </row>
    <row r="3827">
      <c r="A3827" s="19"/>
      <c r="B3827" s="19"/>
      <c r="P3827" s="16"/>
    </row>
    <row r="3828">
      <c r="A3828" s="19"/>
      <c r="B3828" s="19"/>
      <c r="P3828" s="16"/>
    </row>
    <row r="3829">
      <c r="A3829" s="19"/>
      <c r="B3829" s="19"/>
      <c r="P3829" s="16"/>
    </row>
    <row r="3830">
      <c r="A3830" s="19"/>
      <c r="B3830" s="19"/>
      <c r="P3830" s="16"/>
    </row>
    <row r="3831">
      <c r="A3831" s="19"/>
      <c r="B3831" s="19"/>
      <c r="P3831" s="16"/>
    </row>
    <row r="3832">
      <c r="A3832" s="19"/>
      <c r="B3832" s="19"/>
      <c r="P3832" s="16"/>
    </row>
    <row r="3833">
      <c r="A3833" s="19"/>
      <c r="B3833" s="19"/>
      <c r="P3833" s="16"/>
    </row>
    <row r="3834">
      <c r="A3834" s="19"/>
      <c r="B3834" s="19"/>
      <c r="P3834" s="16"/>
    </row>
    <row r="3835">
      <c r="A3835" s="19"/>
      <c r="B3835" s="19"/>
      <c r="P3835" s="16"/>
    </row>
    <row r="3836">
      <c r="A3836" s="19"/>
      <c r="B3836" s="19"/>
      <c r="P3836" s="16"/>
    </row>
    <row r="3837">
      <c r="A3837" s="19"/>
      <c r="B3837" s="19"/>
      <c r="P3837" s="16"/>
    </row>
    <row r="3838">
      <c r="A3838" s="19"/>
      <c r="B3838" s="19"/>
      <c r="P3838" s="16"/>
    </row>
    <row r="3839">
      <c r="A3839" s="19"/>
      <c r="B3839" s="19"/>
      <c r="P3839" s="16"/>
    </row>
    <row r="3840">
      <c r="A3840" s="19"/>
      <c r="B3840" s="19"/>
      <c r="P3840" s="16"/>
    </row>
    <row r="3841">
      <c r="A3841" s="19"/>
      <c r="B3841" s="19"/>
      <c r="P3841" s="16"/>
    </row>
    <row r="3842">
      <c r="A3842" s="19"/>
      <c r="B3842" s="19"/>
      <c r="P3842" s="16"/>
    </row>
    <row r="3843">
      <c r="A3843" s="19"/>
      <c r="B3843" s="19"/>
      <c r="P3843" s="16"/>
    </row>
    <row r="3844">
      <c r="A3844" s="19"/>
      <c r="B3844" s="19"/>
      <c r="P3844" s="16"/>
    </row>
    <row r="3845">
      <c r="A3845" s="19"/>
      <c r="B3845" s="19"/>
      <c r="P3845" s="16"/>
    </row>
    <row r="3846">
      <c r="A3846" s="19"/>
      <c r="B3846" s="19"/>
      <c r="P3846" s="16"/>
    </row>
    <row r="3847">
      <c r="A3847" s="19"/>
      <c r="B3847" s="19"/>
      <c r="P3847" s="16"/>
    </row>
    <row r="3848">
      <c r="A3848" s="19"/>
      <c r="B3848" s="19"/>
      <c r="P3848" s="16"/>
    </row>
    <row r="3849">
      <c r="A3849" s="19"/>
      <c r="B3849" s="19"/>
      <c r="P3849" s="16"/>
    </row>
    <row r="3850">
      <c r="A3850" s="19"/>
      <c r="B3850" s="19"/>
      <c r="P3850" s="16"/>
    </row>
    <row r="3851">
      <c r="A3851" s="19"/>
      <c r="B3851" s="19"/>
      <c r="P3851" s="16"/>
    </row>
    <row r="3852">
      <c r="A3852" s="19"/>
      <c r="B3852" s="19"/>
      <c r="P3852" s="16"/>
    </row>
    <row r="3853">
      <c r="A3853" s="19"/>
      <c r="B3853" s="19"/>
      <c r="P3853" s="16"/>
    </row>
    <row r="3854">
      <c r="A3854" s="19"/>
      <c r="B3854" s="19"/>
      <c r="P3854" s="16"/>
    </row>
    <row r="3855">
      <c r="A3855" s="19"/>
      <c r="B3855" s="19"/>
      <c r="P3855" s="16"/>
    </row>
    <row r="3856">
      <c r="A3856" s="19"/>
      <c r="B3856" s="19"/>
      <c r="P3856" s="16"/>
    </row>
    <row r="3857">
      <c r="A3857" s="19"/>
      <c r="B3857" s="19"/>
      <c r="P3857" s="16"/>
    </row>
    <row r="3858">
      <c r="A3858" s="19"/>
      <c r="B3858" s="19"/>
      <c r="P3858" s="16"/>
    </row>
    <row r="3859">
      <c r="A3859" s="19"/>
      <c r="B3859" s="19"/>
      <c r="P3859" s="16"/>
    </row>
    <row r="3860">
      <c r="A3860" s="19"/>
      <c r="B3860" s="19"/>
      <c r="P3860" s="16"/>
    </row>
    <row r="3861">
      <c r="A3861" s="19"/>
      <c r="B3861" s="19"/>
      <c r="P3861" s="16"/>
    </row>
    <row r="3862">
      <c r="A3862" s="19"/>
      <c r="B3862" s="19"/>
      <c r="P3862" s="16"/>
    </row>
    <row r="3863">
      <c r="A3863" s="19"/>
      <c r="B3863" s="19"/>
      <c r="P3863" s="16"/>
    </row>
    <row r="3864">
      <c r="A3864" s="19"/>
      <c r="B3864" s="19"/>
      <c r="P3864" s="16"/>
    </row>
    <row r="3865">
      <c r="A3865" s="19"/>
      <c r="B3865" s="19"/>
      <c r="P3865" s="16"/>
    </row>
    <row r="3866">
      <c r="A3866" s="19"/>
      <c r="B3866" s="19"/>
      <c r="P3866" s="16"/>
    </row>
    <row r="3867">
      <c r="A3867" s="19"/>
      <c r="B3867" s="19"/>
      <c r="P3867" s="16"/>
    </row>
    <row r="3868">
      <c r="A3868" s="19"/>
      <c r="B3868" s="19"/>
      <c r="P3868" s="16"/>
    </row>
    <row r="3869">
      <c r="A3869" s="19"/>
      <c r="B3869" s="19"/>
      <c r="P3869" s="16"/>
    </row>
    <row r="3870">
      <c r="A3870" s="19"/>
      <c r="B3870" s="19"/>
      <c r="P3870" s="16"/>
    </row>
    <row r="3871">
      <c r="A3871" s="19"/>
      <c r="B3871" s="19"/>
      <c r="P3871" s="16"/>
    </row>
    <row r="3872">
      <c r="A3872" s="19"/>
      <c r="B3872" s="19"/>
      <c r="P3872" s="16"/>
    </row>
    <row r="3873">
      <c r="A3873" s="19"/>
      <c r="B3873" s="19"/>
      <c r="P3873" s="16"/>
    </row>
    <row r="3874">
      <c r="A3874" s="19"/>
      <c r="B3874" s="19"/>
      <c r="P3874" s="16"/>
    </row>
    <row r="3875">
      <c r="A3875" s="19"/>
      <c r="B3875" s="19"/>
      <c r="P3875" s="16"/>
    </row>
    <row r="3876">
      <c r="A3876" s="19"/>
      <c r="B3876" s="19"/>
      <c r="P3876" s="16"/>
    </row>
    <row r="3877">
      <c r="A3877" s="19"/>
      <c r="B3877" s="19"/>
      <c r="P3877" s="16"/>
    </row>
    <row r="3878">
      <c r="A3878" s="19"/>
      <c r="B3878" s="19"/>
      <c r="P3878" s="16"/>
    </row>
    <row r="3879">
      <c r="A3879" s="19"/>
      <c r="B3879" s="19"/>
      <c r="P3879" s="16"/>
    </row>
    <row r="3880">
      <c r="A3880" s="19"/>
      <c r="B3880" s="19"/>
      <c r="P3880" s="16"/>
    </row>
    <row r="3881">
      <c r="A3881" s="19"/>
      <c r="B3881" s="19"/>
      <c r="P3881" s="16"/>
    </row>
    <row r="3882">
      <c r="A3882" s="19"/>
      <c r="B3882" s="19"/>
      <c r="P3882" s="16"/>
    </row>
    <row r="3883">
      <c r="A3883" s="19"/>
      <c r="B3883" s="19"/>
      <c r="P3883" s="16"/>
    </row>
    <row r="3884">
      <c r="A3884" s="19"/>
      <c r="B3884" s="19"/>
      <c r="P3884" s="16"/>
    </row>
    <row r="3885">
      <c r="A3885" s="19"/>
      <c r="B3885" s="19"/>
      <c r="P3885" s="16"/>
    </row>
    <row r="3886">
      <c r="A3886" s="19"/>
      <c r="B3886" s="19"/>
      <c r="P3886" s="16"/>
    </row>
    <row r="3887">
      <c r="A3887" s="19"/>
      <c r="B3887" s="19"/>
      <c r="P3887" s="16"/>
    </row>
    <row r="3888">
      <c r="A3888" s="19"/>
      <c r="B3888" s="19"/>
      <c r="P3888" s="16"/>
    </row>
    <row r="3889">
      <c r="A3889" s="19"/>
      <c r="B3889" s="19"/>
      <c r="P3889" s="16"/>
    </row>
    <row r="3890">
      <c r="A3890" s="19"/>
      <c r="B3890" s="19"/>
      <c r="P3890" s="16"/>
    </row>
    <row r="3891">
      <c r="A3891" s="19"/>
      <c r="B3891" s="19"/>
      <c r="P3891" s="16"/>
    </row>
    <row r="3892">
      <c r="A3892" s="19"/>
      <c r="B3892" s="19"/>
      <c r="P3892" s="16"/>
    </row>
    <row r="3893">
      <c r="A3893" s="19"/>
      <c r="B3893" s="19"/>
      <c r="P3893" s="16"/>
    </row>
    <row r="3894">
      <c r="A3894" s="19"/>
      <c r="B3894" s="19"/>
      <c r="P3894" s="16"/>
    </row>
    <row r="3895">
      <c r="A3895" s="19"/>
      <c r="B3895" s="19"/>
      <c r="P3895" s="16"/>
    </row>
    <row r="3896">
      <c r="A3896" s="19"/>
      <c r="B3896" s="19"/>
      <c r="P3896" s="16"/>
    </row>
    <row r="3897">
      <c r="A3897" s="19"/>
      <c r="B3897" s="19"/>
      <c r="P3897" s="16"/>
    </row>
    <row r="3898">
      <c r="A3898" s="19"/>
      <c r="B3898" s="19"/>
      <c r="P3898" s="16"/>
    </row>
    <row r="3899">
      <c r="A3899" s="19"/>
      <c r="B3899" s="19"/>
      <c r="P3899" s="16"/>
    </row>
    <row r="3900">
      <c r="A3900" s="19"/>
      <c r="B3900" s="19"/>
      <c r="P3900" s="16"/>
    </row>
    <row r="3901">
      <c r="A3901" s="19"/>
      <c r="B3901" s="19"/>
      <c r="P3901" s="16"/>
    </row>
    <row r="3902">
      <c r="A3902" s="19"/>
      <c r="B3902" s="19"/>
      <c r="P3902" s="16"/>
    </row>
    <row r="3903">
      <c r="A3903" s="19"/>
      <c r="B3903" s="19"/>
      <c r="P3903" s="16"/>
    </row>
    <row r="3904">
      <c r="A3904" s="19"/>
      <c r="B3904" s="19"/>
      <c r="P3904" s="16"/>
    </row>
    <row r="3905">
      <c r="A3905" s="19"/>
      <c r="B3905" s="19"/>
      <c r="P3905" s="16"/>
    </row>
    <row r="3906">
      <c r="A3906" s="19"/>
      <c r="B3906" s="19"/>
      <c r="P3906" s="16"/>
    </row>
    <row r="3907">
      <c r="A3907" s="19"/>
      <c r="B3907" s="19"/>
      <c r="P3907" s="16"/>
    </row>
    <row r="3908">
      <c r="A3908" s="19"/>
      <c r="B3908" s="19"/>
      <c r="P3908" s="16"/>
    </row>
    <row r="3909">
      <c r="A3909" s="19"/>
      <c r="B3909" s="19"/>
      <c r="P3909" s="16"/>
    </row>
    <row r="3910">
      <c r="A3910" s="19"/>
      <c r="B3910" s="19"/>
      <c r="P3910" s="16"/>
    </row>
    <row r="3911">
      <c r="A3911" s="19"/>
      <c r="B3911" s="19"/>
      <c r="P3911" s="16"/>
    </row>
    <row r="3912">
      <c r="A3912" s="19"/>
      <c r="B3912" s="19"/>
      <c r="P3912" s="16"/>
    </row>
    <row r="3913">
      <c r="A3913" s="19"/>
      <c r="B3913" s="19"/>
      <c r="P3913" s="16"/>
    </row>
    <row r="3914">
      <c r="A3914" s="19"/>
      <c r="B3914" s="19"/>
      <c r="P3914" s="16"/>
    </row>
    <row r="3915">
      <c r="A3915" s="19"/>
      <c r="B3915" s="19"/>
      <c r="P3915" s="16"/>
    </row>
    <row r="3916">
      <c r="A3916" s="19"/>
      <c r="B3916" s="19"/>
      <c r="P3916" s="16"/>
    </row>
    <row r="3917">
      <c r="A3917" s="19"/>
      <c r="B3917" s="19"/>
      <c r="P3917" s="16"/>
    </row>
    <row r="3918">
      <c r="A3918" s="19"/>
      <c r="B3918" s="19"/>
      <c r="P3918" s="16"/>
    </row>
    <row r="3919">
      <c r="A3919" s="19"/>
      <c r="B3919" s="19"/>
      <c r="P3919" s="16"/>
    </row>
    <row r="3920">
      <c r="A3920" s="19"/>
      <c r="B3920" s="19"/>
      <c r="P3920" s="16"/>
    </row>
    <row r="3921">
      <c r="A3921" s="19"/>
      <c r="B3921" s="19"/>
      <c r="P3921" s="16"/>
    </row>
    <row r="3922">
      <c r="A3922" s="19"/>
      <c r="B3922" s="19"/>
      <c r="P3922" s="16"/>
    </row>
    <row r="3923">
      <c r="A3923" s="19"/>
      <c r="B3923" s="19"/>
      <c r="P3923" s="16"/>
    </row>
    <row r="3924">
      <c r="A3924" s="19"/>
      <c r="B3924" s="19"/>
      <c r="P3924" s="16"/>
    </row>
    <row r="3925">
      <c r="A3925" s="19"/>
      <c r="B3925" s="19"/>
      <c r="P3925" s="16"/>
    </row>
    <row r="3926">
      <c r="A3926" s="19"/>
      <c r="B3926" s="19"/>
      <c r="P3926" s="16"/>
    </row>
    <row r="3927">
      <c r="A3927" s="19"/>
      <c r="B3927" s="19"/>
      <c r="P3927" s="16"/>
    </row>
    <row r="3928">
      <c r="A3928" s="19"/>
      <c r="B3928" s="19"/>
      <c r="P3928" s="16"/>
    </row>
    <row r="3929">
      <c r="A3929" s="19"/>
      <c r="B3929" s="19"/>
      <c r="P3929" s="16"/>
    </row>
    <row r="3930">
      <c r="A3930" s="19"/>
      <c r="B3930" s="19"/>
      <c r="P3930" s="16"/>
    </row>
    <row r="3931">
      <c r="A3931" s="19"/>
      <c r="B3931" s="19"/>
      <c r="P3931" s="16"/>
    </row>
    <row r="3932">
      <c r="A3932" s="19"/>
      <c r="B3932" s="19"/>
      <c r="P3932" s="16"/>
    </row>
    <row r="3933">
      <c r="A3933" s="19"/>
      <c r="B3933" s="19"/>
      <c r="P3933" s="16"/>
    </row>
    <row r="3934">
      <c r="A3934" s="19"/>
      <c r="B3934" s="19"/>
      <c r="P3934" s="16"/>
    </row>
    <row r="3935">
      <c r="A3935" s="19"/>
      <c r="B3935" s="19"/>
      <c r="P3935" s="16"/>
    </row>
    <row r="3936">
      <c r="A3936" s="19"/>
      <c r="B3936" s="19"/>
      <c r="P3936" s="16"/>
    </row>
    <row r="3937">
      <c r="A3937" s="19"/>
      <c r="B3937" s="19"/>
      <c r="P3937" s="16"/>
    </row>
    <row r="3938">
      <c r="A3938" s="19"/>
      <c r="B3938" s="19"/>
      <c r="P3938" s="16"/>
    </row>
    <row r="3939">
      <c r="A3939" s="19"/>
      <c r="B3939" s="19"/>
      <c r="P3939" s="16"/>
    </row>
    <row r="3940">
      <c r="A3940" s="19"/>
      <c r="B3940" s="19"/>
      <c r="P3940" s="16"/>
    </row>
    <row r="3941">
      <c r="A3941" s="19"/>
      <c r="B3941" s="19"/>
      <c r="P3941" s="16"/>
    </row>
    <row r="3942">
      <c r="A3942" s="19"/>
      <c r="B3942" s="19"/>
      <c r="P3942" s="16"/>
    </row>
    <row r="3943">
      <c r="A3943" s="19"/>
      <c r="B3943" s="19"/>
      <c r="P3943" s="16"/>
    </row>
    <row r="3944">
      <c r="A3944" s="19"/>
      <c r="B3944" s="19"/>
      <c r="P3944" s="16"/>
    </row>
    <row r="3945">
      <c r="A3945" s="19"/>
      <c r="B3945" s="19"/>
      <c r="P3945" s="16"/>
    </row>
    <row r="3946">
      <c r="A3946" s="19"/>
      <c r="B3946" s="19"/>
      <c r="P3946" s="16"/>
    </row>
    <row r="3947">
      <c r="A3947" s="19"/>
      <c r="B3947" s="19"/>
      <c r="P3947" s="16"/>
    </row>
    <row r="3948">
      <c r="A3948" s="19"/>
      <c r="B3948" s="19"/>
      <c r="P3948" s="16"/>
    </row>
    <row r="3949">
      <c r="A3949" s="19"/>
      <c r="B3949" s="19"/>
      <c r="P3949" s="16"/>
    </row>
    <row r="3950">
      <c r="A3950" s="19"/>
      <c r="B3950" s="19"/>
      <c r="P3950" s="16"/>
    </row>
    <row r="3951">
      <c r="A3951" s="19"/>
      <c r="B3951" s="19"/>
      <c r="P3951" s="16"/>
    </row>
    <row r="3952">
      <c r="A3952" s="19"/>
      <c r="B3952" s="19"/>
      <c r="P3952" s="16"/>
    </row>
    <row r="3953">
      <c r="A3953" s="19"/>
      <c r="B3953" s="19"/>
      <c r="P3953" s="16"/>
    </row>
    <row r="3954">
      <c r="A3954" s="19"/>
      <c r="B3954" s="19"/>
      <c r="P3954" s="16"/>
    </row>
    <row r="3955">
      <c r="A3955" s="19"/>
      <c r="B3955" s="19"/>
      <c r="P3955" s="16"/>
    </row>
    <row r="3956">
      <c r="A3956" s="19"/>
      <c r="B3956" s="19"/>
      <c r="P3956" s="16"/>
    </row>
    <row r="3957">
      <c r="A3957" s="19"/>
      <c r="B3957" s="19"/>
      <c r="P3957" s="16"/>
    </row>
    <row r="3958">
      <c r="A3958" s="19"/>
      <c r="B3958" s="19"/>
      <c r="P3958" s="16"/>
    </row>
    <row r="3959">
      <c r="A3959" s="19"/>
      <c r="B3959" s="19"/>
      <c r="P3959" s="16"/>
    </row>
    <row r="3960">
      <c r="A3960" s="19"/>
      <c r="B3960" s="19"/>
      <c r="P3960" s="16"/>
    </row>
    <row r="3961">
      <c r="A3961" s="19"/>
      <c r="B3961" s="19"/>
      <c r="P3961" s="16"/>
    </row>
    <row r="3962">
      <c r="A3962" s="19"/>
      <c r="B3962" s="19"/>
      <c r="P3962" s="16"/>
    </row>
    <row r="3963">
      <c r="A3963" s="19"/>
      <c r="B3963" s="19"/>
      <c r="P3963" s="16"/>
    </row>
    <row r="3964">
      <c r="A3964" s="19"/>
      <c r="B3964" s="19"/>
      <c r="P3964" s="16"/>
    </row>
    <row r="3965">
      <c r="A3965" s="19"/>
      <c r="B3965" s="19"/>
      <c r="P3965" s="16"/>
    </row>
    <row r="3966">
      <c r="A3966" s="19"/>
      <c r="B3966" s="19"/>
      <c r="P3966" s="16"/>
    </row>
    <row r="3967">
      <c r="A3967" s="19"/>
      <c r="B3967" s="19"/>
      <c r="P3967" s="16"/>
    </row>
    <row r="3968">
      <c r="A3968" s="19"/>
      <c r="B3968" s="19"/>
      <c r="P3968" s="16"/>
    </row>
    <row r="3969">
      <c r="A3969" s="19"/>
      <c r="B3969" s="19"/>
      <c r="P3969" s="16"/>
    </row>
    <row r="3970">
      <c r="A3970" s="19"/>
      <c r="B3970" s="19"/>
      <c r="P3970" s="16"/>
    </row>
    <row r="3971">
      <c r="A3971" s="19"/>
      <c r="B3971" s="19"/>
      <c r="P3971" s="16"/>
    </row>
    <row r="3972">
      <c r="A3972" s="19"/>
      <c r="B3972" s="19"/>
      <c r="P3972" s="16"/>
    </row>
    <row r="3973">
      <c r="A3973" s="19"/>
      <c r="B3973" s="19"/>
      <c r="P3973" s="16"/>
    </row>
    <row r="3974">
      <c r="A3974" s="19"/>
      <c r="B3974" s="19"/>
      <c r="P3974" s="16"/>
    </row>
    <row r="3975">
      <c r="A3975" s="19"/>
      <c r="B3975" s="19"/>
      <c r="P3975" s="16"/>
    </row>
    <row r="3976">
      <c r="A3976" s="19"/>
      <c r="B3976" s="19"/>
      <c r="P3976" s="16"/>
    </row>
    <row r="3977">
      <c r="A3977" s="19"/>
      <c r="B3977" s="19"/>
      <c r="P3977" s="16"/>
    </row>
    <row r="3978">
      <c r="A3978" s="19"/>
      <c r="B3978" s="19"/>
      <c r="P3978" s="16"/>
    </row>
    <row r="3979">
      <c r="A3979" s="19"/>
      <c r="B3979" s="19"/>
      <c r="P3979" s="16"/>
    </row>
    <row r="3980">
      <c r="A3980" s="19"/>
      <c r="B3980" s="19"/>
      <c r="P3980" s="16"/>
    </row>
    <row r="3981">
      <c r="A3981" s="19"/>
      <c r="B3981" s="19"/>
      <c r="P3981" s="16"/>
    </row>
    <row r="3982">
      <c r="A3982" s="19"/>
      <c r="B3982" s="19"/>
      <c r="P3982" s="16"/>
    </row>
    <row r="3983">
      <c r="A3983" s="19"/>
      <c r="B3983" s="19"/>
      <c r="P3983" s="16"/>
    </row>
    <row r="3984">
      <c r="A3984" s="19"/>
      <c r="B3984" s="19"/>
      <c r="P3984" s="16"/>
    </row>
    <row r="3985">
      <c r="A3985" s="19"/>
      <c r="B3985" s="19"/>
      <c r="P3985" s="16"/>
    </row>
    <row r="3986">
      <c r="A3986" s="19"/>
      <c r="B3986" s="19"/>
      <c r="P3986" s="16"/>
    </row>
    <row r="3987">
      <c r="A3987" s="19"/>
      <c r="B3987" s="19"/>
      <c r="P3987" s="16"/>
    </row>
    <row r="3988">
      <c r="A3988" s="19"/>
      <c r="B3988" s="19"/>
      <c r="P3988" s="16"/>
    </row>
    <row r="3989">
      <c r="A3989" s="19"/>
      <c r="B3989" s="19"/>
      <c r="P3989" s="16"/>
    </row>
    <row r="3990">
      <c r="A3990" s="19"/>
      <c r="B3990" s="19"/>
      <c r="P3990" s="16"/>
    </row>
    <row r="3991">
      <c r="A3991" s="19"/>
      <c r="B3991" s="19"/>
      <c r="P3991" s="16"/>
    </row>
    <row r="3992">
      <c r="A3992" s="19"/>
      <c r="B3992" s="19"/>
      <c r="P3992" s="16"/>
    </row>
    <row r="3993">
      <c r="A3993" s="19"/>
      <c r="B3993" s="19"/>
      <c r="P3993" s="16"/>
    </row>
    <row r="3994">
      <c r="A3994" s="19"/>
      <c r="B3994" s="19"/>
      <c r="P3994" s="16"/>
    </row>
    <row r="3995">
      <c r="A3995" s="19"/>
      <c r="B3995" s="19"/>
      <c r="P3995" s="16"/>
    </row>
    <row r="3996">
      <c r="A3996" s="19"/>
      <c r="B3996" s="19"/>
      <c r="P3996" s="16"/>
    </row>
    <row r="3997">
      <c r="A3997" s="19"/>
      <c r="B3997" s="19"/>
      <c r="P3997" s="16"/>
    </row>
    <row r="3998">
      <c r="A3998" s="19"/>
      <c r="B3998" s="19"/>
      <c r="P3998" s="16"/>
    </row>
    <row r="3999">
      <c r="A3999" s="19"/>
      <c r="B3999" s="19"/>
      <c r="P3999" s="16"/>
    </row>
    <row r="4000">
      <c r="A4000" s="19"/>
      <c r="B4000" s="19"/>
      <c r="P4000" s="16"/>
    </row>
    <row r="4001">
      <c r="A4001" s="19"/>
      <c r="B4001" s="19"/>
      <c r="P4001" s="16"/>
    </row>
    <row r="4002">
      <c r="A4002" s="19"/>
      <c r="B4002" s="19"/>
      <c r="P4002" s="16"/>
    </row>
    <row r="4003">
      <c r="A4003" s="19"/>
      <c r="B4003" s="19"/>
      <c r="P4003" s="16"/>
    </row>
    <row r="4004">
      <c r="A4004" s="19"/>
      <c r="B4004" s="19"/>
      <c r="P4004" s="16"/>
    </row>
    <row r="4005">
      <c r="A4005" s="19"/>
      <c r="B4005" s="19"/>
      <c r="P4005" s="16"/>
    </row>
    <row r="4006">
      <c r="A4006" s="19"/>
      <c r="B4006" s="19"/>
      <c r="P4006" s="16"/>
    </row>
    <row r="4007">
      <c r="A4007" s="19"/>
      <c r="B4007" s="19"/>
      <c r="P4007" s="16"/>
    </row>
    <row r="4008">
      <c r="A4008" s="19"/>
      <c r="B4008" s="19"/>
      <c r="P4008" s="16"/>
    </row>
    <row r="4009">
      <c r="A4009" s="19"/>
      <c r="B4009" s="19"/>
      <c r="P4009" s="16"/>
    </row>
    <row r="4010">
      <c r="A4010" s="19"/>
      <c r="B4010" s="19"/>
      <c r="P4010" s="16"/>
    </row>
    <row r="4011">
      <c r="A4011" s="19"/>
      <c r="B4011" s="19"/>
      <c r="P4011" s="16"/>
    </row>
    <row r="4012">
      <c r="A4012" s="19"/>
      <c r="B4012" s="19"/>
      <c r="P4012" s="16"/>
    </row>
    <row r="4013">
      <c r="A4013" s="19"/>
      <c r="B4013" s="19"/>
      <c r="P4013" s="16"/>
    </row>
    <row r="4014">
      <c r="A4014" s="19"/>
      <c r="B4014" s="19"/>
      <c r="P4014" s="16"/>
    </row>
    <row r="4015">
      <c r="A4015" s="19"/>
      <c r="B4015" s="19"/>
      <c r="P4015" s="16"/>
    </row>
    <row r="4016">
      <c r="A4016" s="19"/>
      <c r="B4016" s="19"/>
      <c r="P4016" s="16"/>
    </row>
    <row r="4017">
      <c r="A4017" s="19"/>
      <c r="B4017" s="19"/>
      <c r="P4017" s="16"/>
    </row>
    <row r="4018">
      <c r="A4018" s="19"/>
      <c r="B4018" s="19"/>
      <c r="P4018" s="16"/>
    </row>
    <row r="4019">
      <c r="A4019" s="19"/>
      <c r="B4019" s="19"/>
      <c r="P4019" s="16"/>
    </row>
    <row r="4020">
      <c r="A4020" s="19"/>
      <c r="B4020" s="19"/>
      <c r="P4020" s="16"/>
    </row>
    <row r="4021">
      <c r="A4021" s="19"/>
      <c r="B4021" s="19"/>
      <c r="P4021" s="16"/>
    </row>
    <row r="4022">
      <c r="A4022" s="19"/>
      <c r="B4022" s="19"/>
      <c r="P4022" s="16"/>
    </row>
    <row r="4023">
      <c r="A4023" s="19"/>
      <c r="B4023" s="19"/>
      <c r="P4023" s="16"/>
    </row>
    <row r="4024">
      <c r="A4024" s="19"/>
      <c r="B4024" s="19"/>
      <c r="P4024" s="16"/>
    </row>
    <row r="4025">
      <c r="A4025" s="19"/>
      <c r="B4025" s="19"/>
      <c r="P4025" s="16"/>
    </row>
    <row r="4026">
      <c r="A4026" s="19"/>
      <c r="B4026" s="19"/>
      <c r="P4026" s="16"/>
    </row>
    <row r="4027">
      <c r="A4027" s="19"/>
      <c r="B4027" s="19"/>
      <c r="P4027" s="16"/>
    </row>
    <row r="4028">
      <c r="A4028" s="19"/>
      <c r="B4028" s="19"/>
      <c r="P4028" s="16"/>
    </row>
    <row r="4029">
      <c r="A4029" s="19"/>
      <c r="B4029" s="19"/>
      <c r="P4029" s="16"/>
    </row>
    <row r="4030">
      <c r="A4030" s="19"/>
      <c r="B4030" s="19"/>
      <c r="P4030" s="16"/>
    </row>
    <row r="4031">
      <c r="A4031" s="19"/>
      <c r="B4031" s="19"/>
      <c r="P4031" s="16"/>
    </row>
    <row r="4032">
      <c r="A4032" s="19"/>
      <c r="B4032" s="19"/>
      <c r="P4032" s="16"/>
    </row>
    <row r="4033">
      <c r="A4033" s="19"/>
      <c r="B4033" s="19"/>
      <c r="P4033" s="16"/>
    </row>
    <row r="4034">
      <c r="A4034" s="19"/>
      <c r="B4034" s="19"/>
      <c r="P4034" s="16"/>
    </row>
    <row r="4035">
      <c r="A4035" s="19"/>
      <c r="B4035" s="19"/>
      <c r="P4035" s="16"/>
    </row>
    <row r="4036">
      <c r="A4036" s="19"/>
      <c r="B4036" s="19"/>
      <c r="P4036" s="16"/>
    </row>
    <row r="4037">
      <c r="A4037" s="19"/>
      <c r="B4037" s="19"/>
      <c r="P4037" s="16"/>
    </row>
    <row r="4038">
      <c r="A4038" s="19"/>
      <c r="B4038" s="19"/>
      <c r="P4038" s="16"/>
    </row>
    <row r="4039">
      <c r="A4039" s="19"/>
      <c r="B4039" s="19"/>
      <c r="P4039" s="16"/>
    </row>
    <row r="4040">
      <c r="A4040" s="19"/>
      <c r="B4040" s="19"/>
      <c r="P4040" s="16"/>
    </row>
    <row r="4041">
      <c r="A4041" s="19"/>
      <c r="B4041" s="19"/>
      <c r="P4041" s="16"/>
    </row>
    <row r="4042">
      <c r="A4042" s="19"/>
      <c r="B4042" s="19"/>
      <c r="P4042" s="16"/>
    </row>
    <row r="4043">
      <c r="A4043" s="19"/>
      <c r="B4043" s="19"/>
      <c r="P4043" s="16"/>
    </row>
    <row r="4044">
      <c r="A4044" s="19"/>
      <c r="B4044" s="19"/>
      <c r="P4044" s="16"/>
    </row>
    <row r="4045">
      <c r="A4045" s="19"/>
      <c r="B4045" s="19"/>
      <c r="P4045" s="16"/>
    </row>
    <row r="4046">
      <c r="A4046" s="19"/>
      <c r="B4046" s="19"/>
      <c r="P4046" s="16"/>
    </row>
    <row r="4047">
      <c r="A4047" s="19"/>
      <c r="B4047" s="19"/>
      <c r="P4047" s="16"/>
    </row>
    <row r="4048">
      <c r="A4048" s="19"/>
      <c r="B4048" s="19"/>
      <c r="P4048" s="16"/>
    </row>
    <row r="4049">
      <c r="A4049" s="19"/>
      <c r="B4049" s="19"/>
      <c r="P4049" s="16"/>
    </row>
    <row r="4050">
      <c r="A4050" s="19"/>
      <c r="B4050" s="19"/>
      <c r="P4050" s="16"/>
    </row>
    <row r="4051">
      <c r="A4051" s="19"/>
      <c r="B4051" s="19"/>
      <c r="P4051" s="16"/>
    </row>
    <row r="4052">
      <c r="A4052" s="19"/>
      <c r="B4052" s="19"/>
      <c r="P4052" s="16"/>
    </row>
    <row r="4053">
      <c r="A4053" s="19"/>
      <c r="B4053" s="19"/>
      <c r="P4053" s="16"/>
    </row>
    <row r="4054">
      <c r="A4054" s="19"/>
      <c r="B4054" s="19"/>
      <c r="P4054" s="16"/>
    </row>
    <row r="4055">
      <c r="A4055" s="19"/>
      <c r="B4055" s="19"/>
      <c r="P4055" s="16"/>
    </row>
    <row r="4056">
      <c r="A4056" s="19"/>
      <c r="B4056" s="19"/>
      <c r="P4056" s="16"/>
    </row>
    <row r="4057">
      <c r="A4057" s="19"/>
      <c r="B4057" s="19"/>
      <c r="P4057" s="16"/>
    </row>
    <row r="4058">
      <c r="A4058" s="19"/>
      <c r="B4058" s="19"/>
      <c r="P4058" s="16"/>
    </row>
    <row r="4059">
      <c r="A4059" s="19"/>
      <c r="B4059" s="19"/>
      <c r="P4059" s="16"/>
    </row>
    <row r="4060">
      <c r="A4060" s="19"/>
      <c r="B4060" s="19"/>
      <c r="P4060" s="16"/>
    </row>
    <row r="4061">
      <c r="A4061" s="19"/>
      <c r="B4061" s="19"/>
      <c r="P4061" s="16"/>
    </row>
    <row r="4062">
      <c r="A4062" s="19"/>
      <c r="B4062" s="19"/>
      <c r="P4062" s="16"/>
    </row>
    <row r="4063">
      <c r="A4063" s="19"/>
      <c r="B4063" s="19"/>
      <c r="P4063" s="16"/>
    </row>
    <row r="4064">
      <c r="A4064" s="19"/>
      <c r="B4064" s="19"/>
      <c r="P4064" s="16"/>
    </row>
    <row r="4065">
      <c r="A4065" s="19"/>
      <c r="B4065" s="19"/>
      <c r="P4065" s="16"/>
    </row>
    <row r="4066">
      <c r="A4066" s="19"/>
      <c r="B4066" s="19"/>
      <c r="P4066" s="16"/>
    </row>
    <row r="4067">
      <c r="A4067" s="19"/>
      <c r="B4067" s="19"/>
      <c r="P4067" s="16"/>
    </row>
    <row r="4068">
      <c r="A4068" s="19"/>
      <c r="B4068" s="19"/>
      <c r="P4068" s="16"/>
    </row>
    <row r="4069">
      <c r="A4069" s="19"/>
      <c r="B4069" s="19"/>
      <c r="P4069" s="16"/>
    </row>
    <row r="4070">
      <c r="A4070" s="19"/>
      <c r="B4070" s="19"/>
      <c r="P4070" s="16"/>
    </row>
    <row r="4071">
      <c r="A4071" s="19"/>
      <c r="B4071" s="19"/>
      <c r="P4071" s="16"/>
    </row>
    <row r="4072">
      <c r="A4072" s="19"/>
      <c r="B4072" s="19"/>
      <c r="P4072" s="16"/>
    </row>
    <row r="4073">
      <c r="A4073" s="19"/>
      <c r="B4073" s="19"/>
      <c r="P4073" s="16"/>
    </row>
    <row r="4074">
      <c r="A4074" s="19"/>
      <c r="B4074" s="19"/>
      <c r="P4074" s="16"/>
    </row>
    <row r="4075">
      <c r="A4075" s="19"/>
      <c r="B4075" s="19"/>
      <c r="P4075" s="16"/>
    </row>
    <row r="4076">
      <c r="A4076" s="19"/>
      <c r="B4076" s="19"/>
      <c r="P4076" s="16"/>
    </row>
    <row r="4077">
      <c r="A4077" s="19"/>
      <c r="B4077" s="19"/>
      <c r="P4077" s="16"/>
    </row>
    <row r="4078">
      <c r="A4078" s="19"/>
      <c r="B4078" s="19"/>
      <c r="P4078" s="16"/>
    </row>
    <row r="4079">
      <c r="A4079" s="19"/>
      <c r="B4079" s="19"/>
      <c r="P4079" s="16"/>
    </row>
    <row r="4080">
      <c r="A4080" s="19"/>
      <c r="B4080" s="19"/>
      <c r="P4080" s="16"/>
    </row>
    <row r="4081">
      <c r="A4081" s="19"/>
      <c r="B4081" s="19"/>
      <c r="P4081" s="16"/>
    </row>
    <row r="4082">
      <c r="A4082" s="19"/>
      <c r="B4082" s="19"/>
      <c r="P4082" s="16"/>
    </row>
    <row r="4083">
      <c r="A4083" s="19"/>
      <c r="B4083" s="19"/>
      <c r="P4083" s="16"/>
    </row>
    <row r="4084">
      <c r="A4084" s="19"/>
      <c r="B4084" s="19"/>
      <c r="P4084" s="16"/>
    </row>
    <row r="4085">
      <c r="A4085" s="19"/>
      <c r="B4085" s="19"/>
      <c r="P4085" s="16"/>
    </row>
    <row r="4086">
      <c r="A4086" s="19"/>
      <c r="B4086" s="19"/>
      <c r="P4086" s="16"/>
    </row>
    <row r="4087">
      <c r="A4087" s="19"/>
      <c r="B4087" s="19"/>
      <c r="P4087" s="16"/>
    </row>
    <row r="4088">
      <c r="A4088" s="19"/>
      <c r="B4088" s="19"/>
      <c r="P4088" s="16"/>
    </row>
    <row r="4089">
      <c r="A4089" s="19"/>
      <c r="B4089" s="19"/>
      <c r="P4089" s="16"/>
    </row>
    <row r="4090">
      <c r="A4090" s="19"/>
      <c r="B4090" s="19"/>
      <c r="P4090" s="16"/>
    </row>
    <row r="4091">
      <c r="A4091" s="19"/>
      <c r="B4091" s="19"/>
      <c r="P4091" s="16"/>
    </row>
    <row r="4092">
      <c r="A4092" s="19"/>
      <c r="B4092" s="19"/>
      <c r="P4092" s="16"/>
    </row>
    <row r="4093">
      <c r="A4093" s="19"/>
      <c r="B4093" s="19"/>
      <c r="P4093" s="16"/>
    </row>
    <row r="4094">
      <c r="A4094" s="19"/>
      <c r="B4094" s="19"/>
      <c r="P4094" s="16"/>
    </row>
    <row r="4095">
      <c r="A4095" s="19"/>
      <c r="B4095" s="19"/>
      <c r="P4095" s="16"/>
    </row>
    <row r="4096">
      <c r="A4096" s="19"/>
      <c r="B4096" s="19"/>
      <c r="P4096" s="16"/>
    </row>
    <row r="4097">
      <c r="A4097" s="19"/>
      <c r="B4097" s="19"/>
      <c r="P4097" s="16"/>
    </row>
    <row r="4098">
      <c r="A4098" s="19"/>
      <c r="B4098" s="19"/>
      <c r="P4098" s="16"/>
    </row>
    <row r="4099">
      <c r="A4099" s="19"/>
      <c r="B4099" s="19"/>
      <c r="P4099" s="16"/>
    </row>
    <row r="4100">
      <c r="A4100" s="19"/>
      <c r="B4100" s="19"/>
      <c r="P4100" s="16"/>
    </row>
    <row r="4101">
      <c r="A4101" s="19"/>
      <c r="B4101" s="19"/>
      <c r="P4101" s="16"/>
    </row>
    <row r="4102">
      <c r="A4102" s="19"/>
      <c r="B4102" s="19"/>
      <c r="P4102" s="16"/>
    </row>
    <row r="4103">
      <c r="A4103" s="19"/>
      <c r="B4103" s="19"/>
      <c r="P4103" s="16"/>
    </row>
    <row r="4104">
      <c r="A4104" s="19"/>
      <c r="B4104" s="19"/>
      <c r="P4104" s="16"/>
    </row>
    <row r="4105">
      <c r="A4105" s="19"/>
      <c r="B4105" s="19"/>
      <c r="P4105" s="16"/>
    </row>
    <row r="4106">
      <c r="A4106" s="19"/>
      <c r="B4106" s="19"/>
      <c r="P4106" s="16"/>
    </row>
    <row r="4107">
      <c r="A4107" s="19"/>
      <c r="B4107" s="19"/>
      <c r="P4107" s="16"/>
    </row>
    <row r="4108">
      <c r="A4108" s="19"/>
      <c r="B4108" s="19"/>
      <c r="P4108" s="16"/>
    </row>
    <row r="4109">
      <c r="A4109" s="19"/>
      <c r="B4109" s="19"/>
      <c r="P4109" s="16"/>
    </row>
    <row r="4110">
      <c r="A4110" s="19"/>
      <c r="B4110" s="19"/>
      <c r="P4110" s="16"/>
    </row>
    <row r="4111">
      <c r="A4111" s="19"/>
      <c r="B4111" s="19"/>
      <c r="P4111" s="16"/>
    </row>
    <row r="4112">
      <c r="A4112" s="19"/>
      <c r="B4112" s="19"/>
      <c r="P4112" s="16"/>
    </row>
    <row r="4113">
      <c r="A4113" s="19"/>
      <c r="B4113" s="19"/>
      <c r="P4113" s="16"/>
    </row>
    <row r="4114">
      <c r="A4114" s="19"/>
      <c r="B4114" s="19"/>
      <c r="P4114" s="16"/>
    </row>
    <row r="4115">
      <c r="A4115" s="19"/>
      <c r="B4115" s="19"/>
      <c r="P4115" s="16"/>
    </row>
    <row r="4116">
      <c r="A4116" s="19"/>
      <c r="B4116" s="19"/>
      <c r="P4116" s="16"/>
    </row>
    <row r="4117">
      <c r="A4117" s="19"/>
      <c r="B4117" s="19"/>
      <c r="P4117" s="16"/>
    </row>
    <row r="4118">
      <c r="A4118" s="19"/>
      <c r="B4118" s="19"/>
      <c r="P4118" s="16"/>
    </row>
    <row r="4119">
      <c r="A4119" s="19"/>
      <c r="B4119" s="19"/>
      <c r="P4119" s="16"/>
    </row>
    <row r="4120">
      <c r="A4120" s="19"/>
      <c r="B4120" s="19"/>
      <c r="P4120" s="16"/>
    </row>
    <row r="4121">
      <c r="A4121" s="19"/>
      <c r="B4121" s="19"/>
      <c r="P4121" s="16"/>
    </row>
    <row r="4122">
      <c r="A4122" s="19"/>
      <c r="B4122" s="19"/>
      <c r="P4122" s="16"/>
    </row>
    <row r="4123">
      <c r="A4123" s="19"/>
      <c r="B4123" s="19"/>
      <c r="P4123" s="16"/>
    </row>
    <row r="4124">
      <c r="A4124" s="19"/>
      <c r="B4124" s="19"/>
      <c r="P4124" s="16"/>
    </row>
    <row r="4125">
      <c r="A4125" s="19"/>
      <c r="B4125" s="19"/>
      <c r="P4125" s="16"/>
    </row>
    <row r="4126">
      <c r="A4126" s="19"/>
      <c r="B4126" s="19"/>
      <c r="P4126" s="16"/>
    </row>
    <row r="4127">
      <c r="A4127" s="19"/>
      <c r="B4127" s="19"/>
      <c r="P4127" s="16"/>
    </row>
    <row r="4128">
      <c r="A4128" s="19"/>
      <c r="B4128" s="19"/>
      <c r="P4128" s="16"/>
    </row>
    <row r="4129">
      <c r="A4129" s="19"/>
      <c r="B4129" s="19"/>
      <c r="P4129" s="16"/>
    </row>
    <row r="4130">
      <c r="A4130" s="19"/>
      <c r="B4130" s="19"/>
      <c r="P4130" s="16"/>
    </row>
    <row r="4131">
      <c r="A4131" s="19"/>
      <c r="B4131" s="19"/>
      <c r="P4131" s="16"/>
    </row>
    <row r="4132">
      <c r="A4132" s="19"/>
      <c r="B4132" s="19"/>
      <c r="P4132" s="16"/>
    </row>
    <row r="4133">
      <c r="A4133" s="19"/>
      <c r="B4133" s="19"/>
      <c r="P4133" s="16"/>
    </row>
    <row r="4134">
      <c r="A4134" s="19"/>
      <c r="B4134" s="19"/>
      <c r="P4134" s="16"/>
    </row>
    <row r="4135">
      <c r="A4135" s="19"/>
      <c r="B4135" s="19"/>
      <c r="P4135" s="16"/>
    </row>
    <row r="4136">
      <c r="A4136" s="19"/>
      <c r="B4136" s="19"/>
      <c r="P4136" s="16"/>
    </row>
    <row r="4137">
      <c r="A4137" s="19"/>
      <c r="B4137" s="19"/>
      <c r="P4137" s="16"/>
    </row>
    <row r="4138">
      <c r="A4138" s="19"/>
      <c r="B4138" s="19"/>
      <c r="P4138" s="16"/>
    </row>
    <row r="4139">
      <c r="A4139" s="19"/>
      <c r="B4139" s="19"/>
      <c r="P4139" s="16"/>
    </row>
    <row r="4140">
      <c r="A4140" s="19"/>
      <c r="B4140" s="19"/>
      <c r="P4140" s="16"/>
    </row>
    <row r="4141">
      <c r="A4141" s="19"/>
      <c r="B4141" s="19"/>
      <c r="P4141" s="16"/>
    </row>
    <row r="4142">
      <c r="A4142" s="19"/>
      <c r="B4142" s="19"/>
      <c r="P4142" s="16"/>
    </row>
    <row r="4143">
      <c r="A4143" s="19"/>
      <c r="B4143" s="19"/>
      <c r="P4143" s="16"/>
    </row>
    <row r="4144">
      <c r="A4144" s="19"/>
      <c r="B4144" s="19"/>
      <c r="P4144" s="16"/>
    </row>
    <row r="4145">
      <c r="A4145" s="19"/>
      <c r="B4145" s="19"/>
      <c r="P4145" s="16"/>
    </row>
    <row r="4146">
      <c r="A4146" s="19"/>
      <c r="B4146" s="19"/>
      <c r="P4146" s="16"/>
    </row>
    <row r="4147">
      <c r="A4147" s="19"/>
      <c r="B4147" s="19"/>
      <c r="P4147" s="16"/>
    </row>
    <row r="4148">
      <c r="A4148" s="19"/>
      <c r="B4148" s="19"/>
      <c r="P4148" s="16"/>
    </row>
    <row r="4149">
      <c r="A4149" s="19"/>
      <c r="B4149" s="19"/>
      <c r="P4149" s="16"/>
    </row>
    <row r="4150">
      <c r="A4150" s="19"/>
      <c r="B4150" s="19"/>
      <c r="P4150" s="16"/>
    </row>
    <row r="4151">
      <c r="A4151" s="19"/>
      <c r="B4151" s="19"/>
      <c r="P4151" s="16"/>
    </row>
    <row r="4152">
      <c r="A4152" s="19"/>
      <c r="B4152" s="19"/>
      <c r="P4152" s="16"/>
    </row>
    <row r="4153">
      <c r="A4153" s="19"/>
      <c r="B4153" s="19"/>
      <c r="P4153" s="16"/>
    </row>
    <row r="4154">
      <c r="A4154" s="19"/>
      <c r="B4154" s="19"/>
      <c r="P4154" s="16"/>
    </row>
    <row r="4155">
      <c r="A4155" s="19"/>
      <c r="B4155" s="19"/>
      <c r="P4155" s="16"/>
    </row>
    <row r="4156">
      <c r="A4156" s="19"/>
      <c r="B4156" s="19"/>
      <c r="P4156" s="16"/>
    </row>
    <row r="4157">
      <c r="A4157" s="19"/>
      <c r="B4157" s="19"/>
      <c r="P4157" s="16"/>
    </row>
    <row r="4158">
      <c r="A4158" s="19"/>
      <c r="B4158" s="19"/>
      <c r="P4158" s="16"/>
    </row>
    <row r="4159">
      <c r="A4159" s="19"/>
      <c r="B4159" s="19"/>
      <c r="P4159" s="16"/>
    </row>
    <row r="4160">
      <c r="A4160" s="19"/>
      <c r="B4160" s="19"/>
      <c r="P4160" s="16"/>
    </row>
    <row r="4161">
      <c r="A4161" s="19"/>
      <c r="B4161" s="19"/>
      <c r="P4161" s="16"/>
    </row>
    <row r="4162">
      <c r="A4162" s="19"/>
      <c r="B4162" s="19"/>
      <c r="P4162" s="16"/>
    </row>
    <row r="4163">
      <c r="A4163" s="19"/>
      <c r="B4163" s="19"/>
      <c r="P4163" s="16"/>
    </row>
    <row r="4164">
      <c r="A4164" s="19"/>
      <c r="B4164" s="19"/>
      <c r="P4164" s="16"/>
    </row>
    <row r="4165">
      <c r="A4165" s="19"/>
      <c r="B4165" s="19"/>
      <c r="P4165" s="16"/>
    </row>
    <row r="4166">
      <c r="A4166" s="19"/>
      <c r="B4166" s="19"/>
      <c r="P4166" s="16"/>
    </row>
    <row r="4167">
      <c r="A4167" s="19"/>
      <c r="B4167" s="19"/>
      <c r="P4167" s="16"/>
    </row>
    <row r="4168">
      <c r="A4168" s="19"/>
      <c r="B4168" s="19"/>
      <c r="P4168" s="16"/>
    </row>
    <row r="4169">
      <c r="A4169" s="19"/>
      <c r="B4169" s="19"/>
      <c r="P4169" s="16"/>
    </row>
    <row r="4170">
      <c r="A4170" s="19"/>
      <c r="B4170" s="19"/>
      <c r="P4170" s="16"/>
    </row>
    <row r="4171">
      <c r="A4171" s="19"/>
      <c r="B4171" s="19"/>
      <c r="P4171" s="16"/>
    </row>
    <row r="4172">
      <c r="A4172" s="19"/>
      <c r="B4172" s="19"/>
      <c r="P4172" s="16"/>
    </row>
    <row r="4173">
      <c r="A4173" s="19"/>
      <c r="B4173" s="19"/>
      <c r="P4173" s="16"/>
    </row>
    <row r="4174">
      <c r="A4174" s="19"/>
      <c r="B4174" s="19"/>
      <c r="P4174" s="16"/>
    </row>
    <row r="4175">
      <c r="A4175" s="19"/>
      <c r="B4175" s="19"/>
      <c r="P4175" s="16"/>
    </row>
    <row r="4176">
      <c r="A4176" s="19"/>
      <c r="B4176" s="19"/>
      <c r="P4176" s="16"/>
    </row>
    <row r="4177">
      <c r="A4177" s="19"/>
      <c r="B4177" s="19"/>
      <c r="P4177" s="16"/>
    </row>
    <row r="4178">
      <c r="A4178" s="19"/>
      <c r="B4178" s="19"/>
      <c r="P4178" s="16"/>
    </row>
    <row r="4179">
      <c r="A4179" s="19"/>
      <c r="B4179" s="19"/>
      <c r="P4179" s="16"/>
    </row>
    <row r="4180">
      <c r="A4180" s="19"/>
      <c r="B4180" s="19"/>
      <c r="P4180" s="16"/>
    </row>
    <row r="4181">
      <c r="A4181" s="19"/>
      <c r="B4181" s="19"/>
      <c r="P4181" s="16"/>
    </row>
    <row r="4182">
      <c r="A4182" s="19"/>
      <c r="B4182" s="19"/>
      <c r="P4182" s="16"/>
    </row>
    <row r="4183">
      <c r="A4183" s="19"/>
      <c r="B4183" s="19"/>
      <c r="P4183" s="16"/>
    </row>
    <row r="4184">
      <c r="A4184" s="19"/>
      <c r="B4184" s="19"/>
      <c r="P4184" s="16"/>
    </row>
    <row r="4185">
      <c r="A4185" s="19"/>
      <c r="B4185" s="19"/>
      <c r="P4185" s="16"/>
    </row>
    <row r="4186">
      <c r="A4186" s="19"/>
      <c r="B4186" s="19"/>
      <c r="P4186" s="16"/>
    </row>
    <row r="4187">
      <c r="A4187" s="19"/>
      <c r="B4187" s="19"/>
      <c r="P4187" s="16"/>
    </row>
    <row r="4188">
      <c r="A4188" s="19"/>
      <c r="B4188" s="19"/>
      <c r="P4188" s="16"/>
    </row>
    <row r="4189">
      <c r="A4189" s="19"/>
      <c r="B4189" s="19"/>
      <c r="P4189" s="16"/>
    </row>
    <row r="4190">
      <c r="A4190" s="19"/>
      <c r="B4190" s="19"/>
      <c r="P4190" s="16"/>
    </row>
    <row r="4191">
      <c r="A4191" s="19"/>
      <c r="B4191" s="19"/>
      <c r="P4191" s="16"/>
    </row>
    <row r="4192">
      <c r="A4192" s="19"/>
      <c r="B4192" s="19"/>
      <c r="P4192" s="16"/>
    </row>
    <row r="4193">
      <c r="A4193" s="19"/>
      <c r="B4193" s="19"/>
      <c r="P4193" s="16"/>
    </row>
    <row r="4194">
      <c r="A4194" s="19"/>
      <c r="B4194" s="19"/>
      <c r="P4194" s="16"/>
    </row>
    <row r="4195">
      <c r="A4195" s="19"/>
      <c r="B4195" s="19"/>
      <c r="P4195" s="16"/>
    </row>
    <row r="4196">
      <c r="A4196" s="19"/>
      <c r="B4196" s="19"/>
      <c r="P4196" s="16"/>
    </row>
    <row r="4197">
      <c r="A4197" s="19"/>
      <c r="B4197" s="19"/>
      <c r="P4197" s="16"/>
    </row>
    <row r="4198">
      <c r="A4198" s="19"/>
      <c r="B4198" s="19"/>
      <c r="P4198" s="16"/>
    </row>
    <row r="4199">
      <c r="A4199" s="19"/>
      <c r="B4199" s="19"/>
      <c r="P4199" s="16"/>
    </row>
    <row r="4200">
      <c r="A4200" s="19"/>
      <c r="B4200" s="19"/>
      <c r="P4200" s="16"/>
    </row>
    <row r="4201">
      <c r="A4201" s="19"/>
      <c r="B4201" s="19"/>
      <c r="P4201" s="16"/>
    </row>
    <row r="4202">
      <c r="A4202" s="19"/>
      <c r="B4202" s="19"/>
      <c r="P4202" s="16"/>
    </row>
    <row r="4203">
      <c r="A4203" s="19"/>
      <c r="B4203" s="19"/>
      <c r="P4203" s="16"/>
    </row>
    <row r="4204">
      <c r="A4204" s="19"/>
      <c r="B4204" s="19"/>
      <c r="P4204" s="16"/>
    </row>
    <row r="4205">
      <c r="A4205" s="19"/>
      <c r="B4205" s="19"/>
      <c r="P4205" s="16"/>
    </row>
    <row r="4206">
      <c r="A4206" s="19"/>
      <c r="B4206" s="19"/>
      <c r="P4206" s="16"/>
    </row>
    <row r="4207">
      <c r="A4207" s="19"/>
      <c r="B4207" s="19"/>
      <c r="P4207" s="16"/>
    </row>
    <row r="4208">
      <c r="A4208" s="19"/>
      <c r="B4208" s="19"/>
      <c r="P4208" s="16"/>
    </row>
    <row r="4209">
      <c r="A4209" s="19"/>
      <c r="B4209" s="19"/>
      <c r="P4209" s="16"/>
    </row>
    <row r="4210">
      <c r="A4210" s="19"/>
      <c r="B4210" s="19"/>
      <c r="P4210" s="16"/>
    </row>
    <row r="4211">
      <c r="A4211" s="19"/>
      <c r="B4211" s="19"/>
      <c r="P4211" s="16"/>
    </row>
    <row r="4212">
      <c r="A4212" s="19"/>
      <c r="B4212" s="19"/>
      <c r="P4212" s="16"/>
    </row>
    <row r="4213">
      <c r="A4213" s="19"/>
      <c r="B4213" s="19"/>
      <c r="P4213" s="16"/>
    </row>
    <row r="4214">
      <c r="A4214" s="19"/>
      <c r="B4214" s="19"/>
      <c r="P4214" s="16"/>
    </row>
    <row r="4215">
      <c r="A4215" s="19"/>
      <c r="B4215" s="19"/>
      <c r="P4215" s="16"/>
    </row>
    <row r="4216">
      <c r="A4216" s="19"/>
      <c r="B4216" s="19"/>
      <c r="P4216" s="16"/>
    </row>
    <row r="4217">
      <c r="A4217" s="19"/>
      <c r="B4217" s="19"/>
      <c r="P4217" s="16"/>
    </row>
    <row r="4218">
      <c r="A4218" s="19"/>
      <c r="B4218" s="19"/>
      <c r="P4218" s="16"/>
    </row>
    <row r="4219">
      <c r="A4219" s="19"/>
      <c r="B4219" s="19"/>
      <c r="P4219" s="16"/>
    </row>
    <row r="4220">
      <c r="A4220" s="19"/>
      <c r="B4220" s="19"/>
      <c r="P4220" s="16"/>
    </row>
    <row r="4221">
      <c r="A4221" s="19"/>
      <c r="B4221" s="19"/>
      <c r="P4221" s="16"/>
    </row>
    <row r="4222">
      <c r="A4222" s="19"/>
      <c r="B4222" s="19"/>
      <c r="P4222" s="16"/>
    </row>
    <row r="4223">
      <c r="A4223" s="19"/>
      <c r="B4223" s="19"/>
      <c r="P4223" s="16"/>
    </row>
    <row r="4224">
      <c r="A4224" s="19"/>
      <c r="B4224" s="19"/>
      <c r="P4224" s="16"/>
    </row>
    <row r="4225">
      <c r="A4225" s="19"/>
      <c r="B4225" s="19"/>
      <c r="P4225" s="16"/>
    </row>
    <row r="4226">
      <c r="A4226" s="19"/>
      <c r="B4226" s="19"/>
      <c r="P4226" s="16"/>
    </row>
    <row r="4227">
      <c r="A4227" s="19"/>
      <c r="B4227" s="19"/>
      <c r="P4227" s="16"/>
    </row>
    <row r="4228">
      <c r="A4228" s="19"/>
      <c r="B4228" s="19"/>
      <c r="P4228" s="16"/>
    </row>
    <row r="4229">
      <c r="A4229" s="19"/>
      <c r="B4229" s="19"/>
      <c r="P4229" s="16"/>
    </row>
    <row r="4230">
      <c r="A4230" s="19"/>
      <c r="B4230" s="19"/>
      <c r="P4230" s="16"/>
    </row>
    <row r="4231">
      <c r="A4231" s="19"/>
      <c r="B4231" s="19"/>
      <c r="P4231" s="16"/>
    </row>
    <row r="4232">
      <c r="A4232" s="19"/>
      <c r="B4232" s="19"/>
      <c r="P4232" s="16"/>
    </row>
    <row r="4233">
      <c r="A4233" s="19"/>
      <c r="B4233" s="19"/>
      <c r="P4233" s="16"/>
    </row>
    <row r="4234">
      <c r="A4234" s="19"/>
      <c r="B4234" s="19"/>
      <c r="P4234" s="16"/>
    </row>
    <row r="4235">
      <c r="A4235" s="19"/>
      <c r="B4235" s="19"/>
      <c r="P4235" s="16"/>
    </row>
    <row r="4236">
      <c r="A4236" s="19"/>
      <c r="B4236" s="19"/>
      <c r="P4236" s="16"/>
    </row>
    <row r="4237">
      <c r="A4237" s="19"/>
      <c r="B4237" s="19"/>
      <c r="P4237" s="16"/>
    </row>
    <row r="4238">
      <c r="A4238" s="19"/>
      <c r="B4238" s="19"/>
      <c r="P4238" s="16"/>
    </row>
    <row r="4239">
      <c r="A4239" s="19"/>
      <c r="B4239" s="19"/>
      <c r="P4239" s="16"/>
    </row>
    <row r="4240">
      <c r="A4240" s="19"/>
      <c r="B4240" s="19"/>
      <c r="P4240" s="16"/>
    </row>
    <row r="4241">
      <c r="A4241" s="19"/>
      <c r="B4241" s="19"/>
      <c r="P4241" s="16"/>
    </row>
    <row r="4242">
      <c r="A4242" s="19"/>
      <c r="B4242" s="19"/>
      <c r="P4242" s="16"/>
    </row>
    <row r="4243">
      <c r="A4243" s="19"/>
      <c r="B4243" s="19"/>
      <c r="P4243" s="16"/>
    </row>
    <row r="4244">
      <c r="A4244" s="19"/>
      <c r="B4244" s="19"/>
      <c r="P4244" s="16"/>
    </row>
    <row r="4245">
      <c r="A4245" s="19"/>
      <c r="B4245" s="19"/>
      <c r="P4245" s="16"/>
    </row>
    <row r="4246">
      <c r="A4246" s="19"/>
      <c r="B4246" s="19"/>
      <c r="P4246" s="16"/>
    </row>
    <row r="4247">
      <c r="A4247" s="19"/>
      <c r="B4247" s="19"/>
      <c r="P4247" s="16"/>
    </row>
    <row r="4248">
      <c r="A4248" s="19"/>
      <c r="B4248" s="19"/>
      <c r="P4248" s="16"/>
    </row>
    <row r="4249">
      <c r="A4249" s="19"/>
      <c r="B4249" s="19"/>
      <c r="P4249" s="16"/>
    </row>
    <row r="4250">
      <c r="A4250" s="19"/>
      <c r="B4250" s="19"/>
      <c r="P4250" s="16"/>
    </row>
    <row r="4251">
      <c r="A4251" s="19"/>
      <c r="B4251" s="19"/>
      <c r="P4251" s="16"/>
    </row>
    <row r="4252">
      <c r="A4252" s="19"/>
      <c r="B4252" s="19"/>
      <c r="P4252" s="16"/>
    </row>
    <row r="4253">
      <c r="A4253" s="19"/>
      <c r="B4253" s="19"/>
      <c r="P4253" s="16"/>
    </row>
    <row r="4254">
      <c r="A4254" s="19"/>
      <c r="B4254" s="19"/>
      <c r="P4254" s="16"/>
    </row>
    <row r="4255">
      <c r="A4255" s="19"/>
      <c r="B4255" s="19"/>
      <c r="P4255" s="16"/>
    </row>
    <row r="4256">
      <c r="A4256" s="19"/>
      <c r="B4256" s="19"/>
      <c r="P4256" s="16"/>
    </row>
    <row r="4257">
      <c r="A4257" s="19"/>
      <c r="B4257" s="19"/>
      <c r="P4257" s="16"/>
    </row>
    <row r="4258">
      <c r="A4258" s="19"/>
      <c r="B4258" s="19"/>
      <c r="P4258" s="16"/>
    </row>
    <row r="4259">
      <c r="A4259" s="19"/>
      <c r="B4259" s="19"/>
      <c r="P4259" s="16"/>
    </row>
    <row r="4260">
      <c r="A4260" s="19"/>
      <c r="B4260" s="19"/>
      <c r="P4260" s="16"/>
    </row>
    <row r="4261">
      <c r="A4261" s="19"/>
      <c r="B4261" s="19"/>
      <c r="P4261" s="16"/>
    </row>
    <row r="4262">
      <c r="A4262" s="19"/>
      <c r="B4262" s="19"/>
      <c r="P4262" s="16"/>
    </row>
    <row r="4263">
      <c r="A4263" s="19"/>
      <c r="B4263" s="19"/>
      <c r="P4263" s="16"/>
    </row>
    <row r="4264">
      <c r="A4264" s="19"/>
      <c r="B4264" s="19"/>
      <c r="P4264" s="16"/>
    </row>
    <row r="4265">
      <c r="A4265" s="19"/>
      <c r="B4265" s="19"/>
      <c r="P4265" s="16"/>
    </row>
    <row r="4266">
      <c r="A4266" s="19"/>
      <c r="B4266" s="19"/>
      <c r="P4266" s="16"/>
    </row>
    <row r="4267">
      <c r="A4267" s="19"/>
      <c r="B4267" s="19"/>
      <c r="P4267" s="16"/>
    </row>
    <row r="4268">
      <c r="A4268" s="19"/>
      <c r="B4268" s="19"/>
      <c r="P4268" s="16"/>
    </row>
    <row r="4269">
      <c r="A4269" s="19"/>
      <c r="B4269" s="19"/>
      <c r="P4269" s="16"/>
    </row>
    <row r="4270">
      <c r="A4270" s="19"/>
      <c r="B4270" s="19"/>
      <c r="P4270" s="16"/>
    </row>
    <row r="4271">
      <c r="A4271" s="19"/>
      <c r="B4271" s="19"/>
      <c r="P4271" s="16"/>
    </row>
    <row r="4272">
      <c r="A4272" s="19"/>
      <c r="B4272" s="19"/>
      <c r="P4272" s="16"/>
    </row>
    <row r="4273">
      <c r="A4273" s="19"/>
      <c r="B4273" s="19"/>
      <c r="P4273" s="16"/>
    </row>
    <row r="4274">
      <c r="A4274" s="19"/>
      <c r="B4274" s="19"/>
      <c r="P4274" s="16"/>
    </row>
    <row r="4275">
      <c r="A4275" s="19"/>
      <c r="B4275" s="19"/>
      <c r="P4275" s="16"/>
    </row>
    <row r="4276">
      <c r="A4276" s="19"/>
      <c r="B4276" s="19"/>
      <c r="P4276" s="16"/>
    </row>
    <row r="4277">
      <c r="A4277" s="19"/>
      <c r="B4277" s="19"/>
      <c r="P4277" s="16"/>
    </row>
    <row r="4278">
      <c r="A4278" s="19"/>
      <c r="B4278" s="19"/>
      <c r="P4278" s="16"/>
    </row>
    <row r="4279">
      <c r="A4279" s="19"/>
      <c r="B4279" s="19"/>
      <c r="P4279" s="16"/>
    </row>
    <row r="4280">
      <c r="A4280" s="19"/>
      <c r="B4280" s="19"/>
      <c r="P4280" s="16"/>
    </row>
    <row r="4281">
      <c r="A4281" s="19"/>
      <c r="B4281" s="19"/>
      <c r="P4281" s="16"/>
    </row>
    <row r="4282">
      <c r="A4282" s="19"/>
      <c r="B4282" s="19"/>
      <c r="P4282" s="16"/>
    </row>
    <row r="4283">
      <c r="A4283" s="19"/>
      <c r="B4283" s="19"/>
      <c r="P4283" s="16"/>
    </row>
    <row r="4284">
      <c r="A4284" s="19"/>
      <c r="B4284" s="19"/>
      <c r="P4284" s="16"/>
    </row>
    <row r="4285">
      <c r="A4285" s="19"/>
      <c r="B4285" s="19"/>
      <c r="P4285" s="16"/>
    </row>
    <row r="4286">
      <c r="A4286" s="19"/>
      <c r="B4286" s="19"/>
      <c r="P4286" s="16"/>
    </row>
    <row r="4287">
      <c r="A4287" s="19"/>
      <c r="B4287" s="19"/>
      <c r="P4287" s="16"/>
    </row>
    <row r="4288">
      <c r="A4288" s="19"/>
      <c r="B4288" s="19"/>
      <c r="P4288" s="16"/>
    </row>
    <row r="4289">
      <c r="A4289" s="19"/>
      <c r="B4289" s="19"/>
      <c r="P4289" s="16"/>
    </row>
    <row r="4290">
      <c r="A4290" s="19"/>
      <c r="B4290" s="19"/>
      <c r="P4290" s="16"/>
    </row>
    <row r="4291">
      <c r="A4291" s="19"/>
      <c r="B4291" s="19"/>
      <c r="P4291" s="16"/>
    </row>
    <row r="4292">
      <c r="A4292" s="19"/>
      <c r="B4292" s="19"/>
      <c r="P4292" s="16"/>
    </row>
    <row r="4293">
      <c r="A4293" s="19"/>
      <c r="B4293" s="19"/>
      <c r="P4293" s="16"/>
    </row>
    <row r="4294">
      <c r="A4294" s="19"/>
      <c r="B4294" s="19"/>
      <c r="P4294" s="16"/>
    </row>
    <row r="4295">
      <c r="A4295" s="19"/>
      <c r="B4295" s="19"/>
      <c r="P4295" s="16"/>
    </row>
    <row r="4296">
      <c r="A4296" s="19"/>
      <c r="B4296" s="19"/>
      <c r="P4296" s="16"/>
    </row>
    <row r="4297">
      <c r="A4297" s="19"/>
      <c r="B4297" s="19"/>
      <c r="P4297" s="16"/>
    </row>
    <row r="4298">
      <c r="A4298" s="19"/>
      <c r="B4298" s="19"/>
      <c r="P4298" s="16"/>
    </row>
    <row r="4299">
      <c r="A4299" s="19"/>
      <c r="B4299" s="19"/>
      <c r="P4299" s="16"/>
    </row>
    <row r="4300">
      <c r="A4300" s="19"/>
      <c r="B4300" s="19"/>
      <c r="P4300" s="16"/>
    </row>
    <row r="4301">
      <c r="A4301" s="19"/>
      <c r="B4301" s="19"/>
      <c r="P4301" s="16"/>
    </row>
    <row r="4302">
      <c r="A4302" s="19"/>
      <c r="B4302" s="19"/>
      <c r="P4302" s="16"/>
    </row>
    <row r="4303">
      <c r="A4303" s="19"/>
      <c r="B4303" s="19"/>
      <c r="P4303" s="16"/>
    </row>
    <row r="4304">
      <c r="A4304" s="19"/>
      <c r="B4304" s="19"/>
      <c r="P4304" s="16"/>
    </row>
    <row r="4305">
      <c r="A4305" s="19"/>
      <c r="B4305" s="19"/>
      <c r="P4305" s="16"/>
    </row>
    <row r="4306">
      <c r="A4306" s="19"/>
      <c r="B4306" s="19"/>
      <c r="P4306" s="16"/>
    </row>
    <row r="4307">
      <c r="A4307" s="19"/>
      <c r="B4307" s="19"/>
      <c r="P4307" s="16"/>
    </row>
    <row r="4308">
      <c r="A4308" s="19"/>
      <c r="B4308" s="19"/>
      <c r="P4308" s="16"/>
    </row>
    <row r="4309">
      <c r="A4309" s="19"/>
      <c r="B4309" s="19"/>
      <c r="P4309" s="16"/>
    </row>
    <row r="4310">
      <c r="A4310" s="19"/>
      <c r="B4310" s="19"/>
      <c r="P4310" s="16"/>
    </row>
    <row r="4311">
      <c r="A4311" s="19"/>
      <c r="B4311" s="19"/>
      <c r="P4311" s="16"/>
    </row>
    <row r="4312">
      <c r="A4312" s="19"/>
      <c r="B4312" s="19"/>
      <c r="P4312" s="16"/>
    </row>
    <row r="4313">
      <c r="A4313" s="19"/>
      <c r="B4313" s="19"/>
      <c r="P4313" s="16"/>
    </row>
    <row r="4314">
      <c r="A4314" s="19"/>
      <c r="B4314" s="19"/>
      <c r="P4314" s="16"/>
    </row>
    <row r="4315">
      <c r="A4315" s="19"/>
      <c r="B4315" s="19"/>
      <c r="P4315" s="16"/>
    </row>
    <row r="4316">
      <c r="A4316" s="19"/>
      <c r="B4316" s="19"/>
      <c r="P4316" s="16"/>
    </row>
    <row r="4317">
      <c r="A4317" s="19"/>
      <c r="B4317" s="19"/>
      <c r="P4317" s="16"/>
    </row>
    <row r="4318">
      <c r="A4318" s="19"/>
      <c r="B4318" s="19"/>
      <c r="P4318" s="16"/>
    </row>
    <row r="4319">
      <c r="A4319" s="19"/>
      <c r="B4319" s="19"/>
      <c r="P4319" s="16"/>
    </row>
    <row r="4320">
      <c r="A4320" s="19"/>
      <c r="B4320" s="19"/>
      <c r="P4320" s="16"/>
    </row>
    <row r="4321">
      <c r="A4321" s="19"/>
      <c r="B4321" s="19"/>
      <c r="P4321" s="16"/>
    </row>
    <row r="4322">
      <c r="A4322" s="19"/>
      <c r="B4322" s="19"/>
      <c r="P4322" s="16"/>
    </row>
    <row r="4323">
      <c r="A4323" s="19"/>
      <c r="B4323" s="19"/>
      <c r="P4323" s="16"/>
    </row>
    <row r="4324">
      <c r="A4324" s="19"/>
      <c r="B4324" s="19"/>
      <c r="P4324" s="16"/>
    </row>
    <row r="4325">
      <c r="A4325" s="19"/>
      <c r="B4325" s="19"/>
      <c r="P4325" s="16"/>
    </row>
    <row r="4326">
      <c r="A4326" s="19"/>
      <c r="B4326" s="19"/>
      <c r="P4326" s="16"/>
    </row>
    <row r="4327">
      <c r="A4327" s="19"/>
      <c r="B4327" s="19"/>
      <c r="P4327" s="16"/>
    </row>
    <row r="4328">
      <c r="A4328" s="19"/>
      <c r="B4328" s="19"/>
      <c r="P4328" s="16"/>
    </row>
    <row r="4329">
      <c r="A4329" s="19"/>
      <c r="B4329" s="19"/>
      <c r="P4329" s="16"/>
    </row>
    <row r="4330">
      <c r="A4330" s="19"/>
      <c r="B4330" s="19"/>
      <c r="P4330" s="16"/>
    </row>
    <row r="4331">
      <c r="A4331" s="19"/>
      <c r="B4331" s="19"/>
      <c r="P4331" s="16"/>
    </row>
    <row r="4332">
      <c r="A4332" s="19"/>
      <c r="B4332" s="19"/>
      <c r="P4332" s="16"/>
    </row>
    <row r="4333">
      <c r="A4333" s="19"/>
      <c r="B4333" s="19"/>
      <c r="P4333" s="16"/>
    </row>
    <row r="4334">
      <c r="A4334" s="19"/>
      <c r="B4334" s="19"/>
      <c r="P4334" s="16"/>
    </row>
    <row r="4335">
      <c r="A4335" s="19"/>
      <c r="B4335" s="19"/>
      <c r="P4335" s="16"/>
    </row>
    <row r="4336">
      <c r="A4336" s="19"/>
      <c r="B4336" s="19"/>
      <c r="P4336" s="16"/>
    </row>
    <row r="4337">
      <c r="A4337" s="19"/>
      <c r="B4337" s="19"/>
      <c r="P4337" s="16"/>
    </row>
    <row r="4338">
      <c r="A4338" s="19"/>
      <c r="B4338" s="19"/>
      <c r="P4338" s="16"/>
    </row>
    <row r="4339">
      <c r="A4339" s="19"/>
      <c r="B4339" s="19"/>
      <c r="P4339" s="16"/>
    </row>
    <row r="4340">
      <c r="A4340" s="19"/>
      <c r="B4340" s="19"/>
      <c r="P4340" s="16"/>
    </row>
    <row r="4341">
      <c r="A4341" s="19"/>
      <c r="B4341" s="19"/>
      <c r="P4341" s="16"/>
    </row>
    <row r="4342">
      <c r="A4342" s="19"/>
      <c r="B4342" s="19"/>
      <c r="P4342" s="16"/>
    </row>
    <row r="4343">
      <c r="A4343" s="19"/>
      <c r="B4343" s="19"/>
      <c r="P4343" s="16"/>
    </row>
    <row r="4344">
      <c r="A4344" s="19"/>
      <c r="B4344" s="19"/>
      <c r="P4344" s="16"/>
    </row>
    <row r="4345">
      <c r="A4345" s="19"/>
      <c r="B4345" s="19"/>
      <c r="P4345" s="16"/>
    </row>
    <row r="4346">
      <c r="A4346" s="19"/>
      <c r="B4346" s="19"/>
      <c r="P4346" s="16"/>
    </row>
    <row r="4347">
      <c r="A4347" s="19"/>
      <c r="B4347" s="19"/>
      <c r="P4347" s="16"/>
    </row>
    <row r="4348">
      <c r="A4348" s="19"/>
      <c r="B4348" s="19"/>
      <c r="P4348" s="16"/>
    </row>
    <row r="4349">
      <c r="A4349" s="19"/>
      <c r="B4349" s="19"/>
      <c r="P4349" s="16"/>
    </row>
    <row r="4350">
      <c r="A4350" s="19"/>
      <c r="B4350" s="19"/>
      <c r="P4350" s="16"/>
    </row>
    <row r="4351">
      <c r="A4351" s="19"/>
      <c r="B4351" s="19"/>
      <c r="P4351" s="16"/>
    </row>
    <row r="4352">
      <c r="A4352" s="19"/>
      <c r="B4352" s="19"/>
      <c r="P4352" s="16"/>
    </row>
    <row r="4353">
      <c r="A4353" s="19"/>
      <c r="B4353" s="19"/>
      <c r="P4353" s="16"/>
    </row>
    <row r="4354">
      <c r="A4354" s="19"/>
      <c r="B4354" s="19"/>
      <c r="P4354" s="16"/>
    </row>
    <row r="4355">
      <c r="A4355" s="19"/>
      <c r="B4355" s="19"/>
      <c r="P4355" s="16"/>
    </row>
    <row r="4356">
      <c r="A4356" s="19"/>
      <c r="B4356" s="19"/>
      <c r="P4356" s="16"/>
    </row>
    <row r="4357">
      <c r="A4357" s="19"/>
      <c r="B4357" s="19"/>
      <c r="P4357" s="16"/>
    </row>
    <row r="4358">
      <c r="A4358" s="19"/>
      <c r="B4358" s="19"/>
      <c r="P4358" s="16"/>
    </row>
    <row r="4359">
      <c r="A4359" s="19"/>
      <c r="B4359" s="19"/>
      <c r="P4359" s="16"/>
    </row>
    <row r="4360">
      <c r="A4360" s="19"/>
      <c r="B4360" s="19"/>
      <c r="P4360" s="16"/>
    </row>
    <row r="4361">
      <c r="A4361" s="19"/>
      <c r="B4361" s="19"/>
      <c r="P4361" s="16"/>
    </row>
    <row r="4362">
      <c r="A4362" s="19"/>
      <c r="B4362" s="19"/>
      <c r="P4362" s="16"/>
    </row>
    <row r="4363">
      <c r="A4363" s="19"/>
      <c r="B4363" s="19"/>
      <c r="P4363" s="16"/>
    </row>
    <row r="4364">
      <c r="A4364" s="19"/>
      <c r="B4364" s="19"/>
      <c r="P4364" s="16"/>
    </row>
    <row r="4365">
      <c r="A4365" s="19"/>
      <c r="B4365" s="19"/>
      <c r="P4365" s="16"/>
    </row>
    <row r="4366">
      <c r="A4366" s="19"/>
      <c r="B4366" s="19"/>
      <c r="P4366" s="16"/>
    </row>
    <row r="4367">
      <c r="A4367" s="19"/>
      <c r="B4367" s="19"/>
      <c r="P4367" s="16"/>
    </row>
    <row r="4368">
      <c r="A4368" s="19"/>
      <c r="B4368" s="19"/>
      <c r="P4368" s="16"/>
    </row>
    <row r="4369">
      <c r="A4369" s="19"/>
      <c r="B4369" s="19"/>
      <c r="P4369" s="16"/>
    </row>
    <row r="4370">
      <c r="A4370" s="19"/>
      <c r="B4370" s="19"/>
      <c r="P4370" s="16"/>
    </row>
    <row r="4371">
      <c r="A4371" s="19"/>
      <c r="B4371" s="19"/>
      <c r="P4371" s="16"/>
    </row>
    <row r="4372">
      <c r="A4372" s="19"/>
      <c r="B4372" s="19"/>
      <c r="P4372" s="16"/>
    </row>
    <row r="4373">
      <c r="A4373" s="19"/>
      <c r="B4373" s="19"/>
      <c r="P4373" s="16"/>
    </row>
    <row r="4374">
      <c r="A4374" s="19"/>
      <c r="B4374" s="19"/>
      <c r="P4374" s="16"/>
    </row>
    <row r="4375">
      <c r="A4375" s="19"/>
      <c r="B4375" s="19"/>
      <c r="P4375" s="16"/>
    </row>
    <row r="4376">
      <c r="A4376" s="19"/>
      <c r="B4376" s="19"/>
      <c r="P4376" s="16"/>
    </row>
    <row r="4377">
      <c r="A4377" s="19"/>
      <c r="B4377" s="19"/>
      <c r="P4377" s="16"/>
    </row>
    <row r="4378">
      <c r="A4378" s="19"/>
      <c r="B4378" s="19"/>
      <c r="P4378" s="16"/>
    </row>
    <row r="4379">
      <c r="A4379" s="19"/>
      <c r="B4379" s="19"/>
      <c r="P4379" s="16"/>
    </row>
    <row r="4380">
      <c r="A4380" s="19"/>
      <c r="B4380" s="19"/>
      <c r="P4380" s="16"/>
    </row>
    <row r="4381">
      <c r="A4381" s="19"/>
      <c r="B4381" s="19"/>
      <c r="P4381" s="16"/>
    </row>
    <row r="4382">
      <c r="A4382" s="19"/>
      <c r="B4382" s="19"/>
      <c r="P4382" s="16"/>
    </row>
    <row r="4383">
      <c r="A4383" s="19"/>
      <c r="B4383" s="19"/>
      <c r="P4383" s="16"/>
    </row>
    <row r="4384">
      <c r="A4384" s="19"/>
      <c r="B4384" s="19"/>
      <c r="P4384" s="16"/>
    </row>
    <row r="4385">
      <c r="A4385" s="19"/>
      <c r="B4385" s="19"/>
      <c r="P4385" s="16"/>
    </row>
    <row r="4386">
      <c r="A4386" s="19"/>
      <c r="B4386" s="19"/>
      <c r="P4386" s="16"/>
    </row>
    <row r="4387">
      <c r="A4387" s="19"/>
      <c r="B4387" s="19"/>
      <c r="P4387" s="16"/>
    </row>
    <row r="4388">
      <c r="A4388" s="19"/>
      <c r="B4388" s="19"/>
      <c r="P4388" s="16"/>
    </row>
    <row r="4389">
      <c r="A4389" s="19"/>
      <c r="B4389" s="19"/>
      <c r="P4389" s="16"/>
    </row>
    <row r="4390">
      <c r="A4390" s="19"/>
      <c r="B4390" s="19"/>
      <c r="P4390" s="16"/>
    </row>
    <row r="4391">
      <c r="A4391" s="19"/>
      <c r="B4391" s="19"/>
      <c r="P4391" s="16"/>
    </row>
    <row r="4392">
      <c r="A4392" s="19"/>
      <c r="B4392" s="19"/>
      <c r="P4392" s="16"/>
    </row>
    <row r="4393">
      <c r="A4393" s="19"/>
      <c r="B4393" s="19"/>
      <c r="P4393" s="16"/>
    </row>
    <row r="4394">
      <c r="A4394" s="19"/>
      <c r="B4394" s="19"/>
      <c r="P4394" s="16"/>
    </row>
    <row r="4395">
      <c r="A4395" s="19"/>
      <c r="B4395" s="19"/>
      <c r="P4395" s="16"/>
    </row>
    <row r="4396">
      <c r="A4396" s="19"/>
      <c r="B4396" s="19"/>
      <c r="P4396" s="16"/>
    </row>
    <row r="4397">
      <c r="A4397" s="19"/>
      <c r="B4397" s="19"/>
      <c r="P4397" s="16"/>
    </row>
    <row r="4398">
      <c r="A4398" s="19"/>
      <c r="B4398" s="19"/>
      <c r="P4398" s="16"/>
    </row>
    <row r="4399">
      <c r="A4399" s="19"/>
      <c r="B4399" s="19"/>
      <c r="P4399" s="16"/>
    </row>
    <row r="4400">
      <c r="A4400" s="19"/>
      <c r="B4400" s="19"/>
      <c r="P4400" s="16"/>
    </row>
    <row r="4401">
      <c r="A4401" s="19"/>
      <c r="B4401" s="19"/>
      <c r="P4401" s="16"/>
    </row>
    <row r="4402">
      <c r="A4402" s="19"/>
      <c r="B4402" s="19"/>
      <c r="P4402" s="16"/>
    </row>
    <row r="4403">
      <c r="A4403" s="19"/>
      <c r="B4403" s="19"/>
      <c r="P4403" s="16"/>
    </row>
    <row r="4404">
      <c r="A4404" s="19"/>
      <c r="B4404" s="19"/>
      <c r="P4404" s="16"/>
    </row>
    <row r="4405">
      <c r="A4405" s="19"/>
      <c r="B4405" s="19"/>
      <c r="P4405" s="16"/>
    </row>
    <row r="4406">
      <c r="A4406" s="19"/>
      <c r="B4406" s="19"/>
      <c r="P4406" s="16"/>
    </row>
    <row r="4407">
      <c r="A4407" s="19"/>
      <c r="B4407" s="19"/>
      <c r="P4407" s="16"/>
    </row>
    <row r="4408">
      <c r="A4408" s="19"/>
      <c r="B4408" s="19"/>
      <c r="P4408" s="16"/>
    </row>
    <row r="4409">
      <c r="A4409" s="19"/>
      <c r="B4409" s="19"/>
      <c r="P4409" s="16"/>
    </row>
    <row r="4410">
      <c r="A4410" s="19"/>
      <c r="B4410" s="19"/>
      <c r="P4410" s="16"/>
    </row>
    <row r="4411">
      <c r="A4411" s="19"/>
      <c r="B4411" s="19"/>
      <c r="P4411" s="16"/>
    </row>
    <row r="4412">
      <c r="A4412" s="19"/>
      <c r="B4412" s="19"/>
      <c r="P4412" s="16"/>
    </row>
    <row r="4413">
      <c r="A4413" s="19"/>
      <c r="B4413" s="19"/>
      <c r="P4413" s="16"/>
    </row>
    <row r="4414">
      <c r="A4414" s="19"/>
      <c r="B4414" s="19"/>
      <c r="P4414" s="16"/>
    </row>
    <row r="4415">
      <c r="A4415" s="19"/>
      <c r="B4415" s="19"/>
      <c r="P4415" s="16"/>
    </row>
    <row r="4416">
      <c r="A4416" s="19"/>
      <c r="B4416" s="19"/>
      <c r="P4416" s="16"/>
    </row>
    <row r="4417">
      <c r="A4417" s="19"/>
      <c r="B4417" s="19"/>
      <c r="P4417" s="16"/>
    </row>
    <row r="4418">
      <c r="A4418" s="19"/>
      <c r="B4418" s="19"/>
      <c r="P4418" s="16"/>
    </row>
    <row r="4419">
      <c r="A4419" s="19"/>
      <c r="B4419" s="19"/>
      <c r="P4419" s="16"/>
    </row>
    <row r="4420">
      <c r="A4420" s="19"/>
      <c r="B4420" s="19"/>
      <c r="P4420" s="16"/>
    </row>
    <row r="4421">
      <c r="A4421" s="19"/>
      <c r="B4421" s="19"/>
      <c r="P4421" s="16"/>
    </row>
    <row r="4422">
      <c r="A4422" s="19"/>
      <c r="B4422" s="19"/>
      <c r="P4422" s="16"/>
    </row>
    <row r="4423">
      <c r="A4423" s="19"/>
      <c r="B4423" s="19"/>
      <c r="P4423" s="16"/>
    </row>
    <row r="4424">
      <c r="A4424" s="19"/>
      <c r="B4424" s="19"/>
      <c r="P4424" s="16"/>
    </row>
    <row r="4425">
      <c r="A4425" s="19"/>
      <c r="B4425" s="19"/>
      <c r="P4425" s="16"/>
    </row>
    <row r="4426">
      <c r="A4426" s="19"/>
      <c r="B4426" s="19"/>
      <c r="P4426" s="16"/>
    </row>
    <row r="4427">
      <c r="A4427" s="19"/>
      <c r="B4427" s="19"/>
      <c r="P4427" s="16"/>
    </row>
    <row r="4428">
      <c r="A4428" s="19"/>
      <c r="B4428" s="19"/>
      <c r="P4428" s="16"/>
    </row>
    <row r="4429">
      <c r="A4429" s="19"/>
      <c r="B4429" s="19"/>
      <c r="P4429" s="16"/>
    </row>
    <row r="4430">
      <c r="A4430" s="19"/>
      <c r="B4430" s="19"/>
      <c r="P4430" s="16"/>
    </row>
    <row r="4431">
      <c r="A4431" s="19"/>
      <c r="B4431" s="19"/>
      <c r="P4431" s="16"/>
    </row>
    <row r="4432">
      <c r="A4432" s="19"/>
      <c r="B4432" s="19"/>
      <c r="P4432" s="16"/>
    </row>
    <row r="4433">
      <c r="A4433" s="19"/>
      <c r="B4433" s="19"/>
      <c r="P4433" s="16"/>
    </row>
    <row r="4434">
      <c r="A4434" s="19"/>
      <c r="B4434" s="19"/>
      <c r="P4434" s="16"/>
    </row>
    <row r="4435">
      <c r="A4435" s="19"/>
      <c r="B4435" s="19"/>
      <c r="P4435" s="16"/>
    </row>
    <row r="4436">
      <c r="A4436" s="19"/>
      <c r="B4436" s="19"/>
      <c r="P4436" s="16"/>
    </row>
    <row r="4437">
      <c r="A4437" s="19"/>
      <c r="B4437" s="19"/>
      <c r="P4437" s="16"/>
    </row>
    <row r="4438">
      <c r="A4438" s="19"/>
      <c r="B4438" s="19"/>
      <c r="P4438" s="16"/>
    </row>
    <row r="4439">
      <c r="A4439" s="19"/>
      <c r="B4439" s="19"/>
      <c r="P4439" s="16"/>
    </row>
    <row r="4440">
      <c r="A4440" s="19"/>
      <c r="B4440" s="19"/>
      <c r="P4440" s="16"/>
    </row>
    <row r="4441">
      <c r="A4441" s="19"/>
      <c r="B4441" s="19"/>
      <c r="P4441" s="16"/>
    </row>
    <row r="4442">
      <c r="A4442" s="19"/>
      <c r="B4442" s="19"/>
      <c r="P4442" s="16"/>
    </row>
    <row r="4443">
      <c r="A4443" s="19"/>
      <c r="B4443" s="19"/>
      <c r="P4443" s="16"/>
    </row>
    <row r="4444">
      <c r="A4444" s="19"/>
      <c r="B4444" s="19"/>
      <c r="P4444" s="16"/>
    </row>
    <row r="4445">
      <c r="A4445" s="19"/>
      <c r="B4445" s="19"/>
      <c r="P4445" s="16"/>
    </row>
    <row r="4446">
      <c r="A4446" s="19"/>
      <c r="B4446" s="19"/>
      <c r="P4446" s="16"/>
    </row>
    <row r="4447">
      <c r="A4447" s="19"/>
      <c r="B4447" s="19"/>
      <c r="P4447" s="16"/>
    </row>
    <row r="4448">
      <c r="A4448" s="19"/>
      <c r="B4448" s="19"/>
      <c r="P4448" s="16"/>
    </row>
    <row r="4449">
      <c r="A4449" s="19"/>
      <c r="B4449" s="19"/>
      <c r="P4449" s="16"/>
    </row>
    <row r="4450">
      <c r="A4450" s="19"/>
      <c r="B4450" s="19"/>
      <c r="P4450" s="16"/>
    </row>
    <row r="4451">
      <c r="A4451" s="19"/>
      <c r="B4451" s="19"/>
      <c r="P4451" s="16"/>
    </row>
    <row r="4452">
      <c r="A4452" s="19"/>
      <c r="B4452" s="19"/>
      <c r="P4452" s="16"/>
    </row>
    <row r="4453">
      <c r="A4453" s="19"/>
      <c r="B4453" s="19"/>
      <c r="P4453" s="16"/>
    </row>
    <row r="4454">
      <c r="A4454" s="19"/>
      <c r="B4454" s="19"/>
      <c r="P4454" s="16"/>
    </row>
    <row r="4455">
      <c r="A4455" s="19"/>
      <c r="B4455" s="19"/>
      <c r="P4455" s="16"/>
    </row>
    <row r="4456">
      <c r="A4456" s="19"/>
      <c r="B4456" s="19"/>
      <c r="P4456" s="16"/>
    </row>
    <row r="4457">
      <c r="A4457" s="19"/>
      <c r="B4457" s="19"/>
      <c r="P4457" s="16"/>
    </row>
    <row r="4458">
      <c r="A4458" s="19"/>
      <c r="B4458" s="19"/>
      <c r="P4458" s="16"/>
    </row>
    <row r="4459">
      <c r="A4459" s="19"/>
      <c r="B4459" s="19"/>
      <c r="P4459" s="16"/>
    </row>
    <row r="4460">
      <c r="A4460" s="19"/>
      <c r="B4460" s="19"/>
      <c r="P4460" s="16"/>
    </row>
    <row r="4461">
      <c r="A4461" s="19"/>
      <c r="B4461" s="19"/>
      <c r="P4461" s="16"/>
    </row>
    <row r="4462">
      <c r="A4462" s="19"/>
      <c r="B4462" s="19"/>
      <c r="P4462" s="16"/>
    </row>
    <row r="4463">
      <c r="A4463" s="19"/>
      <c r="B4463" s="19"/>
      <c r="P4463" s="16"/>
    </row>
    <row r="4464">
      <c r="A4464" s="19"/>
      <c r="B4464" s="19"/>
      <c r="P4464" s="16"/>
    </row>
    <row r="4465">
      <c r="A4465" s="19"/>
      <c r="B4465" s="19"/>
      <c r="P4465" s="16"/>
    </row>
    <row r="4466">
      <c r="A4466" s="19"/>
      <c r="B4466" s="19"/>
      <c r="P4466" s="16"/>
    </row>
    <row r="4467">
      <c r="A4467" s="19"/>
      <c r="B4467" s="19"/>
      <c r="P4467" s="16"/>
    </row>
    <row r="4468">
      <c r="A4468" s="19"/>
      <c r="B4468" s="19"/>
      <c r="P4468" s="16"/>
    </row>
    <row r="4469">
      <c r="A4469" s="19"/>
      <c r="B4469" s="19"/>
      <c r="P4469" s="16"/>
    </row>
    <row r="4470">
      <c r="A4470" s="19"/>
      <c r="B4470" s="19"/>
      <c r="P4470" s="16"/>
    </row>
    <row r="4471">
      <c r="A4471" s="19"/>
      <c r="B4471" s="19"/>
      <c r="P4471" s="16"/>
    </row>
    <row r="4472">
      <c r="A4472" s="19"/>
      <c r="B4472" s="19"/>
      <c r="P4472" s="16"/>
    </row>
    <row r="4473">
      <c r="A4473" s="19"/>
      <c r="B4473" s="19"/>
      <c r="P4473" s="16"/>
    </row>
    <row r="4474">
      <c r="A4474" s="19"/>
      <c r="B4474" s="19"/>
      <c r="P4474" s="16"/>
    </row>
    <row r="4475">
      <c r="A4475" s="19"/>
      <c r="B4475" s="19"/>
      <c r="P4475" s="16"/>
    </row>
    <row r="4476">
      <c r="A4476" s="19"/>
      <c r="B4476" s="19"/>
      <c r="P4476" s="16"/>
    </row>
    <row r="4477">
      <c r="A4477" s="19"/>
      <c r="B4477" s="19"/>
      <c r="P4477" s="16"/>
    </row>
    <row r="4478">
      <c r="A4478" s="19"/>
      <c r="B4478" s="19"/>
      <c r="P4478" s="16"/>
    </row>
    <row r="4479">
      <c r="A4479" s="19"/>
      <c r="B4479" s="19"/>
      <c r="P4479" s="16"/>
    </row>
    <row r="4480">
      <c r="A4480" s="19"/>
      <c r="B4480" s="19"/>
      <c r="P4480" s="16"/>
    </row>
    <row r="4481">
      <c r="A4481" s="19"/>
      <c r="B4481" s="19"/>
      <c r="P4481" s="16"/>
    </row>
    <row r="4482">
      <c r="A4482" s="19"/>
      <c r="B4482" s="19"/>
      <c r="P4482" s="16"/>
    </row>
    <row r="4483">
      <c r="A4483" s="19"/>
      <c r="B4483" s="19"/>
      <c r="P4483" s="16"/>
    </row>
    <row r="4484">
      <c r="A4484" s="19"/>
      <c r="B4484" s="19"/>
      <c r="P4484" s="16"/>
    </row>
    <row r="4485">
      <c r="A4485" s="19"/>
      <c r="B4485" s="19"/>
      <c r="P4485" s="16"/>
    </row>
    <row r="4486">
      <c r="A4486" s="19"/>
      <c r="B4486" s="19"/>
      <c r="P4486" s="16"/>
    </row>
    <row r="4487">
      <c r="A4487" s="19"/>
      <c r="B4487" s="19"/>
      <c r="P4487" s="16"/>
    </row>
    <row r="4488">
      <c r="A4488" s="19"/>
      <c r="B4488" s="19"/>
      <c r="P4488" s="16"/>
    </row>
    <row r="4489">
      <c r="A4489" s="19"/>
      <c r="B4489" s="19"/>
      <c r="P4489" s="16"/>
    </row>
    <row r="4490">
      <c r="A4490" s="19"/>
      <c r="B4490" s="19"/>
      <c r="P4490" s="16"/>
    </row>
    <row r="4491">
      <c r="A4491" s="19"/>
      <c r="B4491" s="19"/>
      <c r="P4491" s="16"/>
    </row>
    <row r="4492">
      <c r="A4492" s="19"/>
      <c r="B4492" s="19"/>
      <c r="P4492" s="16"/>
    </row>
    <row r="4493">
      <c r="A4493" s="19"/>
      <c r="B4493" s="19"/>
      <c r="P4493" s="16"/>
    </row>
    <row r="4494">
      <c r="A4494" s="19"/>
      <c r="B4494" s="19"/>
      <c r="P4494" s="16"/>
    </row>
    <row r="4495">
      <c r="A4495" s="19"/>
      <c r="B4495" s="19"/>
      <c r="P4495" s="16"/>
    </row>
    <row r="4496">
      <c r="A4496" s="19"/>
      <c r="B4496" s="19"/>
      <c r="P4496" s="16"/>
    </row>
    <row r="4497">
      <c r="A4497" s="19"/>
      <c r="B4497" s="19"/>
      <c r="P4497" s="16"/>
    </row>
    <row r="4498">
      <c r="A4498" s="19"/>
      <c r="B4498" s="19"/>
      <c r="P4498" s="16"/>
    </row>
    <row r="4499">
      <c r="A4499" s="19"/>
      <c r="B4499" s="19"/>
      <c r="P4499" s="16"/>
    </row>
    <row r="4500">
      <c r="A4500" s="19"/>
      <c r="B4500" s="19"/>
      <c r="P4500" s="16"/>
    </row>
    <row r="4501">
      <c r="A4501" s="19"/>
      <c r="B4501" s="19"/>
      <c r="P4501" s="16"/>
    </row>
    <row r="4502">
      <c r="A4502" s="19"/>
      <c r="B4502" s="19"/>
      <c r="P4502" s="16"/>
    </row>
    <row r="4503">
      <c r="A4503" s="19"/>
      <c r="B4503" s="19"/>
      <c r="P4503" s="16"/>
    </row>
    <row r="4504">
      <c r="A4504" s="19"/>
      <c r="B4504" s="19"/>
      <c r="P4504" s="16"/>
    </row>
    <row r="4505">
      <c r="A4505" s="19"/>
      <c r="B4505" s="19"/>
      <c r="P4505" s="16"/>
    </row>
    <row r="4506">
      <c r="A4506" s="19"/>
      <c r="B4506" s="19"/>
      <c r="P4506" s="16"/>
    </row>
    <row r="4507">
      <c r="A4507" s="19"/>
      <c r="B4507" s="19"/>
      <c r="P4507" s="16"/>
    </row>
    <row r="4508">
      <c r="A4508" s="19"/>
      <c r="B4508" s="19"/>
      <c r="P4508" s="16"/>
    </row>
    <row r="4509">
      <c r="A4509" s="19"/>
      <c r="B4509" s="19"/>
      <c r="P4509" s="16"/>
    </row>
    <row r="4510">
      <c r="A4510" s="19"/>
      <c r="B4510" s="19"/>
      <c r="P4510" s="16"/>
    </row>
    <row r="4511">
      <c r="A4511" s="19"/>
      <c r="B4511" s="19"/>
      <c r="P4511" s="16"/>
    </row>
    <row r="4512">
      <c r="A4512" s="19"/>
      <c r="B4512" s="19"/>
      <c r="P4512" s="16"/>
    </row>
    <row r="4513">
      <c r="A4513" s="19"/>
      <c r="B4513" s="19"/>
      <c r="P4513" s="16"/>
    </row>
    <row r="4514">
      <c r="A4514" s="19"/>
      <c r="B4514" s="19"/>
      <c r="P4514" s="16"/>
    </row>
    <row r="4515">
      <c r="A4515" s="19"/>
      <c r="B4515" s="19"/>
      <c r="P4515" s="16"/>
    </row>
    <row r="4516">
      <c r="A4516" s="19"/>
      <c r="B4516" s="19"/>
      <c r="P4516" s="16"/>
    </row>
    <row r="4517">
      <c r="A4517" s="19"/>
      <c r="B4517" s="19"/>
      <c r="P4517" s="16"/>
    </row>
    <row r="4518">
      <c r="A4518" s="19"/>
      <c r="B4518" s="19"/>
      <c r="P4518" s="16"/>
    </row>
    <row r="4519">
      <c r="A4519" s="19"/>
      <c r="B4519" s="19"/>
      <c r="P4519" s="16"/>
    </row>
    <row r="4520">
      <c r="A4520" s="19"/>
      <c r="B4520" s="19"/>
      <c r="P4520" s="16"/>
    </row>
    <row r="4521">
      <c r="A4521" s="19"/>
      <c r="B4521" s="19"/>
      <c r="P4521" s="16"/>
    </row>
    <row r="4522">
      <c r="A4522" s="19"/>
      <c r="B4522" s="19"/>
      <c r="P4522" s="16"/>
    </row>
    <row r="4523">
      <c r="A4523" s="19"/>
      <c r="B4523" s="19"/>
      <c r="P4523" s="16"/>
    </row>
    <row r="4524">
      <c r="A4524" s="19"/>
      <c r="B4524" s="19"/>
      <c r="P4524" s="16"/>
    </row>
    <row r="4525">
      <c r="A4525" s="19"/>
      <c r="B4525" s="19"/>
      <c r="P4525" s="16"/>
    </row>
    <row r="4526">
      <c r="A4526" s="19"/>
      <c r="B4526" s="19"/>
      <c r="P4526" s="16"/>
    </row>
    <row r="4527">
      <c r="A4527" s="19"/>
      <c r="B4527" s="19"/>
      <c r="P4527" s="16"/>
    </row>
    <row r="4528">
      <c r="A4528" s="19"/>
      <c r="B4528" s="19"/>
      <c r="P4528" s="16"/>
    </row>
    <row r="4529">
      <c r="A4529" s="19"/>
      <c r="B4529" s="19"/>
      <c r="P4529" s="16"/>
    </row>
    <row r="4530">
      <c r="A4530" s="19"/>
      <c r="B4530" s="19"/>
      <c r="P4530" s="16"/>
    </row>
    <row r="4531">
      <c r="A4531" s="19"/>
      <c r="B4531" s="19"/>
      <c r="P4531" s="16"/>
    </row>
    <row r="4532">
      <c r="A4532" s="19"/>
      <c r="B4532" s="19"/>
      <c r="P4532" s="16"/>
    </row>
    <row r="4533">
      <c r="A4533" s="19"/>
      <c r="B4533" s="19"/>
      <c r="P4533" s="16"/>
    </row>
    <row r="4534">
      <c r="A4534" s="19"/>
      <c r="B4534" s="19"/>
      <c r="P4534" s="16"/>
    </row>
    <row r="4535">
      <c r="A4535" s="19"/>
      <c r="B4535" s="19"/>
      <c r="P4535" s="16"/>
    </row>
    <row r="4536">
      <c r="A4536" s="19"/>
      <c r="B4536" s="19"/>
      <c r="P4536" s="16"/>
    </row>
    <row r="4537">
      <c r="A4537" s="19"/>
      <c r="B4537" s="19"/>
      <c r="P4537" s="16"/>
    </row>
    <row r="4538">
      <c r="A4538" s="19"/>
      <c r="B4538" s="19"/>
      <c r="P4538" s="16"/>
    </row>
    <row r="4539">
      <c r="A4539" s="19"/>
      <c r="B4539" s="19"/>
      <c r="P4539" s="16"/>
    </row>
    <row r="4540">
      <c r="A4540" s="19"/>
      <c r="B4540" s="19"/>
      <c r="P4540" s="16"/>
    </row>
    <row r="4541">
      <c r="A4541" s="19"/>
      <c r="B4541" s="19"/>
      <c r="P4541" s="16"/>
    </row>
    <row r="4542">
      <c r="A4542" s="19"/>
      <c r="B4542" s="19"/>
      <c r="P4542" s="16"/>
    </row>
    <row r="4543">
      <c r="A4543" s="19"/>
      <c r="B4543" s="19"/>
      <c r="P4543" s="16"/>
    </row>
    <row r="4544">
      <c r="A4544" s="19"/>
      <c r="B4544" s="19"/>
      <c r="P4544" s="16"/>
    </row>
    <row r="4545">
      <c r="A4545" s="19"/>
      <c r="B4545" s="19"/>
      <c r="P4545" s="16"/>
    </row>
    <row r="4546">
      <c r="A4546" s="19"/>
      <c r="B4546" s="19"/>
      <c r="P4546" s="16"/>
    </row>
    <row r="4547">
      <c r="A4547" s="19"/>
      <c r="B4547" s="19"/>
      <c r="P4547" s="16"/>
    </row>
    <row r="4548">
      <c r="A4548" s="19"/>
      <c r="B4548" s="19"/>
      <c r="P4548" s="16"/>
    </row>
    <row r="4549">
      <c r="A4549" s="19"/>
      <c r="B4549" s="19"/>
      <c r="P4549" s="16"/>
    </row>
    <row r="4550">
      <c r="A4550" s="19"/>
      <c r="B4550" s="19"/>
      <c r="P4550" s="16"/>
    </row>
    <row r="4551">
      <c r="A4551" s="19"/>
      <c r="B4551" s="19"/>
      <c r="P4551" s="16"/>
    </row>
    <row r="4552">
      <c r="A4552" s="19"/>
      <c r="B4552" s="19"/>
      <c r="P4552" s="16"/>
    </row>
    <row r="4553">
      <c r="A4553" s="19"/>
      <c r="B4553" s="19"/>
      <c r="P4553" s="16"/>
    </row>
    <row r="4554">
      <c r="A4554" s="19"/>
      <c r="B4554" s="19"/>
      <c r="P4554" s="16"/>
    </row>
    <row r="4555">
      <c r="A4555" s="19"/>
      <c r="B4555" s="19"/>
      <c r="P4555" s="16"/>
    </row>
    <row r="4556">
      <c r="A4556" s="19"/>
      <c r="B4556" s="19"/>
      <c r="P4556" s="16"/>
    </row>
    <row r="4557">
      <c r="A4557" s="19"/>
      <c r="B4557" s="19"/>
      <c r="P4557" s="16"/>
    </row>
    <row r="4558">
      <c r="A4558" s="19"/>
      <c r="B4558" s="19"/>
      <c r="P4558" s="16"/>
    </row>
    <row r="4559">
      <c r="A4559" s="19"/>
      <c r="B4559" s="19"/>
      <c r="P4559" s="16"/>
    </row>
    <row r="4560">
      <c r="A4560" s="19"/>
      <c r="B4560" s="19"/>
      <c r="P4560" s="16"/>
    </row>
    <row r="4561">
      <c r="A4561" s="19"/>
      <c r="B4561" s="19"/>
      <c r="P4561" s="16"/>
    </row>
    <row r="4562">
      <c r="A4562" s="19"/>
      <c r="B4562" s="19"/>
      <c r="P4562" s="16"/>
    </row>
    <row r="4563">
      <c r="A4563" s="19"/>
      <c r="B4563" s="19"/>
      <c r="P4563" s="16"/>
    </row>
    <row r="4564">
      <c r="A4564" s="19"/>
      <c r="B4564" s="19"/>
      <c r="P4564" s="16"/>
    </row>
    <row r="4565">
      <c r="A4565" s="19"/>
      <c r="B4565" s="19"/>
      <c r="P4565" s="16"/>
    </row>
    <row r="4566">
      <c r="A4566" s="19"/>
      <c r="B4566" s="19"/>
      <c r="P4566" s="16"/>
    </row>
    <row r="4567">
      <c r="A4567" s="19"/>
      <c r="B4567" s="19"/>
      <c r="P4567" s="16"/>
    </row>
    <row r="4568">
      <c r="A4568" s="19"/>
      <c r="B4568" s="19"/>
      <c r="P4568" s="16"/>
    </row>
    <row r="4569">
      <c r="A4569" s="19"/>
      <c r="B4569" s="19"/>
      <c r="P4569" s="16"/>
    </row>
    <row r="4570">
      <c r="A4570" s="19"/>
      <c r="B4570" s="19"/>
      <c r="P4570" s="16"/>
    </row>
    <row r="4571">
      <c r="A4571" s="19"/>
      <c r="B4571" s="19"/>
      <c r="P4571" s="16"/>
    </row>
    <row r="4572">
      <c r="A4572" s="19"/>
      <c r="B4572" s="19"/>
      <c r="P4572" s="16"/>
    </row>
    <row r="4573">
      <c r="A4573" s="19"/>
      <c r="B4573" s="19"/>
      <c r="P4573" s="16"/>
    </row>
    <row r="4574">
      <c r="A4574" s="19"/>
      <c r="B4574" s="19"/>
      <c r="P4574" s="16"/>
    </row>
    <row r="4575">
      <c r="A4575" s="19"/>
      <c r="B4575" s="19"/>
      <c r="P4575" s="16"/>
    </row>
    <row r="4576">
      <c r="A4576" s="19"/>
      <c r="B4576" s="19"/>
      <c r="P4576" s="16"/>
    </row>
    <row r="4577">
      <c r="A4577" s="19"/>
      <c r="B4577" s="19"/>
      <c r="P4577" s="16"/>
    </row>
    <row r="4578">
      <c r="A4578" s="19"/>
      <c r="B4578" s="19"/>
      <c r="P4578" s="16"/>
    </row>
    <row r="4579">
      <c r="A4579" s="19"/>
      <c r="B4579" s="19"/>
      <c r="P4579" s="16"/>
    </row>
    <row r="4580">
      <c r="A4580" s="19"/>
      <c r="B4580" s="19"/>
      <c r="P4580" s="16"/>
    </row>
    <row r="4581">
      <c r="A4581" s="19"/>
      <c r="B4581" s="19"/>
      <c r="P4581" s="16"/>
    </row>
    <row r="4582">
      <c r="A4582" s="19"/>
      <c r="B4582" s="19"/>
      <c r="P4582" s="16"/>
    </row>
    <row r="4583">
      <c r="A4583" s="19"/>
      <c r="B4583" s="19"/>
      <c r="P4583" s="16"/>
    </row>
    <row r="4584">
      <c r="A4584" s="19"/>
      <c r="B4584" s="19"/>
      <c r="P4584" s="16"/>
    </row>
    <row r="4585">
      <c r="A4585" s="19"/>
      <c r="B4585" s="19"/>
      <c r="P4585" s="16"/>
    </row>
    <row r="4586">
      <c r="A4586" s="19"/>
      <c r="B4586" s="19"/>
      <c r="P4586" s="16"/>
    </row>
    <row r="4587">
      <c r="A4587" s="19"/>
      <c r="B4587" s="19"/>
      <c r="P4587" s="16"/>
    </row>
    <row r="4588">
      <c r="A4588" s="19"/>
      <c r="B4588" s="19"/>
      <c r="P4588" s="16"/>
    </row>
    <row r="4589">
      <c r="A4589" s="19"/>
      <c r="B4589" s="19"/>
      <c r="P4589" s="16"/>
    </row>
    <row r="4590">
      <c r="A4590" s="19"/>
      <c r="B4590" s="19"/>
      <c r="P4590" s="16"/>
    </row>
    <row r="4591">
      <c r="A4591" s="19"/>
      <c r="B4591" s="19"/>
      <c r="P4591" s="16"/>
    </row>
    <row r="4592">
      <c r="A4592" s="19"/>
      <c r="B4592" s="19"/>
      <c r="P4592" s="16"/>
    </row>
    <row r="4593">
      <c r="A4593" s="19"/>
      <c r="B4593" s="19"/>
      <c r="P4593" s="16"/>
    </row>
    <row r="4594">
      <c r="A4594" s="19"/>
      <c r="B4594" s="19"/>
      <c r="P4594" s="16"/>
    </row>
    <row r="4595">
      <c r="A4595" s="19"/>
      <c r="B4595" s="19"/>
      <c r="P4595" s="16"/>
    </row>
    <row r="4596">
      <c r="A4596" s="19"/>
      <c r="B4596" s="19"/>
      <c r="P4596" s="16"/>
    </row>
    <row r="4597">
      <c r="A4597" s="19"/>
      <c r="B4597" s="19"/>
      <c r="P4597" s="16"/>
    </row>
    <row r="4598">
      <c r="A4598" s="19"/>
      <c r="B4598" s="19"/>
      <c r="P4598" s="16"/>
    </row>
    <row r="4599">
      <c r="A4599" s="19"/>
      <c r="B4599" s="19"/>
      <c r="P4599" s="16"/>
    </row>
    <row r="4600">
      <c r="A4600" s="19"/>
      <c r="B4600" s="19"/>
      <c r="P4600" s="16"/>
    </row>
    <row r="4601">
      <c r="A4601" s="19"/>
      <c r="B4601" s="19"/>
      <c r="P4601" s="16"/>
    </row>
    <row r="4602">
      <c r="A4602" s="19"/>
      <c r="B4602" s="19"/>
      <c r="P4602" s="16"/>
    </row>
    <row r="4603">
      <c r="A4603" s="19"/>
      <c r="B4603" s="19"/>
      <c r="P4603" s="16"/>
    </row>
    <row r="4604">
      <c r="A4604" s="19"/>
      <c r="B4604" s="19"/>
      <c r="P4604" s="16"/>
    </row>
    <row r="4605">
      <c r="A4605" s="19"/>
      <c r="B4605" s="19"/>
      <c r="P4605" s="16"/>
    </row>
    <row r="4606">
      <c r="A4606" s="19"/>
      <c r="B4606" s="19"/>
      <c r="P4606" s="16"/>
    </row>
    <row r="4607">
      <c r="A4607" s="19"/>
      <c r="B4607" s="19"/>
      <c r="P4607" s="16"/>
    </row>
    <row r="4608">
      <c r="A4608" s="19"/>
      <c r="B4608" s="19"/>
      <c r="P4608" s="16"/>
    </row>
    <row r="4609">
      <c r="A4609" s="19"/>
      <c r="B4609" s="19"/>
      <c r="P4609" s="16"/>
    </row>
    <row r="4610">
      <c r="A4610" s="19"/>
      <c r="B4610" s="19"/>
      <c r="P4610" s="16"/>
    </row>
    <row r="4611">
      <c r="A4611" s="19"/>
      <c r="B4611" s="19"/>
      <c r="P4611" s="16"/>
    </row>
    <row r="4612">
      <c r="A4612" s="19"/>
      <c r="B4612" s="19"/>
      <c r="P4612" s="16"/>
    </row>
    <row r="4613">
      <c r="A4613" s="19"/>
      <c r="B4613" s="19"/>
      <c r="P4613" s="16"/>
    </row>
    <row r="4614">
      <c r="A4614" s="19"/>
      <c r="B4614" s="19"/>
      <c r="P4614" s="16"/>
    </row>
    <row r="4615">
      <c r="A4615" s="19"/>
      <c r="B4615" s="19"/>
      <c r="P4615" s="16"/>
    </row>
    <row r="4616">
      <c r="A4616" s="19"/>
      <c r="B4616" s="19"/>
      <c r="P4616" s="16"/>
    </row>
    <row r="4617">
      <c r="A4617" s="19"/>
      <c r="B4617" s="19"/>
      <c r="P4617" s="16"/>
    </row>
    <row r="4618">
      <c r="A4618" s="19"/>
      <c r="B4618" s="19"/>
      <c r="P4618" s="16"/>
    </row>
    <row r="4619">
      <c r="A4619" s="19"/>
      <c r="B4619" s="19"/>
      <c r="P4619" s="16"/>
    </row>
    <row r="4620">
      <c r="A4620" s="19"/>
      <c r="B4620" s="19"/>
      <c r="P4620" s="16"/>
    </row>
    <row r="4621">
      <c r="A4621" s="19"/>
      <c r="B4621" s="19"/>
      <c r="P4621" s="16"/>
    </row>
    <row r="4622">
      <c r="A4622" s="19"/>
      <c r="B4622" s="19"/>
      <c r="P4622" s="16"/>
    </row>
    <row r="4623">
      <c r="A4623" s="19"/>
      <c r="B4623" s="19"/>
      <c r="P4623" s="16"/>
    </row>
    <row r="4624">
      <c r="A4624" s="19"/>
      <c r="B4624" s="19"/>
      <c r="P4624" s="16"/>
    </row>
    <row r="4625">
      <c r="A4625" s="19"/>
      <c r="B4625" s="19"/>
      <c r="P4625" s="16"/>
    </row>
    <row r="4626">
      <c r="A4626" s="19"/>
      <c r="B4626" s="19"/>
      <c r="P4626" s="16"/>
    </row>
    <row r="4627">
      <c r="A4627" s="19"/>
      <c r="B4627" s="19"/>
      <c r="P4627" s="16"/>
    </row>
    <row r="4628">
      <c r="A4628" s="19"/>
      <c r="B4628" s="19"/>
      <c r="P4628" s="16"/>
    </row>
    <row r="4629">
      <c r="A4629" s="19"/>
      <c r="B4629" s="19"/>
      <c r="P4629" s="16"/>
    </row>
    <row r="4630">
      <c r="A4630" s="19"/>
      <c r="B4630" s="19"/>
      <c r="P4630" s="16"/>
    </row>
    <row r="4631">
      <c r="A4631" s="19"/>
      <c r="B4631" s="19"/>
      <c r="P4631" s="16"/>
    </row>
    <row r="4632">
      <c r="A4632" s="19"/>
      <c r="B4632" s="19"/>
      <c r="P4632" s="16"/>
    </row>
    <row r="4633">
      <c r="A4633" s="19"/>
      <c r="B4633" s="19"/>
      <c r="P4633" s="16"/>
    </row>
    <row r="4634">
      <c r="A4634" s="19"/>
      <c r="B4634" s="19"/>
      <c r="P4634" s="16"/>
    </row>
    <row r="4635">
      <c r="A4635" s="19"/>
      <c r="B4635" s="19"/>
      <c r="P4635" s="16"/>
    </row>
    <row r="4636">
      <c r="A4636" s="19"/>
      <c r="B4636" s="19"/>
      <c r="P4636" s="16"/>
    </row>
    <row r="4637">
      <c r="A4637" s="19"/>
      <c r="B4637" s="19"/>
      <c r="P4637" s="16"/>
    </row>
    <row r="4638">
      <c r="A4638" s="19"/>
      <c r="B4638" s="19"/>
      <c r="P4638" s="16"/>
    </row>
    <row r="4639">
      <c r="A4639" s="19"/>
      <c r="B4639" s="19"/>
      <c r="P4639" s="16"/>
    </row>
    <row r="4640">
      <c r="A4640" s="19"/>
      <c r="B4640" s="19"/>
      <c r="P4640" s="16"/>
    </row>
    <row r="4641">
      <c r="A4641" s="19"/>
      <c r="B4641" s="19"/>
      <c r="P4641" s="16"/>
    </row>
    <row r="4642">
      <c r="A4642" s="19"/>
      <c r="B4642" s="19"/>
      <c r="P4642" s="16"/>
    </row>
    <row r="4643">
      <c r="A4643" s="19"/>
      <c r="B4643" s="19"/>
      <c r="P4643" s="16"/>
    </row>
    <row r="4644">
      <c r="A4644" s="19"/>
      <c r="B4644" s="19"/>
      <c r="P4644" s="16"/>
    </row>
    <row r="4645">
      <c r="A4645" s="19"/>
      <c r="B4645" s="19"/>
      <c r="P4645" s="16"/>
    </row>
    <row r="4646">
      <c r="A4646" s="19"/>
      <c r="B4646" s="19"/>
      <c r="P4646" s="16"/>
    </row>
    <row r="4647">
      <c r="A4647" s="19"/>
      <c r="B4647" s="19"/>
      <c r="P4647" s="16"/>
    </row>
    <row r="4648">
      <c r="A4648" s="19"/>
      <c r="B4648" s="19"/>
      <c r="P4648" s="16"/>
    </row>
    <row r="4649">
      <c r="A4649" s="19"/>
      <c r="B4649" s="19"/>
      <c r="P4649" s="16"/>
    </row>
    <row r="4650">
      <c r="A4650" s="19"/>
      <c r="B4650" s="19"/>
      <c r="P4650" s="16"/>
    </row>
    <row r="4651">
      <c r="A4651" s="19"/>
      <c r="B4651" s="19"/>
      <c r="P4651" s="16"/>
    </row>
    <row r="4652">
      <c r="A4652" s="19"/>
      <c r="B4652" s="19"/>
      <c r="P4652" s="16"/>
    </row>
    <row r="4653">
      <c r="A4653" s="19"/>
      <c r="B4653" s="19"/>
      <c r="P4653" s="16"/>
    </row>
    <row r="4654">
      <c r="A4654" s="19"/>
      <c r="B4654" s="19"/>
      <c r="P4654" s="16"/>
    </row>
    <row r="4655">
      <c r="A4655" s="19"/>
      <c r="B4655" s="19"/>
      <c r="P4655" s="16"/>
    </row>
    <row r="4656">
      <c r="A4656" s="19"/>
      <c r="B4656" s="19"/>
      <c r="P4656" s="16"/>
    </row>
    <row r="4657">
      <c r="A4657" s="19"/>
      <c r="B4657" s="19"/>
      <c r="P4657" s="16"/>
    </row>
    <row r="4658">
      <c r="A4658" s="19"/>
      <c r="B4658" s="19"/>
      <c r="P4658" s="16"/>
    </row>
    <row r="4659">
      <c r="A4659" s="19"/>
      <c r="B4659" s="19"/>
      <c r="P4659" s="16"/>
    </row>
    <row r="4660">
      <c r="A4660" s="19"/>
      <c r="B4660" s="19"/>
      <c r="P4660" s="16"/>
    </row>
    <row r="4661">
      <c r="A4661" s="19"/>
      <c r="B4661" s="19"/>
      <c r="P4661" s="16"/>
    </row>
    <row r="4662">
      <c r="A4662" s="19"/>
      <c r="B4662" s="19"/>
      <c r="P4662" s="16"/>
    </row>
    <row r="4663">
      <c r="A4663" s="19"/>
      <c r="B4663" s="19"/>
      <c r="P4663" s="16"/>
    </row>
    <row r="4664">
      <c r="A4664" s="19"/>
      <c r="B4664" s="19"/>
      <c r="P4664" s="16"/>
    </row>
    <row r="4665">
      <c r="A4665" s="19"/>
      <c r="B4665" s="19"/>
      <c r="P4665" s="16"/>
    </row>
    <row r="4666">
      <c r="A4666" s="19"/>
      <c r="B4666" s="19"/>
      <c r="P4666" s="16"/>
    </row>
    <row r="4667">
      <c r="A4667" s="19"/>
      <c r="B4667" s="19"/>
      <c r="P4667" s="16"/>
    </row>
    <row r="4668">
      <c r="A4668" s="19"/>
      <c r="B4668" s="19"/>
      <c r="P4668" s="16"/>
    </row>
    <row r="4669">
      <c r="A4669" s="19"/>
      <c r="B4669" s="19"/>
      <c r="P4669" s="16"/>
    </row>
    <row r="4670">
      <c r="A4670" s="19"/>
      <c r="B4670" s="19"/>
      <c r="P4670" s="16"/>
    </row>
    <row r="4671">
      <c r="A4671" s="19"/>
      <c r="B4671" s="19"/>
      <c r="P4671" s="16"/>
    </row>
    <row r="4672">
      <c r="A4672" s="19"/>
      <c r="B4672" s="19"/>
      <c r="P4672" s="16"/>
    </row>
    <row r="4673">
      <c r="A4673" s="19"/>
      <c r="B4673" s="19"/>
      <c r="P4673" s="16"/>
    </row>
    <row r="4674">
      <c r="A4674" s="19"/>
      <c r="B4674" s="19"/>
      <c r="P4674" s="16"/>
    </row>
    <row r="4675">
      <c r="A4675" s="19"/>
      <c r="B4675" s="19"/>
      <c r="P4675" s="16"/>
    </row>
    <row r="4676">
      <c r="A4676" s="19"/>
      <c r="B4676" s="19"/>
      <c r="P4676" s="16"/>
    </row>
    <row r="4677">
      <c r="A4677" s="19"/>
      <c r="B4677" s="19"/>
      <c r="P4677" s="16"/>
    </row>
    <row r="4678">
      <c r="A4678" s="19"/>
      <c r="B4678" s="19"/>
      <c r="P4678" s="16"/>
    </row>
    <row r="4679">
      <c r="A4679" s="19"/>
      <c r="B4679" s="19"/>
      <c r="P4679" s="16"/>
    </row>
    <row r="4680">
      <c r="A4680" s="19"/>
      <c r="B4680" s="19"/>
      <c r="P4680" s="16"/>
    </row>
    <row r="4681">
      <c r="A4681" s="19"/>
      <c r="B4681" s="19"/>
      <c r="P4681" s="16"/>
    </row>
    <row r="4682">
      <c r="A4682" s="19"/>
      <c r="B4682" s="19"/>
      <c r="P4682" s="16"/>
    </row>
    <row r="4683">
      <c r="A4683" s="19"/>
      <c r="B4683" s="19"/>
      <c r="P4683" s="16"/>
    </row>
    <row r="4684">
      <c r="A4684" s="19"/>
      <c r="B4684" s="19"/>
      <c r="P4684" s="16"/>
    </row>
    <row r="4685">
      <c r="A4685" s="19"/>
      <c r="B4685" s="19"/>
      <c r="P4685" s="16"/>
    </row>
    <row r="4686">
      <c r="A4686" s="19"/>
      <c r="B4686" s="19"/>
      <c r="P4686" s="16"/>
    </row>
    <row r="4687">
      <c r="A4687" s="19"/>
      <c r="B4687" s="19"/>
      <c r="P4687" s="16"/>
    </row>
    <row r="4688">
      <c r="A4688" s="19"/>
      <c r="B4688" s="19"/>
      <c r="P4688" s="16"/>
    </row>
    <row r="4689">
      <c r="A4689" s="19"/>
      <c r="B4689" s="19"/>
      <c r="P4689" s="16"/>
    </row>
    <row r="4690">
      <c r="A4690" s="19"/>
      <c r="B4690" s="19"/>
      <c r="P4690" s="16"/>
    </row>
    <row r="4691">
      <c r="A4691" s="19"/>
      <c r="B4691" s="19"/>
      <c r="P4691" s="16"/>
    </row>
    <row r="4692">
      <c r="A4692" s="19"/>
      <c r="B4692" s="19"/>
      <c r="P4692" s="16"/>
    </row>
    <row r="4693">
      <c r="A4693" s="19"/>
      <c r="B4693" s="19"/>
      <c r="P4693" s="16"/>
    </row>
    <row r="4694">
      <c r="A4694" s="19"/>
      <c r="B4694" s="19"/>
      <c r="P4694" s="16"/>
    </row>
    <row r="4695">
      <c r="A4695" s="19"/>
      <c r="B4695" s="19"/>
      <c r="P4695" s="16"/>
    </row>
    <row r="4696">
      <c r="A4696" s="19"/>
      <c r="B4696" s="19"/>
      <c r="P4696" s="16"/>
    </row>
    <row r="4697">
      <c r="A4697" s="19"/>
      <c r="B4697" s="19"/>
      <c r="P4697" s="16"/>
    </row>
    <row r="4698">
      <c r="A4698" s="19"/>
      <c r="B4698" s="19"/>
      <c r="P4698" s="16"/>
    </row>
    <row r="4699">
      <c r="A4699" s="19"/>
      <c r="B4699" s="19"/>
      <c r="P4699" s="16"/>
    </row>
    <row r="4700">
      <c r="A4700" s="19"/>
      <c r="B4700" s="19"/>
      <c r="P4700" s="16"/>
    </row>
    <row r="4701">
      <c r="A4701" s="19"/>
      <c r="B4701" s="19"/>
      <c r="P4701" s="16"/>
    </row>
    <row r="4702">
      <c r="A4702" s="19"/>
      <c r="B4702" s="19"/>
      <c r="P4702" s="16"/>
    </row>
    <row r="4703">
      <c r="A4703" s="19"/>
      <c r="B4703" s="19"/>
      <c r="P4703" s="16"/>
    </row>
    <row r="4704">
      <c r="A4704" s="19"/>
      <c r="B4704" s="19"/>
      <c r="P4704" s="16"/>
    </row>
    <row r="4705">
      <c r="A4705" s="19"/>
      <c r="B4705" s="19"/>
      <c r="P4705" s="16"/>
    </row>
    <row r="4706">
      <c r="A4706" s="19"/>
      <c r="B4706" s="19"/>
      <c r="P4706" s="16"/>
    </row>
    <row r="4707">
      <c r="A4707" s="19"/>
      <c r="B4707" s="19"/>
      <c r="P4707" s="16"/>
    </row>
    <row r="4708">
      <c r="A4708" s="19"/>
      <c r="B4708" s="19"/>
      <c r="P4708" s="16"/>
    </row>
    <row r="4709">
      <c r="A4709" s="19"/>
      <c r="B4709" s="19"/>
      <c r="P4709" s="16"/>
    </row>
    <row r="4710">
      <c r="A4710" s="19"/>
      <c r="B4710" s="19"/>
      <c r="P4710" s="16"/>
    </row>
    <row r="4711">
      <c r="A4711" s="19"/>
      <c r="B4711" s="19"/>
      <c r="P4711" s="16"/>
    </row>
    <row r="4712">
      <c r="A4712" s="19"/>
      <c r="B4712" s="19"/>
      <c r="P4712" s="16"/>
    </row>
    <row r="4713">
      <c r="A4713" s="19"/>
      <c r="B4713" s="19"/>
      <c r="P4713" s="16"/>
    </row>
    <row r="4714">
      <c r="A4714" s="19"/>
      <c r="B4714" s="19"/>
      <c r="P4714" s="16"/>
    </row>
    <row r="4715">
      <c r="A4715" s="19"/>
      <c r="B4715" s="19"/>
      <c r="P4715" s="16"/>
    </row>
    <row r="4716">
      <c r="A4716" s="19"/>
      <c r="B4716" s="19"/>
      <c r="P4716" s="16"/>
    </row>
    <row r="4717">
      <c r="A4717" s="19"/>
      <c r="B4717" s="19"/>
      <c r="P4717" s="16"/>
    </row>
    <row r="4718">
      <c r="A4718" s="19"/>
      <c r="B4718" s="19"/>
      <c r="P4718" s="16"/>
    </row>
    <row r="4719">
      <c r="A4719" s="19"/>
      <c r="B4719" s="19"/>
      <c r="P4719" s="16"/>
    </row>
    <row r="4720">
      <c r="A4720" s="19"/>
      <c r="B4720" s="19"/>
      <c r="P4720" s="16"/>
    </row>
    <row r="4721">
      <c r="A4721" s="19"/>
      <c r="B4721" s="19"/>
      <c r="P4721" s="16"/>
    </row>
    <row r="4722">
      <c r="A4722" s="19"/>
      <c r="B4722" s="19"/>
      <c r="P4722" s="16"/>
    </row>
    <row r="4723">
      <c r="A4723" s="19"/>
      <c r="B4723" s="19"/>
      <c r="P4723" s="16"/>
    </row>
    <row r="4724">
      <c r="A4724" s="19"/>
      <c r="B4724" s="19"/>
      <c r="P4724" s="16"/>
    </row>
    <row r="4725">
      <c r="A4725" s="19"/>
      <c r="B4725" s="19"/>
      <c r="P4725" s="16"/>
    </row>
    <row r="4726">
      <c r="A4726" s="19"/>
      <c r="B4726" s="19"/>
      <c r="P4726" s="16"/>
    </row>
    <row r="4727">
      <c r="A4727" s="19"/>
      <c r="B4727" s="19"/>
      <c r="P4727" s="16"/>
    </row>
    <row r="4728">
      <c r="A4728" s="19"/>
      <c r="B4728" s="19"/>
      <c r="P4728" s="16"/>
    </row>
    <row r="4729">
      <c r="A4729" s="19"/>
      <c r="B4729" s="19"/>
      <c r="P4729" s="16"/>
    </row>
    <row r="4730">
      <c r="A4730" s="19"/>
      <c r="B4730" s="19"/>
      <c r="P4730" s="16"/>
    </row>
    <row r="4731">
      <c r="A4731" s="19"/>
      <c r="B4731" s="19"/>
      <c r="P4731" s="16"/>
    </row>
    <row r="4732">
      <c r="A4732" s="19"/>
      <c r="B4732" s="19"/>
      <c r="P4732" s="16"/>
    </row>
    <row r="4733">
      <c r="A4733" s="19"/>
      <c r="B4733" s="19"/>
      <c r="P4733" s="16"/>
    </row>
    <row r="4734">
      <c r="A4734" s="19"/>
      <c r="B4734" s="19"/>
      <c r="P4734" s="16"/>
    </row>
    <row r="4735">
      <c r="A4735" s="19"/>
      <c r="B4735" s="19"/>
      <c r="P4735" s="16"/>
    </row>
    <row r="4736">
      <c r="A4736" s="19"/>
      <c r="B4736" s="19"/>
      <c r="P4736" s="16"/>
    </row>
    <row r="4737">
      <c r="A4737" s="19"/>
      <c r="B4737" s="19"/>
      <c r="P4737" s="16"/>
    </row>
    <row r="4738">
      <c r="A4738" s="19"/>
      <c r="B4738" s="19"/>
      <c r="P4738" s="16"/>
    </row>
    <row r="4739">
      <c r="A4739" s="19"/>
      <c r="B4739" s="19"/>
      <c r="P4739" s="16"/>
    </row>
    <row r="4740">
      <c r="A4740" s="19"/>
      <c r="B4740" s="19"/>
      <c r="P4740" s="16"/>
    </row>
    <row r="4741">
      <c r="A4741" s="19"/>
      <c r="B4741" s="19"/>
      <c r="P4741" s="16"/>
    </row>
    <row r="4742">
      <c r="A4742" s="19"/>
      <c r="B4742" s="19"/>
      <c r="P4742" s="16"/>
    </row>
    <row r="4743">
      <c r="A4743" s="19"/>
      <c r="B4743" s="19"/>
      <c r="P4743" s="16"/>
    </row>
    <row r="4744">
      <c r="A4744" s="19"/>
      <c r="B4744" s="19"/>
      <c r="P4744" s="16"/>
    </row>
    <row r="4745">
      <c r="A4745" s="19"/>
      <c r="B4745" s="19"/>
      <c r="P4745" s="16"/>
    </row>
    <row r="4746">
      <c r="A4746" s="19"/>
      <c r="B4746" s="19"/>
      <c r="P4746" s="16"/>
    </row>
    <row r="4747">
      <c r="A4747" s="19"/>
      <c r="B4747" s="19"/>
      <c r="P4747" s="16"/>
    </row>
    <row r="4748">
      <c r="A4748" s="19"/>
      <c r="B4748" s="19"/>
      <c r="P4748" s="16"/>
    </row>
    <row r="4749">
      <c r="A4749" s="19"/>
      <c r="B4749" s="19"/>
      <c r="P4749" s="16"/>
    </row>
    <row r="4750">
      <c r="A4750" s="19"/>
      <c r="B4750" s="19"/>
      <c r="P4750" s="16"/>
    </row>
    <row r="4751">
      <c r="A4751" s="19"/>
      <c r="B4751" s="19"/>
      <c r="P4751" s="16"/>
    </row>
    <row r="4752">
      <c r="A4752" s="19"/>
      <c r="B4752" s="19"/>
      <c r="P4752" s="16"/>
    </row>
    <row r="4753">
      <c r="A4753" s="19"/>
      <c r="B4753" s="19"/>
      <c r="P4753" s="16"/>
    </row>
    <row r="4754">
      <c r="A4754" s="19"/>
      <c r="B4754" s="19"/>
      <c r="P4754" s="16"/>
    </row>
    <row r="4755">
      <c r="A4755" s="19"/>
      <c r="B4755" s="19"/>
      <c r="P4755" s="16"/>
    </row>
    <row r="4756">
      <c r="A4756" s="19"/>
      <c r="B4756" s="19"/>
      <c r="P4756" s="16"/>
    </row>
    <row r="4757">
      <c r="A4757" s="19"/>
      <c r="B4757" s="19"/>
      <c r="P4757" s="16"/>
    </row>
    <row r="4758">
      <c r="A4758" s="19"/>
      <c r="B4758" s="19"/>
      <c r="P4758" s="16"/>
    </row>
    <row r="4759">
      <c r="A4759" s="19"/>
      <c r="B4759" s="19"/>
      <c r="P4759" s="16"/>
    </row>
    <row r="4760">
      <c r="A4760" s="19"/>
      <c r="B4760" s="19"/>
      <c r="P4760" s="16"/>
    </row>
    <row r="4761">
      <c r="A4761" s="19"/>
      <c r="B4761" s="19"/>
      <c r="P4761" s="16"/>
    </row>
    <row r="4762">
      <c r="A4762" s="19"/>
      <c r="B4762" s="19"/>
      <c r="P4762" s="16"/>
    </row>
    <row r="4763">
      <c r="A4763" s="19"/>
      <c r="B4763" s="19"/>
      <c r="P4763" s="16"/>
    </row>
    <row r="4764">
      <c r="A4764" s="19"/>
      <c r="B4764" s="19"/>
      <c r="P4764" s="16"/>
    </row>
    <row r="4765">
      <c r="A4765" s="19"/>
      <c r="B4765" s="19"/>
      <c r="P4765" s="16"/>
    </row>
    <row r="4766">
      <c r="A4766" s="19"/>
      <c r="B4766" s="19"/>
      <c r="P4766" s="16"/>
    </row>
    <row r="4767">
      <c r="A4767" s="19"/>
      <c r="B4767" s="19"/>
      <c r="P4767" s="16"/>
    </row>
    <row r="4768">
      <c r="A4768" s="19"/>
      <c r="B4768" s="19"/>
      <c r="P4768" s="16"/>
    </row>
    <row r="4769">
      <c r="A4769" s="19"/>
      <c r="B4769" s="19"/>
      <c r="P4769" s="16"/>
    </row>
    <row r="4770">
      <c r="A4770" s="19"/>
      <c r="B4770" s="19"/>
      <c r="P4770" s="16"/>
    </row>
    <row r="4771">
      <c r="A4771" s="19"/>
      <c r="B4771" s="19"/>
      <c r="P4771" s="16"/>
    </row>
    <row r="4772">
      <c r="A4772" s="19"/>
      <c r="B4772" s="19"/>
      <c r="P4772" s="16"/>
    </row>
    <row r="4773">
      <c r="A4773" s="19"/>
      <c r="B4773" s="19"/>
      <c r="P4773" s="16"/>
    </row>
    <row r="4774">
      <c r="A4774" s="19"/>
      <c r="B4774" s="19"/>
      <c r="P4774" s="16"/>
    </row>
    <row r="4775">
      <c r="A4775" s="19"/>
      <c r="B4775" s="19"/>
      <c r="P4775" s="16"/>
    </row>
    <row r="4776">
      <c r="A4776" s="19"/>
      <c r="B4776" s="19"/>
      <c r="P4776" s="16"/>
    </row>
    <row r="4777">
      <c r="A4777" s="19"/>
      <c r="B4777" s="19"/>
      <c r="P4777" s="16"/>
    </row>
    <row r="4778">
      <c r="A4778" s="19"/>
      <c r="B4778" s="19"/>
      <c r="P4778" s="16"/>
    </row>
    <row r="4779">
      <c r="A4779" s="19"/>
      <c r="B4779" s="19"/>
      <c r="P4779" s="16"/>
    </row>
    <row r="4780">
      <c r="A4780" s="19"/>
      <c r="B4780" s="19"/>
      <c r="P4780" s="16"/>
    </row>
    <row r="4781">
      <c r="A4781" s="19"/>
      <c r="B4781" s="19"/>
      <c r="P4781" s="16"/>
    </row>
    <row r="4782">
      <c r="A4782" s="19"/>
      <c r="B4782" s="19"/>
      <c r="P4782" s="16"/>
    </row>
    <row r="4783">
      <c r="A4783" s="19"/>
      <c r="B4783" s="19"/>
      <c r="P4783" s="16"/>
    </row>
    <row r="4784">
      <c r="A4784" s="19"/>
      <c r="B4784" s="19"/>
      <c r="P4784" s="16"/>
    </row>
    <row r="4785">
      <c r="A4785" s="19"/>
      <c r="B4785" s="19"/>
      <c r="P4785" s="16"/>
    </row>
    <row r="4786">
      <c r="A4786" s="19"/>
      <c r="B4786" s="19"/>
      <c r="P4786" s="16"/>
    </row>
    <row r="4787">
      <c r="A4787" s="19"/>
      <c r="B4787" s="19"/>
      <c r="P4787" s="16"/>
    </row>
    <row r="4788">
      <c r="A4788" s="19"/>
      <c r="B4788" s="19"/>
      <c r="P4788" s="16"/>
    </row>
    <row r="4789">
      <c r="A4789" s="19"/>
      <c r="B4789" s="19"/>
      <c r="P4789" s="16"/>
    </row>
    <row r="4790">
      <c r="A4790" s="19"/>
      <c r="B4790" s="19"/>
      <c r="P4790" s="16"/>
    </row>
    <row r="4791">
      <c r="A4791" s="19"/>
      <c r="B4791" s="19"/>
      <c r="P4791" s="16"/>
    </row>
    <row r="4792">
      <c r="A4792" s="19"/>
      <c r="B4792" s="19"/>
      <c r="P4792" s="16"/>
    </row>
    <row r="4793">
      <c r="A4793" s="19"/>
      <c r="B4793" s="19"/>
      <c r="P4793" s="16"/>
    </row>
    <row r="4794">
      <c r="A4794" s="19"/>
      <c r="B4794" s="19"/>
      <c r="P4794" s="16"/>
    </row>
    <row r="4795">
      <c r="A4795" s="19"/>
      <c r="B4795" s="19"/>
      <c r="P4795" s="16"/>
    </row>
    <row r="4796">
      <c r="A4796" s="19"/>
      <c r="B4796" s="19"/>
      <c r="P4796" s="16"/>
    </row>
    <row r="4797">
      <c r="A4797" s="19"/>
      <c r="B4797" s="19"/>
      <c r="P4797" s="16"/>
    </row>
    <row r="4798">
      <c r="A4798" s="19"/>
      <c r="B4798" s="19"/>
      <c r="P4798" s="16"/>
    </row>
    <row r="4799">
      <c r="A4799" s="19"/>
      <c r="B4799" s="19"/>
      <c r="P4799" s="16"/>
    </row>
    <row r="4800">
      <c r="A4800" s="19"/>
      <c r="B4800" s="19"/>
      <c r="P4800" s="16"/>
    </row>
    <row r="4801">
      <c r="A4801" s="19"/>
      <c r="B4801" s="19"/>
      <c r="P4801" s="16"/>
    </row>
    <row r="4802">
      <c r="A4802" s="19"/>
      <c r="B4802" s="19"/>
      <c r="P4802" s="16"/>
    </row>
    <row r="4803">
      <c r="A4803" s="19"/>
      <c r="B4803" s="19"/>
      <c r="P4803" s="16"/>
    </row>
    <row r="4804">
      <c r="A4804" s="19"/>
      <c r="B4804" s="19"/>
      <c r="P4804" s="16"/>
    </row>
    <row r="4805">
      <c r="A4805" s="19"/>
      <c r="B4805" s="19"/>
      <c r="P4805" s="16"/>
    </row>
    <row r="4806">
      <c r="A4806" s="19"/>
      <c r="B4806" s="19"/>
      <c r="P4806" s="16"/>
    </row>
    <row r="4807">
      <c r="A4807" s="19"/>
      <c r="B4807" s="19"/>
      <c r="P4807" s="16"/>
    </row>
    <row r="4808">
      <c r="A4808" s="19"/>
      <c r="B4808" s="19"/>
      <c r="P4808" s="16"/>
    </row>
    <row r="4809">
      <c r="A4809" s="19"/>
      <c r="B4809" s="19"/>
      <c r="P4809" s="16"/>
    </row>
    <row r="4810">
      <c r="A4810" s="19"/>
      <c r="B4810" s="19"/>
      <c r="P4810" s="16"/>
    </row>
    <row r="4811">
      <c r="A4811" s="19"/>
      <c r="B4811" s="19"/>
      <c r="P4811" s="16"/>
    </row>
    <row r="4812">
      <c r="A4812" s="19"/>
      <c r="B4812" s="19"/>
      <c r="P4812" s="16"/>
    </row>
    <row r="4813">
      <c r="A4813" s="19"/>
      <c r="B4813" s="19"/>
      <c r="P4813" s="16"/>
    </row>
    <row r="4814">
      <c r="A4814" s="19"/>
      <c r="B4814" s="19"/>
      <c r="P4814" s="16"/>
    </row>
    <row r="4815">
      <c r="A4815" s="19"/>
      <c r="B4815" s="19"/>
      <c r="P4815" s="16"/>
    </row>
    <row r="4816">
      <c r="A4816" s="19"/>
      <c r="B4816" s="19"/>
      <c r="P4816" s="16"/>
    </row>
    <row r="4817">
      <c r="A4817" s="19"/>
      <c r="B4817" s="19"/>
      <c r="P4817" s="16"/>
    </row>
    <row r="4818">
      <c r="A4818" s="19"/>
      <c r="B4818" s="19"/>
      <c r="P4818" s="16"/>
    </row>
    <row r="4819">
      <c r="A4819" s="19"/>
      <c r="B4819" s="19"/>
      <c r="P4819" s="16"/>
    </row>
    <row r="4820">
      <c r="A4820" s="19"/>
      <c r="B4820" s="19"/>
      <c r="P4820" s="16"/>
    </row>
    <row r="4821">
      <c r="A4821" s="19"/>
      <c r="B4821" s="19"/>
      <c r="P4821" s="16"/>
    </row>
    <row r="4822">
      <c r="A4822" s="19"/>
      <c r="B4822" s="19"/>
      <c r="P4822" s="16"/>
    </row>
    <row r="4823">
      <c r="A4823" s="19"/>
      <c r="B4823" s="19"/>
      <c r="P4823" s="16"/>
    </row>
    <row r="4824">
      <c r="A4824" s="19"/>
      <c r="B4824" s="19"/>
      <c r="P4824" s="16"/>
    </row>
    <row r="4825">
      <c r="A4825" s="19"/>
      <c r="B4825" s="19"/>
      <c r="P4825" s="16"/>
    </row>
    <row r="4826">
      <c r="A4826" s="19"/>
      <c r="B4826" s="19"/>
      <c r="P4826" s="16"/>
    </row>
    <row r="4827">
      <c r="A4827" s="19"/>
      <c r="B4827" s="19"/>
      <c r="P4827" s="16"/>
    </row>
    <row r="4828">
      <c r="A4828" s="19"/>
      <c r="B4828" s="19"/>
      <c r="P4828" s="16"/>
    </row>
    <row r="4829">
      <c r="A4829" s="19"/>
      <c r="B4829" s="19"/>
      <c r="P4829" s="16"/>
    </row>
    <row r="4830">
      <c r="A4830" s="19"/>
      <c r="B4830" s="19"/>
      <c r="P4830" s="16"/>
    </row>
    <row r="4831">
      <c r="A4831" s="19"/>
      <c r="B4831" s="19"/>
      <c r="P4831" s="16"/>
    </row>
    <row r="4832">
      <c r="A4832" s="19"/>
      <c r="B4832" s="19"/>
      <c r="P4832" s="16"/>
    </row>
    <row r="4833">
      <c r="A4833" s="19"/>
      <c r="B4833" s="19"/>
      <c r="P4833" s="16"/>
    </row>
    <row r="4834">
      <c r="A4834" s="19"/>
      <c r="B4834" s="19"/>
      <c r="P4834" s="16"/>
    </row>
    <row r="4835">
      <c r="A4835" s="19"/>
      <c r="B4835" s="19"/>
      <c r="P4835" s="16"/>
    </row>
    <row r="4836">
      <c r="A4836" s="19"/>
      <c r="B4836" s="19"/>
      <c r="P4836" s="16"/>
    </row>
    <row r="4837">
      <c r="A4837" s="19"/>
      <c r="B4837" s="19"/>
      <c r="P4837" s="16"/>
    </row>
    <row r="4838">
      <c r="A4838" s="19"/>
      <c r="B4838" s="19"/>
      <c r="P4838" s="16"/>
    </row>
    <row r="4839">
      <c r="A4839" s="19"/>
      <c r="B4839" s="19"/>
      <c r="P4839" s="16"/>
    </row>
    <row r="4840">
      <c r="A4840" s="19"/>
      <c r="B4840" s="19"/>
      <c r="P4840" s="16"/>
    </row>
    <row r="4841">
      <c r="A4841" s="19"/>
      <c r="B4841" s="19"/>
      <c r="P4841" s="16"/>
    </row>
    <row r="4842">
      <c r="A4842" s="19"/>
      <c r="B4842" s="19"/>
      <c r="P4842" s="16"/>
    </row>
    <row r="4843">
      <c r="A4843" s="19"/>
      <c r="B4843" s="19"/>
      <c r="P4843" s="16"/>
    </row>
    <row r="4844">
      <c r="A4844" s="19"/>
      <c r="B4844" s="19"/>
      <c r="P4844" s="16"/>
    </row>
    <row r="4845">
      <c r="A4845" s="19"/>
      <c r="B4845" s="19"/>
      <c r="P4845" s="16"/>
    </row>
    <row r="4846">
      <c r="A4846" s="19"/>
      <c r="B4846" s="19"/>
      <c r="P4846" s="16"/>
    </row>
    <row r="4847">
      <c r="A4847" s="19"/>
      <c r="B4847" s="19"/>
      <c r="P4847" s="16"/>
    </row>
    <row r="4848">
      <c r="A4848" s="19"/>
      <c r="B4848" s="19"/>
      <c r="P4848" s="16"/>
    </row>
    <row r="4849">
      <c r="A4849" s="19"/>
      <c r="B4849" s="19"/>
      <c r="P4849" s="16"/>
    </row>
    <row r="4850">
      <c r="A4850" s="19"/>
      <c r="B4850" s="19"/>
      <c r="P4850" s="16"/>
    </row>
    <row r="4851">
      <c r="A4851" s="19"/>
      <c r="B4851" s="19"/>
      <c r="P4851" s="16"/>
    </row>
    <row r="4852">
      <c r="A4852" s="19"/>
      <c r="B4852" s="19"/>
      <c r="P4852" s="16"/>
    </row>
    <row r="4853">
      <c r="A4853" s="19"/>
      <c r="B4853" s="19"/>
      <c r="P4853" s="16"/>
    </row>
    <row r="4854">
      <c r="A4854" s="19"/>
      <c r="B4854" s="19"/>
      <c r="P4854" s="16"/>
    </row>
    <row r="4855">
      <c r="A4855" s="19"/>
      <c r="B4855" s="19"/>
      <c r="P4855" s="16"/>
    </row>
    <row r="4856">
      <c r="A4856" s="19"/>
      <c r="B4856" s="19"/>
      <c r="P4856" s="16"/>
    </row>
    <row r="4857">
      <c r="A4857" s="19"/>
      <c r="B4857" s="19"/>
      <c r="P4857" s="16"/>
    </row>
    <row r="4858">
      <c r="A4858" s="19"/>
      <c r="B4858" s="19"/>
      <c r="P4858" s="16"/>
    </row>
    <row r="4859">
      <c r="A4859" s="19"/>
      <c r="B4859" s="19"/>
      <c r="P4859" s="16"/>
    </row>
    <row r="4860">
      <c r="A4860" s="19"/>
      <c r="B4860" s="19"/>
      <c r="P4860" s="16"/>
    </row>
    <row r="4861">
      <c r="A4861" s="19"/>
      <c r="B4861" s="19"/>
      <c r="P4861" s="16"/>
    </row>
    <row r="4862">
      <c r="A4862" s="19"/>
      <c r="B4862" s="19"/>
      <c r="P4862" s="16"/>
    </row>
    <row r="4863">
      <c r="A4863" s="19"/>
      <c r="B4863" s="19"/>
      <c r="P4863" s="16"/>
    </row>
    <row r="4864">
      <c r="A4864" s="19"/>
      <c r="B4864" s="19"/>
      <c r="P4864" s="16"/>
    </row>
    <row r="4865">
      <c r="A4865" s="19"/>
      <c r="B4865" s="19"/>
      <c r="P4865" s="16"/>
    </row>
    <row r="4866">
      <c r="A4866" s="19"/>
      <c r="B4866" s="19"/>
      <c r="P4866" s="16"/>
    </row>
    <row r="4867">
      <c r="A4867" s="19"/>
      <c r="B4867" s="19"/>
      <c r="P4867" s="16"/>
    </row>
    <row r="4868">
      <c r="A4868" s="19"/>
      <c r="B4868" s="19"/>
      <c r="P4868" s="16"/>
    </row>
    <row r="4869">
      <c r="A4869" s="19"/>
      <c r="B4869" s="19"/>
      <c r="P4869" s="16"/>
    </row>
    <row r="4870">
      <c r="A4870" s="19"/>
      <c r="B4870" s="19"/>
      <c r="P4870" s="16"/>
    </row>
    <row r="4871">
      <c r="A4871" s="19"/>
      <c r="B4871" s="19"/>
      <c r="P4871" s="16"/>
    </row>
    <row r="4872">
      <c r="A4872" s="19"/>
      <c r="B4872" s="19"/>
      <c r="P4872" s="16"/>
    </row>
    <row r="4873">
      <c r="A4873" s="19"/>
      <c r="B4873" s="19"/>
      <c r="P4873" s="16"/>
    </row>
    <row r="4874">
      <c r="A4874" s="19"/>
      <c r="B4874" s="19"/>
      <c r="P4874" s="16"/>
    </row>
    <row r="4875">
      <c r="A4875" s="19"/>
      <c r="B4875" s="19"/>
      <c r="P4875" s="16"/>
    </row>
    <row r="4876">
      <c r="A4876" s="19"/>
      <c r="B4876" s="19"/>
      <c r="P4876" s="16"/>
    </row>
    <row r="4877">
      <c r="A4877" s="19"/>
      <c r="B4877" s="19"/>
      <c r="P4877" s="16"/>
    </row>
    <row r="4878">
      <c r="A4878" s="19"/>
      <c r="B4878" s="19"/>
      <c r="P4878" s="16"/>
    </row>
    <row r="4879">
      <c r="A4879" s="19"/>
      <c r="B4879" s="19"/>
      <c r="P4879" s="16"/>
    </row>
    <row r="4880">
      <c r="A4880" s="19"/>
      <c r="B4880" s="19"/>
      <c r="P4880" s="16"/>
    </row>
    <row r="4881">
      <c r="A4881" s="19"/>
      <c r="B4881" s="19"/>
      <c r="P4881" s="16"/>
    </row>
    <row r="4882">
      <c r="A4882" s="19"/>
      <c r="B4882" s="19"/>
      <c r="P4882" s="16"/>
    </row>
    <row r="4883">
      <c r="A4883" s="19"/>
      <c r="B4883" s="19"/>
      <c r="P4883" s="16"/>
    </row>
    <row r="4884">
      <c r="A4884" s="19"/>
      <c r="B4884" s="19"/>
      <c r="P4884" s="16"/>
    </row>
    <row r="4885">
      <c r="A4885" s="19"/>
      <c r="B4885" s="19"/>
      <c r="P4885" s="16"/>
    </row>
    <row r="4886">
      <c r="A4886" s="19"/>
      <c r="B4886" s="19"/>
      <c r="P4886" s="16"/>
    </row>
    <row r="4887">
      <c r="A4887" s="19"/>
      <c r="B4887" s="19"/>
      <c r="P4887" s="16"/>
    </row>
    <row r="4888">
      <c r="A4888" s="19"/>
      <c r="B4888" s="19"/>
      <c r="P4888" s="16"/>
    </row>
    <row r="4889">
      <c r="A4889" s="19"/>
      <c r="B4889" s="19"/>
      <c r="P4889" s="16"/>
    </row>
    <row r="4890">
      <c r="A4890" s="19"/>
      <c r="B4890" s="19"/>
      <c r="P4890" s="16"/>
    </row>
    <row r="4891">
      <c r="A4891" s="19"/>
      <c r="B4891" s="19"/>
      <c r="P4891" s="16"/>
    </row>
    <row r="4892">
      <c r="A4892" s="19"/>
      <c r="B4892" s="19"/>
      <c r="P4892" s="16"/>
    </row>
    <row r="4893">
      <c r="A4893" s="19"/>
      <c r="B4893" s="19"/>
      <c r="P4893" s="16"/>
    </row>
    <row r="4894">
      <c r="A4894" s="19"/>
      <c r="B4894" s="19"/>
      <c r="P4894" s="16"/>
    </row>
    <row r="4895">
      <c r="A4895" s="19"/>
      <c r="B4895" s="19"/>
      <c r="P4895" s="16"/>
    </row>
    <row r="4896">
      <c r="A4896" s="19"/>
      <c r="B4896" s="19"/>
      <c r="P4896" s="16"/>
    </row>
    <row r="4897">
      <c r="A4897" s="19"/>
      <c r="B4897" s="19"/>
      <c r="P4897" s="16"/>
    </row>
    <row r="4898">
      <c r="A4898" s="19"/>
      <c r="B4898" s="19"/>
      <c r="P4898" s="16"/>
    </row>
    <row r="4899">
      <c r="A4899" s="19"/>
      <c r="B4899" s="19"/>
      <c r="P4899" s="16"/>
    </row>
    <row r="4900">
      <c r="A4900" s="19"/>
      <c r="B4900" s="19"/>
      <c r="P4900" s="16"/>
    </row>
    <row r="4901">
      <c r="A4901" s="19"/>
      <c r="B4901" s="19"/>
      <c r="P4901" s="16"/>
    </row>
    <row r="4902">
      <c r="A4902" s="19"/>
      <c r="B4902" s="19"/>
      <c r="P4902" s="16"/>
    </row>
    <row r="4903">
      <c r="A4903" s="19"/>
      <c r="B4903" s="19"/>
      <c r="P4903" s="16"/>
    </row>
    <row r="4904">
      <c r="A4904" s="19"/>
      <c r="B4904" s="19"/>
      <c r="P4904" s="16"/>
    </row>
    <row r="4905">
      <c r="A4905" s="19"/>
      <c r="B4905" s="19"/>
      <c r="P4905" s="16"/>
    </row>
    <row r="4906">
      <c r="A4906" s="19"/>
      <c r="B4906" s="19"/>
      <c r="P4906" s="16"/>
    </row>
    <row r="4907">
      <c r="A4907" s="19"/>
      <c r="B4907" s="19"/>
      <c r="P4907" s="16"/>
    </row>
    <row r="4908">
      <c r="A4908" s="19"/>
      <c r="B4908" s="19"/>
      <c r="P4908" s="16"/>
    </row>
    <row r="4909">
      <c r="A4909" s="19"/>
      <c r="B4909" s="19"/>
      <c r="P4909" s="16"/>
    </row>
    <row r="4910">
      <c r="A4910" s="19"/>
      <c r="B4910" s="19"/>
      <c r="P4910" s="16"/>
    </row>
    <row r="4911">
      <c r="A4911" s="19"/>
      <c r="B4911" s="19"/>
      <c r="P4911" s="16"/>
    </row>
    <row r="4912">
      <c r="A4912" s="19"/>
      <c r="B4912" s="19"/>
      <c r="P4912" s="16"/>
    </row>
    <row r="4913">
      <c r="A4913" s="19"/>
      <c r="B4913" s="19"/>
      <c r="P4913" s="16"/>
    </row>
    <row r="4914">
      <c r="A4914" s="19"/>
      <c r="B4914" s="19"/>
      <c r="P4914" s="16"/>
    </row>
    <row r="4915">
      <c r="A4915" s="19"/>
      <c r="B4915" s="19"/>
      <c r="P4915" s="16"/>
    </row>
    <row r="4916">
      <c r="A4916" s="19"/>
      <c r="B4916" s="19"/>
      <c r="P4916" s="16"/>
    </row>
    <row r="4917">
      <c r="A4917" s="19"/>
      <c r="B4917" s="19"/>
      <c r="P4917" s="16"/>
    </row>
    <row r="4918">
      <c r="A4918" s="19"/>
      <c r="B4918" s="19"/>
      <c r="P4918" s="16"/>
    </row>
    <row r="4919">
      <c r="A4919" s="19"/>
      <c r="B4919" s="19"/>
      <c r="P4919" s="16"/>
    </row>
    <row r="4920">
      <c r="A4920" s="19"/>
      <c r="B4920" s="19"/>
      <c r="P4920" s="16"/>
    </row>
    <row r="4921">
      <c r="A4921" s="19"/>
      <c r="B4921" s="19"/>
      <c r="P4921" s="16"/>
    </row>
    <row r="4922">
      <c r="A4922" s="19"/>
      <c r="B4922" s="19"/>
      <c r="P4922" s="16"/>
    </row>
    <row r="4923">
      <c r="A4923" s="19"/>
      <c r="B4923" s="19"/>
      <c r="P4923" s="16"/>
    </row>
    <row r="4924">
      <c r="A4924" s="19"/>
      <c r="B4924" s="19"/>
      <c r="P4924" s="16"/>
    </row>
    <row r="4925">
      <c r="A4925" s="19"/>
      <c r="B4925" s="19"/>
      <c r="P4925" s="16"/>
    </row>
    <row r="4926">
      <c r="A4926" s="19"/>
      <c r="B4926" s="19"/>
      <c r="P4926" s="16"/>
    </row>
    <row r="4927">
      <c r="A4927" s="19"/>
      <c r="B4927" s="19"/>
      <c r="P4927" s="16"/>
    </row>
    <row r="4928">
      <c r="A4928" s="19"/>
      <c r="B4928" s="19"/>
      <c r="P4928" s="16"/>
    </row>
    <row r="4929">
      <c r="A4929" s="19"/>
      <c r="B4929" s="19"/>
      <c r="P4929" s="16"/>
    </row>
    <row r="4930">
      <c r="A4930" s="19"/>
      <c r="B4930" s="19"/>
      <c r="P4930" s="16"/>
    </row>
    <row r="4931">
      <c r="A4931" s="19"/>
      <c r="B4931" s="19"/>
      <c r="P4931" s="16"/>
    </row>
    <row r="4932">
      <c r="A4932" s="19"/>
      <c r="B4932" s="19"/>
      <c r="P4932" s="16"/>
    </row>
    <row r="4933">
      <c r="A4933" s="19"/>
      <c r="B4933" s="19"/>
      <c r="P4933" s="16"/>
    </row>
    <row r="4934">
      <c r="A4934" s="19"/>
      <c r="B4934" s="19"/>
      <c r="P4934" s="16"/>
    </row>
    <row r="4935">
      <c r="A4935" s="19"/>
      <c r="B4935" s="19"/>
      <c r="P4935" s="16"/>
    </row>
    <row r="4936">
      <c r="A4936" s="19"/>
      <c r="B4936" s="19"/>
      <c r="P4936" s="16"/>
    </row>
    <row r="4937">
      <c r="A4937" s="19"/>
      <c r="B4937" s="19"/>
      <c r="P4937" s="16"/>
    </row>
    <row r="4938">
      <c r="A4938" s="19"/>
      <c r="B4938" s="19"/>
      <c r="P4938" s="16"/>
    </row>
    <row r="4939">
      <c r="A4939" s="19"/>
      <c r="B4939" s="19"/>
      <c r="P4939" s="16"/>
    </row>
    <row r="4940">
      <c r="A4940" s="19"/>
      <c r="B4940" s="19"/>
      <c r="P4940" s="16"/>
    </row>
    <row r="4941">
      <c r="A4941" s="19"/>
      <c r="B4941" s="19"/>
      <c r="P4941" s="16"/>
    </row>
    <row r="4942">
      <c r="A4942" s="19"/>
      <c r="B4942" s="19"/>
      <c r="P4942" s="16"/>
    </row>
    <row r="4943">
      <c r="A4943" s="19"/>
      <c r="B4943" s="19"/>
      <c r="P4943" s="16"/>
    </row>
    <row r="4944">
      <c r="A4944" s="19"/>
      <c r="B4944" s="19"/>
      <c r="P4944" s="16"/>
    </row>
    <row r="4945">
      <c r="A4945" s="19"/>
      <c r="B4945" s="19"/>
      <c r="P4945" s="16"/>
    </row>
    <row r="4946">
      <c r="A4946" s="19"/>
      <c r="B4946" s="19"/>
      <c r="P4946" s="16"/>
    </row>
    <row r="4947">
      <c r="A4947" s="19"/>
      <c r="B4947" s="19"/>
      <c r="P4947" s="16"/>
    </row>
    <row r="4948">
      <c r="A4948" s="19"/>
      <c r="B4948" s="19"/>
      <c r="P4948" s="16"/>
    </row>
    <row r="4949">
      <c r="A4949" s="19"/>
      <c r="B4949" s="19"/>
      <c r="P4949" s="16"/>
    </row>
    <row r="4950">
      <c r="A4950" s="19"/>
      <c r="B4950" s="19"/>
      <c r="P4950" s="16"/>
    </row>
    <row r="4951">
      <c r="A4951" s="19"/>
      <c r="B4951" s="19"/>
      <c r="P4951" s="16"/>
    </row>
    <row r="4952">
      <c r="A4952" s="19"/>
      <c r="B4952" s="19"/>
      <c r="P4952" s="16"/>
    </row>
    <row r="4953">
      <c r="A4953" s="19"/>
      <c r="B4953" s="19"/>
      <c r="P4953" s="16"/>
    </row>
    <row r="4954">
      <c r="A4954" s="19"/>
      <c r="B4954" s="19"/>
      <c r="P4954" s="16"/>
    </row>
    <row r="4955">
      <c r="A4955" s="19"/>
      <c r="B4955" s="19"/>
      <c r="P4955" s="16"/>
    </row>
    <row r="4956">
      <c r="A4956" s="19"/>
      <c r="B4956" s="19"/>
      <c r="P4956" s="16"/>
    </row>
    <row r="4957">
      <c r="A4957" s="19"/>
      <c r="B4957" s="19"/>
      <c r="P4957" s="16"/>
    </row>
    <row r="4958">
      <c r="A4958" s="19"/>
      <c r="B4958" s="19"/>
      <c r="P4958" s="16"/>
    </row>
    <row r="4959">
      <c r="A4959" s="19"/>
      <c r="B4959" s="19"/>
      <c r="P4959" s="16"/>
    </row>
    <row r="4960">
      <c r="A4960" s="19"/>
      <c r="B4960" s="19"/>
      <c r="P4960" s="16"/>
    </row>
    <row r="4961">
      <c r="A4961" s="19"/>
      <c r="B4961" s="19"/>
      <c r="P4961" s="16"/>
    </row>
    <row r="4962">
      <c r="A4962" s="19"/>
      <c r="B4962" s="19"/>
      <c r="P4962" s="16"/>
    </row>
    <row r="4963">
      <c r="A4963" s="19"/>
      <c r="B4963" s="19"/>
      <c r="P4963" s="16"/>
    </row>
    <row r="4964">
      <c r="A4964" s="19"/>
      <c r="B4964" s="19"/>
      <c r="P4964" s="16"/>
    </row>
    <row r="4965">
      <c r="A4965" s="19"/>
      <c r="B4965" s="19"/>
      <c r="P4965" s="16"/>
    </row>
    <row r="4966">
      <c r="A4966" s="19"/>
      <c r="B4966" s="19"/>
      <c r="P4966" s="16"/>
    </row>
    <row r="4967">
      <c r="A4967" s="19"/>
      <c r="B4967" s="19"/>
      <c r="P4967" s="16"/>
    </row>
    <row r="4968">
      <c r="A4968" s="19"/>
      <c r="B4968" s="19"/>
      <c r="P4968" s="16"/>
    </row>
    <row r="4969">
      <c r="A4969" s="19"/>
      <c r="B4969" s="19"/>
      <c r="P4969" s="16"/>
    </row>
    <row r="4970">
      <c r="A4970" s="19"/>
      <c r="B4970" s="19"/>
      <c r="P4970" s="16"/>
    </row>
    <row r="4971">
      <c r="A4971" s="19"/>
      <c r="B4971" s="19"/>
      <c r="P4971" s="16"/>
    </row>
    <row r="4972">
      <c r="A4972" s="19"/>
      <c r="B4972" s="19"/>
      <c r="P4972" s="16"/>
    </row>
    <row r="4973">
      <c r="A4973" s="19"/>
      <c r="B4973" s="19"/>
      <c r="P4973" s="16"/>
    </row>
    <row r="4974">
      <c r="A4974" s="19"/>
      <c r="B4974" s="19"/>
      <c r="P4974" s="16"/>
    </row>
    <row r="4975">
      <c r="A4975" s="19"/>
      <c r="B4975" s="19"/>
      <c r="P4975" s="16"/>
    </row>
    <row r="4976">
      <c r="A4976" s="19"/>
      <c r="B4976" s="19"/>
      <c r="P4976" s="16"/>
    </row>
    <row r="4977">
      <c r="A4977" s="19"/>
      <c r="B4977" s="19"/>
      <c r="P4977" s="16"/>
    </row>
    <row r="4978">
      <c r="A4978" s="19"/>
      <c r="B4978" s="19"/>
      <c r="P4978" s="16"/>
    </row>
    <row r="4979">
      <c r="A4979" s="19"/>
      <c r="B4979" s="19"/>
      <c r="P4979" s="16"/>
    </row>
    <row r="4980">
      <c r="A4980" s="19"/>
      <c r="B4980" s="19"/>
      <c r="P4980" s="16"/>
    </row>
    <row r="4981">
      <c r="A4981" s="19"/>
      <c r="B4981" s="19"/>
      <c r="P4981" s="16"/>
    </row>
    <row r="4982">
      <c r="A4982" s="19"/>
      <c r="B4982" s="19"/>
      <c r="P4982" s="16"/>
    </row>
    <row r="4983">
      <c r="A4983" s="19"/>
      <c r="B4983" s="19"/>
      <c r="P4983" s="16"/>
    </row>
    <row r="4984">
      <c r="A4984" s="19"/>
      <c r="B4984" s="19"/>
      <c r="P4984" s="16"/>
    </row>
    <row r="4985">
      <c r="A4985" s="19"/>
      <c r="B4985" s="19"/>
      <c r="P4985" s="16"/>
    </row>
    <row r="4986">
      <c r="A4986" s="19"/>
      <c r="B4986" s="19"/>
      <c r="P4986" s="16"/>
    </row>
    <row r="4987">
      <c r="A4987" s="19"/>
      <c r="B4987" s="19"/>
      <c r="P4987" s="16"/>
    </row>
    <row r="4988">
      <c r="A4988" s="19"/>
      <c r="B4988" s="19"/>
      <c r="P4988" s="16"/>
    </row>
    <row r="4989">
      <c r="A4989" s="19"/>
      <c r="B4989" s="19"/>
      <c r="P4989" s="16"/>
    </row>
    <row r="4990">
      <c r="A4990" s="19"/>
      <c r="B4990" s="19"/>
      <c r="P4990" s="16"/>
    </row>
    <row r="4991">
      <c r="A4991" s="19"/>
      <c r="B4991" s="19"/>
      <c r="P4991" s="16"/>
    </row>
    <row r="4992">
      <c r="A4992" s="19"/>
      <c r="B4992" s="19"/>
      <c r="P4992" s="16"/>
    </row>
    <row r="4993">
      <c r="A4993" s="19"/>
      <c r="B4993" s="19"/>
      <c r="P4993" s="16"/>
    </row>
    <row r="4994">
      <c r="A4994" s="19"/>
      <c r="B4994" s="19"/>
      <c r="P4994" s="16"/>
    </row>
    <row r="4995">
      <c r="A4995" s="19"/>
      <c r="B4995" s="19"/>
      <c r="P4995" s="16"/>
    </row>
    <row r="4996">
      <c r="A4996" s="19"/>
      <c r="B4996" s="19"/>
      <c r="P4996" s="16"/>
    </row>
    <row r="4997">
      <c r="A4997" s="19"/>
      <c r="B4997" s="19"/>
      <c r="P4997" s="16"/>
    </row>
    <row r="4998">
      <c r="A4998" s="19"/>
      <c r="B4998" s="19"/>
      <c r="P4998" s="16"/>
    </row>
    <row r="4999">
      <c r="A4999" s="19"/>
      <c r="B4999" s="19"/>
      <c r="P4999" s="16"/>
    </row>
    <row r="5000">
      <c r="A5000" s="19"/>
      <c r="B5000" s="19"/>
      <c r="P5000" s="16"/>
    </row>
    <row r="5001">
      <c r="A5001" s="19"/>
      <c r="B5001" s="19"/>
      <c r="P5001" s="16"/>
    </row>
    <row r="5002">
      <c r="A5002" s="19"/>
      <c r="B5002" s="19"/>
      <c r="P5002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81</v>
      </c>
      <c r="B1" s="20" t="s">
        <v>203</v>
      </c>
      <c r="C1" s="21"/>
      <c r="D1" s="20" t="s">
        <v>205</v>
      </c>
      <c r="E1" s="20" t="s">
        <v>203</v>
      </c>
      <c r="F1" s="21"/>
      <c r="G1" s="21" t="str">
        <f>IFERROR(__xludf.DUMMYFUNCTION("QUERY(DADOS!$A$1:$V$5001,""select Col4, count(Col7) where Col22 = true and Col4 &lt;&gt; '' group by Col4 order by count(Col7) desc, Col4 limit 10 label Col4 'Destino', count(Col7) 'CT-es'"",1)"),"Destino")</f>
        <v>Destino</v>
      </c>
      <c r="H1" s="21" t="str">
        <f>IFERROR(__xludf.DUMMYFUNCTION("""COMPUTED_VALUE"""),"CT-es")</f>
        <v>CT-es</v>
      </c>
      <c r="I1" s="21"/>
      <c r="J1" s="21" t="str">
        <f>IFERROR(__xludf.DUMMYFUNCTION("QUERY(DADOS!$A$1:$V$5001,""select Col4, avg(Col3) where Col22 = true and Col4 &lt;&gt; '' and Col3 is not null group by Col4 order by avg(Col3) desc, Col4 limit 10 label Col4 'Destino', avg(Col3) 'Prazo médio (dias)'"",1)"),"Destino")</f>
        <v>Destino</v>
      </c>
      <c r="K1" s="21" t="str">
        <f>IFERROR(__xludf.DUMMYFUNCTION("""COMPUTED_VALUE"""),"Prazo médio (dias)")</f>
        <v>Prazo médio (dias)</v>
      </c>
      <c r="L1" s="21"/>
      <c r="M1" s="21" t="str">
        <f>IFERROR(__xludf.DUMMYFUNCTION("QUERY(DADOS!$A$1:$V$5001,""select Col6, count(Col7) where Col22 = true and Col6 &lt;&gt; '' group by Col6 order by count(Col7) desc, Col6 limit 8 label Col6 'Remetente', count(Col7) 'CT-es'"",1)"),"Remetente")</f>
        <v>Remetente</v>
      </c>
      <c r="N1" s="21" t="str">
        <f>IFERROR(__xludf.DUMMYFUNCTION("""COMPUTED_VALUE"""),"CT-es")</f>
        <v>CT-es</v>
      </c>
      <c r="O1" s="21"/>
      <c r="P1" s="21" t="str">
        <f>IFERROR(__xludf.DUMMYFUNCTION("QUERY(DADOS!$A$1:$V$5001,""select Col10, count(Col7) where Col22 = true and Col10 &lt;&gt; '' group by Col10 order by count(Col7) desc label Col10 'Tipo de frete', count(Col7) 'CT-es'"",1)"),"Tipo de frete")</f>
        <v>Tipo de frete</v>
      </c>
      <c r="Q1" s="21" t="str">
        <f>IFERROR(__xludf.DUMMYFUNCTION("""COMPUTED_VALUE"""),"CT-es")</f>
        <v>CT-es</v>
      </c>
      <c r="R1" s="21"/>
      <c r="S1" s="21" t="str">
        <f>IFERROR(__xludf.DUMMYFUNCTION("QUERY(DADOS!$A$1:$V$5001,""select Col12, count(Col7) where Col22 = true and Col12 &lt;&gt; '' group by Col12 order by count(Col7) desc label Col12 'Situação CT-e', count(Col7) 'CT-es'"",1)"),"Situação CT-e")</f>
        <v>Situação CT-e</v>
      </c>
      <c r="T1" s="21" t="str">
        <f>IFERROR(__xludf.DUMMYFUNCTION("""COMPUTED_VALUE"""),"CT-es")</f>
        <v>CT-es</v>
      </c>
      <c r="U1" s="21"/>
      <c r="V1" s="21" t="str">
        <f>IFERROR(__xludf.DUMMYFUNCTION("QUERY(DADOS!$A$1:$V$5001,""select Col11, count(Col7) where Col22 = true and Col11 &lt;&gt; '' group by Col11 order by count(Col7) desc label Col11 'Célula', count(Col7) 'CT-es'"",1)"),"Célula")</f>
        <v>Célula</v>
      </c>
      <c r="W1" s="21" t="str">
        <f>IFERROR(__xludf.DUMMYFUNCTION("""COMPUTED_VALUE"""),"CT-es")</f>
        <v>CT-es</v>
      </c>
      <c r="X1" s="21"/>
      <c r="Y1" s="20" t="s">
        <v>214</v>
      </c>
      <c r="Z1" s="20" t="s">
        <v>203</v>
      </c>
    </row>
    <row r="2">
      <c r="A2" s="22" t="str">
        <f>IFERROR(__xludf.DUMMYFUNCTION("IFERROR(LET(d,SORT(UNIQUE(FILTER(DADOS!$A$2:$A$5001,DADOS!$V$2:$V$5001=TRUE,DADOS!$A$2:$A$5001&lt;&gt;""""))),{ARRAYFORMULA(TEXT(d,""dd/mm"")),ARRAYFORMULA(COUNTIFS(DADOS!$A$2:$A$5001,d,DADOS!$V$2:$V$5001,TRUE))}),"""")"),"09/10")</f>
        <v>09/10</v>
      </c>
      <c r="B2" s="22">
        <f>IFERROR(__xludf.DUMMYFUNCTION("""COMPUTED_VALUE"""),11.0)</f>
        <v>11</v>
      </c>
      <c r="C2" s="22"/>
      <c r="D2" s="22" t="str">
        <f>IFERROR(__xludf.DUMMYFUNCTION("IFERROR(LET(d,SORT(UNIQUE(FILTER(DADOS!$B$2:$B$5001,DADOS!$V$2:$V$5001=TRUE,DADOS!$B$2:$B$5001&lt;&gt;""""))),{ARRAYFORMULA(TEXT(d,""dd/mm"")),ARRAYFORMULA(COUNTIFS(DADOS!$B$2:$B$5001,d,DADOS!$V$2:$V$5001,TRUE))}),"""")"),"22/10")</f>
        <v>22/10</v>
      </c>
      <c r="E2" s="22">
        <f>IFERROR(__xludf.DUMMYFUNCTION("""COMPUTED_VALUE"""),1.0)</f>
        <v>1</v>
      </c>
      <c r="F2" s="22"/>
      <c r="G2" s="22" t="str">
        <f>IFERROR(__xludf.DUMMYFUNCTION("""COMPUTED_VALUE"""),"ABS")</f>
        <v>ABS</v>
      </c>
      <c r="H2" s="22">
        <f>IFERROR(__xludf.DUMMYFUNCTION("""COMPUTED_VALUE"""),1.0)</f>
        <v>1</v>
      </c>
      <c r="I2" s="22"/>
      <c r="J2" s="22" t="str">
        <f>IFERROR(__xludf.DUMMYFUNCTION("""COMPUTED_VALUE"""),"BUQ")</f>
        <v>BUQ</v>
      </c>
      <c r="K2" s="22">
        <f>IFERROR(__xludf.DUMMYFUNCTION("""COMPUTED_VALUE"""),12.0)</f>
        <v>12</v>
      </c>
      <c r="L2" s="22"/>
      <c r="M2" s="22" t="str">
        <f>IFERROR(__xludf.DUMMYFUNCTION("""COMPUTED_VALUE"""),"DATEN TECNOLOGIA")</f>
        <v>DATEN TECNOLOGIA</v>
      </c>
      <c r="N2" s="22">
        <f>IFERROR(__xludf.DUMMYFUNCTION("""COMPUTED_VALUE"""),11.0)</f>
        <v>11</v>
      </c>
      <c r="O2" s="22"/>
      <c r="P2" s="22" t="str">
        <f>IFERROR(__xludf.DUMMYFUNCTION("""COMPUTED_VALUE"""),"CIF")</f>
        <v>CIF</v>
      </c>
      <c r="Q2" s="22">
        <f>IFERROR(__xludf.DUMMYFUNCTION("""COMPUTED_VALUE"""),11.0)</f>
        <v>11</v>
      </c>
      <c r="R2" s="22"/>
      <c r="S2" s="22" t="str">
        <f>IFERROR(__xludf.DUMMYFUNCTION("""COMPUTED_VALUE"""),"AUTORIZADO")</f>
        <v>AUTORIZADO</v>
      </c>
      <c r="T2" s="22">
        <f>IFERROR(__xludf.DUMMYFUNCTION("""COMPUTED_VALUE"""),11.0)</f>
        <v>11</v>
      </c>
      <c r="U2" s="22"/>
      <c r="V2" s="22" t="str">
        <f>IFERROR(__xludf.DUMMYFUNCTION("""COMPUTED_VALUE"""),"(sem célula)")</f>
        <v>(sem célula)</v>
      </c>
      <c r="W2" s="22">
        <f>IFERROR(__xludf.DUMMYFUNCTION("""COMPUTED_VALUE"""),6.0)</f>
        <v>6</v>
      </c>
      <c r="X2" s="22"/>
      <c r="Y2" s="23" t="s">
        <v>225</v>
      </c>
      <c r="Z2" s="22">
        <f>COUNTIFS(DADOS!$V$2:$V$5001,TRUE,DADOS!$C$2:$C$5001,"&gt;=0",DADOS!$C$2:$C$5001,"&lt;=5")</f>
        <v>0</v>
      </c>
    </row>
    <row r="3">
      <c r="A3" s="22"/>
      <c r="B3" s="22"/>
      <c r="C3" s="22"/>
      <c r="D3" s="22" t="str">
        <f>IFERROR(__xludf.DUMMYFUNCTION("""COMPUTED_VALUE"""),"23/10")</f>
        <v>23/10</v>
      </c>
      <c r="E3" s="22">
        <f>IFERROR(__xludf.DUMMYFUNCTION("""COMPUTED_VALUE"""),3.0)</f>
        <v>3</v>
      </c>
      <c r="F3" s="22"/>
      <c r="G3" s="22" t="str">
        <f>IFERROR(__xludf.DUMMYFUNCTION("""COMPUTED_VALUE"""),"BAU")</f>
        <v>BAU</v>
      </c>
      <c r="H3" s="22">
        <f>IFERROR(__xludf.DUMMYFUNCTION("""COMPUTED_VALUE"""),1.0)</f>
        <v>1</v>
      </c>
      <c r="I3" s="22"/>
      <c r="J3" s="22" t="str">
        <f>IFERROR(__xludf.DUMMYFUNCTION("""COMPUTED_VALUE"""),"ITJ")</f>
        <v>ITJ</v>
      </c>
      <c r="K3" s="22">
        <f>IFERROR(__xludf.DUMMYFUNCTION("""COMPUTED_VALUE"""),11.0)</f>
        <v>11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 t="str">
        <f>IFERROR(__xludf.DUMMYFUNCTION("""COMPUTED_VALUE"""),"FSA-1")</f>
        <v>FSA-1</v>
      </c>
      <c r="W3" s="22">
        <f>IFERROR(__xludf.DUMMYFUNCTION("""COMPUTED_VALUE"""),5.0)</f>
        <v>5</v>
      </c>
      <c r="X3" s="22"/>
      <c r="Y3" s="23" t="s">
        <v>231</v>
      </c>
      <c r="Z3" s="22">
        <f>COUNTIFS(DADOS!$V$2:$V$5001,TRUE,DADOS!$C$2:$C$5001,"&gt;=6",DADOS!$C$2:$C$5001,"&lt;=7")</f>
        <v>0</v>
      </c>
    </row>
    <row r="4">
      <c r="A4" s="22"/>
      <c r="B4" s="22"/>
      <c r="C4" s="22"/>
      <c r="D4" s="22" t="str">
        <f>IFERROR(__xludf.DUMMYFUNCTION("""COMPUTED_VALUE"""),"26/10")</f>
        <v>26/10</v>
      </c>
      <c r="E4" s="22">
        <f>IFERROR(__xludf.DUMMYFUNCTION("""COMPUTED_VALUE"""),5.0)</f>
        <v>5</v>
      </c>
      <c r="F4" s="22"/>
      <c r="G4" s="22" t="str">
        <f>IFERROR(__xludf.DUMMYFUNCTION("""COMPUTED_VALUE"""),"BHZ")</f>
        <v>BHZ</v>
      </c>
      <c r="H4" s="22">
        <f>IFERROR(__xludf.DUMMYFUNCTION("""COMPUTED_VALUE"""),1.0)</f>
        <v>1</v>
      </c>
      <c r="I4" s="22"/>
      <c r="J4" s="22" t="str">
        <f>IFERROR(__xludf.DUMMYFUNCTION("""COMPUTED_VALUE"""),"ABS")</f>
        <v>ABS</v>
      </c>
      <c r="K4" s="22">
        <f>IFERROR(__xludf.DUMMYFUNCTION("""COMPUTED_VALUE"""),10.0)</f>
        <v>10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3" t="s">
        <v>236</v>
      </c>
      <c r="Z4" s="22">
        <f>COUNTIFS(DADOS!$V$2:$V$5001,TRUE,DADOS!$C$2:$C$5001,"&gt;=8",DADOS!$C$2:$C$5001,"&lt;=9")</f>
        <v>4</v>
      </c>
    </row>
    <row r="5">
      <c r="A5" s="22"/>
      <c r="B5" s="22"/>
      <c r="C5" s="22"/>
      <c r="D5" s="22" t="str">
        <f>IFERROR(__xludf.DUMMYFUNCTION("""COMPUTED_VALUE"""),"27/10")</f>
        <v>27/10</v>
      </c>
      <c r="E5" s="22">
        <f>IFERROR(__xludf.DUMMYFUNCTION("""COMPUTED_VALUE"""),1.0)</f>
        <v>1</v>
      </c>
      <c r="F5" s="22"/>
      <c r="G5" s="22" t="str">
        <f>IFERROR(__xludf.DUMMYFUNCTION("""COMPUTED_VALUE"""),"BSB")</f>
        <v>BSB</v>
      </c>
      <c r="H5" s="22">
        <f>IFERROR(__xludf.DUMMYFUNCTION("""COMPUTED_VALUE"""),1.0)</f>
        <v>1</v>
      </c>
      <c r="I5" s="22"/>
      <c r="J5" s="22" t="str">
        <f>IFERROR(__xludf.DUMMYFUNCTION("""COMPUTED_VALUE"""),"BAU")</f>
        <v>BAU</v>
      </c>
      <c r="K5" s="22">
        <f>IFERROR(__xludf.DUMMYFUNCTION("""COMPUTED_VALUE"""),10.0)</f>
        <v>10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3" t="s">
        <v>242</v>
      </c>
      <c r="Z5" s="22">
        <f>COUNTIFS(DADOS!$V$2:$V$5001,TRUE,DADOS!$C$2:$C$5001,"&gt;=10",DADOS!$C$2:$C$5001,"&lt;=12")</f>
        <v>7</v>
      </c>
    </row>
    <row r="6">
      <c r="A6" s="22"/>
      <c r="B6" s="22"/>
      <c r="C6" s="22"/>
      <c r="D6" s="22" t="str">
        <f>IFERROR(__xludf.DUMMYFUNCTION("""COMPUTED_VALUE"""),"28/10")</f>
        <v>28/10</v>
      </c>
      <c r="E6" s="22">
        <f>IFERROR(__xludf.DUMMYFUNCTION("""COMPUTED_VALUE"""),1.0)</f>
        <v>1</v>
      </c>
      <c r="F6" s="22"/>
      <c r="G6" s="22" t="str">
        <f>IFERROR(__xludf.DUMMYFUNCTION("""COMPUTED_VALUE"""),"BUQ")</f>
        <v>BUQ</v>
      </c>
      <c r="H6" s="22">
        <f>IFERROR(__xludf.DUMMYFUNCTION("""COMPUTED_VALUE"""),1.0)</f>
        <v>1</v>
      </c>
      <c r="I6" s="22"/>
      <c r="J6" s="22" t="str">
        <f>IFERROR(__xludf.DUMMYFUNCTION("""COMPUTED_VALUE"""),"BHZ")</f>
        <v>BHZ</v>
      </c>
      <c r="K6" s="22">
        <f>IFERROR(__xludf.DUMMYFUNCTION("""COMPUTED_VALUE"""),10.0)</f>
        <v>10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 t="s">
        <v>246</v>
      </c>
      <c r="Z6" s="22">
        <f>COUNTIFS(DADOS!$V$2:$V$5001,TRUE,DADOS!$C$2:$C$5001,"&gt;=13",DADOS!$C$2:$C$5001,"&lt;=15")</f>
        <v>0</v>
      </c>
    </row>
    <row r="7">
      <c r="A7" s="22"/>
      <c r="B7" s="22"/>
      <c r="C7" s="22"/>
      <c r="D7" s="22"/>
      <c r="E7" s="22"/>
      <c r="F7" s="22"/>
      <c r="G7" s="22" t="str">
        <f>IFERROR(__xludf.DUMMYFUNCTION("""COMPUTED_VALUE"""),"FSA")</f>
        <v>FSA</v>
      </c>
      <c r="H7" s="22">
        <f>IFERROR(__xludf.DUMMYFUNCTION("""COMPUTED_VALUE"""),1.0)</f>
        <v>1</v>
      </c>
      <c r="I7" s="22"/>
      <c r="J7" s="22" t="str">
        <f>IFERROR(__xludf.DUMMYFUNCTION("""COMPUTED_VALUE"""),"BSB")</f>
        <v>BSB</v>
      </c>
      <c r="K7" s="22">
        <f>IFERROR(__xludf.DUMMYFUNCTION("""COMPUTED_VALUE"""),10.0)</f>
        <v>10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3" t="s">
        <v>254</v>
      </c>
      <c r="Z7" s="22">
        <f>COUNTIFS(DADOS!$V$2:$V$5001,TRUE,DADOS!$C$2:$C$5001,"&gt;=16",DADOS!$C$2:$C$5001,"&lt;=99999")</f>
        <v>0</v>
      </c>
    </row>
    <row r="8">
      <c r="A8" s="22"/>
      <c r="B8" s="22"/>
      <c r="C8" s="22"/>
      <c r="D8" s="22"/>
      <c r="E8" s="22"/>
      <c r="F8" s="22"/>
      <c r="G8" s="22" t="str">
        <f>IFERROR(__xludf.DUMMYFUNCTION("""COMPUTED_VALUE"""),"ITJ")</f>
        <v>ITJ</v>
      </c>
      <c r="H8" s="22">
        <f>IFERROR(__xludf.DUMMYFUNCTION("""COMPUTED_VALUE"""),1.0)</f>
        <v>1</v>
      </c>
      <c r="I8" s="22"/>
      <c r="J8" s="22" t="str">
        <f>IFERROR(__xludf.DUMMYFUNCTION("""COMPUTED_VALUE"""),"RIO")</f>
        <v>RIO</v>
      </c>
      <c r="K8" s="22">
        <f>IFERROR(__xludf.DUMMYFUNCTION("""COMPUTED_VALUE"""),10.0)</f>
        <v>10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 t="str">
        <f>IFERROR(__xludf.DUMMYFUNCTION("""COMPUTED_VALUE"""),"MCZ")</f>
        <v>MCZ</v>
      </c>
      <c r="H9" s="22">
        <f>IFERROR(__xludf.DUMMYFUNCTION("""COMPUTED_VALUE"""),1.0)</f>
        <v>1</v>
      </c>
      <c r="I9" s="22"/>
      <c r="J9" s="22" t="str">
        <f>IFERROR(__xludf.DUMMYFUNCTION("""COMPUTED_VALUE"""),"MCZ")</f>
        <v>MCZ</v>
      </c>
      <c r="K9" s="22">
        <f>IFERROR(__xludf.DUMMYFUNCTION("""COMPUTED_VALUE"""),9.0)</f>
        <v>9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 t="str">
        <f>IFERROR(__xludf.DUMMYFUNCTION("""COMPUTED_VALUE"""),"NAT")</f>
        <v>NAT</v>
      </c>
      <c r="H10" s="22">
        <f>IFERROR(__xludf.DUMMYFUNCTION("""COMPUTED_VALUE"""),1.0)</f>
        <v>1</v>
      </c>
      <c r="I10" s="22"/>
      <c r="J10" s="22" t="str">
        <f>IFERROR(__xludf.DUMMYFUNCTION("""COMPUTED_VALUE"""),"NAT")</f>
        <v>NAT</v>
      </c>
      <c r="K10" s="22">
        <f>IFERROR(__xludf.DUMMYFUNCTION("""COMPUTED_VALUE"""),9.0)</f>
        <v>9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 t="str">
        <f>IFERROR(__xludf.DUMMYFUNCTION("""COMPUTED_VALUE"""),"REC")</f>
        <v>REC</v>
      </c>
      <c r="H11" s="22">
        <f>IFERROR(__xludf.DUMMYFUNCTION("""COMPUTED_VALUE"""),1.0)</f>
        <v>1</v>
      </c>
      <c r="I11" s="22"/>
      <c r="J11" s="22" t="str">
        <f>IFERROR(__xludf.DUMMYFUNCTION("""COMPUTED_VALUE"""),"REC")</f>
        <v>REC</v>
      </c>
      <c r="K11" s="22">
        <f>IFERROR(__xludf.DUMMYFUNCTION("""COMPUTED_VALUE"""),9.0)</f>
        <v>9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outlinePr summaryBelow="0" summaryRight="0"/>
  </sheetPr>
  <sheetViews>
    <sheetView workbookViewId="0"/>
  </sheetViews>
  <sheetFormatPr customHeight="1" defaultColWidth="12.63" defaultRowHeight="15.75"/>
  <sheetData>
    <row r="1">
      <c r="A1" s="15" t="str">
        <f>IFERROR(__xludf.DUMMYFUNCTION("IFERROR({""Todos"";SORT(UNIQUE(FILTER(DADOS!$D$2:$D$5001,DADOS!$D$2:$D$5001&lt;&gt;"""")))},""Todos"")"),"Todos")</f>
        <v>Todos</v>
      </c>
      <c r="B1" s="15" t="str">
        <f>IFERROR(__xludf.DUMMYFUNCTION("IFERROR({""Todos"";SORT(UNIQUE(FILTER(DADOS!$F$2:$F$5001,DADOS!$F$2:$F$5001&lt;&gt;"""")))},""Todos"")"),"Todos")</f>
        <v>Todos</v>
      </c>
      <c r="C1" s="15" t="str">
        <f>IFERROR(__xludf.DUMMYFUNCTION("IFERROR({""Todos"";SORT(UNIQUE(FILTER(DADOS!$L$2:$L$5001,DADOS!$L$2:$L$5001&lt;&gt;"""")))},""Todos"")"),"Todos")</f>
        <v>Todos</v>
      </c>
      <c r="D1" s="15" t="str">
        <f>IFERROR(__xludf.DUMMYFUNCTION("IFERROR({""Todos"";SORT(UNIQUE(FILTER(DADOS!$J$2:$J$5001,DADOS!$J$2:$J$5001&lt;&gt;"""")))},""Todos"")"),"Todos")</f>
        <v>Todos</v>
      </c>
      <c r="E1" s="15" t="str">
        <f>IFERROR(__xludf.DUMMYFUNCTION("IFERROR({""Todos"";SORT(UNIQUE(FILTER(DADOS!$K$2:$K$5001,DADOS!$K$2:$K$5001&lt;&gt;"""")))},""Todos"")"),"Todos")</f>
        <v>Todos</v>
      </c>
      <c r="F1" s="15" t="str">
        <f>IFERROR(__xludf.DUMMYFUNCTION("IFERROR({""Todos"";SORT(UNIQUE(FILTER(DADOS!$O$2:$O$5001,DADOS!$O$2:$O$5001&lt;&gt;"""")))},""Todos"")"),"Todos")</f>
        <v>Todos</v>
      </c>
    </row>
    <row r="2">
      <c r="A2" s="15" t="str">
        <f>IFERROR(__xludf.DUMMYFUNCTION("""COMPUTED_VALUE"""),"ABS")</f>
        <v>ABS</v>
      </c>
      <c r="B2" s="15" t="str">
        <f>IFERROR(__xludf.DUMMYFUNCTION("""COMPUTED_VALUE"""),"-")</f>
        <v>-</v>
      </c>
      <c r="C2" s="15" t="str">
        <f>IFERROR(__xludf.DUMMYFUNCTION("""COMPUTED_VALUE"""),"AUTORIZADO")</f>
        <v>AUTORIZADO</v>
      </c>
      <c r="D2" s="15" t="str">
        <f>IFERROR(__xludf.DUMMYFUNCTION("""COMPUTED_VALUE"""),"CIF")</f>
        <v>CIF</v>
      </c>
      <c r="E2" s="15" t="str">
        <f>IFERROR(__xludf.DUMMYFUNCTION("""COMPUTED_VALUE"""),"(sem célula)")</f>
        <v>(sem célula)</v>
      </c>
      <c r="F2" s="15" t="str">
        <f>IFERROR(__xludf.DUMMYFUNCTION("""COMPUTED_VALUE"""),"(não informada)")</f>
        <v>(não informada)</v>
      </c>
    </row>
    <row r="3">
      <c r="A3" s="15" t="str">
        <f>IFERROR(__xludf.DUMMYFUNCTION("""COMPUTED_VALUE"""),"AJU")</f>
        <v>AJU</v>
      </c>
      <c r="B3" s="15" t="str">
        <f>IFERROR(__xludf.DUMMYFUNCTION("""COMPUTED_VALUE"""),"BAHIAFLEX ETIQUETAS E ROTULOS")</f>
        <v>BAHIAFLEX ETIQUETAS E ROTULOS</v>
      </c>
      <c r="C3" s="15" t="str">
        <f>IFERROR(__xludf.DUMMYFUNCTION("""COMPUTED_VALUE"""),"ERRO")</f>
        <v>ERRO</v>
      </c>
      <c r="D3" s="15" t="str">
        <f>IFERROR(__xludf.DUMMYFUNCTION("""COMPUTED_VALUE"""),"CSG")</f>
        <v>CSG</v>
      </c>
      <c r="E3" s="15" t="str">
        <f>IFERROR(__xludf.DUMMYFUNCTION("""COMPUTED_VALUE"""),"FSA-1")</f>
        <v>FSA-1</v>
      </c>
      <c r="F3" s="15" t="str">
        <f>IFERROR(__xludf.DUMMYFUNCTION("""COMPUTED_VALUE"""),"B2B")</f>
        <v>B2B</v>
      </c>
    </row>
    <row r="4">
      <c r="A4" s="15" t="str">
        <f>IFERROR(__xludf.DUMMYFUNCTION("""COMPUTED_VALUE"""),"AQA")</f>
        <v>AQA</v>
      </c>
      <c r="B4" s="15" t="str">
        <f>IFERROR(__xludf.DUMMYFUNCTION("""COMPUTED_VALUE"""),"DATEN TECNOLOGIA")</f>
        <v>DATEN TECNOLOGIA</v>
      </c>
      <c r="C4" s="15" t="str">
        <f>IFERROR(__xludf.DUMMYFUNCTION("""COMPUTED_VALUE"""),"SEM CT-E")</f>
        <v>SEM CT-E</v>
      </c>
      <c r="D4" s="15" t="str">
        <f>IFERROR(__xludf.DUMMYFUNCTION("""COMPUTED_VALUE"""),"FOB")</f>
        <v>FOB</v>
      </c>
      <c r="E4" s="15" t="str">
        <f>IFERROR(__xludf.DUMMYFUNCTION("""COMPUTED_VALUE"""),"SAO-1")</f>
        <v>SAO-1</v>
      </c>
    </row>
    <row r="5">
      <c r="A5" s="15" t="str">
        <f>IFERROR(__xludf.DUMMYFUNCTION("""COMPUTED_VALUE"""),"ARU")</f>
        <v>ARU</v>
      </c>
      <c r="B5" s="15" t="str">
        <f>IFERROR(__xludf.DUMMYFUNCTION("""COMPUTED_VALUE"""),"DISCOM")</f>
        <v>DISCOM</v>
      </c>
    </row>
    <row r="6">
      <c r="A6" s="15" t="str">
        <f>IFERROR(__xludf.DUMMYFUNCTION("""COMPUTED_VALUE"""),"ATB")</f>
        <v>ATB</v>
      </c>
      <c r="B6" s="15" t="str">
        <f>IFERROR(__xludf.DUMMYFUNCTION("""COMPUTED_VALUE"""),"DISTRIBUIDORA PARAIBANA")</f>
        <v>DISTRIBUIDORA PARAIBANA</v>
      </c>
    </row>
    <row r="7">
      <c r="A7" s="15" t="str">
        <f>IFERROR(__xludf.DUMMYFUNCTION("""COMPUTED_VALUE"""),"AUX")</f>
        <v>AUX</v>
      </c>
      <c r="B7" s="15" t="str">
        <f>IFERROR(__xludf.DUMMYFUNCTION("""COMPUTED_VALUE"""),"EMPORIO BIBOCA")</f>
        <v>EMPORIO BIBOCA</v>
      </c>
    </row>
    <row r="8">
      <c r="A8" s="15" t="str">
        <f>IFERROR(__xludf.DUMMYFUNCTION("""COMPUTED_VALUE"""),"BAU")</f>
        <v>BAU</v>
      </c>
      <c r="B8" s="15" t="str">
        <f>IFERROR(__xludf.DUMMYFUNCTION("""COMPUTED_VALUE"""),"FARMACIA LUZ DE EUNAPOLIS")</f>
        <v>FARMACIA LUZ DE EUNAPOLIS</v>
      </c>
    </row>
    <row r="9">
      <c r="A9" s="15" t="str">
        <f>IFERROR(__xludf.DUMMYFUNCTION("""COMPUTED_VALUE"""),"BB2")</f>
        <v>BB2</v>
      </c>
      <c r="B9" s="15" t="str">
        <f>IFERROR(__xludf.DUMMYFUNCTION("""COMPUTED_VALUE"""),"JANINE CAMPOS RODRIGUES 06090904538")</f>
        <v>JANINE CAMPOS RODRIGUES 06090904538</v>
      </c>
    </row>
    <row r="10">
      <c r="A10" s="15" t="str">
        <f>IFERROR(__xludf.DUMMYFUNCTION("""COMPUTED_VALUE"""),"BCG")</f>
        <v>BCG</v>
      </c>
      <c r="B10" s="15" t="str">
        <f>IFERROR(__xludf.DUMMYFUNCTION("""COMPUTED_VALUE"""),"LINK DO BRASIL PRODUTOS ELETRONICOS LTDA")</f>
        <v>LINK DO BRASIL PRODUTOS ELETRONICOS LTDA</v>
      </c>
    </row>
    <row r="11">
      <c r="A11" s="15" t="str">
        <f>IFERROR(__xludf.DUMMYFUNCTION("""COMPUTED_VALUE"""),"BEL")</f>
        <v>BEL</v>
      </c>
      <c r="B11" s="15" t="str">
        <f>IFERROR(__xludf.DUMMYFUNCTION("""COMPUTED_VALUE"""),"PRISCILLA SANTOS GUIMARAES")</f>
        <v>PRISCILLA SANTOS GUIMARAES</v>
      </c>
    </row>
    <row r="12">
      <c r="A12" s="15" t="str">
        <f>IFERROR(__xludf.DUMMYFUNCTION("""COMPUTED_VALUE"""),"BHZ")</f>
        <v>BHZ</v>
      </c>
      <c r="B12" s="15" t="str">
        <f>IFERROR(__xludf.DUMMYFUNCTION("""COMPUTED_VALUE"""),"SANTOS ARAUJO INDUSTRIA COMERCIO E REPRE")</f>
        <v>SANTOS ARAUJO INDUSTRIA COMERCIO E REPRE</v>
      </c>
    </row>
    <row r="13">
      <c r="A13" s="15" t="str">
        <f>IFERROR(__xludf.DUMMYFUNCTION("""COMPUTED_VALUE"""),"BNU")</f>
        <v>BNU</v>
      </c>
      <c r="B13" s="15" t="str">
        <f>IFERROR(__xludf.DUMMYFUNCTION("""COMPUTED_VALUE"""),"SENSORE COMERCIO DISTRIBUICAO EXPORT IMP")</f>
        <v>SENSORE COMERCIO DISTRIBUICAO EXPORT IMP</v>
      </c>
    </row>
    <row r="14">
      <c r="A14" s="15" t="str">
        <f>IFERROR(__xludf.DUMMYFUNCTION("""COMPUTED_VALUE"""),"BSB")</f>
        <v>BSB</v>
      </c>
      <c r="B14" s="15" t="str">
        <f>IFERROR(__xludf.DUMMYFUNCTION("""COMPUTED_VALUE"""),"TRIFIL")</f>
        <v>TRIFIL</v>
      </c>
    </row>
    <row r="15">
      <c r="A15" s="15" t="str">
        <f>IFERROR(__xludf.DUMMYFUNCTION("""COMPUTED_VALUE"""),"BTB")</f>
        <v>BTB</v>
      </c>
      <c r="B15" s="15" t="str">
        <f>IFERROR(__xludf.DUMMYFUNCTION("""COMPUTED_VALUE"""),"Valquiria D El Rey Vieira")</f>
        <v>Valquiria D El Rey Vieira</v>
      </c>
    </row>
    <row r="16">
      <c r="A16" s="15" t="str">
        <f>IFERROR(__xludf.DUMMYFUNCTION("""COMPUTED_VALUE"""),"BUQ")</f>
        <v>BUQ</v>
      </c>
    </row>
    <row r="17">
      <c r="A17" s="15" t="str">
        <f>IFERROR(__xludf.DUMMYFUNCTION("""COMPUTED_VALUE"""),"BVB")</f>
        <v>BVB</v>
      </c>
    </row>
    <row r="18">
      <c r="A18" s="15" t="str">
        <f>IFERROR(__xludf.DUMMYFUNCTION("""COMPUTED_VALUE"""),"CAC")</f>
        <v>CAC</v>
      </c>
    </row>
    <row r="19">
      <c r="A19" s="15" t="str">
        <f>IFERROR(__xludf.DUMMYFUNCTION("""COMPUTED_VALUE"""),"CAU")</f>
        <v>CAU</v>
      </c>
    </row>
    <row r="20">
      <c r="A20" s="15" t="str">
        <f>IFERROR(__xludf.DUMMYFUNCTION("""COMPUTED_VALUE"""),"CAW")</f>
        <v>CAW</v>
      </c>
    </row>
    <row r="21">
      <c r="A21" s="15" t="str">
        <f>IFERROR(__xludf.DUMMYFUNCTION("""COMPUTED_VALUE"""),"CCM")</f>
        <v>CCM</v>
      </c>
    </row>
    <row r="22">
      <c r="A22" s="15" t="str">
        <f>IFERROR(__xludf.DUMMYFUNCTION("""COMPUTED_VALUE"""),"CCT")</f>
        <v>CCT</v>
      </c>
    </row>
    <row r="23">
      <c r="A23" s="15" t="str">
        <f>IFERROR(__xludf.DUMMYFUNCTION("""COMPUTED_VALUE"""),"CGB")</f>
        <v>CGB</v>
      </c>
    </row>
    <row r="24">
      <c r="A24" s="15" t="str">
        <f>IFERROR(__xludf.DUMMYFUNCTION("""COMPUTED_VALUE"""),"CHP")</f>
        <v>CHP</v>
      </c>
    </row>
    <row r="25">
      <c r="A25" s="15" t="str">
        <f>IFERROR(__xludf.DUMMYFUNCTION("""COMPUTED_VALUE"""),"CJZ")</f>
        <v>CJZ</v>
      </c>
    </row>
    <row r="26">
      <c r="A26" s="15" t="str">
        <f>IFERROR(__xludf.DUMMYFUNCTION("""COMPUTED_VALUE"""),"COL")</f>
        <v>COL</v>
      </c>
    </row>
    <row r="27">
      <c r="A27" s="15" t="str">
        <f>IFERROR(__xludf.DUMMYFUNCTION("""COMPUTED_VALUE"""),"CPQ")</f>
        <v>CPQ</v>
      </c>
    </row>
    <row r="28">
      <c r="A28" s="15" t="str">
        <f>IFERROR(__xludf.DUMMYFUNCTION("""COMPUTED_VALUE"""),"CPV")</f>
        <v>CPV</v>
      </c>
    </row>
    <row r="29">
      <c r="A29" s="15" t="str">
        <f>IFERROR(__xludf.DUMMYFUNCTION("""COMPUTED_VALUE"""),"CSU")</f>
        <v>CSU</v>
      </c>
    </row>
    <row r="30">
      <c r="A30" s="15" t="str">
        <f>IFERROR(__xludf.DUMMYFUNCTION("""COMPUTED_VALUE"""),"CWB")</f>
        <v>CWB</v>
      </c>
    </row>
    <row r="31">
      <c r="A31" s="15" t="str">
        <f>IFERROR(__xludf.DUMMYFUNCTION("""COMPUTED_VALUE"""),"CXJ")</f>
        <v>CXJ</v>
      </c>
    </row>
    <row r="32">
      <c r="A32" s="15" t="str">
        <f>IFERROR(__xludf.DUMMYFUNCTION("""COMPUTED_VALUE"""),"CXO")</f>
        <v>CXO</v>
      </c>
    </row>
    <row r="33">
      <c r="A33" s="15" t="str">
        <f>IFERROR(__xludf.DUMMYFUNCTION("""COMPUTED_VALUE"""),"DIQ")</f>
        <v>DIQ</v>
      </c>
    </row>
    <row r="34">
      <c r="A34" s="15" t="str">
        <f>IFERROR(__xludf.DUMMYFUNCTION("""COMPUTED_VALUE"""),"DPW")</f>
        <v>DPW</v>
      </c>
    </row>
    <row r="35">
      <c r="A35" s="15" t="str">
        <f>IFERROR(__xludf.DUMMYFUNCTION("""COMPUTED_VALUE"""),"FLB")</f>
        <v>FLB</v>
      </c>
    </row>
    <row r="36">
      <c r="A36" s="15" t="str">
        <f>IFERROR(__xludf.DUMMYFUNCTION("""COMPUTED_VALUE"""),"FLN")</f>
        <v>FLN</v>
      </c>
    </row>
    <row r="37">
      <c r="A37" s="15" t="str">
        <f>IFERROR(__xludf.DUMMYFUNCTION("""COMPUTED_VALUE"""),"FOR")</f>
        <v>FOR</v>
      </c>
    </row>
    <row r="38">
      <c r="A38" s="15" t="str">
        <f>IFERROR(__xludf.DUMMYFUNCTION("""COMPUTED_VALUE"""),"FRC")</f>
        <v>FRC</v>
      </c>
    </row>
    <row r="39">
      <c r="A39" s="15" t="str">
        <f>IFERROR(__xludf.DUMMYFUNCTION("""COMPUTED_VALUE"""),"FSA")</f>
        <v>FSA</v>
      </c>
    </row>
    <row r="40">
      <c r="A40" s="15" t="str">
        <f>IFERROR(__xludf.DUMMYFUNCTION("""COMPUTED_VALUE"""),"GEL")</f>
        <v>GEL</v>
      </c>
    </row>
    <row r="41">
      <c r="A41" s="15" t="str">
        <f>IFERROR(__xludf.DUMMYFUNCTION("""COMPUTED_VALUE"""),"GPB")</f>
        <v>GPB</v>
      </c>
    </row>
    <row r="42">
      <c r="A42" s="15" t="str">
        <f>IFERROR(__xludf.DUMMYFUNCTION("""COMPUTED_VALUE"""),"GRU")</f>
        <v>GRU</v>
      </c>
    </row>
    <row r="43">
      <c r="A43" s="15" t="str">
        <f>IFERROR(__xludf.DUMMYFUNCTION("""COMPUTED_VALUE"""),"GVR")</f>
        <v>GVR</v>
      </c>
    </row>
    <row r="44">
      <c r="A44" s="15" t="str">
        <f>IFERROR(__xludf.DUMMYFUNCTION("""COMPUTED_VALUE"""),"GYN")</f>
        <v>GYN</v>
      </c>
    </row>
    <row r="45">
      <c r="A45" s="15" t="str">
        <f>IFERROR(__xludf.DUMMYFUNCTION("""COMPUTED_VALUE"""),"IGO")</f>
        <v>IGO</v>
      </c>
    </row>
    <row r="46">
      <c r="A46" s="15" t="str">
        <f>IFERROR(__xludf.DUMMYFUNCTION("""COMPUTED_VALUE"""),"IGZ")</f>
        <v>IGZ</v>
      </c>
    </row>
    <row r="47">
      <c r="A47" s="15" t="str">
        <f>IFERROR(__xludf.DUMMYFUNCTION("""COMPUTED_VALUE"""),"IMP")</f>
        <v>IMP</v>
      </c>
    </row>
    <row r="48">
      <c r="A48" s="15" t="str">
        <f>IFERROR(__xludf.DUMMYFUNCTION("""COMPUTED_VALUE"""),"IPN")</f>
        <v>IPN</v>
      </c>
    </row>
    <row r="49">
      <c r="A49" s="15" t="str">
        <f>IFERROR(__xludf.DUMMYFUNCTION("""COMPUTED_VALUE"""),"ITB")</f>
        <v>ITB</v>
      </c>
    </row>
    <row r="50">
      <c r="A50" s="15" t="str">
        <f>IFERROR(__xludf.DUMMYFUNCTION("""COMPUTED_VALUE"""),"ITG")</f>
        <v>ITG</v>
      </c>
    </row>
    <row r="51">
      <c r="A51" s="15" t="str">
        <f>IFERROR(__xludf.DUMMYFUNCTION("""COMPUTED_VALUE"""),"ITJ")</f>
        <v>ITJ</v>
      </c>
    </row>
    <row r="52">
      <c r="A52" s="15" t="str">
        <f>IFERROR(__xludf.DUMMYFUNCTION("""COMPUTED_VALUE"""),"ITN")</f>
        <v>ITN</v>
      </c>
    </row>
    <row r="53">
      <c r="A53" s="15" t="str">
        <f>IFERROR(__xludf.DUMMYFUNCTION("""COMPUTED_VALUE"""),"JDF")</f>
        <v>JDF</v>
      </c>
    </row>
    <row r="54">
      <c r="A54" s="15" t="str">
        <f>IFERROR(__xludf.DUMMYFUNCTION("""COMPUTED_VALUE"""),"JDO")</f>
        <v>JDO</v>
      </c>
    </row>
    <row r="55">
      <c r="A55" s="15" t="str">
        <f>IFERROR(__xludf.DUMMYFUNCTION("""COMPUTED_VALUE"""),"JEQ")</f>
        <v>JEQ</v>
      </c>
    </row>
    <row r="56">
      <c r="A56" s="15" t="str">
        <f>IFERROR(__xludf.DUMMYFUNCTION("""COMPUTED_VALUE"""),"JOI")</f>
        <v>JOI</v>
      </c>
    </row>
    <row r="57">
      <c r="A57" s="15" t="str">
        <f>IFERROR(__xludf.DUMMYFUNCTION("""COMPUTED_VALUE"""),"JPA")</f>
        <v>JPA</v>
      </c>
    </row>
    <row r="58">
      <c r="A58" s="15" t="str">
        <f>IFERROR(__xludf.DUMMYFUNCTION("""COMPUTED_VALUE"""),"JPR")</f>
        <v>JPR</v>
      </c>
    </row>
    <row r="59">
      <c r="A59" s="15" t="str">
        <f>IFERROR(__xludf.DUMMYFUNCTION("""COMPUTED_VALUE"""),"JZB")</f>
        <v>JZB</v>
      </c>
    </row>
    <row r="60">
      <c r="A60" s="15" t="str">
        <f>IFERROR(__xludf.DUMMYFUNCTION("""COMPUTED_VALUE"""),"LDB")</f>
        <v>LDB</v>
      </c>
    </row>
    <row r="61">
      <c r="A61" s="15" t="str">
        <f>IFERROR(__xludf.DUMMYFUNCTION("""COMPUTED_VALUE"""),"MAO")</f>
        <v>MAO</v>
      </c>
    </row>
    <row r="62">
      <c r="A62" s="15" t="str">
        <f>IFERROR(__xludf.DUMMYFUNCTION("""COMPUTED_VALUE"""),"MCZ")</f>
        <v>MCZ</v>
      </c>
    </row>
    <row r="63">
      <c r="A63" s="15" t="str">
        <f>IFERROR(__xludf.DUMMYFUNCTION("""COMPUTED_VALUE"""),"MEA")</f>
        <v>MEA</v>
      </c>
    </row>
    <row r="64">
      <c r="A64" s="15" t="str">
        <f>IFERROR(__xludf.DUMMYFUNCTION("""COMPUTED_VALUE"""),"MGF")</f>
        <v>MGF</v>
      </c>
    </row>
    <row r="65">
      <c r="A65" s="15" t="str">
        <f>IFERROR(__xludf.DUMMYFUNCTION("""COMPUTED_VALUE"""),"MII")</f>
        <v>MII</v>
      </c>
    </row>
    <row r="66">
      <c r="A66" s="15" t="str">
        <f>IFERROR(__xludf.DUMMYFUNCTION("""COMPUTED_VALUE"""),"MMG")</f>
        <v>MMG</v>
      </c>
    </row>
    <row r="67">
      <c r="A67" s="15" t="str">
        <f>IFERROR(__xludf.DUMMYFUNCTION("""COMPUTED_VALUE"""),"MOC")</f>
        <v>MOC</v>
      </c>
    </row>
    <row r="68">
      <c r="A68" s="15" t="str">
        <f>IFERROR(__xludf.DUMMYFUNCTION("""COMPUTED_VALUE"""),"MSS")</f>
        <v>MSS</v>
      </c>
    </row>
    <row r="69">
      <c r="A69" s="15" t="str">
        <f>IFERROR(__xludf.DUMMYFUNCTION("""COMPUTED_VALUE"""),"MT1")</f>
        <v>MT1</v>
      </c>
    </row>
    <row r="70">
      <c r="A70" s="15" t="str">
        <f>IFERROR(__xludf.DUMMYFUNCTION("""COMPUTED_VALUE"""),"MT2")</f>
        <v>MT2</v>
      </c>
    </row>
    <row r="71">
      <c r="A71" s="15" t="str">
        <f>IFERROR(__xludf.DUMMYFUNCTION("""COMPUTED_VALUE"""),"MT3")</f>
        <v>MT3</v>
      </c>
    </row>
    <row r="72">
      <c r="A72" s="15" t="str">
        <f>IFERROR(__xludf.DUMMYFUNCTION("""COMPUTED_VALUE"""),"MVF")</f>
        <v>MVF</v>
      </c>
    </row>
    <row r="73">
      <c r="A73" s="15" t="str">
        <f>IFERROR(__xludf.DUMMYFUNCTION("""COMPUTED_VALUE"""),"NAT")</f>
        <v>NAT</v>
      </c>
    </row>
    <row r="74">
      <c r="A74" s="15" t="str">
        <f>IFERROR(__xludf.DUMMYFUNCTION("""COMPUTED_VALUE"""),"NBL")</f>
        <v>NBL</v>
      </c>
    </row>
    <row r="75">
      <c r="A75" s="15" t="str">
        <f>IFERROR(__xludf.DUMMYFUNCTION("""COMPUTED_VALUE"""),"NBR")</f>
        <v>NBR</v>
      </c>
    </row>
    <row r="76">
      <c r="A76" s="15" t="str">
        <f>IFERROR(__xludf.DUMMYFUNCTION("""COMPUTED_VALUE"""),"NFG")</f>
        <v>NFG</v>
      </c>
    </row>
    <row r="77">
      <c r="A77" s="15" t="str">
        <f>IFERROR(__xludf.DUMMYFUNCTION("""COMPUTED_VALUE"""),"NZA")</f>
        <v>NZA</v>
      </c>
    </row>
    <row r="78">
      <c r="A78" s="15" t="str">
        <f>IFERROR(__xludf.DUMMYFUNCTION("""COMPUTED_VALUE"""),"PBO")</f>
        <v>PBO</v>
      </c>
    </row>
    <row r="79">
      <c r="A79" s="15" t="str">
        <f>IFERROR(__xludf.DUMMYFUNCTION("""COMPUTED_VALUE"""),"PCS")</f>
        <v>PCS</v>
      </c>
    </row>
    <row r="80">
      <c r="A80" s="15" t="str">
        <f>IFERROR(__xludf.DUMMYFUNCTION("""COMPUTED_VALUE"""),"PET")</f>
        <v>PET</v>
      </c>
    </row>
    <row r="81">
      <c r="A81" s="15" t="str">
        <f>IFERROR(__xludf.DUMMYFUNCTION("""COMPUTED_VALUE"""),"PFB")</f>
        <v>PFB</v>
      </c>
    </row>
    <row r="82">
      <c r="A82" s="15" t="str">
        <f>IFERROR(__xludf.DUMMYFUNCTION("""COMPUTED_VALUE"""),"PGT")</f>
        <v>PGT</v>
      </c>
    </row>
    <row r="83">
      <c r="A83" s="15" t="str">
        <f>IFERROR(__xludf.DUMMYFUNCTION("""COMPUTED_VALUE"""),"PGZ")</f>
        <v>PGZ</v>
      </c>
    </row>
    <row r="84">
      <c r="A84" s="15" t="str">
        <f>IFERROR(__xludf.DUMMYFUNCTION("""COMPUTED_VALUE"""),"PMW")</f>
        <v>PMW</v>
      </c>
    </row>
    <row r="85">
      <c r="A85" s="15" t="str">
        <f>IFERROR(__xludf.DUMMYFUNCTION("""COMPUTED_VALUE"""),"PNZ")</f>
        <v>PNZ</v>
      </c>
    </row>
    <row r="86">
      <c r="A86" s="15" t="str">
        <f>IFERROR(__xludf.DUMMYFUNCTION("""COMPUTED_VALUE"""),"POA")</f>
        <v>POA</v>
      </c>
    </row>
    <row r="87">
      <c r="A87" s="15" t="str">
        <f>IFERROR(__xludf.DUMMYFUNCTION("""COMPUTED_VALUE"""),"POJ")</f>
        <v>POJ</v>
      </c>
    </row>
    <row r="88">
      <c r="A88" s="15" t="str">
        <f>IFERROR(__xludf.DUMMYFUNCTION("""COMPUTED_VALUE"""),"PPR")</f>
        <v>PPR</v>
      </c>
    </row>
    <row r="89">
      <c r="A89" s="15" t="str">
        <f>IFERROR(__xludf.DUMMYFUNCTION("""COMPUTED_VALUE"""),"PTO")</f>
        <v>PTO</v>
      </c>
    </row>
    <row r="90">
      <c r="A90" s="15" t="str">
        <f>IFERROR(__xludf.DUMMYFUNCTION("""COMPUTED_VALUE"""),"PVH")</f>
        <v>PVH</v>
      </c>
    </row>
    <row r="91">
      <c r="A91" s="15" t="str">
        <f>IFERROR(__xludf.DUMMYFUNCTION("""COMPUTED_VALUE"""),"QGP")</f>
        <v>QGP</v>
      </c>
    </row>
    <row r="92">
      <c r="A92" s="15" t="str">
        <f>IFERROR(__xludf.DUMMYFUNCTION("""COMPUTED_VALUE"""),"QHV")</f>
        <v>QHV</v>
      </c>
    </row>
    <row r="93">
      <c r="A93" s="15" t="str">
        <f>IFERROR(__xludf.DUMMYFUNCTION("""COMPUTED_VALUE"""),"QJA")</f>
        <v>QJA</v>
      </c>
    </row>
    <row r="94">
      <c r="A94" s="15" t="str">
        <f>IFERROR(__xludf.DUMMYFUNCTION("""COMPUTED_VALUE"""),"QLB")</f>
        <v>QLB</v>
      </c>
    </row>
    <row r="95">
      <c r="A95" s="15" t="str">
        <f>IFERROR(__xludf.DUMMYFUNCTION("""COMPUTED_VALUE"""),"R3J")</f>
        <v>R3J</v>
      </c>
    </row>
    <row r="96">
      <c r="A96" s="15" t="str">
        <f>IFERROR(__xludf.DUMMYFUNCTION("""COMPUTED_VALUE"""),"RAO")</f>
        <v>RAO</v>
      </c>
    </row>
    <row r="97">
      <c r="A97" s="15" t="str">
        <f>IFERROR(__xludf.DUMMYFUNCTION("""COMPUTED_VALUE"""),"RBR")</f>
        <v>RBR</v>
      </c>
    </row>
    <row r="98">
      <c r="A98" s="15" t="str">
        <f>IFERROR(__xludf.DUMMYFUNCTION("""COMPUTED_VALUE"""),"RDS")</f>
        <v>RDS</v>
      </c>
    </row>
    <row r="99">
      <c r="A99" s="15" t="str">
        <f>IFERROR(__xludf.DUMMYFUNCTION("""COMPUTED_VALUE"""),"REC")</f>
        <v>REC</v>
      </c>
    </row>
    <row r="100">
      <c r="A100" s="15" t="str">
        <f>IFERROR(__xludf.DUMMYFUNCTION("""COMPUTED_VALUE"""),"RIA")</f>
        <v>RIA</v>
      </c>
    </row>
    <row r="101">
      <c r="A101" s="15" t="str">
        <f>IFERROR(__xludf.DUMMYFUNCTION("""COMPUTED_VALUE"""),"RIO")</f>
        <v>RIO</v>
      </c>
    </row>
    <row r="102">
      <c r="A102" s="15" t="str">
        <f>IFERROR(__xludf.DUMMYFUNCTION("""COMPUTED_VALUE"""),"RSN")</f>
        <v>RSN</v>
      </c>
    </row>
    <row r="103">
      <c r="A103" s="15" t="str">
        <f>IFERROR(__xludf.DUMMYFUNCTION("""COMPUTED_VALUE"""),"RVD")</f>
        <v>RVD</v>
      </c>
    </row>
    <row r="104">
      <c r="A104" s="15" t="str">
        <f>IFERROR(__xludf.DUMMYFUNCTION("""COMPUTED_VALUE"""),"SAO")</f>
        <v>SAO</v>
      </c>
    </row>
    <row r="105">
      <c r="A105" s="15" t="str">
        <f>IFERROR(__xludf.DUMMYFUNCTION("""COMPUTED_VALUE"""),"SBR")</f>
        <v>SBR</v>
      </c>
    </row>
    <row r="106">
      <c r="A106" s="15" t="str">
        <f>IFERROR(__xludf.DUMMYFUNCTION("""COMPUTED_VALUE"""),"SDR")</f>
        <v>SDR</v>
      </c>
    </row>
    <row r="107">
      <c r="A107" s="15" t="str">
        <f>IFERROR(__xludf.DUMMYFUNCTION("""COMPUTED_VALUE"""),"SGR")</f>
        <v>SGR</v>
      </c>
    </row>
    <row r="108">
      <c r="A108" s="15" t="str">
        <f>IFERROR(__xludf.DUMMYFUNCTION("""COMPUTED_VALUE"""),"SIN")</f>
        <v>SIN</v>
      </c>
    </row>
    <row r="109">
      <c r="A109" s="15" t="str">
        <f>IFERROR(__xludf.DUMMYFUNCTION("""COMPUTED_VALUE"""),"SJA")</f>
        <v>SJA</v>
      </c>
    </row>
    <row r="110">
      <c r="A110" s="15" t="str">
        <f>IFERROR(__xludf.DUMMYFUNCTION("""COMPUTED_VALUE"""),"SJK")</f>
        <v>SJK</v>
      </c>
    </row>
    <row r="111">
      <c r="A111" s="15" t="str">
        <f>IFERROR(__xludf.DUMMYFUNCTION("""COMPUTED_VALUE"""),"SJP")</f>
        <v>SJP</v>
      </c>
    </row>
    <row r="112">
      <c r="A112" s="15" t="str">
        <f>IFERROR(__xludf.DUMMYFUNCTION("""COMPUTED_VALUE"""),"SLZ")</f>
        <v>SLZ</v>
      </c>
    </row>
    <row r="113">
      <c r="A113" s="15" t="str">
        <f>IFERROR(__xludf.DUMMYFUNCTION("""COMPUTED_VALUE"""),"SOD")</f>
        <v>SOD</v>
      </c>
    </row>
    <row r="114">
      <c r="A114" s="15" t="str">
        <f>IFERROR(__xludf.DUMMYFUNCTION("""COMPUTED_VALUE"""),"SOS")</f>
        <v>SOS</v>
      </c>
    </row>
    <row r="115">
      <c r="A115" s="15" t="str">
        <f>IFERROR(__xludf.DUMMYFUNCTION("""COMPUTED_VALUE"""),"SPY")</f>
        <v>SPY</v>
      </c>
    </row>
    <row r="116">
      <c r="A116" s="15" t="str">
        <f>IFERROR(__xludf.DUMMYFUNCTION("""COMPUTED_VALUE"""),"SSA")</f>
        <v>SSA</v>
      </c>
    </row>
    <row r="117">
      <c r="A117" s="15" t="str">
        <f>IFERROR(__xludf.DUMMYFUNCTION("""COMPUTED_VALUE"""),"SSZ")</f>
        <v>SSZ</v>
      </c>
    </row>
    <row r="118">
      <c r="A118" s="15" t="str">
        <f>IFERROR(__xludf.DUMMYFUNCTION("""COMPUTED_VALUE"""),"STO")</f>
        <v>STO</v>
      </c>
    </row>
    <row r="119">
      <c r="A119" s="15" t="str">
        <f>IFERROR(__xludf.DUMMYFUNCTION("""COMPUTED_VALUE"""),"THE")</f>
        <v>THE</v>
      </c>
    </row>
    <row r="120">
      <c r="A120" s="15" t="str">
        <f>IFERROR(__xludf.DUMMYFUNCTION("""COMPUTED_VALUE"""),"TRL")</f>
        <v>TRL</v>
      </c>
    </row>
    <row r="121">
      <c r="A121" s="15" t="str">
        <f>IFERROR(__xludf.DUMMYFUNCTION("""COMPUTED_VALUE"""),"TUR")</f>
        <v>TUR</v>
      </c>
    </row>
    <row r="122">
      <c r="A122" s="15" t="str">
        <f>IFERROR(__xludf.DUMMYFUNCTION("""COMPUTED_VALUE"""),"UBA")</f>
        <v>UBA</v>
      </c>
    </row>
    <row r="123">
      <c r="A123" s="15" t="str">
        <f>IFERROR(__xludf.DUMMYFUNCTION("""COMPUTED_VALUE"""),"UBT")</f>
        <v>UBT</v>
      </c>
    </row>
    <row r="124">
      <c r="A124" s="15" t="str">
        <f>IFERROR(__xludf.DUMMYFUNCTION("""COMPUTED_VALUE"""),"UDI")</f>
        <v>UDI</v>
      </c>
    </row>
    <row r="125">
      <c r="A125" s="15" t="str">
        <f>IFERROR(__xludf.DUMMYFUNCTION("""COMPUTED_VALUE"""),"UMU")</f>
        <v>UMU</v>
      </c>
    </row>
    <row r="126">
      <c r="A126" s="15" t="str">
        <f>IFERROR(__xludf.DUMMYFUNCTION("""COMPUTED_VALUE"""),"URG")</f>
        <v>URG</v>
      </c>
    </row>
    <row r="127">
      <c r="A127" s="15" t="str">
        <f>IFERROR(__xludf.DUMMYFUNCTION("""COMPUTED_VALUE"""),"V2C")</f>
        <v>V2C</v>
      </c>
    </row>
    <row r="128">
      <c r="A128" s="15" t="str">
        <f>IFERROR(__xludf.DUMMYFUNCTION("""COMPUTED_VALUE"""),"VAG")</f>
        <v>VAG</v>
      </c>
    </row>
    <row r="129">
      <c r="A129" s="15" t="str">
        <f>IFERROR(__xludf.DUMMYFUNCTION("""COMPUTED_VALUE"""),"VDC")</f>
        <v>VDC</v>
      </c>
    </row>
    <row r="130">
      <c r="A130" s="15" t="str">
        <f>IFERROR(__xludf.DUMMYFUNCTION("""COMPUTED_VALUE"""),"VIX")</f>
        <v>VIX</v>
      </c>
    </row>
    <row r="131">
      <c r="A131" s="15" t="str">
        <f>IFERROR(__xludf.DUMMYFUNCTION("""COMPUTED_VALUE"""),"XAP")</f>
        <v>XAP</v>
      </c>
    </row>
  </sheetData>
  <drawing r:id="rId1"/>
</worksheet>
</file>